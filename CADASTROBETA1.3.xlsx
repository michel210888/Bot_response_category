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lo\Documents\EMPRESAS\CUBO REGULAMENTADORA\"/>
    </mc:Choice>
  </mc:AlternateContent>
  <xr:revisionPtr revIDLastSave="0" documentId="8_{E9D7C883-7863-4A95-9186-B20629164D02}" xr6:coauthVersionLast="47" xr6:coauthVersionMax="47" xr10:uidLastSave="{00000000-0000-0000-0000-000000000000}"/>
  <workbookProtection workbookAlgorithmName="SHA-512" workbookHashValue="3DEWz9GelH0gGT8NkMcU7PCfnPhX2CQH2us3nQ2c+e+DvLx0gY8jb8P2fromueW6DCSsjFl6Gsrd2QqtbqQNSA==" workbookSaltValue="ewQY3PeaAX+52TGqR1X6eQ==" workbookSpinCount="100000" lockStructure="1"/>
  <bookViews>
    <workbookView xWindow="-108" yWindow="-108" windowWidth="23256" windowHeight="12456" xr2:uid="{2D17AA06-AEBE-468D-9C19-A08CFEB40867}"/>
  </bookViews>
  <sheets>
    <sheet name="CONSULTAR" sheetId="4" r:id="rId1"/>
    <sheet name="BASE" sheetId="2" state="hidden" r:id="rId2"/>
    <sheet name="TAXA" sheetId="6" state="hidden" r:id="rId3"/>
  </sheets>
  <definedNames>
    <definedName name="_xlnm._FilterDatabase" localSheetId="1" hidden="1">BASE!$A$5:$N$6071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E29" i="6" l="1"/>
  <c r="BI29" i="6" s="1"/>
  <c r="BJ29" i="6" s="1"/>
  <c r="AV29" i="6"/>
  <c r="AZ29" i="6" s="1"/>
  <c r="BA29" i="6" s="1"/>
  <c r="AM29" i="6"/>
  <c r="AQ29" i="6" s="1"/>
  <c r="AR29" i="6" s="1"/>
  <c r="AD29" i="6"/>
  <c r="AH29" i="6" s="1"/>
  <c r="AI29" i="6" s="1"/>
  <c r="U29" i="6"/>
  <c r="Y29" i="6" s="1"/>
  <c r="Z29" i="6" s="1"/>
  <c r="L29" i="6"/>
  <c r="P29" i="6" s="1"/>
  <c r="Q29" i="6" s="1"/>
  <c r="BC28" i="6"/>
  <c r="BE28" i="6" s="1"/>
  <c r="BI28" i="6" s="1"/>
  <c r="BJ28" i="6" s="1"/>
  <c r="AT28" i="6"/>
  <c r="AV28" i="6" s="1"/>
  <c r="AZ28" i="6" s="1"/>
  <c r="BA28" i="6" s="1"/>
  <c r="AL28" i="6"/>
  <c r="AL27" i="6" s="1"/>
  <c r="AK28" i="6"/>
  <c r="AK27" i="6" s="1"/>
  <c r="AK26" i="6" s="1"/>
  <c r="AK25" i="6" s="1"/>
  <c r="AK24" i="6" s="1"/>
  <c r="AK23" i="6" s="1"/>
  <c r="AK22" i="6" s="1"/>
  <c r="AK21" i="6" s="1"/>
  <c r="AB28" i="6"/>
  <c r="AB27" i="6" s="1"/>
  <c r="AD27" i="6" s="1"/>
  <c r="AH27" i="6" s="1"/>
  <c r="AI27" i="6" s="1"/>
  <c r="S28" i="6"/>
  <c r="J28" i="6"/>
  <c r="J27" i="6" s="1"/>
  <c r="L27" i="6" s="1"/>
  <c r="P27" i="6" s="1"/>
  <c r="Q27" i="6" s="1"/>
  <c r="J26" i="6"/>
  <c r="C24" i="6"/>
  <c r="G24" i="6" s="1"/>
  <c r="H24" i="6" s="1"/>
  <c r="A23" i="6"/>
  <c r="C23" i="6" s="1"/>
  <c r="G23" i="6" s="1"/>
  <c r="H23" i="6" s="1"/>
  <c r="B22" i="6"/>
  <c r="AL20" i="6"/>
  <c r="AL15" i="6"/>
  <c r="AL14" i="6"/>
  <c r="AL13" i="6" s="1"/>
  <c r="AL12" i="6" s="1"/>
  <c r="AM21" i="6" l="1"/>
  <c r="AQ21" i="6" s="1"/>
  <c r="AR21" i="6" s="1"/>
  <c r="AK20" i="6"/>
  <c r="AK19" i="6" s="1"/>
  <c r="AK18" i="6" s="1"/>
  <c r="AK17" i="6" s="1"/>
  <c r="AK16" i="6" s="1"/>
  <c r="AM28" i="6"/>
  <c r="AQ28" i="6" s="1"/>
  <c r="AR28" i="6" s="1"/>
  <c r="AD28" i="6"/>
  <c r="AH28" i="6" s="1"/>
  <c r="AI28" i="6" s="1"/>
  <c r="AB26" i="6"/>
  <c r="AD26" i="6" s="1"/>
  <c r="AH26" i="6" s="1"/>
  <c r="AI26" i="6" s="1"/>
  <c r="L26" i="6"/>
  <c r="P26" i="6" s="1"/>
  <c r="Q26" i="6" s="1"/>
  <c r="J25" i="6"/>
  <c r="AM20" i="6"/>
  <c r="AQ20" i="6" s="1"/>
  <c r="AR20" i="6" s="1"/>
  <c r="AL19" i="6"/>
  <c r="AL26" i="6"/>
  <c r="AM27" i="6"/>
  <c r="AQ27" i="6" s="1"/>
  <c r="AR27" i="6" s="1"/>
  <c r="S27" i="6"/>
  <c r="U28" i="6"/>
  <c r="Y28" i="6" s="1"/>
  <c r="Z28" i="6" s="1"/>
  <c r="BC27" i="6"/>
  <c r="L28" i="6"/>
  <c r="P28" i="6" s="1"/>
  <c r="Q28" i="6" s="1"/>
  <c r="A22" i="6"/>
  <c r="AT27" i="6"/>
  <c r="AB25" i="6" l="1"/>
  <c r="AD25" i="6" s="1"/>
  <c r="AH25" i="6" s="1"/>
  <c r="AI25" i="6" s="1"/>
  <c r="AK15" i="6"/>
  <c r="AM16" i="6"/>
  <c r="AQ16" i="6" s="1"/>
  <c r="AR16" i="6" s="1"/>
  <c r="AM19" i="6"/>
  <c r="AQ19" i="6" s="1"/>
  <c r="AR19" i="6" s="1"/>
  <c r="AL18" i="6"/>
  <c r="AT26" i="6"/>
  <c r="AV27" i="6"/>
  <c r="AZ27" i="6" s="1"/>
  <c r="BA27" i="6" s="1"/>
  <c r="BC26" i="6"/>
  <c r="BE27" i="6"/>
  <c r="BI27" i="6" s="1"/>
  <c r="BJ27" i="6" s="1"/>
  <c r="AL25" i="6"/>
  <c r="AM26" i="6"/>
  <c r="AQ26" i="6" s="1"/>
  <c r="AR26" i="6" s="1"/>
  <c r="L25" i="6"/>
  <c r="P25" i="6" s="1"/>
  <c r="Q25" i="6" s="1"/>
  <c r="J24" i="6"/>
  <c r="A21" i="6"/>
  <c r="C22" i="6"/>
  <c r="G22" i="6" s="1"/>
  <c r="H22" i="6" s="1"/>
  <c r="S26" i="6"/>
  <c r="U27" i="6"/>
  <c r="Y27" i="6" s="1"/>
  <c r="Z27" i="6" s="1"/>
  <c r="AB24" i="6" l="1"/>
  <c r="AM15" i="6"/>
  <c r="AQ15" i="6" s="1"/>
  <c r="AR15" i="6" s="1"/>
  <c r="AK14" i="6"/>
  <c r="L24" i="6"/>
  <c r="P24" i="6" s="1"/>
  <c r="Q24" i="6" s="1"/>
  <c r="J23" i="6"/>
  <c r="U26" i="6"/>
  <c r="Y26" i="6" s="1"/>
  <c r="Z26" i="6" s="1"/>
  <c r="S25" i="6"/>
  <c r="AM25" i="6"/>
  <c r="AQ25" i="6" s="1"/>
  <c r="AR25" i="6" s="1"/>
  <c r="AL24" i="6"/>
  <c r="AT25" i="6"/>
  <c r="AV26" i="6"/>
  <c r="AZ26" i="6" s="1"/>
  <c r="BA26" i="6" s="1"/>
  <c r="AB23" i="6"/>
  <c r="AD24" i="6"/>
  <c r="AH24" i="6" s="1"/>
  <c r="AI24" i="6" s="1"/>
  <c r="AL17" i="6"/>
  <c r="AM17" i="6" s="1"/>
  <c r="AQ17" i="6" s="1"/>
  <c r="AR17" i="6" s="1"/>
  <c r="AM18" i="6"/>
  <c r="AQ18" i="6" s="1"/>
  <c r="AR18" i="6" s="1"/>
  <c r="C21" i="6"/>
  <c r="G21" i="6" s="1"/>
  <c r="H21" i="6" s="1"/>
  <c r="A20" i="6"/>
  <c r="BC25" i="6"/>
  <c r="BE26" i="6"/>
  <c r="BI26" i="6" s="1"/>
  <c r="BJ26" i="6" s="1"/>
  <c r="AK13" i="6" l="1"/>
  <c r="AM14" i="6"/>
  <c r="AQ14" i="6" s="1"/>
  <c r="AR14" i="6" s="1"/>
  <c r="U25" i="6"/>
  <c r="Y25" i="6" s="1"/>
  <c r="Z25" i="6" s="1"/>
  <c r="S24" i="6"/>
  <c r="BE25" i="6"/>
  <c r="BI25" i="6" s="1"/>
  <c r="BJ25" i="6" s="1"/>
  <c r="BC24" i="6"/>
  <c r="AV25" i="6"/>
  <c r="AZ25" i="6" s="1"/>
  <c r="BA25" i="6" s="1"/>
  <c r="AT24" i="6"/>
  <c r="A19" i="6"/>
  <c r="C20" i="6"/>
  <c r="G20" i="6" s="1"/>
  <c r="H20" i="6" s="1"/>
  <c r="AL23" i="6"/>
  <c r="AM24" i="6"/>
  <c r="AQ24" i="6" s="1"/>
  <c r="AR24" i="6" s="1"/>
  <c r="J22" i="6"/>
  <c r="L23" i="6"/>
  <c r="P23" i="6" s="1"/>
  <c r="Q23" i="6" s="1"/>
  <c r="AB22" i="6"/>
  <c r="AD23" i="6"/>
  <c r="AH23" i="6" s="1"/>
  <c r="AI23" i="6" s="1"/>
  <c r="AK12" i="6" l="1"/>
  <c r="AM12" i="6" s="1"/>
  <c r="AQ12" i="6" s="1"/>
  <c r="AR12" i="6" s="1"/>
  <c r="AM13" i="6"/>
  <c r="AQ13" i="6" s="1"/>
  <c r="AR13" i="6" s="1"/>
  <c r="BE24" i="6"/>
  <c r="BI24" i="6" s="1"/>
  <c r="BJ24" i="6" s="1"/>
  <c r="BC23" i="6"/>
  <c r="L22" i="6"/>
  <c r="P22" i="6" s="1"/>
  <c r="Q22" i="6" s="1"/>
  <c r="J21" i="6"/>
  <c r="A18" i="6"/>
  <c r="C19" i="6"/>
  <c r="G19" i="6" s="1"/>
  <c r="H19" i="6" s="1"/>
  <c r="AT23" i="6"/>
  <c r="AV24" i="6"/>
  <c r="AZ24" i="6" s="1"/>
  <c r="BA24" i="6" s="1"/>
  <c r="U24" i="6"/>
  <c r="Y24" i="6" s="1"/>
  <c r="Z24" i="6" s="1"/>
  <c r="S23" i="6"/>
  <c r="AB21" i="6"/>
  <c r="AD22" i="6"/>
  <c r="AH22" i="6" s="1"/>
  <c r="AI22" i="6" s="1"/>
  <c r="AL22" i="6"/>
  <c r="AM22" i="6" s="1"/>
  <c r="AQ22" i="6" s="1"/>
  <c r="AR22" i="6" s="1"/>
  <c r="AM23" i="6"/>
  <c r="AQ23" i="6" s="1"/>
  <c r="AR23" i="6" s="1"/>
  <c r="S22" i="6" l="1"/>
  <c r="U23" i="6"/>
  <c r="Y23" i="6" s="1"/>
  <c r="Z23" i="6" s="1"/>
  <c r="BC22" i="6"/>
  <c r="BE23" i="6"/>
  <c r="BI23" i="6" s="1"/>
  <c r="BJ23" i="6" s="1"/>
  <c r="L21" i="6"/>
  <c r="P21" i="6" s="1"/>
  <c r="Q21" i="6" s="1"/>
  <c r="J20" i="6"/>
  <c r="AD21" i="6"/>
  <c r="AH21" i="6" s="1"/>
  <c r="AI21" i="6" s="1"/>
  <c r="AB20" i="6"/>
  <c r="AV23" i="6"/>
  <c r="AZ23" i="6" s="1"/>
  <c r="BA23" i="6" s="1"/>
  <c r="AT22" i="6"/>
  <c r="A17" i="6"/>
  <c r="C18" i="6"/>
  <c r="G18" i="6" s="1"/>
  <c r="H18" i="6" s="1"/>
  <c r="C17" i="6" l="1"/>
  <c r="G17" i="6" s="1"/>
  <c r="H17" i="6" s="1"/>
  <c r="A16" i="6"/>
  <c r="BC21" i="6"/>
  <c r="BE22" i="6"/>
  <c r="BI22" i="6" s="1"/>
  <c r="BJ22" i="6" s="1"/>
  <c r="AV22" i="6"/>
  <c r="AZ22" i="6" s="1"/>
  <c r="BA22" i="6" s="1"/>
  <c r="AT21" i="6"/>
  <c r="J19" i="6"/>
  <c r="L20" i="6"/>
  <c r="P20" i="6" s="1"/>
  <c r="Q20" i="6" s="1"/>
  <c r="AB19" i="6"/>
  <c r="AD20" i="6"/>
  <c r="AH20" i="6" s="1"/>
  <c r="AI20" i="6" s="1"/>
  <c r="U22" i="6"/>
  <c r="Y22" i="6" s="1"/>
  <c r="Z22" i="6" s="1"/>
  <c r="S21" i="6"/>
  <c r="J18" i="6" l="1"/>
  <c r="L19" i="6"/>
  <c r="P19" i="6" s="1"/>
  <c r="Q19" i="6" s="1"/>
  <c r="AV21" i="6"/>
  <c r="AZ21" i="6" s="1"/>
  <c r="BA21" i="6" s="1"/>
  <c r="AT20" i="6"/>
  <c r="A15" i="6"/>
  <c r="C16" i="6"/>
  <c r="G16" i="6" s="1"/>
  <c r="H16" i="6" s="1"/>
  <c r="U21" i="6"/>
  <c r="Y21" i="6" s="1"/>
  <c r="Z21" i="6" s="1"/>
  <c r="S20" i="6"/>
  <c r="BE21" i="6"/>
  <c r="BI21" i="6" s="1"/>
  <c r="BJ21" i="6" s="1"/>
  <c r="BC20" i="6"/>
  <c r="AB18" i="6"/>
  <c r="AD19" i="6"/>
  <c r="AH19" i="6" s="1"/>
  <c r="AI19" i="6" s="1"/>
  <c r="AV20" i="6" l="1"/>
  <c r="AZ20" i="6" s="1"/>
  <c r="BA20" i="6" s="1"/>
  <c r="AT19" i="6"/>
  <c r="AD18" i="6"/>
  <c r="AH18" i="6" s="1"/>
  <c r="AI18" i="6" s="1"/>
  <c r="AB17" i="6"/>
  <c r="U20" i="6"/>
  <c r="Y20" i="6" s="1"/>
  <c r="Z20" i="6" s="1"/>
  <c r="S19" i="6"/>
  <c r="BE20" i="6"/>
  <c r="BI20" i="6" s="1"/>
  <c r="BJ20" i="6" s="1"/>
  <c r="BC19" i="6"/>
  <c r="C15" i="6"/>
  <c r="G15" i="6" s="1"/>
  <c r="H15" i="6" s="1"/>
  <c r="A14" i="6"/>
  <c r="J17" i="6"/>
  <c r="L18" i="6"/>
  <c r="P18" i="6" s="1"/>
  <c r="Q18" i="6" s="1"/>
  <c r="AD17" i="6" l="1"/>
  <c r="AH17" i="6" s="1"/>
  <c r="AI17" i="6" s="1"/>
  <c r="AB16" i="6"/>
  <c r="L17" i="6"/>
  <c r="P17" i="6" s="1"/>
  <c r="Q17" i="6" s="1"/>
  <c r="J16" i="6"/>
  <c r="BC18" i="6"/>
  <c r="BE19" i="6"/>
  <c r="BI19" i="6" s="1"/>
  <c r="BJ19" i="6" s="1"/>
  <c r="C14" i="6"/>
  <c r="G14" i="6" s="1"/>
  <c r="H14" i="6" s="1"/>
  <c r="A13" i="6"/>
  <c r="S18" i="6"/>
  <c r="U19" i="6"/>
  <c r="Y19" i="6" s="1"/>
  <c r="Z19" i="6" s="1"/>
  <c r="AV19" i="6"/>
  <c r="AZ19" i="6" s="1"/>
  <c r="BA19" i="6" s="1"/>
  <c r="AT18" i="6"/>
  <c r="J15" i="6" l="1"/>
  <c r="L16" i="6"/>
  <c r="P16" i="6" s="1"/>
  <c r="Q16" i="6" s="1"/>
  <c r="AB15" i="6"/>
  <c r="AD16" i="6"/>
  <c r="AH16" i="6" s="1"/>
  <c r="AI16" i="6" s="1"/>
  <c r="AT17" i="6"/>
  <c r="AV18" i="6"/>
  <c r="AZ18" i="6" s="1"/>
  <c r="BA18" i="6" s="1"/>
  <c r="C13" i="6"/>
  <c r="G13" i="6" s="1"/>
  <c r="H13" i="6" s="1"/>
  <c r="A12" i="6"/>
  <c r="C12" i="6" s="1"/>
  <c r="G12" i="6" s="1"/>
  <c r="H12" i="6" s="1"/>
  <c r="U18" i="6"/>
  <c r="Y18" i="6" s="1"/>
  <c r="Z18" i="6" s="1"/>
  <c r="S17" i="6"/>
  <c r="BC17" i="6"/>
  <c r="BE18" i="6"/>
  <c r="BI18" i="6" s="1"/>
  <c r="BJ18" i="6" s="1"/>
  <c r="BC16" i="6" l="1"/>
  <c r="BE17" i="6"/>
  <c r="BI17" i="6" s="1"/>
  <c r="BJ17" i="6" s="1"/>
  <c r="AD15" i="6"/>
  <c r="AH15" i="6" s="1"/>
  <c r="AI15" i="6" s="1"/>
  <c r="AB14" i="6"/>
  <c r="U17" i="6"/>
  <c r="Y17" i="6" s="1"/>
  <c r="Z17" i="6" s="1"/>
  <c r="S16" i="6"/>
  <c r="AV17" i="6"/>
  <c r="AZ17" i="6" s="1"/>
  <c r="BA17" i="6" s="1"/>
  <c r="AT16" i="6"/>
  <c r="L15" i="6"/>
  <c r="P15" i="6" s="1"/>
  <c r="Q15" i="6" s="1"/>
  <c r="J14" i="6"/>
  <c r="AT15" i="6" l="1"/>
  <c r="AV16" i="6"/>
  <c r="AZ16" i="6" s="1"/>
  <c r="BA16" i="6" s="1"/>
  <c r="L14" i="6"/>
  <c r="P14" i="6" s="1"/>
  <c r="Q14" i="6" s="1"/>
  <c r="J13" i="6"/>
  <c r="S15" i="6"/>
  <c r="U16" i="6"/>
  <c r="Y16" i="6" s="1"/>
  <c r="Z16" i="6" s="1"/>
  <c r="AD14" i="6"/>
  <c r="AH14" i="6" s="1"/>
  <c r="AI14" i="6" s="1"/>
  <c r="AB13" i="6"/>
  <c r="BC15" i="6"/>
  <c r="BE16" i="6"/>
  <c r="BI16" i="6" s="1"/>
  <c r="BJ16" i="6" s="1"/>
  <c r="L13" i="6" l="1"/>
  <c r="P13" i="6" s="1"/>
  <c r="Q13" i="6" s="1"/>
  <c r="J12" i="6"/>
  <c r="L12" i="6" s="1"/>
  <c r="P12" i="6" s="1"/>
  <c r="Q12" i="6" s="1"/>
  <c r="AD13" i="6"/>
  <c r="AH13" i="6" s="1"/>
  <c r="AI13" i="6" s="1"/>
  <c r="AB12" i="6"/>
  <c r="AD12" i="6" s="1"/>
  <c r="AH12" i="6" s="1"/>
  <c r="AI12" i="6" s="1"/>
  <c r="BC14" i="6"/>
  <c r="BE15" i="6"/>
  <c r="BI15" i="6" s="1"/>
  <c r="BJ15" i="6" s="1"/>
  <c r="U15" i="6"/>
  <c r="Y15" i="6" s="1"/>
  <c r="Z15" i="6" s="1"/>
  <c r="S14" i="6"/>
  <c r="AT14" i="6"/>
  <c r="AV15" i="6"/>
  <c r="AZ15" i="6" s="1"/>
  <c r="BA15" i="6" s="1"/>
  <c r="U14" i="6" l="1"/>
  <c r="Y14" i="6" s="1"/>
  <c r="Z14" i="6" s="1"/>
  <c r="S13" i="6"/>
  <c r="AV14" i="6"/>
  <c r="AZ14" i="6" s="1"/>
  <c r="BA14" i="6" s="1"/>
  <c r="AT13" i="6"/>
  <c r="BE14" i="6"/>
  <c r="BI14" i="6" s="1"/>
  <c r="BJ14" i="6" s="1"/>
  <c r="BC13" i="6"/>
  <c r="AV13" i="6" l="1"/>
  <c r="AZ13" i="6" s="1"/>
  <c r="BA13" i="6" s="1"/>
  <c r="AT12" i="6"/>
  <c r="AV12" i="6" s="1"/>
  <c r="AZ12" i="6" s="1"/>
  <c r="BA12" i="6" s="1"/>
  <c r="BE13" i="6"/>
  <c r="BI13" i="6" s="1"/>
  <c r="BJ13" i="6" s="1"/>
  <c r="BC12" i="6"/>
  <c r="BE12" i="6" s="1"/>
  <c r="BI12" i="6" s="1"/>
  <c r="BJ12" i="6" s="1"/>
  <c r="U13" i="6"/>
  <c r="Y13" i="6" s="1"/>
  <c r="Z13" i="6" s="1"/>
  <c r="S12" i="6"/>
  <c r="U12" i="6" s="1"/>
  <c r="Y12" i="6" s="1"/>
  <c r="Z12" i="6" s="1"/>
  <c r="D8" i="4" l="1"/>
  <c r="D7" i="4"/>
  <c r="D12" i="4"/>
  <c r="D11" i="4"/>
  <c r="D6" i="4"/>
  <c r="D5" i="4"/>
  <c r="D10" i="4"/>
  <c r="D9" i="4"/>
  <c r="J5949" i="2" l="1"/>
  <c r="M5949" i="2"/>
  <c r="J5962" i="2"/>
  <c r="M5962" i="2"/>
  <c r="J5961" i="2"/>
  <c r="M5961" i="2"/>
  <c r="J5960" i="2"/>
  <c r="M5960" i="2"/>
  <c r="J5959" i="2"/>
  <c r="M5959" i="2"/>
  <c r="J5958" i="2"/>
  <c r="M5958" i="2"/>
  <c r="J5957" i="2"/>
  <c r="M5957" i="2"/>
  <c r="J5956" i="2"/>
  <c r="M5956" i="2"/>
  <c r="J5955" i="2"/>
  <c r="M5955" i="2"/>
  <c r="J5954" i="2"/>
  <c r="M5954" i="2"/>
  <c r="J5953" i="2"/>
  <c r="M5953" i="2"/>
  <c r="J5952" i="2"/>
  <c r="M5952" i="2"/>
  <c r="J5951" i="2"/>
  <c r="M5951" i="2"/>
  <c r="J5950" i="2"/>
  <c r="M5950" i="2"/>
  <c r="J5948" i="2"/>
  <c r="M5948" i="2"/>
  <c r="J5947" i="2"/>
  <c r="M5947" i="2"/>
  <c r="J5946" i="2"/>
  <c r="M5946" i="2"/>
  <c r="J5945" i="2"/>
  <c r="M5945" i="2"/>
  <c r="J5944" i="2"/>
  <c r="M5944" i="2"/>
  <c r="J5943" i="2"/>
  <c r="M5943" i="2"/>
  <c r="J5942" i="2"/>
  <c r="M5942" i="2"/>
  <c r="J5941" i="2"/>
  <c r="M5941" i="2"/>
  <c r="J5940" i="2"/>
  <c r="M5940" i="2"/>
  <c r="J5939" i="2"/>
  <c r="M5939" i="2"/>
  <c r="J5938" i="2"/>
  <c r="M5938" i="2"/>
  <c r="J5937" i="2"/>
  <c r="M5937" i="2"/>
  <c r="J5936" i="2"/>
  <c r="M5936" i="2"/>
  <c r="J5935" i="2"/>
  <c r="M5935" i="2"/>
  <c r="J5934" i="2"/>
  <c r="M5934" i="2"/>
  <c r="J5933" i="2"/>
  <c r="M5933" i="2"/>
  <c r="J5931" i="2"/>
  <c r="M5931" i="2"/>
  <c r="J5932" i="2"/>
  <c r="M5932" i="2"/>
  <c r="J5930" i="2"/>
  <c r="M5930" i="2"/>
  <c r="J5929" i="2"/>
  <c r="M5929" i="2"/>
  <c r="J5928" i="2"/>
  <c r="M5928" i="2"/>
  <c r="J5927" i="2"/>
  <c r="M5927" i="2"/>
  <c r="J5926" i="2"/>
  <c r="M5926" i="2"/>
  <c r="J5925" i="2"/>
  <c r="M5925" i="2"/>
  <c r="J5924" i="2"/>
  <c r="M5924" i="2"/>
  <c r="J5923" i="2"/>
  <c r="M5923" i="2"/>
  <c r="J5922" i="2"/>
  <c r="M5922" i="2"/>
  <c r="J5921" i="2"/>
  <c r="M5921" i="2"/>
  <c r="J5920" i="2"/>
  <c r="M5920" i="2"/>
  <c r="J5919" i="2"/>
  <c r="M5919" i="2"/>
  <c r="J5918" i="2"/>
  <c r="M5918" i="2"/>
  <c r="J5917" i="2"/>
  <c r="M5917" i="2"/>
  <c r="J5916" i="2"/>
  <c r="M5916" i="2"/>
  <c r="J5915" i="2"/>
  <c r="M5915" i="2"/>
  <c r="J5914" i="2"/>
  <c r="M5914" i="2"/>
  <c r="J5913" i="2"/>
  <c r="M5913" i="2"/>
  <c r="J5912" i="2"/>
  <c r="M5912" i="2"/>
  <c r="J5911" i="2"/>
  <c r="M5911" i="2"/>
  <c r="J5910" i="2"/>
  <c r="M5910" i="2"/>
  <c r="J5909" i="2"/>
  <c r="M5909" i="2"/>
  <c r="J5908" i="2"/>
  <c r="M5908" i="2"/>
  <c r="J5907" i="2"/>
  <c r="M5907" i="2"/>
  <c r="J5906" i="2"/>
  <c r="M5906" i="2"/>
  <c r="J5905" i="2"/>
  <c r="M5905" i="2"/>
  <c r="J5904" i="2"/>
  <c r="M5904" i="2"/>
  <c r="J5903" i="2"/>
  <c r="M5903" i="2"/>
  <c r="J5902" i="2"/>
  <c r="M5902" i="2"/>
  <c r="J5663" i="2"/>
  <c r="M5663" i="2"/>
  <c r="J5662" i="2"/>
  <c r="M5662" i="2"/>
  <c r="J5661" i="2"/>
  <c r="M5661" i="2"/>
  <c r="J5660" i="2"/>
  <c r="M5660" i="2"/>
  <c r="J5659" i="2"/>
  <c r="M5659" i="2"/>
  <c r="J5658" i="2"/>
  <c r="M5658" i="2"/>
  <c r="J5657" i="2"/>
  <c r="M5657" i="2"/>
  <c r="J5656" i="2"/>
  <c r="M5656" i="2"/>
  <c r="J5655" i="2"/>
  <c r="M5655" i="2"/>
  <c r="J5654" i="2"/>
  <c r="M5654" i="2"/>
  <c r="J5653" i="2"/>
  <c r="M5653" i="2"/>
  <c r="J5652" i="2"/>
  <c r="M5652" i="2"/>
  <c r="J5651" i="2"/>
  <c r="M5651" i="2"/>
  <c r="J5650" i="2"/>
  <c r="M5650" i="2"/>
  <c r="J5649" i="2"/>
  <c r="M5649" i="2"/>
  <c r="J5648" i="2"/>
  <c r="M5648" i="2"/>
  <c r="J5647" i="2"/>
  <c r="M5647" i="2"/>
  <c r="J5646" i="2"/>
  <c r="M5646" i="2"/>
  <c r="J5645" i="2"/>
  <c r="M5645" i="2"/>
  <c r="J5644" i="2"/>
  <c r="M5644" i="2"/>
  <c r="J5643" i="2"/>
  <c r="M5643" i="2"/>
  <c r="J5642" i="2"/>
  <c r="M5642" i="2"/>
  <c r="J5641" i="2"/>
  <c r="M5641" i="2"/>
  <c r="J5640" i="2"/>
  <c r="M5640" i="2"/>
  <c r="J5639" i="2"/>
  <c r="M5639" i="2"/>
  <c r="J5638" i="2"/>
  <c r="M5638" i="2"/>
  <c r="J5637" i="2"/>
  <c r="M5637" i="2"/>
  <c r="J5636" i="2"/>
  <c r="M5636" i="2"/>
  <c r="J5635" i="2"/>
  <c r="M5635" i="2"/>
  <c r="J5634" i="2"/>
  <c r="M5634" i="2"/>
  <c r="J5633" i="2"/>
  <c r="M5633" i="2"/>
  <c r="J5632" i="2"/>
  <c r="M5632" i="2"/>
  <c r="J5631" i="2"/>
  <c r="M5631" i="2"/>
  <c r="J4710" i="2"/>
  <c r="M4710" i="2"/>
  <c r="J4707" i="2"/>
  <c r="M4707" i="2"/>
  <c r="J4706" i="2"/>
  <c r="M4706" i="2"/>
  <c r="J4709" i="2"/>
  <c r="M4709" i="2"/>
  <c r="J4708" i="2"/>
  <c r="M4708" i="2"/>
  <c r="J4705" i="2"/>
  <c r="M4705" i="2"/>
  <c r="J4704" i="2"/>
  <c r="M4704" i="2"/>
  <c r="J4703" i="2"/>
  <c r="M4703" i="2"/>
  <c r="J4702" i="2"/>
  <c r="M4702" i="2"/>
  <c r="J4696" i="2"/>
  <c r="M4696" i="2"/>
  <c r="J4695" i="2"/>
  <c r="M4695" i="2"/>
  <c r="J4694" i="2"/>
  <c r="M4694" i="2"/>
  <c r="J4693" i="2"/>
  <c r="M4693" i="2"/>
  <c r="J4692" i="2"/>
  <c r="M4692" i="2"/>
  <c r="J4677" i="2"/>
  <c r="M4677" i="2"/>
  <c r="J4678" i="2"/>
  <c r="M4678" i="2"/>
  <c r="J4676" i="2"/>
  <c r="M4676" i="2"/>
  <c r="J4675" i="2"/>
  <c r="M4675" i="2"/>
  <c r="J4674" i="2"/>
  <c r="M4674" i="2"/>
  <c r="J4673" i="2"/>
  <c r="M4673" i="2"/>
  <c r="J4672" i="2"/>
  <c r="M4672" i="2"/>
  <c r="J4671" i="2"/>
  <c r="M4671" i="2"/>
  <c r="J4670" i="2"/>
  <c r="M4670" i="2"/>
  <c r="J4669" i="2"/>
  <c r="M4669" i="2"/>
  <c r="J4668" i="2"/>
  <c r="M4668" i="2"/>
  <c r="J4667" i="2"/>
  <c r="M4667" i="2"/>
  <c r="J4666" i="2"/>
  <c r="M4666" i="2"/>
  <c r="J4665" i="2"/>
  <c r="M4665" i="2"/>
  <c r="J4664" i="2"/>
  <c r="M4664" i="2"/>
  <c r="J4663" i="2"/>
  <c r="M4663" i="2"/>
  <c r="J4662" i="2"/>
  <c r="M4662" i="2"/>
  <c r="J4661" i="2"/>
  <c r="M4661" i="2"/>
  <c r="J4637" i="2"/>
  <c r="M4637" i="2"/>
  <c r="J4636" i="2"/>
  <c r="M4636" i="2"/>
  <c r="J4635" i="2"/>
  <c r="M4635" i="2"/>
  <c r="J4634" i="2"/>
  <c r="M4634" i="2"/>
  <c r="J4633" i="2"/>
  <c r="M4633" i="2"/>
  <c r="J4632" i="2"/>
  <c r="M4632" i="2"/>
  <c r="J4631" i="2"/>
  <c r="M4631" i="2"/>
  <c r="J4630" i="2"/>
  <c r="M4630" i="2"/>
  <c r="J4629" i="2"/>
  <c r="M4629" i="2"/>
  <c r="J4628" i="2"/>
  <c r="M4628" i="2"/>
  <c r="J4627" i="2"/>
  <c r="M4627" i="2"/>
  <c r="J4626" i="2"/>
  <c r="M4626" i="2"/>
  <c r="J2180" i="2"/>
  <c r="M2180" i="2"/>
  <c r="J2177" i="2"/>
  <c r="M2177" i="2"/>
  <c r="J2176" i="2"/>
  <c r="M2176" i="2"/>
  <c r="J2175" i="2"/>
  <c r="M2175" i="2"/>
  <c r="J2174" i="2"/>
  <c r="M2174" i="2"/>
  <c r="J2173" i="2"/>
  <c r="M2173" i="2"/>
  <c r="J2172" i="2"/>
  <c r="M2172" i="2"/>
  <c r="J2171" i="2"/>
  <c r="M2171" i="2"/>
  <c r="J2170" i="2"/>
  <c r="M2170" i="2"/>
  <c r="J1986" i="2"/>
  <c r="M1986" i="2"/>
  <c r="J1985" i="2"/>
  <c r="M1985" i="2"/>
  <c r="J1984" i="2"/>
  <c r="M1984" i="2"/>
  <c r="J1156" i="2"/>
  <c r="M1156" i="2"/>
  <c r="J1155" i="2"/>
  <c r="M1155" i="2"/>
  <c r="J1132" i="2"/>
  <c r="M1132" i="2"/>
  <c r="J1131" i="2"/>
  <c r="M1131" i="2"/>
  <c r="J1130" i="2"/>
  <c r="M1130" i="2"/>
  <c r="J1061" i="2"/>
  <c r="M1061" i="2"/>
  <c r="J1060" i="2"/>
  <c r="M1060" i="2"/>
  <c r="J1059" i="2"/>
  <c r="M1059" i="2"/>
  <c r="J1058" i="2"/>
  <c r="M1058" i="2"/>
  <c r="J1057" i="2"/>
  <c r="M1057" i="2"/>
  <c r="J492" i="2"/>
  <c r="M492" i="2"/>
  <c r="J491" i="2"/>
  <c r="M491" i="2"/>
  <c r="J486" i="2"/>
  <c r="M486" i="2"/>
  <c r="J485" i="2"/>
  <c r="M485" i="2"/>
  <c r="J484" i="2"/>
  <c r="M484" i="2"/>
  <c r="J483" i="2"/>
  <c r="M483" i="2"/>
  <c r="J482" i="2"/>
  <c r="M482" i="2"/>
  <c r="J481" i="2"/>
  <c r="M481" i="2"/>
  <c r="J480" i="2"/>
  <c r="M480" i="2"/>
  <c r="J479" i="2"/>
  <c r="M479" i="2"/>
  <c r="J379" i="2"/>
  <c r="M379" i="2"/>
  <c r="J378" i="2"/>
  <c r="M378" i="2"/>
  <c r="J5737" i="2"/>
  <c r="M5737" i="2"/>
  <c r="J5736" i="2"/>
  <c r="M5736" i="2"/>
  <c r="J5734" i="2"/>
  <c r="M5734" i="2"/>
  <c r="J5731" i="2"/>
  <c r="M5731" i="2"/>
  <c r="J5389" i="2"/>
  <c r="M5389" i="2"/>
  <c r="J5346" i="2"/>
  <c r="M5346" i="2"/>
  <c r="J5345" i="2"/>
  <c r="M5345" i="2"/>
  <c r="J5344" i="2"/>
  <c r="M5344" i="2"/>
  <c r="J5343" i="2"/>
  <c r="M5343" i="2"/>
  <c r="J5327" i="2"/>
  <c r="M5327" i="2"/>
  <c r="J4820" i="2"/>
  <c r="M4820" i="2"/>
  <c r="J4804" i="2"/>
  <c r="M4804" i="2"/>
  <c r="J4803" i="2"/>
  <c r="M4803" i="2"/>
  <c r="J4797" i="2"/>
  <c r="M4797" i="2"/>
  <c r="J4197" i="2"/>
  <c r="M4197" i="2"/>
  <c r="J4196" i="2"/>
  <c r="M4196" i="2"/>
  <c r="J4195" i="2"/>
  <c r="M4195" i="2"/>
  <c r="J4183" i="2"/>
  <c r="M4183" i="2"/>
  <c r="J4180" i="2"/>
  <c r="M4180" i="2"/>
  <c r="J4175" i="2"/>
  <c r="M4175" i="2"/>
  <c r="J4164" i="2"/>
  <c r="M4164" i="2"/>
  <c r="J4163" i="2"/>
  <c r="M4163" i="2"/>
  <c r="J3802" i="2"/>
  <c r="M3802" i="2"/>
  <c r="J3799" i="2"/>
  <c r="M3799" i="2"/>
  <c r="J2685" i="2"/>
  <c r="M2685" i="2"/>
  <c r="J1793" i="2"/>
  <c r="M1793" i="2"/>
  <c r="J1792" i="2"/>
  <c r="M1792" i="2"/>
  <c r="J751" i="2"/>
  <c r="M751" i="2"/>
  <c r="J4461" i="2"/>
  <c r="M4461" i="2"/>
  <c r="J3050" i="2"/>
  <c r="M3050" i="2"/>
  <c r="J3019" i="2"/>
  <c r="M3019" i="2"/>
  <c r="J3014" i="2"/>
  <c r="M3014" i="2"/>
  <c r="J3013" i="2"/>
  <c r="M3013" i="2"/>
  <c r="J3012" i="2"/>
  <c r="M3012" i="2"/>
  <c r="J2980" i="2"/>
  <c r="M2980" i="2"/>
  <c r="J2978" i="2"/>
  <c r="M2978" i="2"/>
  <c r="J2973" i="2"/>
  <c r="M2973" i="2"/>
  <c r="J1592" i="2"/>
  <c r="M1592" i="2"/>
  <c r="J1591" i="2"/>
  <c r="M1591" i="2"/>
  <c r="J1585" i="2"/>
  <c r="M1585" i="2"/>
  <c r="J1576" i="2"/>
  <c r="M1576" i="2"/>
  <c r="J1570" i="2"/>
  <c r="M1570" i="2"/>
  <c r="J1170" i="2"/>
  <c r="M1170" i="2"/>
  <c r="J3205" i="2"/>
  <c r="M3205" i="2"/>
  <c r="J3201" i="2"/>
  <c r="M3201" i="2"/>
  <c r="J3200" i="2"/>
  <c r="M3200" i="2"/>
  <c r="J6004" i="2"/>
  <c r="M6004" i="2"/>
  <c r="J2404" i="2"/>
  <c r="M2404" i="2"/>
  <c r="J5183" i="2"/>
  <c r="M5183" i="2"/>
  <c r="J3865" i="2"/>
  <c r="M3865" i="2"/>
  <c r="J3864" i="2"/>
  <c r="M3864" i="2"/>
  <c r="J3863" i="2"/>
  <c r="M3863" i="2"/>
  <c r="J3862" i="2"/>
  <c r="M3862" i="2"/>
  <c r="J3672" i="2"/>
  <c r="M3672" i="2"/>
  <c r="J3638" i="2"/>
  <c r="M3638" i="2"/>
  <c r="J3637" i="2"/>
  <c r="M3637" i="2"/>
  <c r="J3633" i="2"/>
  <c r="M3633" i="2"/>
  <c r="J3368" i="2"/>
  <c r="M3368" i="2"/>
  <c r="J3367" i="2"/>
  <c r="M3367" i="2"/>
  <c r="J3366" i="2"/>
  <c r="M3366" i="2"/>
  <c r="J3320" i="2"/>
  <c r="M3320" i="2"/>
  <c r="J3319" i="2"/>
  <c r="M3319" i="2"/>
  <c r="J3318" i="2"/>
  <c r="M3318" i="2"/>
  <c r="J3317" i="2"/>
  <c r="M3317" i="2"/>
  <c r="J3316" i="2"/>
  <c r="M3316" i="2"/>
  <c r="J3315" i="2"/>
  <c r="M3315" i="2"/>
  <c r="J3314" i="2"/>
  <c r="M3314" i="2"/>
  <c r="J3300" i="2"/>
  <c r="M3300" i="2"/>
  <c r="J3297" i="2"/>
  <c r="M3297" i="2"/>
  <c r="J1903" i="2"/>
  <c r="M1903" i="2"/>
  <c r="J1902" i="2"/>
  <c r="M1902" i="2"/>
  <c r="J1901" i="2"/>
  <c r="M1901" i="2"/>
  <c r="J1899" i="2"/>
  <c r="M1899" i="2"/>
  <c r="J1898" i="2"/>
  <c r="M1898" i="2"/>
  <c r="J908" i="2"/>
  <c r="M908" i="2"/>
  <c r="J907" i="2"/>
  <c r="M907" i="2"/>
  <c r="J906" i="2"/>
  <c r="M906" i="2"/>
  <c r="J4348" i="2"/>
  <c r="M4348" i="2"/>
  <c r="J4347" i="2"/>
  <c r="M4347" i="2"/>
  <c r="J4346" i="2"/>
  <c r="M4346" i="2"/>
  <c r="J4345" i="2"/>
  <c r="M4345" i="2"/>
  <c r="J4344" i="2"/>
  <c r="M4344" i="2"/>
  <c r="J4343" i="2"/>
  <c r="M4343" i="2"/>
  <c r="J4342" i="2"/>
  <c r="M4342" i="2"/>
  <c r="J4341" i="2"/>
  <c r="M4341" i="2"/>
  <c r="J4340" i="2"/>
  <c r="M4340" i="2"/>
  <c r="J1368" i="2"/>
  <c r="M1368" i="2"/>
  <c r="J1366" i="2"/>
  <c r="M1366" i="2"/>
  <c r="J1365" i="2"/>
  <c r="M1365" i="2"/>
  <c r="J325" i="2"/>
  <c r="M325" i="2"/>
  <c r="J324" i="2"/>
  <c r="M324" i="2"/>
  <c r="J323" i="2"/>
  <c r="M323" i="2"/>
  <c r="J322" i="2"/>
  <c r="M322" i="2"/>
  <c r="J181" i="2"/>
  <c r="M181" i="2"/>
  <c r="J180" i="2"/>
  <c r="M180" i="2"/>
  <c r="J179" i="2"/>
  <c r="M179" i="2"/>
  <c r="J178" i="2"/>
  <c r="M178" i="2"/>
  <c r="J177" i="2"/>
  <c r="M177" i="2"/>
  <c r="J43" i="2"/>
  <c r="M43" i="2"/>
  <c r="J42" i="2"/>
  <c r="M42" i="2"/>
  <c r="J41" i="2"/>
  <c r="M41" i="2"/>
  <c r="J40" i="2"/>
  <c r="M40" i="2"/>
  <c r="J39" i="2"/>
  <c r="M39" i="2"/>
  <c r="J4098" i="2"/>
  <c r="M4098" i="2"/>
  <c r="J4097" i="2"/>
  <c r="M4097" i="2"/>
  <c r="J4096" i="2"/>
  <c r="M4096" i="2"/>
  <c r="J2193" i="2"/>
  <c r="M2193" i="2"/>
  <c r="J2191" i="2"/>
  <c r="M2191" i="2"/>
  <c r="J2189" i="2"/>
  <c r="M2189" i="2"/>
  <c r="J2188" i="2"/>
  <c r="M2188" i="2"/>
  <c r="J2045" i="2"/>
  <c r="M2045" i="2"/>
  <c r="J1919" i="2"/>
  <c r="M1919" i="2"/>
  <c r="J924" i="2"/>
  <c r="M924" i="2"/>
  <c r="J923" i="2"/>
  <c r="M923" i="2"/>
  <c r="J921" i="2"/>
  <c r="M921" i="2"/>
  <c r="J919" i="2"/>
  <c r="M919" i="2"/>
  <c r="J165" i="2"/>
  <c r="M165" i="2"/>
  <c r="J164" i="2"/>
  <c r="M164" i="2"/>
  <c r="J162" i="2"/>
  <c r="M162" i="2"/>
  <c r="J158" i="2"/>
  <c r="M158" i="2"/>
  <c r="J155" i="2"/>
  <c r="M155" i="2"/>
  <c r="J154" i="2"/>
  <c r="M154" i="2"/>
  <c r="J150" i="2"/>
  <c r="M150" i="2"/>
  <c r="J144" i="2"/>
  <c r="M144" i="2"/>
  <c r="J143" i="2"/>
  <c r="M143" i="2"/>
  <c r="J137" i="2"/>
  <c r="M137" i="2"/>
  <c r="J136" i="2"/>
  <c r="M136" i="2"/>
  <c r="J70" i="2"/>
  <c r="M70" i="2"/>
  <c r="J67" i="2"/>
  <c r="M67" i="2"/>
  <c r="J66" i="2"/>
  <c r="M66" i="2"/>
  <c r="J65" i="2"/>
  <c r="M65" i="2"/>
  <c r="J53" i="2"/>
  <c r="M53" i="2"/>
  <c r="J52" i="2"/>
  <c r="M52" i="2"/>
  <c r="J51" i="2"/>
  <c r="M51" i="2"/>
  <c r="J5714" i="2"/>
  <c r="M5714" i="2"/>
  <c r="J4858" i="2"/>
  <c r="M4858" i="2"/>
  <c r="J4857" i="2"/>
  <c r="M4857" i="2"/>
  <c r="J4856" i="2"/>
  <c r="M4856" i="2"/>
  <c r="J3335" i="2"/>
  <c r="M3335" i="2"/>
  <c r="J3330" i="2"/>
  <c r="M3330" i="2"/>
  <c r="J3329" i="2"/>
  <c r="M3329" i="2"/>
  <c r="J3328" i="2"/>
  <c r="M3328" i="2"/>
  <c r="J3327" i="2"/>
  <c r="M3327" i="2"/>
  <c r="J3326" i="2"/>
  <c r="M3326" i="2"/>
  <c r="J3323" i="2"/>
  <c r="M3323" i="2"/>
  <c r="J3321" i="2"/>
  <c r="M3321" i="2"/>
  <c r="J2468" i="2"/>
  <c r="M2468" i="2"/>
  <c r="J2466" i="2"/>
  <c r="M2466" i="2"/>
  <c r="J5496" i="2"/>
  <c r="M5496" i="2"/>
  <c r="J5495" i="2"/>
  <c r="M5495" i="2"/>
  <c r="J5494" i="2"/>
  <c r="M5494" i="2"/>
  <c r="J5493" i="2"/>
  <c r="M5493" i="2"/>
  <c r="J5492" i="2"/>
  <c r="M5492" i="2"/>
  <c r="J5491" i="2"/>
  <c r="M5491" i="2"/>
  <c r="J3939" i="2"/>
  <c r="M3939" i="2"/>
  <c r="J3938" i="2"/>
  <c r="M3938" i="2"/>
  <c r="J3882" i="2"/>
  <c r="M3882" i="2"/>
  <c r="J3878" i="2"/>
  <c r="M3878" i="2"/>
  <c r="J3404" i="2"/>
  <c r="M3404" i="2"/>
  <c r="J3400" i="2"/>
  <c r="M3400" i="2"/>
  <c r="J3399" i="2"/>
  <c r="M3399" i="2"/>
  <c r="J3398" i="2"/>
  <c r="M3398" i="2"/>
  <c r="J3397" i="2"/>
  <c r="M3397" i="2"/>
  <c r="J2000" i="2"/>
  <c r="M2000" i="2"/>
  <c r="J1999" i="2"/>
  <c r="M1999" i="2"/>
  <c r="J1995" i="2"/>
  <c r="M1995" i="2"/>
  <c r="J1994" i="2"/>
  <c r="M1994" i="2"/>
  <c r="J1991" i="2"/>
  <c r="M1991" i="2"/>
  <c r="J1989" i="2"/>
  <c r="M1989" i="2"/>
  <c r="J3816" i="2"/>
  <c r="M3816" i="2"/>
  <c r="J3817" i="2"/>
  <c r="M3817" i="2"/>
  <c r="J3815" i="2"/>
  <c r="M3815" i="2"/>
  <c r="J1564" i="2"/>
  <c r="M1564" i="2"/>
  <c r="J1563" i="2"/>
  <c r="M1563" i="2"/>
  <c r="J1562" i="2"/>
  <c r="M1562" i="2"/>
  <c r="J1561" i="2"/>
  <c r="M1561" i="2"/>
  <c r="J1560" i="2"/>
  <c r="M1560" i="2"/>
  <c r="J1559" i="2"/>
  <c r="M1559" i="2"/>
  <c r="J1558" i="2"/>
  <c r="M1558" i="2"/>
  <c r="J1557" i="2"/>
  <c r="M1557" i="2"/>
  <c r="J1556" i="2"/>
  <c r="M1556" i="2"/>
  <c r="J1555" i="2"/>
  <c r="M1555" i="2"/>
  <c r="J1554" i="2"/>
  <c r="M1554" i="2"/>
  <c r="J1553" i="2"/>
  <c r="M1553" i="2"/>
  <c r="J1552" i="2"/>
  <c r="M1552" i="2"/>
  <c r="J1551" i="2"/>
  <c r="M1551" i="2"/>
  <c r="J1550" i="2"/>
  <c r="M1550" i="2"/>
  <c r="J1549" i="2"/>
  <c r="M1549" i="2"/>
  <c r="J1548" i="2"/>
  <c r="M1548" i="2"/>
  <c r="J1547" i="2"/>
  <c r="M1547" i="2"/>
  <c r="J1546" i="2"/>
  <c r="M1546" i="2"/>
  <c r="J1545" i="2"/>
  <c r="M1545" i="2"/>
  <c r="J1544" i="2"/>
  <c r="M1544" i="2"/>
  <c r="J1543" i="2"/>
  <c r="M1543" i="2"/>
  <c r="J1542" i="2"/>
  <c r="M1542" i="2"/>
  <c r="J1541" i="2"/>
  <c r="M1541" i="2"/>
  <c r="J1540" i="2"/>
  <c r="M1540" i="2"/>
  <c r="J1539" i="2"/>
  <c r="M1539" i="2"/>
  <c r="J1538" i="2"/>
  <c r="M1538" i="2"/>
  <c r="J1537" i="2"/>
  <c r="M1537" i="2"/>
  <c r="J1536" i="2"/>
  <c r="M1536" i="2"/>
  <c r="J1535" i="2"/>
  <c r="M1535" i="2"/>
  <c r="J1534" i="2"/>
  <c r="M1534" i="2"/>
  <c r="J1533" i="2"/>
  <c r="M1533" i="2"/>
  <c r="J1532" i="2"/>
  <c r="M1532" i="2"/>
  <c r="J1531" i="2"/>
  <c r="M1531" i="2"/>
  <c r="J1530" i="2"/>
  <c r="M1530" i="2"/>
  <c r="J1529" i="2"/>
  <c r="M1529" i="2"/>
  <c r="J1528" i="2"/>
  <c r="M1528" i="2"/>
  <c r="J1527" i="2"/>
  <c r="M1527" i="2"/>
  <c r="J1526" i="2"/>
  <c r="M1526" i="2"/>
  <c r="J1525" i="2"/>
  <c r="M1525" i="2"/>
  <c r="J1524" i="2"/>
  <c r="M1524" i="2"/>
  <c r="J1523" i="2"/>
  <c r="M1523" i="2"/>
  <c r="J1522" i="2"/>
  <c r="M1522" i="2"/>
  <c r="J1521" i="2"/>
  <c r="M1521" i="2"/>
  <c r="J1520" i="2"/>
  <c r="M1520" i="2"/>
  <c r="J1519" i="2"/>
  <c r="M1519" i="2"/>
  <c r="J1518" i="2"/>
  <c r="M1518" i="2"/>
  <c r="J1517" i="2"/>
  <c r="M1517" i="2"/>
  <c r="J1516" i="2"/>
  <c r="M1516" i="2"/>
  <c r="J1515" i="2"/>
  <c r="M1515" i="2"/>
  <c r="J1514" i="2"/>
  <c r="M1514" i="2"/>
  <c r="J1513" i="2"/>
  <c r="M1513" i="2"/>
  <c r="J1512" i="2"/>
  <c r="M1512" i="2"/>
  <c r="J1511" i="2"/>
  <c r="M1511" i="2"/>
  <c r="J1509" i="2"/>
  <c r="M1509" i="2"/>
  <c r="J1510" i="2"/>
  <c r="M1510" i="2"/>
  <c r="J1508" i="2"/>
  <c r="M1508" i="2"/>
  <c r="J1507" i="2"/>
  <c r="M1507" i="2"/>
  <c r="J1506" i="2"/>
  <c r="M1506" i="2"/>
  <c r="J1505" i="2"/>
  <c r="M1505" i="2"/>
  <c r="J1504" i="2"/>
  <c r="M1504" i="2"/>
  <c r="J1503" i="2"/>
  <c r="M1503" i="2"/>
  <c r="J707" i="2"/>
  <c r="M707" i="2"/>
  <c r="J706" i="2"/>
  <c r="M706" i="2"/>
  <c r="J5171" i="2"/>
  <c r="M5171" i="2"/>
  <c r="J5170" i="2"/>
  <c r="M5170" i="2"/>
  <c r="J5169" i="2"/>
  <c r="M5169" i="2"/>
  <c r="J5168" i="2"/>
  <c r="M5168" i="2"/>
  <c r="J5167" i="2"/>
  <c r="M5167" i="2"/>
  <c r="J5166" i="2"/>
  <c r="M5166" i="2"/>
  <c r="J5154" i="2"/>
  <c r="M5154" i="2"/>
  <c r="J5153" i="2"/>
  <c r="M5153" i="2"/>
  <c r="J5152" i="2"/>
  <c r="M5152" i="2"/>
  <c r="J5151" i="2"/>
  <c r="M5151" i="2"/>
  <c r="J5150" i="2"/>
  <c r="M5150" i="2"/>
  <c r="J5149" i="2"/>
  <c r="M5149" i="2"/>
  <c r="J5148" i="2"/>
  <c r="M5148" i="2"/>
  <c r="J5147" i="2"/>
  <c r="M5147" i="2"/>
  <c r="J5146" i="2"/>
  <c r="M5146" i="2"/>
  <c r="J5145" i="2"/>
  <c r="M5145" i="2"/>
  <c r="J5120" i="2"/>
  <c r="M5120" i="2"/>
  <c r="J5119" i="2"/>
  <c r="M5119" i="2"/>
  <c r="J5118" i="2"/>
  <c r="M5118" i="2"/>
  <c r="J5117" i="2"/>
  <c r="M5117" i="2"/>
  <c r="J5116" i="2"/>
  <c r="M5116" i="2"/>
  <c r="J5115" i="2"/>
  <c r="M5115" i="2"/>
  <c r="J5114" i="2"/>
  <c r="M5114" i="2"/>
  <c r="J5113" i="2"/>
  <c r="M5113" i="2"/>
  <c r="J5112" i="2"/>
  <c r="M5112" i="2"/>
  <c r="J5111" i="2"/>
  <c r="M5111" i="2"/>
  <c r="J5110" i="2"/>
  <c r="M5110" i="2"/>
  <c r="J5109" i="2"/>
  <c r="M5109" i="2"/>
  <c r="J5108" i="2"/>
  <c r="M5108" i="2"/>
  <c r="J5052" i="2"/>
  <c r="M5052" i="2"/>
  <c r="J5051" i="2"/>
  <c r="M5051" i="2"/>
  <c r="J5050" i="2"/>
  <c r="M5050" i="2"/>
  <c r="J4946" i="2"/>
  <c r="M4946" i="2"/>
  <c r="J4683" i="2"/>
  <c r="M4683" i="2"/>
  <c r="J2826" i="2"/>
  <c r="M2826" i="2"/>
  <c r="J2825" i="2"/>
  <c r="M2825" i="2"/>
  <c r="J2592" i="2"/>
  <c r="M2592" i="2"/>
  <c r="J2590" i="2"/>
  <c r="M2590" i="2"/>
  <c r="J2578" i="2"/>
  <c r="M2578" i="2"/>
  <c r="J2573" i="2"/>
  <c r="M2573" i="2"/>
  <c r="J2572" i="2"/>
  <c r="M2572" i="2"/>
  <c r="J2570" i="2"/>
  <c r="M2570" i="2"/>
  <c r="J2569" i="2"/>
  <c r="M2569" i="2"/>
  <c r="J2568" i="2"/>
  <c r="M2568" i="2"/>
  <c r="J2559" i="2"/>
  <c r="M2559" i="2"/>
  <c r="J2558" i="2"/>
  <c r="M2558" i="2"/>
  <c r="J2557" i="2"/>
  <c r="M2557" i="2"/>
  <c r="J2556" i="2"/>
  <c r="M2556" i="2"/>
  <c r="J2555" i="2"/>
  <c r="M2555" i="2"/>
  <c r="J2549" i="2"/>
  <c r="M2549" i="2"/>
  <c r="J2540" i="2"/>
  <c r="M2540" i="2"/>
  <c r="J2537" i="2"/>
  <c r="M2537" i="2"/>
  <c r="J2516" i="2"/>
  <c r="M2516" i="2"/>
  <c r="J2515" i="2"/>
  <c r="M2515" i="2"/>
  <c r="J2129" i="2"/>
  <c r="M2129" i="2"/>
  <c r="J2128" i="2"/>
  <c r="M2128" i="2"/>
  <c r="J2127" i="2"/>
  <c r="M2127" i="2"/>
  <c r="J2126" i="2"/>
  <c r="M2126" i="2"/>
  <c r="J2125" i="2"/>
  <c r="M2125" i="2"/>
  <c r="J2124" i="2"/>
  <c r="M2124" i="2"/>
  <c r="J2088" i="2"/>
  <c r="M2088" i="2"/>
  <c r="J2087" i="2"/>
  <c r="M2087" i="2"/>
  <c r="J2086" i="2"/>
  <c r="M2086" i="2"/>
  <c r="J2085" i="2"/>
  <c r="M2085" i="2"/>
  <c r="J2084" i="2"/>
  <c r="M2084" i="2"/>
  <c r="J2083" i="2"/>
  <c r="M2083" i="2"/>
  <c r="J2082" i="2"/>
  <c r="M2082" i="2"/>
  <c r="J2081" i="2"/>
  <c r="M2081" i="2"/>
  <c r="J2080" i="2"/>
  <c r="M2080" i="2"/>
  <c r="J2079" i="2"/>
  <c r="M2079" i="2"/>
  <c r="J2077" i="2"/>
  <c r="M2077" i="2"/>
  <c r="J2076" i="2"/>
  <c r="M2076" i="2"/>
  <c r="J2075" i="2"/>
  <c r="M2075" i="2"/>
  <c r="J2074" i="2"/>
  <c r="M2074" i="2"/>
  <c r="J2073" i="2"/>
  <c r="M2073" i="2"/>
  <c r="J2072" i="2"/>
  <c r="M2072" i="2"/>
  <c r="J1940" i="2"/>
  <c r="M1940" i="2"/>
  <c r="J1330" i="2"/>
  <c r="M1330" i="2"/>
  <c r="J1324" i="2"/>
  <c r="M1324" i="2"/>
  <c r="J1322" i="2"/>
  <c r="M1322" i="2"/>
  <c r="J1149" i="2"/>
  <c r="M1149" i="2"/>
  <c r="J1148" i="2"/>
  <c r="M1148" i="2"/>
  <c r="J497" i="2"/>
  <c r="M497" i="2"/>
  <c r="J496" i="2"/>
  <c r="M496" i="2"/>
  <c r="J5041" i="2"/>
  <c r="M5041" i="2"/>
  <c r="J5037" i="2"/>
  <c r="M5037" i="2"/>
  <c r="J3797" i="2"/>
  <c r="M3797" i="2"/>
  <c r="J3796" i="2"/>
  <c r="M3796" i="2"/>
  <c r="J3795" i="2"/>
  <c r="M3795" i="2"/>
  <c r="J2165" i="2"/>
  <c r="M2165" i="2"/>
  <c r="J2164" i="2"/>
  <c r="M2164" i="2"/>
  <c r="J897" i="2"/>
  <c r="M897" i="2"/>
  <c r="J5798" i="2"/>
  <c r="M5798" i="2"/>
  <c r="J5797" i="2"/>
  <c r="M5797" i="2"/>
  <c r="J5796" i="2"/>
  <c r="M5796" i="2"/>
  <c r="J5795" i="2"/>
  <c r="M5795" i="2"/>
  <c r="J5794" i="2"/>
  <c r="M5794" i="2"/>
  <c r="J5793" i="2"/>
  <c r="M5793" i="2"/>
  <c r="J5792" i="2"/>
  <c r="M5792" i="2"/>
  <c r="J5791" i="2"/>
  <c r="M5791" i="2"/>
  <c r="J5790" i="2"/>
  <c r="M5790" i="2"/>
  <c r="J5789" i="2"/>
  <c r="M5789" i="2"/>
  <c r="J5788" i="2"/>
  <c r="M5788" i="2"/>
  <c r="J5787" i="2"/>
  <c r="M5787" i="2"/>
  <c r="J5786" i="2"/>
  <c r="M5786" i="2"/>
  <c r="J4491" i="2"/>
  <c r="M4491" i="2"/>
  <c r="J4487" i="2"/>
  <c r="M4487" i="2"/>
  <c r="J4484" i="2"/>
  <c r="M4484" i="2"/>
  <c r="J4480" i="2"/>
  <c r="M4480" i="2"/>
  <c r="J4472" i="2"/>
  <c r="M4472" i="2"/>
  <c r="J4466" i="2"/>
  <c r="M4466" i="2"/>
  <c r="J2770" i="2"/>
  <c r="M2770" i="2"/>
  <c r="J2551" i="2"/>
  <c r="M2551" i="2"/>
  <c r="J1490" i="2"/>
  <c r="M1490" i="2"/>
  <c r="J1489" i="2"/>
  <c r="M1489" i="2"/>
  <c r="J1482" i="2"/>
  <c r="M1482" i="2"/>
  <c r="J1477" i="2"/>
  <c r="M1477" i="2"/>
  <c r="J1475" i="2"/>
  <c r="M1475" i="2"/>
  <c r="J1473" i="2"/>
  <c r="M1473" i="2"/>
  <c r="J1472" i="2"/>
  <c r="M1472" i="2"/>
  <c r="J1468" i="2"/>
  <c r="M1468" i="2"/>
  <c r="M3069" i="2"/>
  <c r="J3069" i="2"/>
  <c r="J3068" i="2"/>
  <c r="M3068" i="2"/>
  <c r="J3067" i="2"/>
  <c r="M3067" i="2"/>
  <c r="J2055" i="2"/>
  <c r="M2055" i="2"/>
  <c r="J2054" i="2"/>
  <c r="M2054" i="2"/>
  <c r="J2053" i="2"/>
  <c r="M2053" i="2"/>
  <c r="J2052" i="2"/>
  <c r="M2052" i="2"/>
  <c r="J2048" i="2"/>
  <c r="M2048" i="2"/>
  <c r="J2046" i="2"/>
  <c r="M2046" i="2"/>
  <c r="J4050" i="2"/>
  <c r="M4050" i="2"/>
  <c r="J3364" i="2"/>
  <c r="M3364" i="2"/>
  <c r="J3363" i="2"/>
  <c r="M3363" i="2"/>
  <c r="J3362" i="2"/>
  <c r="M3362" i="2"/>
  <c r="J3361" i="2"/>
  <c r="M3361" i="2"/>
  <c r="J3148" i="2"/>
  <c r="M3148" i="2"/>
  <c r="J3147" i="2"/>
  <c r="M3147" i="2"/>
  <c r="J3056" i="2"/>
  <c r="M3056" i="2"/>
  <c r="J2958" i="2"/>
  <c r="M2958" i="2"/>
  <c r="J2949" i="2"/>
  <c r="M2949" i="2"/>
  <c r="J2946" i="2"/>
  <c r="M2946" i="2"/>
  <c r="J2945" i="2"/>
  <c r="M2945" i="2"/>
  <c r="J2944" i="2"/>
  <c r="M2944" i="2"/>
  <c r="J2936" i="2"/>
  <c r="M2936" i="2"/>
  <c r="J2935" i="2"/>
  <c r="M2935" i="2"/>
  <c r="J2932" i="2"/>
  <c r="M2932" i="2"/>
  <c r="J2931" i="2"/>
  <c r="M2931" i="2"/>
  <c r="J2925" i="2"/>
  <c r="M2925" i="2"/>
  <c r="J2924" i="2"/>
  <c r="M2924" i="2"/>
  <c r="J2923" i="2"/>
  <c r="M2923" i="2"/>
  <c r="J2922" i="2"/>
  <c r="M2922" i="2"/>
  <c r="J2921" i="2"/>
  <c r="M2921" i="2"/>
  <c r="J2910" i="2"/>
  <c r="M2910" i="2"/>
  <c r="J2903" i="2"/>
  <c r="M2903" i="2"/>
  <c r="J2902" i="2"/>
  <c r="M2902" i="2"/>
  <c r="J2892" i="2"/>
  <c r="M2892" i="2"/>
  <c r="J2888" i="2"/>
  <c r="M2888" i="2"/>
  <c r="J2887" i="2"/>
  <c r="M2887" i="2"/>
  <c r="J2886" i="2"/>
  <c r="M2886" i="2"/>
  <c r="J2879" i="2"/>
  <c r="M2879" i="2"/>
  <c r="J2878" i="2"/>
  <c r="M2878" i="2"/>
  <c r="J2875" i="2"/>
  <c r="M2875" i="2"/>
  <c r="J2874" i="2"/>
  <c r="M2874" i="2"/>
  <c r="J2868" i="2"/>
  <c r="M2868" i="2"/>
  <c r="J2867" i="2"/>
  <c r="M2867" i="2"/>
  <c r="J2866" i="2"/>
  <c r="M2866" i="2"/>
  <c r="J2865" i="2"/>
  <c r="M2865" i="2"/>
  <c r="J2864" i="2"/>
  <c r="M2864" i="2"/>
  <c r="J2862" i="2"/>
  <c r="M2862" i="2"/>
  <c r="J1712" i="2"/>
  <c r="M1712" i="2"/>
  <c r="J1702" i="2"/>
  <c r="M1702" i="2"/>
  <c r="J1701" i="2"/>
  <c r="M1701" i="2"/>
  <c r="J1700" i="2"/>
  <c r="M1700" i="2"/>
  <c r="J1697" i="2"/>
  <c r="M1697" i="2"/>
  <c r="J1695" i="2"/>
  <c r="M1695" i="2"/>
  <c r="J6065" i="2"/>
  <c r="M6065" i="2"/>
  <c r="J5800" i="2"/>
  <c r="M5800" i="2"/>
  <c r="J3061" i="2"/>
  <c r="M3061" i="2"/>
  <c r="J3059" i="2"/>
  <c r="M3059" i="2"/>
  <c r="J3058" i="2"/>
  <c r="M3058" i="2"/>
  <c r="J1756" i="2"/>
  <c r="M1756" i="2"/>
  <c r="J1315" i="2"/>
  <c r="M1315" i="2"/>
  <c r="J1287" i="2"/>
  <c r="M1287" i="2"/>
  <c r="J1263" i="2"/>
  <c r="M1263" i="2"/>
  <c r="J1261" i="2"/>
  <c r="M1261" i="2"/>
  <c r="J1259" i="2"/>
  <c r="M1259" i="2"/>
  <c r="J5782" i="2"/>
  <c r="M5782" i="2"/>
  <c r="J5315" i="2"/>
  <c r="M5315" i="2"/>
  <c r="J4156" i="2"/>
  <c r="M4156" i="2"/>
  <c r="J4155" i="2"/>
  <c r="M4155" i="2"/>
  <c r="J3861" i="2"/>
  <c r="M3861" i="2"/>
  <c r="J3860" i="2"/>
  <c r="M3860" i="2"/>
  <c r="J3859" i="2"/>
  <c r="M3859" i="2"/>
  <c r="J2856" i="2"/>
  <c r="M2856" i="2"/>
  <c r="J2855" i="2"/>
  <c r="M2855" i="2"/>
  <c r="J2854" i="2"/>
  <c r="M2854" i="2"/>
  <c r="J2853" i="2"/>
  <c r="M2853" i="2"/>
  <c r="J2852" i="2"/>
  <c r="M2852" i="2"/>
  <c r="J2851" i="2"/>
  <c r="M2851" i="2"/>
  <c r="J2850" i="2"/>
  <c r="M2850" i="2"/>
  <c r="J2849" i="2"/>
  <c r="M2849" i="2"/>
  <c r="J2529" i="2"/>
  <c r="M2529" i="2"/>
  <c r="J2179" i="2"/>
  <c r="M2179" i="2"/>
  <c r="J2178" i="2"/>
  <c r="M2178" i="2"/>
  <c r="J2169" i="2"/>
  <c r="M2169" i="2"/>
  <c r="J2168" i="2"/>
  <c r="M2168" i="2"/>
  <c r="J1987" i="2"/>
  <c r="M1987" i="2"/>
  <c r="J5486" i="2"/>
  <c r="M5486" i="2"/>
  <c r="J5484" i="2"/>
  <c r="M5484" i="2"/>
  <c r="J5482" i="2"/>
  <c r="M5482" i="2"/>
  <c r="J5476" i="2"/>
  <c r="M5476" i="2"/>
  <c r="J5475" i="2"/>
  <c r="M5475" i="2"/>
  <c r="J5474" i="2"/>
  <c r="M5474" i="2"/>
  <c r="J5473" i="2"/>
  <c r="M5473" i="2"/>
  <c r="J5472" i="2"/>
  <c r="M5472" i="2"/>
  <c r="J5471" i="2"/>
  <c r="M5471" i="2"/>
  <c r="J4438" i="2"/>
  <c r="M4438" i="2"/>
  <c r="J4419" i="2"/>
  <c r="M4419" i="2"/>
  <c r="J4402" i="2"/>
  <c r="M4402" i="2"/>
  <c r="J4401" i="2"/>
  <c r="M4401" i="2"/>
  <c r="J4382" i="2"/>
  <c r="M4382" i="2"/>
  <c r="J4367" i="2"/>
  <c r="M4367" i="2"/>
  <c r="J4366" i="2"/>
  <c r="M4366" i="2"/>
  <c r="J4363" i="2"/>
  <c r="M4363" i="2"/>
  <c r="J4359" i="2"/>
  <c r="M4359" i="2"/>
  <c r="J4357" i="2"/>
  <c r="M4357" i="2"/>
  <c r="J3790" i="2"/>
  <c r="M3790" i="2"/>
  <c r="J3785" i="2"/>
  <c r="M3785" i="2"/>
  <c r="J3784" i="2"/>
  <c r="M3784" i="2"/>
  <c r="J3783" i="2"/>
  <c r="M3783" i="2"/>
  <c r="J3664" i="2"/>
  <c r="M3664" i="2"/>
  <c r="J3663" i="2"/>
  <c r="M3663" i="2"/>
  <c r="J3662" i="2"/>
  <c r="M3662" i="2"/>
  <c r="J3660" i="2"/>
  <c r="M3660" i="2"/>
  <c r="J2240" i="2"/>
  <c r="M2240" i="2"/>
  <c r="J2239" i="2"/>
  <c r="M2239" i="2"/>
  <c r="J2238" i="2"/>
  <c r="M2238" i="2"/>
  <c r="J2237" i="2"/>
  <c r="M2237" i="2"/>
  <c r="J2156" i="2"/>
  <c r="M2156" i="2"/>
  <c r="J1686" i="2"/>
  <c r="M1686" i="2"/>
  <c r="J1685" i="2"/>
  <c r="M1685" i="2"/>
  <c r="J1684" i="2"/>
  <c r="M1684" i="2"/>
  <c r="J1683" i="2"/>
  <c r="M1683" i="2"/>
  <c r="J1682" i="2"/>
  <c r="M1682" i="2"/>
  <c r="J1566" i="2"/>
  <c r="M1566" i="2"/>
  <c r="J1565" i="2"/>
  <c r="M1565" i="2"/>
  <c r="J1502" i="2"/>
  <c r="M1502" i="2"/>
  <c r="J1501" i="2"/>
  <c r="M1501" i="2"/>
  <c r="J1452" i="2"/>
  <c r="M1452" i="2"/>
  <c r="J1451" i="2"/>
  <c r="M1451" i="2"/>
  <c r="J943" i="2"/>
  <c r="M943" i="2"/>
  <c r="J942" i="2"/>
  <c r="M942" i="2"/>
  <c r="J873" i="2"/>
  <c r="M873" i="2"/>
  <c r="J872" i="2"/>
  <c r="M872" i="2"/>
  <c r="J792" i="2"/>
  <c r="M792" i="2"/>
  <c r="J708" i="2"/>
  <c r="M708" i="2"/>
  <c r="J5426" i="2"/>
  <c r="M5426" i="2"/>
  <c r="J5423" i="2"/>
  <c r="M5423" i="2"/>
  <c r="J5421" i="2"/>
  <c r="M5421" i="2"/>
  <c r="J5420" i="2"/>
  <c r="M5420" i="2"/>
  <c r="J5403" i="2"/>
  <c r="M5403" i="2"/>
  <c r="J5402" i="2"/>
  <c r="M5402" i="2"/>
  <c r="J5401" i="2"/>
  <c r="M5401" i="2"/>
  <c r="J5247" i="2"/>
  <c r="M5247" i="2"/>
  <c r="J5246" i="2"/>
  <c r="M5246" i="2"/>
  <c r="J5233" i="2"/>
  <c r="M5233" i="2"/>
  <c r="J5223" i="2"/>
  <c r="M5223" i="2"/>
  <c r="J4850" i="2"/>
  <c r="M4850" i="2"/>
  <c r="J4849" i="2"/>
  <c r="M4849" i="2"/>
  <c r="J4848" i="2"/>
  <c r="M4848" i="2"/>
  <c r="J4847" i="2"/>
  <c r="M4847" i="2"/>
  <c r="J4238" i="2"/>
  <c r="M4238" i="2"/>
  <c r="J4237" i="2"/>
  <c r="M4237" i="2"/>
  <c r="J4232" i="2"/>
  <c r="M4232" i="2"/>
  <c r="J4230" i="2"/>
  <c r="M4230" i="2"/>
  <c r="J4229" i="2"/>
  <c r="M4229" i="2"/>
  <c r="J2340" i="2"/>
  <c r="M2340" i="2"/>
  <c r="J2280" i="2"/>
  <c r="M2280" i="2"/>
  <c r="J2279" i="2"/>
  <c r="M2279" i="2"/>
  <c r="J2278" i="2"/>
  <c r="M2278" i="2"/>
  <c r="J2277" i="2"/>
  <c r="M2277" i="2"/>
  <c r="J2276" i="2"/>
  <c r="M2276" i="2"/>
  <c r="J2275" i="2"/>
  <c r="M2275" i="2"/>
  <c r="J2274" i="2"/>
  <c r="M2274" i="2"/>
  <c r="J2273" i="2"/>
  <c r="M2273" i="2"/>
  <c r="J2123" i="2"/>
  <c r="M2123" i="2"/>
  <c r="J1869" i="2"/>
  <c r="M1869" i="2"/>
  <c r="J1860" i="2"/>
  <c r="M1860" i="2"/>
  <c r="J1859" i="2"/>
  <c r="M1859" i="2"/>
  <c r="J1858" i="2"/>
  <c r="M1858" i="2"/>
  <c r="J1857" i="2"/>
  <c r="M1857" i="2"/>
  <c r="J1853" i="2"/>
  <c r="M1853" i="2"/>
  <c r="J1839" i="2"/>
  <c r="M1839" i="2"/>
  <c r="J1723" i="2"/>
  <c r="M1723" i="2"/>
  <c r="J1719" i="2"/>
  <c r="M1719" i="2"/>
  <c r="J1717" i="2"/>
  <c r="M1717" i="2"/>
  <c r="J1714" i="2"/>
  <c r="M1714" i="2"/>
  <c r="J780" i="2"/>
  <c r="M780" i="2"/>
  <c r="J774" i="2"/>
  <c r="M774" i="2"/>
  <c r="J773" i="2"/>
  <c r="M773" i="2"/>
  <c r="J770" i="2"/>
  <c r="M770" i="2"/>
  <c r="J5629" i="2"/>
  <c r="M5629" i="2"/>
  <c r="J5627" i="2"/>
  <c r="M5627" i="2"/>
  <c r="J5625" i="2"/>
  <c r="M5625" i="2"/>
  <c r="J5180" i="2"/>
  <c r="M5180" i="2"/>
  <c r="J4339" i="2"/>
  <c r="M4339" i="2"/>
  <c r="J4338" i="2"/>
  <c r="M4338" i="2"/>
  <c r="J4337" i="2"/>
  <c r="M4337" i="2"/>
  <c r="J4336" i="2"/>
  <c r="M4336" i="2"/>
  <c r="J4335" i="2"/>
  <c r="M4335" i="2"/>
  <c r="J4334" i="2"/>
  <c r="M4334" i="2"/>
  <c r="J4333" i="2"/>
  <c r="M4333" i="2"/>
  <c r="J4332" i="2"/>
  <c r="M4332" i="2"/>
  <c r="J3213" i="2"/>
  <c r="M3213" i="2"/>
  <c r="J3212" i="2"/>
  <c r="M3212" i="2"/>
  <c r="J3211" i="2"/>
  <c r="M3211" i="2"/>
  <c r="J3209" i="2"/>
  <c r="M3209" i="2"/>
  <c r="J3208" i="2"/>
  <c r="M3208" i="2"/>
  <c r="J3210" i="2"/>
  <c r="M3210" i="2"/>
  <c r="J3207" i="2"/>
  <c r="M3207" i="2"/>
  <c r="J3146" i="2"/>
  <c r="M3146" i="2"/>
  <c r="J1881" i="2"/>
  <c r="M1881" i="2"/>
  <c r="J1880" i="2"/>
  <c r="M1880" i="2"/>
  <c r="J1879" i="2"/>
  <c r="M1879" i="2"/>
  <c r="J1784" i="2"/>
  <c r="M1784" i="2"/>
  <c r="J1783" i="2"/>
  <c r="M1783" i="2"/>
  <c r="J1782" i="2"/>
  <c r="M1782" i="2"/>
  <c r="J1781" i="2"/>
  <c r="M1781" i="2"/>
  <c r="J1780" i="2"/>
  <c r="M1780" i="2"/>
  <c r="J1779" i="2"/>
  <c r="M1779" i="2"/>
  <c r="J1778" i="2"/>
  <c r="M1778" i="2"/>
  <c r="J1777" i="2"/>
  <c r="M1777" i="2"/>
  <c r="J1776" i="2"/>
  <c r="M1776" i="2"/>
  <c r="J1775" i="2"/>
  <c r="M1775" i="2"/>
  <c r="J1774" i="2"/>
  <c r="M1774" i="2"/>
  <c r="J1773" i="2"/>
  <c r="M1773" i="2"/>
  <c r="J1772" i="2"/>
  <c r="M1772" i="2"/>
  <c r="J1771" i="2"/>
  <c r="M1771" i="2"/>
  <c r="J1770" i="2"/>
  <c r="M1770" i="2"/>
  <c r="J1769" i="2"/>
  <c r="M1769" i="2"/>
  <c r="J851" i="2"/>
  <c r="M851" i="2"/>
  <c r="J3237" i="2"/>
  <c r="M3237" i="2"/>
  <c r="J3236" i="2"/>
  <c r="M3236" i="2"/>
  <c r="J3232" i="2"/>
  <c r="M3232" i="2"/>
  <c r="J3231" i="2"/>
  <c r="M3231" i="2"/>
  <c r="J3230" i="2"/>
  <c r="M3230" i="2"/>
  <c r="J3229" i="2"/>
  <c r="M3229" i="2"/>
  <c r="J2051" i="2"/>
  <c r="M2051" i="2"/>
  <c r="J1089" i="2"/>
  <c r="M1089" i="2"/>
  <c r="J1087" i="2"/>
  <c r="M1087" i="2"/>
  <c r="J1056" i="2"/>
  <c r="M1056" i="2"/>
  <c r="J1053" i="2"/>
  <c r="M1053" i="2"/>
  <c r="J1030" i="2"/>
  <c r="M1030" i="2"/>
  <c r="J1029" i="2"/>
  <c r="M1029" i="2"/>
  <c r="J1028" i="2"/>
  <c r="M1028" i="2"/>
  <c r="J1024" i="2"/>
  <c r="M1024" i="2"/>
  <c r="J1023" i="2"/>
  <c r="M1023" i="2"/>
  <c r="J1022" i="2"/>
  <c r="M1022" i="2"/>
  <c r="J1021" i="2"/>
  <c r="M1021" i="2"/>
  <c r="J1020" i="2"/>
  <c r="M1020" i="2"/>
  <c r="J1009" i="2"/>
  <c r="M1009" i="2"/>
  <c r="J1008" i="2"/>
  <c r="M1008" i="2"/>
  <c r="J1007" i="2"/>
  <c r="M1007" i="2"/>
  <c r="J1006" i="2"/>
  <c r="M1006" i="2"/>
  <c r="J1005" i="2"/>
  <c r="M1005" i="2"/>
  <c r="J1004" i="2"/>
  <c r="M1004" i="2"/>
  <c r="J1003" i="2"/>
  <c r="M1003" i="2"/>
  <c r="J871" i="2"/>
  <c r="M871" i="2"/>
  <c r="J870" i="2"/>
  <c r="M870" i="2"/>
  <c r="J869" i="2"/>
  <c r="M869" i="2"/>
  <c r="J868" i="2"/>
  <c r="M868" i="2"/>
  <c r="J867" i="2"/>
  <c r="M867" i="2"/>
  <c r="J5738" i="2"/>
  <c r="M5738" i="2"/>
  <c r="J5433" i="2"/>
  <c r="M5433" i="2"/>
  <c r="J5432" i="2"/>
  <c r="M5432" i="2"/>
  <c r="J5269" i="2"/>
  <c r="M5269" i="2"/>
  <c r="J5268" i="2"/>
  <c r="M5268" i="2"/>
  <c r="J5267" i="2"/>
  <c r="M5267" i="2"/>
  <c r="J5266" i="2"/>
  <c r="M5266" i="2"/>
  <c r="J4853" i="2"/>
  <c r="M4853" i="2"/>
  <c r="J4228" i="2"/>
  <c r="M4228" i="2"/>
  <c r="J4227" i="2"/>
  <c r="M4227" i="2"/>
  <c r="J4226" i="2"/>
  <c r="M4226" i="2"/>
  <c r="J4225" i="2"/>
  <c r="M4225" i="2"/>
  <c r="J4224" i="2"/>
  <c r="M4224" i="2"/>
  <c r="J3793" i="2"/>
  <c r="M3793" i="2"/>
  <c r="J3792" i="2"/>
  <c r="M3792" i="2"/>
  <c r="J3791" i="2"/>
  <c r="M3791" i="2"/>
  <c r="J3458" i="2"/>
  <c r="M3458" i="2"/>
  <c r="J3457" i="2"/>
  <c r="M3457" i="2"/>
  <c r="J2768" i="2"/>
  <c r="M2768" i="2"/>
  <c r="J2767" i="2"/>
  <c r="M2767" i="2"/>
  <c r="J2766" i="2"/>
  <c r="M2766" i="2"/>
  <c r="J2765" i="2"/>
  <c r="M2765" i="2"/>
  <c r="J1258" i="2"/>
  <c r="M1258" i="2"/>
  <c r="J1197" i="2"/>
  <c r="M1197" i="2"/>
  <c r="J1196" i="2"/>
  <c r="M1196" i="2"/>
  <c r="J1195" i="2"/>
  <c r="M1195" i="2"/>
  <c r="J1194" i="2"/>
  <c r="M1194" i="2"/>
  <c r="J188" i="2"/>
  <c r="M188" i="2"/>
  <c r="J187" i="2"/>
  <c r="M187" i="2"/>
  <c r="J186" i="2"/>
  <c r="M186" i="2"/>
  <c r="J185" i="2"/>
  <c r="M185" i="2"/>
  <c r="J184" i="2"/>
  <c r="M184" i="2"/>
  <c r="J183" i="2"/>
  <c r="M183" i="2"/>
  <c r="J5463" i="2"/>
  <c r="M5463" i="2"/>
  <c r="J5453" i="2"/>
  <c r="M5453" i="2"/>
  <c r="J5448" i="2"/>
  <c r="M5448" i="2"/>
  <c r="J5437" i="2"/>
  <c r="M5437" i="2"/>
  <c r="J5018" i="2"/>
  <c r="M5018" i="2"/>
  <c r="J4929" i="2"/>
  <c r="M4929" i="2"/>
  <c r="J4599" i="2"/>
  <c r="M4599" i="2"/>
  <c r="J4598" i="2"/>
  <c r="M4598" i="2"/>
  <c r="J4597" i="2"/>
  <c r="M4597" i="2"/>
  <c r="J4539" i="2"/>
  <c r="M4539" i="2"/>
  <c r="J3846" i="2"/>
  <c r="M3846" i="2"/>
  <c r="J3844" i="2"/>
  <c r="M3844" i="2"/>
  <c r="J3821" i="2"/>
  <c r="M3821" i="2"/>
  <c r="J3819" i="2"/>
  <c r="M3819" i="2"/>
  <c r="J3765" i="2"/>
  <c r="M3765" i="2"/>
  <c r="J3764" i="2"/>
  <c r="M3764" i="2"/>
  <c r="J3762" i="2"/>
  <c r="M3762" i="2"/>
  <c r="J3761" i="2"/>
  <c r="M3761" i="2"/>
  <c r="J3754" i="2"/>
  <c r="M3754" i="2"/>
  <c r="J2096" i="2"/>
  <c r="M2096" i="2"/>
  <c r="J2090" i="2"/>
  <c r="M2090" i="2"/>
  <c r="J2089" i="2"/>
  <c r="M2089" i="2"/>
  <c r="J1164" i="2"/>
  <c r="M1164" i="2"/>
  <c r="J891" i="2"/>
  <c r="M891" i="2"/>
  <c r="J887" i="2"/>
  <c r="M887" i="2"/>
  <c r="J824" i="2"/>
  <c r="M824" i="2"/>
  <c r="J5381" i="2"/>
  <c r="M5381" i="2"/>
  <c r="J5380" i="2"/>
  <c r="M5380" i="2"/>
  <c r="J5379" i="2"/>
  <c r="M5379" i="2"/>
  <c r="J5378" i="2"/>
  <c r="M5378" i="2"/>
  <c r="J5375" i="2"/>
  <c r="M5375" i="2"/>
  <c r="J5374" i="2"/>
  <c r="M5374" i="2"/>
  <c r="J5373" i="2"/>
  <c r="M5373" i="2"/>
  <c r="J5371" i="2"/>
  <c r="M5371" i="2"/>
  <c r="J5368" i="2"/>
  <c r="M5368" i="2"/>
  <c r="J5367" i="2"/>
  <c r="M5367" i="2"/>
  <c r="J5365" i="2"/>
  <c r="M5365" i="2"/>
  <c r="J3093" i="2"/>
  <c r="M3093" i="2"/>
  <c r="J791" i="2"/>
  <c r="M791" i="2"/>
  <c r="M789" i="2"/>
  <c r="J789" i="2"/>
  <c r="J6031" i="2"/>
  <c r="M6031" i="2"/>
  <c r="J6030" i="2"/>
  <c r="M6030" i="2"/>
  <c r="J5314" i="2"/>
  <c r="M5314" i="2"/>
  <c r="J4971" i="2"/>
  <c r="M4971" i="2"/>
  <c r="J4970" i="2"/>
  <c r="M4970" i="2"/>
  <c r="J4969" i="2"/>
  <c r="M4969" i="2"/>
  <c r="J4968" i="2"/>
  <c r="M4968" i="2"/>
  <c r="J4877" i="2"/>
  <c r="M4877" i="2"/>
  <c r="J4852" i="2"/>
  <c r="M4852" i="2"/>
  <c r="J3346" i="2"/>
  <c r="M3346" i="2"/>
  <c r="J3345" i="2"/>
  <c r="M3345" i="2"/>
  <c r="J2848" i="2"/>
  <c r="M2848" i="2"/>
  <c r="J2130" i="2"/>
  <c r="M2130" i="2"/>
  <c r="J1830" i="2"/>
  <c r="M1830" i="2"/>
  <c r="J1829" i="2"/>
  <c r="M1829" i="2"/>
  <c r="J1828" i="2"/>
  <c r="M1828" i="2"/>
  <c r="J1758" i="2"/>
  <c r="M1758" i="2"/>
  <c r="J5885" i="2"/>
  <c r="M5885" i="2"/>
  <c r="J5884" i="2"/>
  <c r="M5884" i="2"/>
  <c r="J5876" i="2"/>
  <c r="M5876" i="2"/>
  <c r="J5875" i="2"/>
  <c r="M5875" i="2"/>
  <c r="J5872" i="2"/>
  <c r="M5872" i="2"/>
  <c r="J5865" i="2"/>
  <c r="M5865" i="2"/>
  <c r="J5864" i="2"/>
  <c r="M5864" i="2"/>
  <c r="J5844" i="2"/>
  <c r="M5844" i="2"/>
  <c r="J5842" i="2"/>
  <c r="M5842" i="2"/>
  <c r="J5834" i="2"/>
  <c r="M5834" i="2"/>
  <c r="J5828" i="2"/>
  <c r="M5828" i="2"/>
  <c r="J5826" i="2"/>
  <c r="M5826" i="2"/>
  <c r="J5822" i="2"/>
  <c r="M5822" i="2"/>
  <c r="J5818" i="2"/>
  <c r="M5818" i="2"/>
  <c r="J5812" i="2"/>
  <c r="M5812" i="2"/>
  <c r="J5810" i="2"/>
  <c r="M5810" i="2"/>
  <c r="J5808" i="2"/>
  <c r="M5808" i="2"/>
  <c r="J5806" i="2"/>
  <c r="M5806" i="2"/>
  <c r="J5804" i="2"/>
  <c r="M5804" i="2"/>
  <c r="J3551" i="2"/>
  <c r="M3551" i="2"/>
  <c r="J3158" i="2"/>
  <c r="M3158" i="2"/>
  <c r="J3157" i="2"/>
  <c r="M3157" i="2"/>
  <c r="J3156" i="2"/>
  <c r="M3156" i="2"/>
  <c r="J3155" i="2"/>
  <c r="M3155" i="2"/>
  <c r="J3154" i="2"/>
  <c r="M3154" i="2"/>
  <c r="J3153" i="2"/>
  <c r="M3153" i="2"/>
  <c r="J3152" i="2"/>
  <c r="M3152" i="2"/>
  <c r="J3088" i="2"/>
  <c r="M3088" i="2"/>
  <c r="J3087" i="2"/>
  <c r="M3087" i="2"/>
  <c r="J3086" i="2"/>
  <c r="M3086" i="2"/>
  <c r="J3085" i="2"/>
  <c r="M3085" i="2"/>
  <c r="J3084" i="2"/>
  <c r="M3084" i="2"/>
  <c r="J3073" i="2"/>
  <c r="M3073" i="2"/>
  <c r="J413" i="2"/>
  <c r="M413" i="2"/>
  <c r="J368" i="2"/>
  <c r="M368" i="2"/>
  <c r="J173" i="2"/>
  <c r="M173" i="2"/>
  <c r="J171" i="2"/>
  <c r="M171" i="2"/>
  <c r="J20" i="2"/>
  <c r="M20" i="2"/>
  <c r="J5174" i="2"/>
  <c r="M5174" i="2"/>
  <c r="J5173" i="2"/>
  <c r="M5173" i="2"/>
  <c r="J5172" i="2"/>
  <c r="M5172" i="2"/>
  <c r="J4515" i="2"/>
  <c r="M4515" i="2"/>
  <c r="J4512" i="2"/>
  <c r="M4512" i="2"/>
  <c r="J4511" i="2"/>
  <c r="M4511" i="2"/>
  <c r="J4504" i="2"/>
  <c r="M4504" i="2"/>
  <c r="J4502" i="2"/>
  <c r="M4502" i="2"/>
  <c r="J4310" i="2"/>
  <c r="M4310" i="2"/>
  <c r="J4309" i="2"/>
  <c r="M4309" i="2"/>
  <c r="J4308" i="2"/>
  <c r="M4308" i="2"/>
  <c r="J4307" i="2"/>
  <c r="M4307" i="2"/>
  <c r="J4305" i="2"/>
  <c r="M4305" i="2"/>
  <c r="M4298" i="2"/>
  <c r="J4298" i="2"/>
  <c r="J4297" i="2"/>
  <c r="M4297" i="2"/>
  <c r="J4295" i="2"/>
  <c r="M4295" i="2"/>
  <c r="J4290" i="2"/>
  <c r="M4290" i="2"/>
  <c r="J4289" i="2"/>
  <c r="M4289" i="2"/>
  <c r="J4292" i="2"/>
  <c r="M4292" i="2"/>
  <c r="J4286" i="2"/>
  <c r="M4286" i="2"/>
  <c r="J4285" i="2"/>
  <c r="M4285" i="2"/>
  <c r="J4280" i="2"/>
  <c r="M4280" i="2"/>
  <c r="J4274" i="2"/>
  <c r="M4274" i="2"/>
  <c r="J4273" i="2"/>
  <c r="M4273" i="2"/>
  <c r="J4272" i="2"/>
  <c r="M4272" i="2"/>
  <c r="J4271" i="2"/>
  <c r="M4271" i="2"/>
  <c r="J4270" i="2"/>
  <c r="M4270" i="2"/>
  <c r="J4268" i="2"/>
  <c r="M4268" i="2"/>
  <c r="J4267" i="2"/>
  <c r="M4267" i="2"/>
  <c r="J4266" i="2"/>
  <c r="M4266" i="2"/>
  <c r="J4260" i="2"/>
  <c r="M4260" i="2"/>
  <c r="M2157" i="2"/>
  <c r="J2157" i="2"/>
  <c r="M678" i="2"/>
  <c r="J678" i="2"/>
  <c r="M635" i="2"/>
  <c r="J635" i="2"/>
  <c r="M632" i="2"/>
  <c r="J632" i="2"/>
  <c r="M631" i="2"/>
  <c r="J631" i="2"/>
  <c r="M629" i="2"/>
  <c r="J629" i="2"/>
  <c r="M618" i="2"/>
  <c r="J618" i="2"/>
  <c r="M619" i="2"/>
  <c r="J619" i="2"/>
  <c r="M615" i="2"/>
  <c r="J615" i="2"/>
  <c r="M551" i="2"/>
  <c r="J551" i="2"/>
  <c r="M550" i="2"/>
  <c r="J550" i="2"/>
  <c r="J541" i="2"/>
  <c r="M541" i="2"/>
  <c r="J538" i="2"/>
  <c r="M538" i="2"/>
  <c r="M5490" i="2"/>
  <c r="J5490" i="2"/>
  <c r="M5489" i="2"/>
  <c r="J5489" i="2"/>
  <c r="M5488" i="2"/>
  <c r="J5488" i="2"/>
  <c r="M5487" i="2"/>
  <c r="J5487" i="2"/>
  <c r="M5485" i="2"/>
  <c r="J5485" i="2"/>
  <c r="M5483" i="2"/>
  <c r="J5483" i="2"/>
  <c r="M5481" i="2"/>
  <c r="J5481" i="2"/>
  <c r="M5480" i="2"/>
  <c r="J5480" i="2"/>
  <c r="M5479" i="2"/>
  <c r="J5479" i="2"/>
  <c r="M5478" i="2"/>
  <c r="J5478" i="2"/>
  <c r="M5477" i="2"/>
  <c r="J5477" i="2"/>
  <c r="M5469" i="2"/>
  <c r="J5469" i="2"/>
  <c r="M5165" i="2"/>
  <c r="J5165" i="2"/>
  <c r="M5164" i="2"/>
  <c r="J5164" i="2"/>
  <c r="M5163" i="2"/>
  <c r="J5163" i="2"/>
  <c r="M5162" i="2"/>
  <c r="J5162" i="2"/>
  <c r="M5161" i="2"/>
  <c r="J5161" i="2"/>
  <c r="M5160" i="2"/>
  <c r="J5160" i="2"/>
  <c r="M5159" i="2"/>
  <c r="J5159" i="2"/>
  <c r="M5158" i="2"/>
  <c r="J5158" i="2"/>
  <c r="M5157" i="2"/>
  <c r="J5157" i="2"/>
  <c r="M5156" i="2"/>
  <c r="J5156" i="2"/>
  <c r="M5155" i="2"/>
  <c r="J5155" i="2"/>
  <c r="M5144" i="2"/>
  <c r="J5144" i="2"/>
  <c r="M5143" i="2"/>
  <c r="J5143" i="2"/>
  <c r="M5142" i="2"/>
  <c r="J5142" i="2"/>
  <c r="M5141" i="2"/>
  <c r="J5141" i="2"/>
  <c r="M5140" i="2"/>
  <c r="J5140" i="2"/>
  <c r="M5139" i="2"/>
  <c r="J5139" i="2"/>
  <c r="M5138" i="2"/>
  <c r="J5138" i="2"/>
  <c r="M5137" i="2"/>
  <c r="J5137" i="2"/>
  <c r="M5136" i="2"/>
  <c r="J5136" i="2"/>
  <c r="M5135" i="2"/>
  <c r="J5135" i="2"/>
  <c r="M5134" i="2"/>
  <c r="J5134" i="2"/>
  <c r="M5133" i="2"/>
  <c r="J5133" i="2"/>
  <c r="M5131" i="2"/>
  <c r="J5131" i="2"/>
  <c r="M5130" i="2"/>
  <c r="J5130" i="2"/>
  <c r="M5129" i="2"/>
  <c r="J5129" i="2"/>
  <c r="M5128" i="2"/>
  <c r="J5128" i="2"/>
  <c r="M5127" i="2"/>
  <c r="J5127" i="2"/>
  <c r="M5126" i="2"/>
  <c r="J5126" i="2"/>
  <c r="M5125" i="2"/>
  <c r="J5125" i="2"/>
  <c r="M5124" i="2"/>
  <c r="J5124" i="2"/>
  <c r="M5123" i="2"/>
  <c r="J5123" i="2"/>
  <c r="M5122" i="2"/>
  <c r="J5122" i="2"/>
  <c r="M5107" i="2"/>
  <c r="J5107" i="2"/>
  <c r="M5106" i="2"/>
  <c r="J5106" i="2"/>
  <c r="M5105" i="2"/>
  <c r="J5105" i="2"/>
  <c r="M5104" i="2"/>
  <c r="J5104" i="2"/>
  <c r="M5103" i="2"/>
  <c r="J5103" i="2"/>
  <c r="M5102" i="2"/>
  <c r="J5102" i="2"/>
  <c r="M5101" i="2"/>
  <c r="J5101" i="2"/>
  <c r="M5100" i="2"/>
  <c r="J5100" i="2"/>
  <c r="M5099" i="2"/>
  <c r="J5099" i="2"/>
  <c r="M5098" i="2"/>
  <c r="J5098" i="2"/>
  <c r="M5097" i="2"/>
  <c r="J5097" i="2"/>
  <c r="M5096" i="2"/>
  <c r="J5096" i="2"/>
  <c r="M5095" i="2"/>
  <c r="J5095" i="2"/>
  <c r="M5093" i="2"/>
  <c r="J5093" i="2"/>
  <c r="M5092" i="2"/>
  <c r="J5092" i="2"/>
  <c r="M5091" i="2"/>
  <c r="J5091" i="2"/>
  <c r="M5090" i="2"/>
  <c r="J5090" i="2"/>
  <c r="M5089" i="2"/>
  <c r="J5089" i="2"/>
  <c r="M5088" i="2"/>
  <c r="J5088" i="2"/>
  <c r="M5066" i="2"/>
  <c r="J5066" i="2"/>
  <c r="M5065" i="2"/>
  <c r="J5065" i="2"/>
  <c r="M5064" i="2"/>
  <c r="J5064" i="2"/>
  <c r="M5063" i="2"/>
  <c r="J5063" i="2"/>
  <c r="M5061" i="2"/>
  <c r="J5061" i="2"/>
  <c r="M4100" i="2"/>
  <c r="J4100" i="2"/>
  <c r="M4099" i="2"/>
  <c r="J4099" i="2"/>
  <c r="M3652" i="2"/>
  <c r="J3652" i="2"/>
  <c r="M3651" i="2"/>
  <c r="J3651" i="2"/>
  <c r="M3650" i="2"/>
  <c r="J3650" i="2"/>
  <c r="M3649" i="2"/>
  <c r="J3649" i="2"/>
  <c r="M3648" i="2"/>
  <c r="J3648" i="2"/>
  <c r="M3647" i="2"/>
  <c r="J3647" i="2"/>
  <c r="M3646" i="2"/>
  <c r="J3646" i="2"/>
  <c r="M3645" i="2"/>
  <c r="J3645" i="2"/>
  <c r="M3644" i="2"/>
  <c r="J3644" i="2"/>
  <c r="M3643" i="2"/>
  <c r="J3643" i="2"/>
  <c r="M3642" i="2"/>
  <c r="J3642" i="2"/>
  <c r="M3641" i="2"/>
  <c r="J3641" i="2"/>
  <c r="M3640" i="2"/>
  <c r="J3640" i="2"/>
  <c r="M3639" i="2"/>
  <c r="J3639" i="2"/>
  <c r="M3636" i="2"/>
  <c r="J3636" i="2"/>
  <c r="M3635" i="2"/>
  <c r="J3635" i="2"/>
  <c r="M3634" i="2"/>
  <c r="J3634" i="2"/>
  <c r="M3632" i="2"/>
  <c r="J3632" i="2"/>
  <c r="M3631" i="2"/>
  <c r="J3631" i="2"/>
  <c r="M3630" i="2"/>
  <c r="J3630" i="2"/>
  <c r="M3629" i="2"/>
  <c r="J3629" i="2"/>
  <c r="M3242" i="2"/>
  <c r="J3242" i="2"/>
  <c r="M3241" i="2"/>
  <c r="J3241" i="2"/>
  <c r="M2530" i="2"/>
  <c r="J2530" i="2"/>
  <c r="M2501" i="2"/>
  <c r="J2501" i="2"/>
  <c r="M2500" i="2"/>
  <c r="J2500" i="2"/>
  <c r="M2499" i="2"/>
  <c r="J2499" i="2"/>
  <c r="M2408" i="2"/>
  <c r="J2408" i="2"/>
  <c r="M2407" i="2"/>
  <c r="J2407" i="2"/>
  <c r="M2405" i="2"/>
  <c r="J2405" i="2"/>
  <c r="M2403" i="2"/>
  <c r="J2403" i="2"/>
  <c r="M2399" i="2"/>
  <c r="J2399" i="2"/>
  <c r="M6071" i="2"/>
  <c r="J6071" i="2"/>
  <c r="M6070" i="2"/>
  <c r="J6070" i="2"/>
  <c r="M6069" i="2"/>
  <c r="J6069" i="2"/>
  <c r="M6068" i="2"/>
  <c r="J6068" i="2"/>
  <c r="M6067" i="2"/>
  <c r="J6067" i="2"/>
  <c r="M6066" i="2"/>
  <c r="J6066" i="2"/>
  <c r="M6064" i="2"/>
  <c r="J6064" i="2"/>
  <c r="M6063" i="2"/>
  <c r="J6063" i="2"/>
  <c r="M6062" i="2"/>
  <c r="J6062" i="2"/>
  <c r="M6061" i="2"/>
  <c r="J6061" i="2"/>
  <c r="M6048" i="2"/>
  <c r="J6048" i="2"/>
  <c r="M6047" i="2"/>
  <c r="J6047" i="2"/>
  <c r="M6046" i="2"/>
  <c r="J6046" i="2"/>
  <c r="M6045" i="2"/>
  <c r="J6045" i="2"/>
  <c r="M6044" i="2"/>
  <c r="J6044" i="2"/>
  <c r="M6043" i="2"/>
  <c r="J6043" i="2"/>
  <c r="M6042" i="2"/>
  <c r="J6042" i="2"/>
  <c r="M6041" i="2"/>
  <c r="J6041" i="2"/>
  <c r="M6040" i="2"/>
  <c r="J6040" i="2"/>
  <c r="M6039" i="2"/>
  <c r="J6039" i="2"/>
  <c r="M6038" i="2"/>
  <c r="J6038" i="2"/>
  <c r="M6037" i="2"/>
  <c r="J6037" i="2"/>
  <c r="M6036" i="2"/>
  <c r="J6036" i="2"/>
  <c r="M6035" i="2"/>
  <c r="J6035" i="2"/>
  <c r="M6034" i="2"/>
  <c r="J6034" i="2"/>
  <c r="M6033" i="2"/>
  <c r="J6033" i="2"/>
  <c r="M6032" i="2"/>
  <c r="J6032" i="2"/>
  <c r="M6005" i="2"/>
  <c r="J6005" i="2"/>
  <c r="M6003" i="2"/>
  <c r="J6003" i="2"/>
  <c r="M6002" i="2"/>
  <c r="J6002" i="2"/>
  <c r="M6001" i="2"/>
  <c r="J6001" i="2"/>
  <c r="M6000" i="2"/>
  <c r="J6000" i="2"/>
  <c r="M5999" i="2"/>
  <c r="J5999" i="2"/>
  <c r="M5998" i="2"/>
  <c r="J5998" i="2"/>
  <c r="M5997" i="2"/>
  <c r="J5997" i="2"/>
  <c r="M5996" i="2"/>
  <c r="J5996" i="2"/>
  <c r="M5995" i="2"/>
  <c r="J5995" i="2"/>
  <c r="M5994" i="2"/>
  <c r="J5994" i="2"/>
  <c r="M5993" i="2"/>
  <c r="J5993" i="2"/>
  <c r="M5992" i="2"/>
  <c r="J5992" i="2"/>
  <c r="M5991" i="2"/>
  <c r="J5991" i="2"/>
  <c r="M5990" i="2"/>
  <c r="J5990" i="2"/>
  <c r="M5989" i="2"/>
  <c r="J5989" i="2"/>
  <c r="M5988" i="2"/>
  <c r="J5988" i="2"/>
  <c r="M5987" i="2"/>
  <c r="J5987" i="2"/>
  <c r="M5986" i="2"/>
  <c r="J5986" i="2"/>
  <c r="M5985" i="2"/>
  <c r="J5985" i="2"/>
  <c r="M5984" i="2"/>
  <c r="J5984" i="2"/>
  <c r="M5983" i="2"/>
  <c r="J5983" i="2"/>
  <c r="M5982" i="2"/>
  <c r="J5982" i="2"/>
  <c r="M5981" i="2"/>
  <c r="J5981" i="2"/>
  <c r="M5980" i="2"/>
  <c r="J5980" i="2"/>
  <c r="M5979" i="2"/>
  <c r="J5979" i="2"/>
  <c r="M5978" i="2"/>
  <c r="J5978" i="2"/>
  <c r="M5977" i="2"/>
  <c r="J5977" i="2"/>
  <c r="M5976" i="2"/>
  <c r="J5976" i="2"/>
  <c r="M5975" i="2"/>
  <c r="J5975" i="2"/>
  <c r="M5974" i="2"/>
  <c r="J5974" i="2"/>
  <c r="M5973" i="2"/>
  <c r="J5973" i="2"/>
  <c r="M5972" i="2"/>
  <c r="J5972" i="2"/>
  <c r="M5971" i="2"/>
  <c r="J5971" i="2"/>
  <c r="M5970" i="2"/>
  <c r="J5970" i="2"/>
  <c r="M5969" i="2"/>
  <c r="J5969" i="2"/>
  <c r="M5968" i="2"/>
  <c r="J5968" i="2"/>
  <c r="M5967" i="2"/>
  <c r="J5967" i="2"/>
  <c r="M5966" i="2"/>
  <c r="J5966" i="2"/>
  <c r="M5965" i="2"/>
  <c r="J5965" i="2"/>
  <c r="M5964" i="2"/>
  <c r="J5964" i="2"/>
  <c r="M5963" i="2"/>
  <c r="J5963" i="2"/>
  <c r="M5901" i="2"/>
  <c r="J5901" i="2"/>
  <c r="M5900" i="2"/>
  <c r="J5900" i="2"/>
  <c r="M5899" i="2"/>
  <c r="J5899" i="2"/>
  <c r="M5898" i="2"/>
  <c r="J5898" i="2"/>
  <c r="M5897" i="2"/>
  <c r="J5897" i="2"/>
  <c r="M5896" i="2"/>
  <c r="J5896" i="2"/>
  <c r="M5895" i="2"/>
  <c r="J5895" i="2"/>
  <c r="M5894" i="2"/>
  <c r="J5894" i="2"/>
  <c r="M5893" i="2"/>
  <c r="J5893" i="2"/>
  <c r="M5892" i="2"/>
  <c r="J5892" i="2"/>
  <c r="M5891" i="2"/>
  <c r="J5891" i="2"/>
  <c r="M5890" i="2"/>
  <c r="J5890" i="2"/>
  <c r="M5889" i="2"/>
  <c r="J5889" i="2"/>
  <c r="M5888" i="2"/>
  <c r="J5888" i="2"/>
  <c r="M5887" i="2"/>
  <c r="J5887" i="2"/>
  <c r="M5886" i="2"/>
  <c r="J5886" i="2"/>
  <c r="M5883" i="2"/>
  <c r="J5883" i="2"/>
  <c r="M5882" i="2"/>
  <c r="J5882" i="2"/>
  <c r="M5881" i="2"/>
  <c r="J5881" i="2"/>
  <c r="M5880" i="2"/>
  <c r="J5880" i="2"/>
  <c r="M5879" i="2"/>
  <c r="J5879" i="2"/>
  <c r="M5878" i="2"/>
  <c r="J5878" i="2"/>
  <c r="M5877" i="2"/>
  <c r="J5877" i="2"/>
  <c r="M5874" i="2"/>
  <c r="J5874" i="2"/>
  <c r="M5873" i="2"/>
  <c r="J5873" i="2"/>
  <c r="M5871" i="2"/>
  <c r="J5871" i="2"/>
  <c r="M5870" i="2"/>
  <c r="J5870" i="2"/>
  <c r="M5869" i="2"/>
  <c r="J5869" i="2"/>
  <c r="M5868" i="2"/>
  <c r="J5868" i="2"/>
  <c r="M5867" i="2"/>
  <c r="J5867" i="2"/>
  <c r="M5866" i="2"/>
  <c r="J5866" i="2"/>
  <c r="M5863" i="2"/>
  <c r="J5863" i="2"/>
  <c r="M5862" i="2"/>
  <c r="J5862" i="2"/>
  <c r="M5861" i="2"/>
  <c r="J5861" i="2"/>
  <c r="M5860" i="2"/>
  <c r="J5860" i="2"/>
  <c r="M5859" i="2"/>
  <c r="J5859" i="2"/>
  <c r="M5858" i="2"/>
  <c r="J5858" i="2"/>
  <c r="M5857" i="2"/>
  <c r="J5857" i="2"/>
  <c r="M5856" i="2"/>
  <c r="J5856" i="2"/>
  <c r="M5855" i="2"/>
  <c r="J5855" i="2"/>
  <c r="M5854" i="2"/>
  <c r="J5854" i="2"/>
  <c r="M5853" i="2"/>
  <c r="J5853" i="2"/>
  <c r="M5852" i="2"/>
  <c r="J5852" i="2"/>
  <c r="M5851" i="2"/>
  <c r="J5851" i="2"/>
  <c r="M5850" i="2"/>
  <c r="J5850" i="2"/>
  <c r="M5849" i="2"/>
  <c r="J5849" i="2"/>
  <c r="M5848" i="2"/>
  <c r="J5848" i="2"/>
  <c r="M5847" i="2"/>
  <c r="J5847" i="2"/>
  <c r="M5846" i="2"/>
  <c r="J5846" i="2"/>
  <c r="M5845" i="2"/>
  <c r="J5845" i="2"/>
  <c r="M5843" i="2"/>
  <c r="J5843" i="2"/>
  <c r="M5841" i="2"/>
  <c r="J5841" i="2"/>
  <c r="M5840" i="2"/>
  <c r="J5840" i="2"/>
  <c r="M5839" i="2"/>
  <c r="J5839" i="2"/>
  <c r="M5838" i="2"/>
  <c r="J5838" i="2"/>
  <c r="M5837" i="2"/>
  <c r="J5837" i="2"/>
  <c r="M5836" i="2"/>
  <c r="J5836" i="2"/>
  <c r="M5835" i="2"/>
  <c r="J5835" i="2"/>
  <c r="M5833" i="2"/>
  <c r="J5833" i="2"/>
  <c r="M5832" i="2"/>
  <c r="J5832" i="2"/>
  <c r="M5831" i="2"/>
  <c r="J5831" i="2"/>
  <c r="M5830" i="2"/>
  <c r="J5830" i="2"/>
  <c r="M5829" i="2"/>
  <c r="J5829" i="2"/>
  <c r="M5827" i="2"/>
  <c r="J5827" i="2"/>
  <c r="M5825" i="2"/>
  <c r="J5825" i="2"/>
  <c r="M5824" i="2"/>
  <c r="J5824" i="2"/>
  <c r="M5823" i="2"/>
  <c r="J5823" i="2"/>
  <c r="M5821" i="2"/>
  <c r="J5821" i="2"/>
  <c r="M5820" i="2"/>
  <c r="J5820" i="2"/>
  <c r="M5819" i="2"/>
  <c r="J5819" i="2"/>
  <c r="M5817" i="2"/>
  <c r="J5817" i="2"/>
  <c r="M5816" i="2"/>
  <c r="J5816" i="2"/>
  <c r="M5815" i="2"/>
  <c r="J5815" i="2"/>
  <c r="M5814" i="2"/>
  <c r="J5814" i="2"/>
  <c r="M5813" i="2"/>
  <c r="J5813" i="2"/>
  <c r="M5811" i="2"/>
  <c r="J5811" i="2"/>
  <c r="M5809" i="2"/>
  <c r="J5809" i="2"/>
  <c r="M5807" i="2"/>
  <c r="J5807" i="2"/>
  <c r="M5805" i="2"/>
  <c r="J5805" i="2"/>
  <c r="M5803" i="2"/>
  <c r="J5803" i="2"/>
  <c r="M5785" i="2"/>
  <c r="J5785" i="2"/>
  <c r="M5784" i="2"/>
  <c r="J5784" i="2"/>
  <c r="M5783" i="2"/>
  <c r="J5783" i="2"/>
  <c r="M5781" i="2"/>
  <c r="J5781" i="2"/>
  <c r="M5773" i="2"/>
  <c r="J5773" i="2"/>
  <c r="M5766" i="2"/>
  <c r="J5766" i="2"/>
  <c r="M5761" i="2"/>
  <c r="J5761" i="2"/>
  <c r="M5760" i="2"/>
  <c r="J5760" i="2"/>
  <c r="M5754" i="2"/>
  <c r="J5754" i="2"/>
  <c r="M5753" i="2"/>
  <c r="J5753" i="2"/>
  <c r="M5752" i="2"/>
  <c r="J5752" i="2"/>
  <c r="M5751" i="2"/>
  <c r="J5751" i="2"/>
  <c r="M5750" i="2"/>
  <c r="J5750" i="2"/>
  <c r="M5749" i="2"/>
  <c r="J5749" i="2"/>
  <c r="M5748" i="2"/>
  <c r="J5748" i="2"/>
  <c r="M5747" i="2"/>
  <c r="J5747" i="2"/>
  <c r="M5746" i="2"/>
  <c r="J5746" i="2"/>
  <c r="M5727" i="2"/>
  <c r="J5727" i="2"/>
  <c r="M5726" i="2"/>
  <c r="J5726" i="2"/>
  <c r="M5725" i="2"/>
  <c r="J5725" i="2"/>
  <c r="M5700" i="2"/>
  <c r="J5700" i="2"/>
  <c r="M5699" i="2"/>
  <c r="J5699" i="2"/>
  <c r="M5698" i="2"/>
  <c r="J5698" i="2"/>
  <c r="M5697" i="2"/>
  <c r="J5697" i="2"/>
  <c r="M5696" i="2"/>
  <c r="J5696" i="2"/>
  <c r="M5695" i="2"/>
  <c r="J5695" i="2"/>
  <c r="M5694" i="2"/>
  <c r="J5694" i="2"/>
  <c r="M5693" i="2"/>
  <c r="J5693" i="2"/>
  <c r="M5692" i="2"/>
  <c r="J5692" i="2"/>
  <c r="M5691" i="2"/>
  <c r="J5691" i="2"/>
  <c r="M5684" i="2"/>
  <c r="J5684" i="2"/>
  <c r="M5683" i="2"/>
  <c r="J5683" i="2"/>
  <c r="M5682" i="2"/>
  <c r="J5682" i="2"/>
  <c r="M5681" i="2"/>
  <c r="J5681" i="2"/>
  <c r="M5680" i="2"/>
  <c r="J5680" i="2"/>
  <c r="M5677" i="2"/>
  <c r="J5677" i="2"/>
  <c r="M5665" i="2"/>
  <c r="J5665" i="2"/>
  <c r="M5664" i="2"/>
  <c r="J5664" i="2"/>
  <c r="M5630" i="2"/>
  <c r="J5630" i="2"/>
  <c r="M5628" i="2"/>
  <c r="J5628" i="2"/>
  <c r="M5626" i="2"/>
  <c r="J5626" i="2"/>
  <c r="M5624" i="2"/>
  <c r="J5624" i="2"/>
  <c r="M5578" i="2"/>
  <c r="J5578" i="2"/>
  <c r="M5569" i="2"/>
  <c r="J5569" i="2"/>
  <c r="M5563" i="2"/>
  <c r="J5563" i="2"/>
  <c r="M5562" i="2"/>
  <c r="J5562" i="2"/>
  <c r="M5559" i="2"/>
  <c r="J5559" i="2"/>
  <c r="M5554" i="2"/>
  <c r="J5554" i="2"/>
  <c r="M5551" i="2"/>
  <c r="J5551" i="2"/>
  <c r="M5550" i="2"/>
  <c r="J5550" i="2"/>
  <c r="M5549" i="2"/>
  <c r="J5549" i="2"/>
  <c r="M5548" i="2"/>
  <c r="J5548" i="2"/>
  <c r="M5540" i="2"/>
  <c r="J5540" i="2"/>
  <c r="M5539" i="2"/>
  <c r="J5539" i="2"/>
  <c r="M5538" i="2"/>
  <c r="J5538" i="2"/>
  <c r="M5537" i="2"/>
  <c r="J5537" i="2"/>
  <c r="M5529" i="2"/>
  <c r="J5529" i="2"/>
  <c r="M5528" i="2"/>
  <c r="J5528" i="2"/>
  <c r="M5527" i="2"/>
  <c r="J5527" i="2"/>
  <c r="M5526" i="2"/>
  <c r="J5526" i="2"/>
  <c r="M5525" i="2"/>
  <c r="J5525" i="2"/>
  <c r="M5524" i="2"/>
  <c r="J5524" i="2"/>
  <c r="M5523" i="2"/>
  <c r="J5523" i="2"/>
  <c r="M5522" i="2"/>
  <c r="J5522" i="2"/>
  <c r="M5521" i="2"/>
  <c r="J5521" i="2"/>
  <c r="M5520" i="2"/>
  <c r="J5520" i="2"/>
  <c r="M5518" i="2"/>
  <c r="J5518" i="2"/>
  <c r="M5517" i="2"/>
  <c r="J5517" i="2"/>
  <c r="M5516" i="2"/>
  <c r="J5516" i="2"/>
  <c r="M5511" i="2"/>
  <c r="J5511" i="2"/>
  <c r="M5510" i="2"/>
  <c r="J5510" i="2"/>
  <c r="M5505" i="2"/>
  <c r="J5505" i="2"/>
  <c r="M5504" i="2"/>
  <c r="J5504" i="2"/>
  <c r="M5503" i="2"/>
  <c r="J5503" i="2"/>
  <c r="M5502" i="2"/>
  <c r="J5502" i="2"/>
  <c r="M5501" i="2"/>
  <c r="J5501" i="2"/>
  <c r="M5500" i="2"/>
  <c r="J5500" i="2"/>
  <c r="M5499" i="2"/>
  <c r="J5499" i="2"/>
  <c r="M5498" i="2"/>
  <c r="J5498" i="2"/>
  <c r="M5497" i="2"/>
  <c r="J5497" i="2"/>
  <c r="M5468" i="2"/>
  <c r="J5468" i="2"/>
  <c r="M5462" i="2"/>
  <c r="J5462" i="2"/>
  <c r="M5461" i="2"/>
  <c r="J5461" i="2"/>
  <c r="M5460" i="2"/>
  <c r="J5460" i="2"/>
  <c r="M5459" i="2"/>
  <c r="J5459" i="2"/>
  <c r="M5458" i="2"/>
  <c r="J5458" i="2"/>
  <c r="M5457" i="2"/>
  <c r="J5457" i="2"/>
  <c r="M5456" i="2"/>
  <c r="J5456" i="2"/>
  <c r="M5455" i="2"/>
  <c r="J5455" i="2"/>
  <c r="M5454" i="2"/>
  <c r="J5454" i="2"/>
  <c r="M5431" i="2"/>
  <c r="J5431" i="2"/>
  <c r="M5430" i="2"/>
  <c r="J5430" i="2"/>
  <c r="M5429" i="2"/>
  <c r="J5429" i="2"/>
  <c r="M5428" i="2"/>
  <c r="J5428" i="2"/>
  <c r="M5400" i="2"/>
  <c r="J5400" i="2"/>
  <c r="M5399" i="2"/>
  <c r="J5399" i="2"/>
  <c r="M5398" i="2"/>
  <c r="J5398" i="2"/>
  <c r="M5397" i="2"/>
  <c r="J5397" i="2"/>
  <c r="M5384" i="2"/>
  <c r="J5384" i="2"/>
  <c r="M5383" i="2"/>
  <c r="J5383" i="2"/>
  <c r="M5354" i="2"/>
  <c r="J5354" i="2"/>
  <c r="M5353" i="2"/>
  <c r="J5353" i="2"/>
  <c r="M5352" i="2"/>
  <c r="J5352" i="2"/>
  <c r="M5351" i="2"/>
  <c r="J5351" i="2"/>
  <c r="M5350" i="2"/>
  <c r="J5350" i="2"/>
  <c r="M5349" i="2"/>
  <c r="J5349" i="2"/>
  <c r="M5348" i="2"/>
  <c r="J5348" i="2"/>
  <c r="M5347" i="2"/>
  <c r="J5347" i="2"/>
  <c r="M5342" i="2"/>
  <c r="J5342" i="2"/>
  <c r="M5341" i="2"/>
  <c r="J5341" i="2"/>
  <c r="M5340" i="2"/>
  <c r="J5340" i="2"/>
  <c r="M5339" i="2"/>
  <c r="J5339" i="2"/>
  <c r="M5338" i="2"/>
  <c r="J5338" i="2"/>
  <c r="M5337" i="2"/>
  <c r="J5337" i="2"/>
  <c r="M5336" i="2"/>
  <c r="J5336" i="2"/>
  <c r="M5335" i="2"/>
  <c r="J5335" i="2"/>
  <c r="M5334" i="2"/>
  <c r="J5334" i="2"/>
  <c r="M5333" i="2"/>
  <c r="J5333" i="2"/>
  <c r="M5332" i="2"/>
  <c r="J5332" i="2"/>
  <c r="M5331" i="2"/>
  <c r="J5331" i="2"/>
  <c r="M5330" i="2"/>
  <c r="J5330" i="2"/>
  <c r="M5323" i="2"/>
  <c r="J5323" i="2"/>
  <c r="M5322" i="2"/>
  <c r="J5322" i="2"/>
  <c r="M5321" i="2"/>
  <c r="J5321" i="2"/>
  <c r="M5320" i="2"/>
  <c r="J5320" i="2"/>
  <c r="M5319" i="2"/>
  <c r="J5319" i="2"/>
  <c r="M5313" i="2"/>
  <c r="J5313" i="2"/>
  <c r="M5312" i="2"/>
  <c r="J5312" i="2"/>
  <c r="M5311" i="2"/>
  <c r="J5311" i="2"/>
  <c r="M5310" i="2"/>
  <c r="J5310" i="2"/>
  <c r="M5309" i="2"/>
  <c r="J5309" i="2"/>
  <c r="M5308" i="2"/>
  <c r="J5308" i="2"/>
  <c r="M5307" i="2"/>
  <c r="J5307" i="2"/>
  <c r="M5306" i="2"/>
  <c r="J5306" i="2"/>
  <c r="M5305" i="2"/>
  <c r="J5305" i="2"/>
  <c r="M5304" i="2"/>
  <c r="J5304" i="2"/>
  <c r="M5303" i="2"/>
  <c r="J5303" i="2"/>
  <c r="M5302" i="2"/>
  <c r="J5302" i="2"/>
  <c r="M5301" i="2"/>
  <c r="J5301" i="2"/>
  <c r="M5300" i="2"/>
  <c r="J5300" i="2"/>
  <c r="M5299" i="2"/>
  <c r="J5299" i="2"/>
  <c r="M5294" i="2"/>
  <c r="J5294" i="2"/>
  <c r="M5287" i="2"/>
  <c r="J5287" i="2"/>
  <c r="M5284" i="2"/>
  <c r="J5284" i="2"/>
  <c r="M5283" i="2"/>
  <c r="J5283" i="2"/>
  <c r="M5282" i="2"/>
  <c r="J5282" i="2"/>
  <c r="M5281" i="2"/>
  <c r="J5281" i="2"/>
  <c r="M5280" i="2"/>
  <c r="J5280" i="2"/>
  <c r="M5279" i="2"/>
  <c r="J5279" i="2"/>
  <c r="M5278" i="2"/>
  <c r="J5278" i="2"/>
  <c r="M5277" i="2"/>
  <c r="J5277" i="2"/>
  <c r="M5276" i="2"/>
  <c r="J5276" i="2"/>
  <c r="M5275" i="2"/>
  <c r="J5275" i="2"/>
  <c r="M5274" i="2"/>
  <c r="J5274" i="2"/>
  <c r="M5273" i="2"/>
  <c r="J5273" i="2"/>
  <c r="M5272" i="2"/>
  <c r="J5272" i="2"/>
  <c r="M5271" i="2"/>
  <c r="J5271" i="2"/>
  <c r="M5270" i="2"/>
  <c r="J5270" i="2"/>
  <c r="M5199" i="2"/>
  <c r="J5199" i="2"/>
  <c r="M5198" i="2"/>
  <c r="J5198" i="2"/>
  <c r="M5197" i="2"/>
  <c r="J5197" i="2"/>
  <c r="M5196" i="2"/>
  <c r="J5196" i="2"/>
  <c r="M5195" i="2"/>
  <c r="J5195" i="2"/>
  <c r="M5194" i="2"/>
  <c r="J5194" i="2"/>
  <c r="M5193" i="2"/>
  <c r="J5193" i="2"/>
  <c r="M5192" i="2"/>
  <c r="J5192" i="2"/>
  <c r="M5191" i="2"/>
  <c r="J5191" i="2"/>
  <c r="M5190" i="2"/>
  <c r="J5190" i="2"/>
  <c r="M5189" i="2"/>
  <c r="J5189" i="2"/>
  <c r="M5188" i="2"/>
  <c r="J5188" i="2"/>
  <c r="M5187" i="2"/>
  <c r="J5187" i="2"/>
  <c r="M5186" i="2"/>
  <c r="J5186" i="2"/>
  <c r="M5185" i="2"/>
  <c r="J5185" i="2"/>
  <c r="M5179" i="2"/>
  <c r="J5179" i="2"/>
  <c r="M5178" i="2"/>
  <c r="J5178" i="2"/>
  <c r="M5177" i="2"/>
  <c r="J5177" i="2"/>
  <c r="M5176" i="2"/>
  <c r="J5176" i="2"/>
  <c r="M5175" i="2"/>
  <c r="J5175" i="2"/>
  <c r="M5121" i="2"/>
  <c r="J5121" i="2"/>
  <c r="M5087" i="2"/>
  <c r="J5087" i="2"/>
  <c r="M5086" i="2"/>
  <c r="J5086" i="2"/>
  <c r="M5085" i="2"/>
  <c r="J5085" i="2"/>
  <c r="M5084" i="2"/>
  <c r="J5084" i="2"/>
  <c r="M5083" i="2"/>
  <c r="J5083" i="2"/>
  <c r="M5082" i="2"/>
  <c r="J5082" i="2"/>
  <c r="M5081" i="2"/>
  <c r="J5081" i="2"/>
  <c r="M5080" i="2"/>
  <c r="J5080" i="2"/>
  <c r="M5079" i="2"/>
  <c r="J5079" i="2"/>
  <c r="M5078" i="2"/>
  <c r="J5078" i="2"/>
  <c r="M5077" i="2"/>
  <c r="J5077" i="2"/>
  <c r="M5076" i="2"/>
  <c r="J5076" i="2"/>
  <c r="M5075" i="2"/>
  <c r="J5075" i="2"/>
  <c r="M5074" i="2"/>
  <c r="J5074" i="2"/>
  <c r="M5073" i="2"/>
  <c r="J5073" i="2"/>
  <c r="M5072" i="2"/>
  <c r="J5072" i="2"/>
  <c r="M5071" i="2"/>
  <c r="J5071" i="2"/>
  <c r="M5070" i="2"/>
  <c r="J5070" i="2"/>
  <c r="M5069" i="2"/>
  <c r="J5069" i="2"/>
  <c r="M5068" i="2"/>
  <c r="J5068" i="2"/>
  <c r="M5067" i="2"/>
  <c r="J5067" i="2"/>
  <c r="M5059" i="2"/>
  <c r="J5059" i="2"/>
  <c r="M5058" i="2"/>
  <c r="J5058" i="2"/>
  <c r="M5057" i="2"/>
  <c r="J5057" i="2"/>
  <c r="M5056" i="2"/>
  <c r="J5056" i="2"/>
  <c r="M5055" i="2"/>
  <c r="J5055" i="2"/>
  <c r="M5054" i="2"/>
  <c r="J5054" i="2"/>
  <c r="M5053" i="2"/>
  <c r="J5053" i="2"/>
  <c r="M5049" i="2"/>
  <c r="J5049" i="2"/>
  <c r="M5045" i="2"/>
  <c r="J5045" i="2"/>
  <c r="M5044" i="2"/>
  <c r="J5044" i="2"/>
  <c r="M5043" i="2"/>
  <c r="J5043" i="2"/>
  <c r="M5042" i="2"/>
  <c r="J5042" i="2"/>
  <c r="M5040" i="2"/>
  <c r="J5040" i="2"/>
  <c r="M5039" i="2"/>
  <c r="J5039" i="2"/>
  <c r="M5038" i="2"/>
  <c r="J5038" i="2"/>
  <c r="M5036" i="2"/>
  <c r="J5036" i="2"/>
  <c r="M5035" i="2"/>
  <c r="J5035" i="2"/>
  <c r="M5034" i="2"/>
  <c r="J5034" i="2"/>
  <c r="M5033" i="2"/>
  <c r="J5033" i="2"/>
  <c r="M5032" i="2"/>
  <c r="J5032" i="2"/>
  <c r="M5017" i="2"/>
  <c r="J5017" i="2"/>
  <c r="M5016" i="2"/>
  <c r="J5016" i="2"/>
  <c r="M5015" i="2"/>
  <c r="J5015" i="2"/>
  <c r="M5014" i="2"/>
  <c r="J5014" i="2"/>
  <c r="M4998" i="2"/>
  <c r="J4998" i="2"/>
  <c r="M4997" i="2"/>
  <c r="J4997" i="2"/>
  <c r="M4996" i="2"/>
  <c r="J4996" i="2"/>
  <c r="M4995" i="2"/>
  <c r="J4995" i="2"/>
  <c r="M4992" i="2"/>
  <c r="J4992" i="2"/>
  <c r="M4991" i="2"/>
  <c r="J4991" i="2"/>
  <c r="M4990" i="2"/>
  <c r="J4990" i="2"/>
  <c r="M4989" i="2"/>
  <c r="J4989" i="2"/>
  <c r="M4988" i="2"/>
  <c r="J4988" i="2"/>
  <c r="M4981" i="2"/>
  <c r="J4981" i="2"/>
  <c r="M4967" i="2"/>
  <c r="J4967" i="2"/>
  <c r="M4966" i="2"/>
  <c r="J4966" i="2"/>
  <c r="M4965" i="2"/>
  <c r="J4965" i="2"/>
  <c r="M4964" i="2"/>
  <c r="J4964" i="2"/>
  <c r="M4963" i="2"/>
  <c r="J4963" i="2"/>
  <c r="M4962" i="2"/>
  <c r="J4962" i="2"/>
  <c r="M4961" i="2"/>
  <c r="J4961" i="2"/>
  <c r="M4960" i="2"/>
  <c r="J4960" i="2"/>
  <c r="M4959" i="2"/>
  <c r="J4959" i="2"/>
  <c r="M4958" i="2"/>
  <c r="J4958" i="2"/>
  <c r="M4957" i="2"/>
  <c r="J4957" i="2"/>
  <c r="M4956" i="2"/>
  <c r="J4956" i="2"/>
  <c r="M4955" i="2"/>
  <c r="J4955" i="2"/>
  <c r="M4954" i="2"/>
  <c r="J4954" i="2"/>
  <c r="M4953" i="2"/>
  <c r="J4953" i="2"/>
  <c r="M4952" i="2"/>
  <c r="J4952" i="2"/>
  <c r="M4951" i="2"/>
  <c r="J4951" i="2"/>
  <c r="M4950" i="2"/>
  <c r="J4950" i="2"/>
  <c r="M4949" i="2"/>
  <c r="J4949" i="2"/>
  <c r="M4948" i="2"/>
  <c r="J4948" i="2"/>
  <c r="M4947" i="2"/>
  <c r="J4947" i="2"/>
  <c r="M4945" i="2"/>
  <c r="J4945" i="2"/>
  <c r="M4944" i="2"/>
  <c r="J4944" i="2"/>
  <c r="M4943" i="2"/>
  <c r="J4943" i="2"/>
  <c r="M4942" i="2"/>
  <c r="J4942" i="2"/>
  <c r="M4941" i="2"/>
  <c r="J4941" i="2"/>
  <c r="M4940" i="2"/>
  <c r="J4940" i="2"/>
  <c r="M4939" i="2"/>
  <c r="J4939" i="2"/>
  <c r="M4938" i="2"/>
  <c r="J4938" i="2"/>
  <c r="M4937" i="2"/>
  <c r="J4937" i="2"/>
  <c r="M4936" i="2"/>
  <c r="J4936" i="2"/>
  <c r="M4935" i="2"/>
  <c r="J4935" i="2"/>
  <c r="M4934" i="2"/>
  <c r="J4934" i="2"/>
  <c r="M4933" i="2"/>
  <c r="J4933" i="2"/>
  <c r="M4932" i="2"/>
  <c r="J4932" i="2"/>
  <c r="M4931" i="2"/>
  <c r="J4931" i="2"/>
  <c r="M4930" i="2"/>
  <c r="J4930" i="2"/>
  <c r="M4928" i="2"/>
  <c r="J4928" i="2"/>
  <c r="M4927" i="2"/>
  <c r="J4927" i="2"/>
  <c r="M4926" i="2"/>
  <c r="J4926" i="2"/>
  <c r="M4925" i="2"/>
  <c r="J4925" i="2"/>
  <c r="M4924" i="2"/>
  <c r="J4924" i="2"/>
  <c r="M4923" i="2"/>
  <c r="J4923" i="2"/>
  <c r="M4922" i="2"/>
  <c r="J4922" i="2"/>
  <c r="M4921" i="2"/>
  <c r="J4921" i="2"/>
  <c r="M4920" i="2"/>
  <c r="J4920" i="2"/>
  <c r="M4919" i="2"/>
  <c r="J4919" i="2"/>
  <c r="M4918" i="2"/>
  <c r="J4918" i="2"/>
  <c r="M4917" i="2"/>
  <c r="J4917" i="2"/>
  <c r="M4916" i="2"/>
  <c r="J4916" i="2"/>
  <c r="M4915" i="2"/>
  <c r="J4915" i="2"/>
  <c r="M4881" i="2"/>
  <c r="J4881" i="2"/>
  <c r="M4880" i="2"/>
  <c r="J4880" i="2"/>
  <c r="M4879" i="2"/>
  <c r="J4879" i="2"/>
  <c r="M4878" i="2"/>
  <c r="J4878" i="2"/>
  <c r="M4876" i="2"/>
  <c r="J4876" i="2"/>
  <c r="M4875" i="2"/>
  <c r="J4875" i="2"/>
  <c r="M4874" i="2"/>
  <c r="J4874" i="2"/>
  <c r="M4873" i="2"/>
  <c r="J4873" i="2"/>
  <c r="M4872" i="2"/>
  <c r="J4872" i="2"/>
  <c r="M4861" i="2"/>
  <c r="J4861" i="2"/>
  <c r="M4860" i="2"/>
  <c r="J4860" i="2"/>
  <c r="M4859" i="2"/>
  <c r="J4859" i="2"/>
  <c r="M4851" i="2"/>
  <c r="J4851" i="2"/>
  <c r="M4846" i="2"/>
  <c r="J4846" i="2"/>
  <c r="M4845" i="2"/>
  <c r="J4845" i="2"/>
  <c r="M4844" i="2"/>
  <c r="J4844" i="2"/>
  <c r="M4843" i="2"/>
  <c r="J4843" i="2"/>
  <c r="M4842" i="2"/>
  <c r="J4842" i="2"/>
  <c r="M4841" i="2"/>
  <c r="J4841" i="2"/>
  <c r="M4840" i="2"/>
  <c r="J4840" i="2"/>
  <c r="M4839" i="2"/>
  <c r="J4839" i="2"/>
  <c r="M4838" i="2"/>
  <c r="J4838" i="2"/>
  <c r="M4837" i="2"/>
  <c r="J4837" i="2"/>
  <c r="M4836" i="2"/>
  <c r="J4836" i="2"/>
  <c r="M4835" i="2"/>
  <c r="J4835" i="2"/>
  <c r="M4834" i="2"/>
  <c r="J4834" i="2"/>
  <c r="M4833" i="2"/>
  <c r="J4833" i="2"/>
  <c r="M4832" i="2"/>
  <c r="J4832" i="2"/>
  <c r="M4831" i="2"/>
  <c r="J4831" i="2"/>
  <c r="M4830" i="2"/>
  <c r="J4830" i="2"/>
  <c r="M4829" i="2"/>
  <c r="J4829" i="2"/>
  <c r="M4828" i="2"/>
  <c r="J4828" i="2"/>
  <c r="M4827" i="2"/>
  <c r="J4827" i="2"/>
  <c r="M4826" i="2"/>
  <c r="J4826" i="2"/>
  <c r="M4825" i="2"/>
  <c r="J4825" i="2"/>
  <c r="M4824" i="2"/>
  <c r="J4824" i="2"/>
  <c r="M4823" i="2"/>
  <c r="J4823" i="2"/>
  <c r="M4806" i="2"/>
  <c r="J4806" i="2"/>
  <c r="M4799" i="2"/>
  <c r="J4799" i="2"/>
  <c r="M4796" i="2"/>
  <c r="J4796" i="2"/>
  <c r="M4789" i="2"/>
  <c r="J4789" i="2"/>
  <c r="M4781" i="2"/>
  <c r="J4781" i="2"/>
  <c r="M4780" i="2"/>
  <c r="J4780" i="2"/>
  <c r="M4779" i="2"/>
  <c r="J4779" i="2"/>
  <c r="M4778" i="2"/>
  <c r="J4778" i="2"/>
  <c r="M4777" i="2"/>
  <c r="J4777" i="2"/>
  <c r="M4776" i="2"/>
  <c r="J4776" i="2"/>
  <c r="M4775" i="2"/>
  <c r="J4775" i="2"/>
  <c r="M4774" i="2"/>
  <c r="J4774" i="2"/>
  <c r="M4773" i="2"/>
  <c r="J4773" i="2"/>
  <c r="M4772" i="2"/>
  <c r="J4772" i="2"/>
  <c r="M4771" i="2"/>
  <c r="J4771" i="2"/>
  <c r="M4767" i="2"/>
  <c r="J4767" i="2"/>
  <c r="M4713" i="2"/>
  <c r="J4713" i="2"/>
  <c r="M4712" i="2"/>
  <c r="J4712" i="2"/>
  <c r="M4711" i="2"/>
  <c r="J4711" i="2"/>
  <c r="M4701" i="2"/>
  <c r="J4701" i="2"/>
  <c r="M4700" i="2"/>
  <c r="J4700" i="2"/>
  <c r="M4699" i="2"/>
  <c r="J4699" i="2"/>
  <c r="M4698" i="2"/>
  <c r="J4698" i="2"/>
  <c r="M4697" i="2"/>
  <c r="J4697" i="2"/>
  <c r="M4691" i="2"/>
  <c r="J4691" i="2"/>
  <c r="M4690" i="2"/>
  <c r="J4690" i="2"/>
  <c r="M4689" i="2"/>
  <c r="J4689" i="2"/>
  <c r="M4688" i="2"/>
  <c r="J4688" i="2"/>
  <c r="M4687" i="2"/>
  <c r="J4687" i="2"/>
  <c r="M4686" i="2"/>
  <c r="J4686" i="2"/>
  <c r="M4685" i="2"/>
  <c r="J4685" i="2"/>
  <c r="M4684" i="2"/>
  <c r="J4684" i="2"/>
  <c r="M4682" i="2"/>
  <c r="J4682" i="2"/>
  <c r="M4681" i="2"/>
  <c r="J4681" i="2"/>
  <c r="M4680" i="2"/>
  <c r="J4680" i="2"/>
  <c r="M4679" i="2"/>
  <c r="J4679" i="2"/>
  <c r="M4660" i="2"/>
  <c r="J4660" i="2"/>
  <c r="M4659" i="2"/>
  <c r="J4659" i="2"/>
  <c r="M4658" i="2"/>
  <c r="J4658" i="2"/>
  <c r="M4657" i="2"/>
  <c r="J4657" i="2"/>
  <c r="M4656" i="2"/>
  <c r="J4656" i="2"/>
  <c r="M4655" i="2"/>
  <c r="J4655" i="2"/>
  <c r="M4654" i="2"/>
  <c r="J4654" i="2"/>
  <c r="M4653" i="2"/>
  <c r="J4653" i="2"/>
  <c r="M4652" i="2"/>
  <c r="J4652" i="2"/>
  <c r="M4651" i="2"/>
  <c r="J4651" i="2"/>
  <c r="M4650" i="2"/>
  <c r="J4650" i="2"/>
  <c r="M4649" i="2"/>
  <c r="J4649" i="2"/>
  <c r="M4648" i="2"/>
  <c r="J4648" i="2"/>
  <c r="M4647" i="2"/>
  <c r="J4647" i="2"/>
  <c r="M4646" i="2"/>
  <c r="J4646" i="2"/>
  <c r="M4645" i="2"/>
  <c r="J4645" i="2"/>
  <c r="M4644" i="2"/>
  <c r="J4644" i="2"/>
  <c r="M4643" i="2"/>
  <c r="J4643" i="2"/>
  <c r="M4642" i="2"/>
  <c r="J4642" i="2"/>
  <c r="M4641" i="2"/>
  <c r="J4641" i="2"/>
  <c r="M4640" i="2"/>
  <c r="J4640" i="2"/>
  <c r="M4639" i="2"/>
  <c r="J4639" i="2"/>
  <c r="M4638" i="2"/>
  <c r="J4638" i="2"/>
  <c r="M4625" i="2"/>
  <c r="J4625" i="2"/>
  <c r="M4624" i="2"/>
  <c r="J4624" i="2"/>
  <c r="M4623" i="2"/>
  <c r="J4623" i="2"/>
  <c r="M4622" i="2"/>
  <c r="J4622" i="2"/>
  <c r="M4621" i="2"/>
  <c r="J4621" i="2"/>
  <c r="M4620" i="2"/>
  <c r="J4620" i="2"/>
  <c r="M4619" i="2"/>
  <c r="J4619" i="2"/>
  <c r="M4618" i="2"/>
  <c r="J4618" i="2"/>
  <c r="M4617" i="2"/>
  <c r="J4617" i="2"/>
  <c r="M4616" i="2"/>
  <c r="J4616" i="2"/>
  <c r="M4615" i="2"/>
  <c r="J4615" i="2"/>
  <c r="M4548" i="2"/>
  <c r="J4548" i="2"/>
  <c r="M4545" i="2"/>
  <c r="J4545" i="2"/>
  <c r="M4543" i="2"/>
  <c r="J4543" i="2"/>
  <c r="M4542" i="2"/>
  <c r="J4542" i="2"/>
  <c r="M4521" i="2"/>
  <c r="J4521" i="2"/>
  <c r="M4520" i="2"/>
  <c r="J4520" i="2"/>
  <c r="M4519" i="2"/>
  <c r="J4519" i="2"/>
  <c r="M4518" i="2"/>
  <c r="J4518" i="2"/>
  <c r="M4517" i="2"/>
  <c r="J4517" i="2"/>
  <c r="M4516" i="2"/>
  <c r="J4516" i="2"/>
  <c r="M4514" i="2"/>
  <c r="J4514" i="2"/>
  <c r="M4513" i="2"/>
  <c r="J4513" i="2"/>
  <c r="M4510" i="2"/>
  <c r="J4510" i="2"/>
  <c r="M4509" i="2"/>
  <c r="J4509" i="2"/>
  <c r="M4508" i="2"/>
  <c r="J4508" i="2"/>
  <c r="M4507" i="2"/>
  <c r="J4507" i="2"/>
  <c r="M4506" i="2"/>
  <c r="J4506" i="2"/>
  <c r="M4505" i="2"/>
  <c r="J4505" i="2"/>
  <c r="M4503" i="2"/>
  <c r="J4503" i="2"/>
  <c r="M4501" i="2"/>
  <c r="J4501" i="2"/>
  <c r="M4500" i="2"/>
  <c r="J4500" i="2"/>
  <c r="M4499" i="2"/>
  <c r="J4499" i="2"/>
  <c r="M4498" i="2"/>
  <c r="J4498" i="2"/>
  <c r="M4497" i="2"/>
  <c r="J4497" i="2"/>
  <c r="M4496" i="2"/>
  <c r="J4496" i="2"/>
  <c r="M4495" i="2"/>
  <c r="J4495" i="2"/>
  <c r="M4494" i="2"/>
  <c r="J4494" i="2"/>
  <c r="M4493" i="2"/>
  <c r="J4493" i="2"/>
  <c r="M4462" i="2"/>
  <c r="J4462" i="2"/>
  <c r="M4460" i="2"/>
  <c r="J4460" i="2"/>
  <c r="M4459" i="2"/>
  <c r="J4459" i="2"/>
  <c r="M4458" i="2"/>
  <c r="J4458" i="2"/>
  <c r="M4457" i="2"/>
  <c r="J4457" i="2"/>
  <c r="M4456" i="2"/>
  <c r="J4456" i="2"/>
  <c r="M4455" i="2"/>
  <c r="J4455" i="2"/>
  <c r="M4454" i="2"/>
  <c r="J4454" i="2"/>
  <c r="M4453" i="2"/>
  <c r="J4453" i="2"/>
  <c r="M4452" i="2"/>
  <c r="J4452" i="2"/>
  <c r="M4451" i="2"/>
  <c r="J4451" i="2"/>
  <c r="M4450" i="2"/>
  <c r="J4450" i="2"/>
  <c r="M4449" i="2"/>
  <c r="J4449" i="2"/>
  <c r="M4447" i="2"/>
  <c r="J4447" i="2"/>
  <c r="M4446" i="2"/>
  <c r="J4446" i="2"/>
  <c r="M4445" i="2"/>
  <c r="J4445" i="2"/>
  <c r="M4444" i="2"/>
  <c r="J4444" i="2"/>
  <c r="M4443" i="2"/>
  <c r="J4443" i="2"/>
  <c r="M4432" i="2"/>
  <c r="J4432" i="2"/>
  <c r="M4431" i="2"/>
  <c r="J4431" i="2"/>
  <c r="M4430" i="2"/>
  <c r="J4430" i="2"/>
  <c r="M4429" i="2"/>
  <c r="J4429" i="2"/>
  <c r="M4428" i="2"/>
  <c r="J4428" i="2"/>
  <c r="M4427" i="2"/>
  <c r="J4427" i="2"/>
  <c r="M4425" i="2"/>
  <c r="J4425" i="2"/>
  <c r="M4400" i="2"/>
  <c r="J4400" i="2"/>
  <c r="M4388" i="2"/>
  <c r="J4388" i="2"/>
  <c r="M4387" i="2"/>
  <c r="J4387" i="2"/>
  <c r="M4373" i="2"/>
  <c r="J4373" i="2"/>
  <c r="M4369" i="2"/>
  <c r="J4369" i="2"/>
  <c r="M4368" i="2"/>
  <c r="J4368" i="2"/>
  <c r="M4365" i="2"/>
  <c r="J4365" i="2"/>
  <c r="M4356" i="2"/>
  <c r="J4356" i="2"/>
  <c r="M4355" i="2"/>
  <c r="J4355" i="2"/>
  <c r="M4354" i="2"/>
  <c r="J4354" i="2"/>
  <c r="M4353" i="2"/>
  <c r="J4353" i="2"/>
  <c r="M4352" i="2"/>
  <c r="J4352" i="2"/>
  <c r="M4351" i="2"/>
  <c r="J4351" i="2"/>
  <c r="M4350" i="2"/>
  <c r="J4350" i="2"/>
  <c r="M4349" i="2"/>
  <c r="J4349" i="2"/>
  <c r="M4331" i="2"/>
  <c r="J4331" i="2"/>
  <c r="M4330" i="2"/>
  <c r="J4330" i="2"/>
  <c r="M4329" i="2"/>
  <c r="J4329" i="2"/>
  <c r="M4328" i="2"/>
  <c r="J4328" i="2"/>
  <c r="M4327" i="2"/>
  <c r="J4327" i="2"/>
  <c r="M4326" i="2"/>
  <c r="J4326" i="2"/>
  <c r="M4325" i="2"/>
  <c r="J4325" i="2"/>
  <c r="M4324" i="2"/>
  <c r="J4324" i="2"/>
  <c r="M4323" i="2"/>
  <c r="J4323" i="2"/>
  <c r="M4322" i="2"/>
  <c r="J4322" i="2"/>
  <c r="M4321" i="2"/>
  <c r="J4321" i="2"/>
  <c r="M4320" i="2"/>
  <c r="J4320" i="2"/>
  <c r="M4319" i="2"/>
  <c r="J4319" i="2"/>
  <c r="M4318" i="2"/>
  <c r="J4318" i="2"/>
  <c r="M4312" i="2"/>
  <c r="J4312" i="2"/>
  <c r="M4311" i="2"/>
  <c r="J4311" i="2"/>
  <c r="M4306" i="2"/>
  <c r="J4306" i="2"/>
  <c r="M4304" i="2"/>
  <c r="J4304" i="2"/>
  <c r="M4303" i="2"/>
  <c r="J4303" i="2"/>
  <c r="M4302" i="2"/>
  <c r="J4302" i="2"/>
  <c r="M4301" i="2"/>
  <c r="J4301" i="2"/>
  <c r="M4300" i="2"/>
  <c r="J4300" i="2"/>
  <c r="M4299" i="2"/>
  <c r="J4299" i="2"/>
  <c r="M4296" i="2"/>
  <c r="J4296" i="2"/>
  <c r="M4294" i="2"/>
  <c r="J4294" i="2"/>
  <c r="M4293" i="2"/>
  <c r="J4293" i="2"/>
  <c r="M4291" i="2"/>
  <c r="J4291" i="2"/>
  <c r="M4288" i="2"/>
  <c r="J4288" i="2"/>
  <c r="M4287" i="2"/>
  <c r="J4287" i="2"/>
  <c r="M4284" i="2"/>
  <c r="J4284" i="2"/>
  <c r="M4283" i="2"/>
  <c r="J4283" i="2"/>
  <c r="M4282" i="2"/>
  <c r="J4282" i="2"/>
  <c r="M4281" i="2"/>
  <c r="J4281" i="2"/>
  <c r="M4279" i="2"/>
  <c r="J4279" i="2"/>
  <c r="M4278" i="2"/>
  <c r="J4278" i="2"/>
  <c r="M4277" i="2"/>
  <c r="J4277" i="2"/>
  <c r="M4276" i="2"/>
  <c r="J4276" i="2"/>
  <c r="M4275" i="2"/>
  <c r="J4275" i="2"/>
  <c r="M4269" i="2"/>
  <c r="J4269" i="2"/>
  <c r="M4265" i="2"/>
  <c r="J4265" i="2"/>
  <c r="M4264" i="2"/>
  <c r="J4264" i="2"/>
  <c r="M4263" i="2"/>
  <c r="J4263" i="2"/>
  <c r="M4262" i="2"/>
  <c r="J4262" i="2"/>
  <c r="M4261" i="2"/>
  <c r="J4261" i="2"/>
  <c r="M4259" i="2"/>
  <c r="J4259" i="2"/>
  <c r="M4258" i="2"/>
  <c r="J4258" i="2"/>
  <c r="M4257" i="2"/>
  <c r="J4257" i="2"/>
  <c r="M4256" i="2"/>
  <c r="J4256" i="2"/>
  <c r="M4255" i="2"/>
  <c r="J4255" i="2"/>
  <c r="M4254" i="2"/>
  <c r="J4254" i="2"/>
  <c r="M4252" i="2"/>
  <c r="J4252" i="2"/>
  <c r="M4251" i="2"/>
  <c r="J4251" i="2"/>
  <c r="M4250" i="2"/>
  <c r="J4250" i="2"/>
  <c r="M4249" i="2"/>
  <c r="J4249" i="2"/>
  <c r="M4245" i="2"/>
  <c r="J4245" i="2"/>
  <c r="M4244" i="2"/>
  <c r="J4244" i="2"/>
  <c r="M4223" i="2"/>
  <c r="J4223" i="2"/>
  <c r="M4222" i="2"/>
  <c r="J4222" i="2"/>
  <c r="M4221" i="2"/>
  <c r="J4221" i="2"/>
  <c r="M4209" i="2"/>
  <c r="J4209" i="2"/>
  <c r="M4208" i="2"/>
  <c r="J4208" i="2"/>
  <c r="M4207" i="2"/>
  <c r="J4207" i="2"/>
  <c r="M4206" i="2"/>
  <c r="J4206" i="2"/>
  <c r="M4205" i="2"/>
  <c r="J4205" i="2"/>
  <c r="M4204" i="2"/>
  <c r="J4204" i="2"/>
  <c r="M4203" i="2"/>
  <c r="J4203" i="2"/>
  <c r="M4202" i="2"/>
  <c r="J4202" i="2"/>
  <c r="M4201" i="2"/>
  <c r="J4201" i="2"/>
  <c r="M4200" i="2"/>
  <c r="J4200" i="2"/>
  <c r="M4199" i="2"/>
  <c r="J4199" i="2"/>
  <c r="M4198" i="2"/>
  <c r="J4198" i="2"/>
  <c r="M4160" i="2"/>
  <c r="J4160" i="2"/>
  <c r="M4159" i="2"/>
  <c r="J4159" i="2"/>
  <c r="M4158" i="2"/>
  <c r="J4158" i="2"/>
  <c r="M4157" i="2"/>
  <c r="J4157" i="2"/>
  <c r="M4154" i="2"/>
  <c r="J4154" i="2"/>
  <c r="M4153" i="2"/>
  <c r="J4153" i="2"/>
  <c r="M4152" i="2"/>
  <c r="J4152" i="2"/>
  <c r="M4151" i="2"/>
  <c r="J4151" i="2"/>
  <c r="M4147" i="2"/>
  <c r="J4147" i="2"/>
  <c r="M4146" i="2"/>
  <c r="J4146" i="2"/>
  <c r="M4145" i="2"/>
  <c r="J4145" i="2"/>
  <c r="M4144" i="2"/>
  <c r="J4144" i="2"/>
  <c r="M4143" i="2"/>
  <c r="J4143" i="2"/>
  <c r="M4142" i="2"/>
  <c r="J4142" i="2"/>
  <c r="M4141" i="2"/>
  <c r="J4141" i="2"/>
  <c r="M4140" i="2"/>
  <c r="J4140" i="2"/>
  <c r="M4139" i="2"/>
  <c r="J4139" i="2"/>
  <c r="M4138" i="2"/>
  <c r="J4138" i="2"/>
  <c r="M4137" i="2"/>
  <c r="J4137" i="2"/>
  <c r="M4136" i="2"/>
  <c r="J4136" i="2"/>
  <c r="M4135" i="2"/>
  <c r="J4135" i="2"/>
  <c r="M4134" i="2"/>
  <c r="J4134" i="2"/>
  <c r="M4133" i="2"/>
  <c r="J4133" i="2"/>
  <c r="M4132" i="2"/>
  <c r="J4132" i="2"/>
  <c r="M4131" i="2"/>
  <c r="J4131" i="2"/>
  <c r="M4130" i="2"/>
  <c r="J4130" i="2"/>
  <c r="M4129" i="2"/>
  <c r="J4129" i="2"/>
  <c r="M4128" i="2"/>
  <c r="J4128" i="2"/>
  <c r="M4127" i="2"/>
  <c r="J4127" i="2"/>
  <c r="M4126" i="2"/>
  <c r="J4126" i="2"/>
  <c r="M4125" i="2"/>
  <c r="J4125" i="2"/>
  <c r="M4124" i="2"/>
  <c r="J4124" i="2"/>
  <c r="M4123" i="2"/>
  <c r="J4123" i="2"/>
  <c r="M4122" i="2"/>
  <c r="J4122" i="2"/>
  <c r="M4121" i="2"/>
  <c r="J4121" i="2"/>
  <c r="M4120" i="2"/>
  <c r="J4120" i="2"/>
  <c r="M4119" i="2"/>
  <c r="J4119" i="2"/>
  <c r="M4118" i="2"/>
  <c r="J4118" i="2"/>
  <c r="M4117" i="2"/>
  <c r="J4117" i="2"/>
  <c r="M4116" i="2"/>
  <c r="J4116" i="2"/>
  <c r="M4115" i="2"/>
  <c r="J4115" i="2"/>
  <c r="M4114" i="2"/>
  <c r="J4114" i="2"/>
  <c r="M4113" i="2"/>
  <c r="J4113" i="2"/>
  <c r="M4112" i="2"/>
  <c r="J4112" i="2"/>
  <c r="M4111" i="2"/>
  <c r="J4111" i="2"/>
  <c r="M4110" i="2"/>
  <c r="J4110" i="2"/>
  <c r="M4109" i="2"/>
  <c r="J4109" i="2"/>
  <c r="M4108" i="2"/>
  <c r="J4108" i="2"/>
  <c r="M4107" i="2"/>
  <c r="J4107" i="2"/>
  <c r="M4106" i="2"/>
  <c r="J4106" i="2"/>
  <c r="M4105" i="2"/>
  <c r="J4105" i="2"/>
  <c r="M4104" i="2"/>
  <c r="J4104" i="2"/>
  <c r="M4103" i="2"/>
  <c r="J4103" i="2"/>
  <c r="M4102" i="2"/>
  <c r="J4102" i="2"/>
  <c r="M4101" i="2"/>
  <c r="J4101" i="2"/>
  <c r="M4095" i="2"/>
  <c r="J4095" i="2"/>
  <c r="M4094" i="2"/>
  <c r="J4094" i="2"/>
  <c r="M4093" i="2"/>
  <c r="J4093" i="2"/>
  <c r="M4088" i="2"/>
  <c r="J4088" i="2"/>
  <c r="M4087" i="2"/>
  <c r="J4087" i="2"/>
  <c r="M4086" i="2"/>
  <c r="J4086" i="2"/>
  <c r="M4085" i="2"/>
  <c r="J4085" i="2"/>
  <c r="M4078" i="2"/>
  <c r="J4078" i="2"/>
  <c r="M4077" i="2"/>
  <c r="J4077" i="2"/>
  <c r="M4072" i="2"/>
  <c r="J4072" i="2"/>
  <c r="M4057" i="2"/>
  <c r="J4057" i="2"/>
  <c r="M4056" i="2"/>
  <c r="J4056" i="2"/>
  <c r="M4055" i="2"/>
  <c r="J4055" i="2"/>
  <c r="M4054" i="2"/>
  <c r="J4054" i="2"/>
  <c r="M4053" i="2"/>
  <c r="J4053" i="2"/>
  <c r="M4052" i="2"/>
  <c r="J4052" i="2"/>
  <c r="M4051" i="2"/>
  <c r="J4051" i="2"/>
  <c r="M3944" i="2"/>
  <c r="J3944" i="2"/>
  <c r="M3943" i="2"/>
  <c r="J3943" i="2"/>
  <c r="M3942" i="2"/>
  <c r="J3942" i="2"/>
  <c r="M3941" i="2"/>
  <c r="J3941" i="2"/>
  <c r="M3940" i="2"/>
  <c r="J3940" i="2"/>
  <c r="M3937" i="2"/>
  <c r="J3937" i="2"/>
  <c r="M3936" i="2"/>
  <c r="J3936" i="2"/>
  <c r="M3935" i="2"/>
  <c r="J3935" i="2"/>
  <c r="M3934" i="2"/>
  <c r="J3934" i="2"/>
  <c r="M3933" i="2"/>
  <c r="J3933" i="2"/>
  <c r="M3932" i="2"/>
  <c r="J3932" i="2"/>
  <c r="M3931" i="2"/>
  <c r="J3931" i="2"/>
  <c r="M3930" i="2"/>
  <c r="J3930" i="2"/>
  <c r="M3929" i="2"/>
  <c r="J3929" i="2"/>
  <c r="M3928" i="2"/>
  <c r="J3928" i="2"/>
  <c r="M3927" i="2"/>
  <c r="J3927" i="2"/>
  <c r="M3926" i="2"/>
  <c r="J3926" i="2"/>
  <c r="M3925" i="2"/>
  <c r="J3925" i="2"/>
  <c r="M3924" i="2"/>
  <c r="J3924" i="2"/>
  <c r="M3923" i="2"/>
  <c r="J3923" i="2"/>
  <c r="M3914" i="2"/>
  <c r="J3914" i="2"/>
  <c r="M3911" i="2"/>
  <c r="J3911" i="2"/>
  <c r="M3910" i="2"/>
  <c r="J3910" i="2"/>
  <c r="M3909" i="2"/>
  <c r="J3909" i="2"/>
  <c r="M3908" i="2"/>
  <c r="J3908" i="2"/>
  <c r="M3907" i="2"/>
  <c r="J3907" i="2"/>
  <c r="M3906" i="2"/>
  <c r="J3906" i="2"/>
  <c r="M3905" i="2"/>
  <c r="J3905" i="2"/>
  <c r="M3904" i="2"/>
  <c r="J3904" i="2"/>
  <c r="M3903" i="2"/>
  <c r="J3903" i="2"/>
  <c r="M3902" i="2"/>
  <c r="J3902" i="2"/>
  <c r="M3901" i="2"/>
  <c r="J3901" i="2"/>
  <c r="M3900" i="2"/>
  <c r="J3900" i="2"/>
  <c r="M3899" i="2"/>
  <c r="J3899" i="2"/>
  <c r="M3898" i="2"/>
  <c r="J3898" i="2"/>
  <c r="M3897" i="2"/>
  <c r="J3897" i="2"/>
  <c r="M3896" i="2"/>
  <c r="J3896" i="2"/>
  <c r="M3894" i="2"/>
  <c r="J3894" i="2"/>
  <c r="M3893" i="2"/>
  <c r="J3893" i="2"/>
  <c r="M3869" i="2"/>
  <c r="J3869" i="2"/>
  <c r="M3868" i="2"/>
  <c r="J3868" i="2"/>
  <c r="M3867" i="2"/>
  <c r="J3867" i="2"/>
  <c r="M3866" i="2"/>
  <c r="J3866" i="2"/>
  <c r="M3858" i="2"/>
  <c r="J3858" i="2"/>
  <c r="M3857" i="2"/>
  <c r="J3857" i="2"/>
  <c r="M3856" i="2"/>
  <c r="J3856" i="2"/>
  <c r="M3855" i="2"/>
  <c r="J3855" i="2"/>
  <c r="M3854" i="2"/>
  <c r="J3854" i="2"/>
  <c r="M3853" i="2"/>
  <c r="J3853" i="2"/>
  <c r="M3852" i="2"/>
  <c r="J3852" i="2"/>
  <c r="M3814" i="2"/>
  <c r="J3814" i="2"/>
  <c r="M3813" i="2"/>
  <c r="J3813" i="2"/>
  <c r="M3812" i="2"/>
  <c r="J3812" i="2"/>
  <c r="M3811" i="2"/>
  <c r="J3811" i="2"/>
  <c r="M3809" i="2"/>
  <c r="J3809" i="2"/>
  <c r="M3808" i="2"/>
  <c r="J3808" i="2"/>
  <c r="M3807" i="2"/>
  <c r="J3807" i="2"/>
  <c r="M3806" i="2"/>
  <c r="J3806" i="2"/>
  <c r="M3805" i="2"/>
  <c r="J3805" i="2"/>
  <c r="M3804" i="2"/>
  <c r="J3804" i="2"/>
  <c r="M3803" i="2"/>
  <c r="J3803" i="2"/>
  <c r="M3794" i="2"/>
  <c r="J3794" i="2"/>
  <c r="M3789" i="2"/>
  <c r="J3789" i="2"/>
  <c r="M3788" i="2"/>
  <c r="J3788" i="2"/>
  <c r="M3787" i="2"/>
  <c r="J3787" i="2"/>
  <c r="M3786" i="2"/>
  <c r="J3786" i="2"/>
  <c r="M3782" i="2"/>
  <c r="J3782" i="2"/>
  <c r="M3781" i="2"/>
  <c r="J3781" i="2"/>
  <c r="M3780" i="2"/>
  <c r="J3780" i="2"/>
  <c r="M3779" i="2"/>
  <c r="J3779" i="2"/>
  <c r="M3778" i="2"/>
  <c r="J3778" i="2"/>
  <c r="M3777" i="2"/>
  <c r="J3777" i="2"/>
  <c r="M3776" i="2"/>
  <c r="J3776" i="2"/>
  <c r="M3775" i="2"/>
  <c r="J3775" i="2"/>
  <c r="M3774" i="2"/>
  <c r="J3774" i="2"/>
  <c r="M3773" i="2"/>
  <c r="J3773" i="2"/>
  <c r="M3772" i="2"/>
  <c r="J3772" i="2"/>
  <c r="M3771" i="2"/>
  <c r="J3771" i="2"/>
  <c r="M3770" i="2"/>
  <c r="J3770" i="2"/>
  <c r="M3769" i="2"/>
  <c r="J3769" i="2"/>
  <c r="M3768" i="2"/>
  <c r="J3768" i="2"/>
  <c r="M3753" i="2"/>
  <c r="J3753" i="2"/>
  <c r="M3752" i="2"/>
  <c r="J3752" i="2"/>
  <c r="M3751" i="2"/>
  <c r="J3751" i="2"/>
  <c r="M3750" i="2"/>
  <c r="J3750" i="2"/>
  <c r="M3749" i="2"/>
  <c r="J3749" i="2"/>
  <c r="M3748" i="2"/>
  <c r="J3748" i="2"/>
  <c r="M3747" i="2"/>
  <c r="J3747" i="2"/>
  <c r="M3746" i="2"/>
  <c r="J3746" i="2"/>
  <c r="M3745" i="2"/>
  <c r="J3745" i="2"/>
  <c r="M3744" i="2"/>
  <c r="J3744" i="2"/>
  <c r="M3743" i="2"/>
  <c r="J3743" i="2"/>
  <c r="M3742" i="2"/>
  <c r="J3742" i="2"/>
  <c r="M3741" i="2"/>
  <c r="J3741" i="2"/>
  <c r="M3740" i="2"/>
  <c r="J3740" i="2"/>
  <c r="M3739" i="2"/>
  <c r="J3739" i="2"/>
  <c r="M3738" i="2"/>
  <c r="J3738" i="2"/>
  <c r="M3727" i="2"/>
  <c r="J3727" i="2"/>
  <c r="M3726" i="2"/>
  <c r="J3726" i="2"/>
  <c r="M3725" i="2"/>
  <c r="J3725" i="2"/>
  <c r="M3724" i="2"/>
  <c r="J3724" i="2"/>
  <c r="M3723" i="2"/>
  <c r="J3723" i="2"/>
  <c r="M3722" i="2"/>
  <c r="J3722" i="2"/>
  <c r="M3721" i="2"/>
  <c r="J3721" i="2"/>
  <c r="M3720" i="2"/>
  <c r="J3720" i="2"/>
  <c r="M3719" i="2"/>
  <c r="J3719" i="2"/>
  <c r="M3718" i="2"/>
  <c r="J3718" i="2"/>
  <c r="M3717" i="2"/>
  <c r="J3717" i="2"/>
  <c r="M3716" i="2"/>
  <c r="J3716" i="2"/>
  <c r="M3715" i="2"/>
  <c r="J3715" i="2"/>
  <c r="M3714" i="2"/>
  <c r="J3714" i="2"/>
  <c r="M3713" i="2"/>
  <c r="J3713" i="2"/>
  <c r="M3712" i="2"/>
  <c r="J3712" i="2"/>
  <c r="M3711" i="2"/>
  <c r="J3711" i="2"/>
  <c r="M3710" i="2"/>
  <c r="J3710" i="2"/>
  <c r="M3709" i="2"/>
  <c r="J3709" i="2"/>
  <c r="M3698" i="2"/>
  <c r="J3698" i="2"/>
  <c r="M3697" i="2"/>
  <c r="J3697" i="2"/>
  <c r="M3696" i="2"/>
  <c r="J3696" i="2"/>
  <c r="M3695" i="2"/>
  <c r="J3695" i="2"/>
  <c r="M3694" i="2"/>
  <c r="J3694" i="2"/>
  <c r="M3693" i="2"/>
  <c r="J3693" i="2"/>
  <c r="M3692" i="2"/>
  <c r="J3692" i="2"/>
  <c r="M3691" i="2"/>
  <c r="J3691" i="2"/>
  <c r="M3690" i="2"/>
  <c r="J3690" i="2"/>
  <c r="M3689" i="2"/>
  <c r="J3689" i="2"/>
  <c r="M3688" i="2"/>
  <c r="J3688" i="2"/>
  <c r="M3687" i="2"/>
  <c r="J3687" i="2"/>
  <c r="M3686" i="2"/>
  <c r="J3686" i="2"/>
  <c r="M3685" i="2"/>
  <c r="J3685" i="2"/>
  <c r="M3684" i="2"/>
  <c r="J3684" i="2"/>
  <c r="M3683" i="2"/>
  <c r="J3683" i="2"/>
  <c r="M3682" i="2"/>
  <c r="J3682" i="2"/>
  <c r="M3681" i="2"/>
  <c r="J3681" i="2"/>
  <c r="M3680" i="2"/>
  <c r="J3680" i="2"/>
  <c r="M3679" i="2"/>
  <c r="J3679" i="2"/>
  <c r="M3678" i="2"/>
  <c r="J3678" i="2"/>
  <c r="M3677" i="2"/>
  <c r="J3677" i="2"/>
  <c r="M3676" i="2"/>
  <c r="J3676" i="2"/>
  <c r="M3675" i="2"/>
  <c r="J3675" i="2"/>
  <c r="M3674" i="2"/>
  <c r="J3674" i="2"/>
  <c r="M3673" i="2"/>
  <c r="J3673" i="2"/>
  <c r="M3671" i="2"/>
  <c r="J3671" i="2"/>
  <c r="M3670" i="2"/>
  <c r="J3670" i="2"/>
  <c r="M3669" i="2"/>
  <c r="J3669" i="2"/>
  <c r="M3668" i="2"/>
  <c r="J3668" i="2"/>
  <c r="M3667" i="2"/>
  <c r="J3667" i="2"/>
  <c r="M3666" i="2"/>
  <c r="J3666" i="2"/>
  <c r="M3665" i="2"/>
  <c r="J3665" i="2"/>
  <c r="M3661" i="2"/>
  <c r="J3661" i="2"/>
  <c r="M3659" i="2"/>
  <c r="J3659" i="2"/>
  <c r="M3658" i="2"/>
  <c r="J3658" i="2"/>
  <c r="M3657" i="2"/>
  <c r="J3657" i="2"/>
  <c r="M3656" i="2"/>
  <c r="J3656" i="2"/>
  <c r="M3655" i="2"/>
  <c r="J3655" i="2"/>
  <c r="M3654" i="2"/>
  <c r="J3654" i="2"/>
  <c r="M3653" i="2"/>
  <c r="J3653" i="2"/>
  <c r="M3628" i="2"/>
  <c r="J3628" i="2"/>
  <c r="M3627" i="2"/>
  <c r="J3627" i="2"/>
  <c r="M3626" i="2"/>
  <c r="J3626" i="2"/>
  <c r="M3625" i="2"/>
  <c r="J3625" i="2"/>
  <c r="M3624" i="2"/>
  <c r="J3624" i="2"/>
  <c r="M3623" i="2"/>
  <c r="J3623" i="2"/>
  <c r="M3622" i="2"/>
  <c r="J3622" i="2"/>
  <c r="M3621" i="2"/>
  <c r="J3621" i="2"/>
  <c r="M3620" i="2"/>
  <c r="J3620" i="2"/>
  <c r="M3619" i="2"/>
  <c r="J3619" i="2"/>
  <c r="M3618" i="2"/>
  <c r="J3618" i="2"/>
  <c r="M3617" i="2"/>
  <c r="J3617" i="2"/>
  <c r="M3616" i="2"/>
  <c r="J3616" i="2"/>
  <c r="M3615" i="2"/>
  <c r="J3615" i="2"/>
  <c r="M3614" i="2"/>
  <c r="J3614" i="2"/>
  <c r="M3613" i="2"/>
  <c r="J3613" i="2"/>
  <c r="M3612" i="2"/>
  <c r="J3612" i="2"/>
  <c r="M3611" i="2"/>
  <c r="J3611" i="2"/>
  <c r="M3610" i="2"/>
  <c r="J3610" i="2"/>
  <c r="M3609" i="2"/>
  <c r="J3609" i="2"/>
  <c r="M3608" i="2"/>
  <c r="J3608" i="2"/>
  <c r="M3607" i="2"/>
  <c r="J3607" i="2"/>
  <c r="M3588" i="2"/>
  <c r="J3588" i="2"/>
  <c r="M3587" i="2"/>
  <c r="J3587" i="2"/>
  <c r="M3586" i="2"/>
  <c r="J3586" i="2"/>
  <c r="M3585" i="2"/>
  <c r="J3585" i="2"/>
  <c r="M3584" i="2"/>
  <c r="J3584" i="2"/>
  <c r="M3583" i="2"/>
  <c r="J3583" i="2"/>
  <c r="M3582" i="2"/>
  <c r="J3582" i="2"/>
  <c r="M3581" i="2"/>
  <c r="J3581" i="2"/>
  <c r="M3580" i="2"/>
  <c r="J3580" i="2"/>
  <c r="M3579" i="2"/>
  <c r="J3579" i="2"/>
  <c r="M3578" i="2"/>
  <c r="J3578" i="2"/>
  <c r="M3577" i="2"/>
  <c r="J3577" i="2"/>
  <c r="M3576" i="2"/>
  <c r="J3576" i="2"/>
  <c r="M3575" i="2"/>
  <c r="J3575" i="2"/>
  <c r="M3574" i="2"/>
  <c r="J3574" i="2"/>
  <c r="M3573" i="2"/>
  <c r="J3573" i="2"/>
  <c r="M3572" i="2"/>
  <c r="J3572" i="2"/>
  <c r="M3571" i="2"/>
  <c r="J3571" i="2"/>
  <c r="M3570" i="2"/>
  <c r="J3570" i="2"/>
  <c r="M3569" i="2"/>
  <c r="J3569" i="2"/>
  <c r="M3568" i="2"/>
  <c r="J3568" i="2"/>
  <c r="M3567" i="2"/>
  <c r="J3567" i="2"/>
  <c r="M3566" i="2"/>
  <c r="J3566" i="2"/>
  <c r="M3565" i="2"/>
  <c r="J3565" i="2"/>
  <c r="M3564" i="2"/>
  <c r="J3564" i="2"/>
  <c r="M3563" i="2"/>
  <c r="J3563" i="2"/>
  <c r="M3562" i="2"/>
  <c r="J3562" i="2"/>
  <c r="M3561" i="2"/>
  <c r="J3561" i="2"/>
  <c r="M3560" i="2"/>
  <c r="J3560" i="2"/>
  <c r="M3559" i="2"/>
  <c r="J3559" i="2"/>
  <c r="M3558" i="2"/>
  <c r="J3558" i="2"/>
  <c r="M3557" i="2"/>
  <c r="J3557" i="2"/>
  <c r="M3556" i="2"/>
  <c r="J3556" i="2"/>
  <c r="M3555" i="2"/>
  <c r="J3555" i="2"/>
  <c r="M3554" i="2"/>
  <c r="J3554" i="2"/>
  <c r="M3553" i="2"/>
  <c r="J3553" i="2"/>
  <c r="M3552" i="2"/>
  <c r="J3552" i="2"/>
  <c r="M3550" i="2"/>
  <c r="J3550" i="2"/>
  <c r="M3549" i="2"/>
  <c r="J3549" i="2"/>
  <c r="M3548" i="2"/>
  <c r="J3548" i="2"/>
  <c r="M3547" i="2"/>
  <c r="J3547" i="2"/>
  <c r="M3546" i="2"/>
  <c r="J3546" i="2"/>
  <c r="M3545" i="2"/>
  <c r="J3545" i="2"/>
  <c r="M3544" i="2"/>
  <c r="J3544" i="2"/>
  <c r="M3543" i="2"/>
  <c r="J3543" i="2"/>
  <c r="M3542" i="2"/>
  <c r="J3542" i="2"/>
  <c r="M3541" i="2"/>
  <c r="J3541" i="2"/>
  <c r="M3540" i="2"/>
  <c r="J3540" i="2"/>
  <c r="M3539" i="2"/>
  <c r="J3539" i="2"/>
  <c r="M3538" i="2"/>
  <c r="J3538" i="2"/>
  <c r="M3537" i="2"/>
  <c r="J3537" i="2"/>
  <c r="M3536" i="2"/>
  <c r="J3536" i="2"/>
  <c r="M3535" i="2"/>
  <c r="J3535" i="2"/>
  <c r="M3534" i="2"/>
  <c r="J3534" i="2"/>
  <c r="M3487" i="2"/>
  <c r="J3487" i="2"/>
  <c r="M3477" i="2"/>
  <c r="J3477" i="2"/>
  <c r="M3476" i="2"/>
  <c r="J3476" i="2"/>
  <c r="M3475" i="2"/>
  <c r="J3475" i="2"/>
  <c r="M3474" i="2"/>
  <c r="J3474" i="2"/>
  <c r="M3473" i="2"/>
  <c r="J3473" i="2"/>
  <c r="M3472" i="2"/>
  <c r="J3472" i="2"/>
  <c r="M3471" i="2"/>
  <c r="J3471" i="2"/>
  <c r="M3470" i="2"/>
  <c r="J3470" i="2"/>
  <c r="M3469" i="2"/>
  <c r="J3469" i="2"/>
  <c r="M3468" i="2"/>
  <c r="J3468" i="2"/>
  <c r="M3467" i="2"/>
  <c r="J3467" i="2"/>
  <c r="M3466" i="2"/>
  <c r="J3466" i="2"/>
  <c r="M3465" i="2"/>
  <c r="J3465" i="2"/>
  <c r="M3464" i="2"/>
  <c r="J3464" i="2"/>
  <c r="M3463" i="2"/>
  <c r="J3463" i="2"/>
  <c r="M3462" i="2"/>
  <c r="J3462" i="2"/>
  <c r="M3461" i="2"/>
  <c r="J3461" i="2"/>
  <c r="M3460" i="2"/>
  <c r="J3460" i="2"/>
  <c r="M3459" i="2"/>
  <c r="J3459" i="2"/>
  <c r="M3456" i="2"/>
  <c r="J3456" i="2"/>
  <c r="M3455" i="2"/>
  <c r="J3455" i="2"/>
  <c r="M3454" i="2"/>
  <c r="J3454" i="2"/>
  <c r="M3453" i="2"/>
  <c r="J3453" i="2"/>
  <c r="M3452" i="2"/>
  <c r="J3452" i="2"/>
  <c r="M3451" i="2"/>
  <c r="J3451" i="2"/>
  <c r="M3450" i="2"/>
  <c r="J3450" i="2"/>
  <c r="M3449" i="2"/>
  <c r="J3449" i="2"/>
  <c r="M3448" i="2"/>
  <c r="J3448" i="2"/>
  <c r="M3447" i="2"/>
  <c r="J3447" i="2"/>
  <c r="M3446" i="2"/>
  <c r="J3446" i="2"/>
  <c r="M3445" i="2"/>
  <c r="J3445" i="2"/>
  <c r="M3444" i="2"/>
  <c r="J3444" i="2"/>
  <c r="M3442" i="2"/>
  <c r="J3442" i="2"/>
  <c r="M3441" i="2"/>
  <c r="J3441" i="2"/>
  <c r="M3440" i="2"/>
  <c r="J3440" i="2"/>
  <c r="M3439" i="2"/>
  <c r="J3439" i="2"/>
  <c r="M3438" i="2"/>
  <c r="J3438" i="2"/>
  <c r="M3437" i="2"/>
  <c r="J3437" i="2"/>
  <c r="M3436" i="2"/>
  <c r="J3436" i="2"/>
  <c r="M3433" i="2"/>
  <c r="J3433" i="2"/>
  <c r="M3432" i="2"/>
  <c r="J3432" i="2"/>
  <c r="M3431" i="2"/>
  <c r="J3431" i="2"/>
  <c r="M3430" i="2"/>
  <c r="J3430" i="2"/>
  <c r="M3429" i="2"/>
  <c r="J3429" i="2"/>
  <c r="M3428" i="2"/>
  <c r="J3428" i="2"/>
  <c r="M3427" i="2"/>
  <c r="J3427" i="2"/>
  <c r="M3426" i="2"/>
  <c r="J3426" i="2"/>
  <c r="M3387" i="2"/>
  <c r="J3387" i="2"/>
  <c r="M3385" i="2"/>
  <c r="J3385" i="2"/>
  <c r="M3379" i="2"/>
  <c r="J3379" i="2"/>
  <c r="M3378" i="2"/>
  <c r="J3378" i="2"/>
  <c r="M3376" i="2"/>
  <c r="J3376" i="2"/>
  <c r="M3375" i="2"/>
  <c r="J3375" i="2"/>
  <c r="M3374" i="2"/>
  <c r="J3374" i="2"/>
  <c r="M3373" i="2"/>
  <c r="J3373" i="2"/>
  <c r="M3360" i="2"/>
  <c r="J3360" i="2"/>
  <c r="M3358" i="2"/>
  <c r="J3358" i="2"/>
  <c r="M3357" i="2"/>
  <c r="J3357" i="2"/>
  <c r="M3354" i="2"/>
  <c r="J3354" i="2"/>
  <c r="M3353" i="2"/>
  <c r="J3353" i="2"/>
  <c r="M3351" i="2"/>
  <c r="J3351" i="2"/>
  <c r="M3349" i="2"/>
  <c r="J3349" i="2"/>
  <c r="M3348" i="2"/>
  <c r="J3348" i="2"/>
  <c r="M3347" i="2"/>
  <c r="J3347" i="2"/>
  <c r="M3296" i="2"/>
  <c r="J3296" i="2"/>
  <c r="M3295" i="2"/>
  <c r="J3295" i="2"/>
  <c r="M3294" i="2"/>
  <c r="J3294" i="2"/>
  <c r="M3293" i="2"/>
  <c r="J3293" i="2"/>
  <c r="M3292" i="2"/>
  <c r="J3292" i="2"/>
  <c r="M3291" i="2"/>
  <c r="J3291" i="2"/>
  <c r="M3290" i="2"/>
  <c r="J3290" i="2"/>
  <c r="M3228" i="2"/>
  <c r="J3228" i="2"/>
  <c r="M3227" i="2"/>
  <c r="J3227" i="2"/>
  <c r="M3225" i="2"/>
  <c r="J3225" i="2"/>
  <c r="M3206" i="2"/>
  <c r="J3206" i="2"/>
  <c r="M3204" i="2"/>
  <c r="J3204" i="2"/>
  <c r="M3203" i="2"/>
  <c r="J3203" i="2"/>
  <c r="M3202" i="2"/>
  <c r="J3202" i="2"/>
  <c r="M3199" i="2"/>
  <c r="J3199" i="2"/>
  <c r="M3198" i="2"/>
  <c r="J3198" i="2"/>
  <c r="M3197" i="2"/>
  <c r="J3197" i="2"/>
  <c r="M3196" i="2"/>
  <c r="J3196" i="2"/>
  <c r="M3195" i="2"/>
  <c r="J3195" i="2"/>
  <c r="M3194" i="2"/>
  <c r="J3194" i="2"/>
  <c r="M3193" i="2"/>
  <c r="J3193" i="2"/>
  <c r="M3192" i="2"/>
  <c r="J3192" i="2"/>
  <c r="M3191" i="2"/>
  <c r="J3191" i="2"/>
  <c r="M3184" i="2"/>
  <c r="J3184" i="2"/>
  <c r="M3183" i="2"/>
  <c r="J3183" i="2"/>
  <c r="M3151" i="2"/>
  <c r="J3151" i="2"/>
  <c r="M3150" i="2"/>
  <c r="J3150" i="2"/>
  <c r="M3149" i="2"/>
  <c r="J3149" i="2"/>
  <c r="M3145" i="2"/>
  <c r="J3145" i="2"/>
  <c r="M3144" i="2"/>
  <c r="J3144" i="2"/>
  <c r="M3143" i="2"/>
  <c r="J3143" i="2"/>
  <c r="M3142" i="2"/>
  <c r="J3142" i="2"/>
  <c r="M3141" i="2"/>
  <c r="J3141" i="2"/>
  <c r="M3140" i="2"/>
  <c r="J3140" i="2"/>
  <c r="M3139" i="2"/>
  <c r="J3139" i="2"/>
  <c r="M3138" i="2"/>
  <c r="J3138" i="2"/>
  <c r="M3137" i="2"/>
  <c r="J3137" i="2"/>
  <c r="M3136" i="2"/>
  <c r="J3136" i="2"/>
  <c r="M3135" i="2"/>
  <c r="J3135" i="2"/>
  <c r="M3134" i="2"/>
  <c r="J3134" i="2"/>
  <c r="M3133" i="2"/>
  <c r="J3133" i="2"/>
  <c r="M3132" i="2"/>
  <c r="J3132" i="2"/>
  <c r="M3131" i="2"/>
  <c r="J3131" i="2"/>
  <c r="M3130" i="2"/>
  <c r="J3130" i="2"/>
  <c r="M3129" i="2"/>
  <c r="J3129" i="2"/>
  <c r="M3128" i="2"/>
  <c r="J3128" i="2"/>
  <c r="M3127" i="2"/>
  <c r="J3127" i="2"/>
  <c r="M3126" i="2"/>
  <c r="J3126" i="2"/>
  <c r="M3125" i="2"/>
  <c r="J3125" i="2"/>
  <c r="M3124" i="2"/>
  <c r="J3124" i="2"/>
  <c r="M3123" i="2"/>
  <c r="J3123" i="2"/>
  <c r="M3122" i="2"/>
  <c r="J3122" i="2"/>
  <c r="M3121" i="2"/>
  <c r="J3121" i="2"/>
  <c r="M3120" i="2"/>
  <c r="J3120" i="2"/>
  <c r="M3119" i="2"/>
  <c r="J3119" i="2"/>
  <c r="M3118" i="2"/>
  <c r="J3118" i="2"/>
  <c r="M3117" i="2"/>
  <c r="J3117" i="2"/>
  <c r="M3116" i="2"/>
  <c r="J3116" i="2"/>
  <c r="M3115" i="2"/>
  <c r="J3115" i="2"/>
  <c r="M3114" i="2"/>
  <c r="J3114" i="2"/>
  <c r="M3113" i="2"/>
  <c r="J3113" i="2"/>
  <c r="M3112" i="2"/>
  <c r="J3112" i="2"/>
  <c r="M3111" i="2"/>
  <c r="J3111" i="2"/>
  <c r="M3110" i="2"/>
  <c r="J3110" i="2"/>
  <c r="M3109" i="2"/>
  <c r="J3109" i="2"/>
  <c r="M3108" i="2"/>
  <c r="J3108" i="2"/>
  <c r="M3092" i="2"/>
  <c r="J3092" i="2"/>
  <c r="M3091" i="2"/>
  <c r="J3091" i="2"/>
  <c r="M3090" i="2"/>
  <c r="J3090" i="2"/>
  <c r="M3089" i="2"/>
  <c r="J3089" i="2"/>
  <c r="M3081" i="2"/>
  <c r="J3081" i="2"/>
  <c r="M3076" i="2"/>
  <c r="J3076" i="2"/>
  <c r="M3075" i="2"/>
  <c r="J3075" i="2"/>
  <c r="M3074" i="2"/>
  <c r="J3074" i="2"/>
  <c r="M3072" i="2"/>
  <c r="J3072" i="2"/>
  <c r="M3071" i="2"/>
  <c r="J3071" i="2"/>
  <c r="M3070" i="2"/>
  <c r="J3070" i="2"/>
  <c r="M3037" i="2"/>
  <c r="J3037" i="2"/>
  <c r="M3036" i="2"/>
  <c r="J3036" i="2"/>
  <c r="M3035" i="2"/>
  <c r="J3035" i="2"/>
  <c r="M3034" i="2"/>
  <c r="J3034" i="2"/>
  <c r="M3033" i="2"/>
  <c r="J3033" i="2"/>
  <c r="M3032" i="2"/>
  <c r="J3032" i="2"/>
  <c r="M3031" i="2"/>
  <c r="J3031" i="2"/>
  <c r="M3030" i="2"/>
  <c r="J3030" i="2"/>
  <c r="M3029" i="2"/>
  <c r="J3029" i="2"/>
  <c r="M3028" i="2"/>
  <c r="J3028" i="2"/>
  <c r="M3027" i="2"/>
  <c r="J3027" i="2"/>
  <c r="M3026" i="2"/>
  <c r="J3026" i="2"/>
  <c r="M3025" i="2"/>
  <c r="J3025" i="2"/>
  <c r="M3024" i="2"/>
  <c r="J3024" i="2"/>
  <c r="M3018" i="2"/>
  <c r="J3018" i="2"/>
  <c r="M3007" i="2"/>
  <c r="J3007" i="2"/>
  <c r="M3004" i="2"/>
  <c r="J3004" i="2"/>
  <c r="M3002" i="2"/>
  <c r="J3002" i="2"/>
  <c r="M3001" i="2"/>
  <c r="J3001" i="2"/>
  <c r="M2996" i="2"/>
  <c r="J2996" i="2"/>
  <c r="M2995" i="2"/>
  <c r="J2995" i="2"/>
  <c r="M2988" i="2"/>
  <c r="J2988" i="2"/>
  <c r="M2987" i="2"/>
  <c r="J2987" i="2"/>
  <c r="M2986" i="2"/>
  <c r="J2986" i="2"/>
  <c r="M2985" i="2"/>
  <c r="J2985" i="2"/>
  <c r="M2984" i="2"/>
  <c r="J2984" i="2"/>
  <c r="M2976" i="2"/>
  <c r="J2976" i="2"/>
  <c r="M2975" i="2"/>
  <c r="J2975" i="2"/>
  <c r="M2974" i="2"/>
  <c r="J2974" i="2"/>
  <c r="M2847" i="2"/>
  <c r="J2847" i="2"/>
  <c r="M2846" i="2"/>
  <c r="J2846" i="2"/>
  <c r="M2845" i="2"/>
  <c r="J2845" i="2"/>
  <c r="M2844" i="2"/>
  <c r="J2844" i="2"/>
  <c r="M2843" i="2"/>
  <c r="J2843" i="2"/>
  <c r="M2842" i="2"/>
  <c r="J2842" i="2"/>
  <c r="M2841" i="2"/>
  <c r="J2841" i="2"/>
  <c r="M2840" i="2"/>
  <c r="J2840" i="2"/>
  <c r="M2839" i="2"/>
  <c r="J2839" i="2"/>
  <c r="M2838" i="2"/>
  <c r="J2838" i="2"/>
  <c r="M2837" i="2"/>
  <c r="J2837" i="2"/>
  <c r="M2836" i="2"/>
  <c r="J2836" i="2"/>
  <c r="M2835" i="2"/>
  <c r="J2835" i="2"/>
  <c r="M2834" i="2"/>
  <c r="J2834" i="2"/>
  <c r="M2833" i="2"/>
  <c r="J2833" i="2"/>
  <c r="M2832" i="2"/>
  <c r="J2832" i="2"/>
  <c r="M2831" i="2"/>
  <c r="J2831" i="2"/>
  <c r="M2830" i="2"/>
  <c r="J2830" i="2"/>
  <c r="M2829" i="2"/>
  <c r="J2829" i="2"/>
  <c r="M2828" i="2"/>
  <c r="J2828" i="2"/>
  <c r="M2827" i="2"/>
  <c r="J2827" i="2"/>
  <c r="M2824" i="2"/>
  <c r="J2824" i="2"/>
  <c r="M2823" i="2"/>
  <c r="J2823" i="2"/>
  <c r="M2822" i="2"/>
  <c r="J2822" i="2"/>
  <c r="M2821" i="2"/>
  <c r="J2821" i="2"/>
  <c r="M2820" i="2"/>
  <c r="J2820" i="2"/>
  <c r="M2819" i="2"/>
  <c r="J2819" i="2"/>
  <c r="M2818" i="2"/>
  <c r="J2818" i="2"/>
  <c r="M2817" i="2"/>
  <c r="J2817" i="2"/>
  <c r="M2816" i="2"/>
  <c r="J2816" i="2"/>
  <c r="M2815" i="2"/>
  <c r="J2815" i="2"/>
  <c r="M2814" i="2"/>
  <c r="J2814" i="2"/>
  <c r="M2813" i="2"/>
  <c r="J2813" i="2"/>
  <c r="M2812" i="2"/>
  <c r="J2812" i="2"/>
  <c r="M2811" i="2"/>
  <c r="J2811" i="2"/>
  <c r="M2810" i="2"/>
  <c r="J2810" i="2"/>
  <c r="M2809" i="2"/>
  <c r="J2809" i="2"/>
  <c r="M2808" i="2"/>
  <c r="J2808" i="2"/>
  <c r="M2807" i="2"/>
  <c r="J2807" i="2"/>
  <c r="M2806" i="2"/>
  <c r="J2806" i="2"/>
  <c r="M2805" i="2"/>
  <c r="J2805" i="2"/>
  <c r="M2804" i="2"/>
  <c r="J2804" i="2"/>
  <c r="M2803" i="2"/>
  <c r="J2803" i="2"/>
  <c r="M2802" i="2"/>
  <c r="J2802" i="2"/>
  <c r="M2801" i="2"/>
  <c r="J2801" i="2"/>
  <c r="M2800" i="2"/>
  <c r="J2800" i="2"/>
  <c r="M2787" i="2"/>
  <c r="J2787" i="2"/>
  <c r="M2786" i="2"/>
  <c r="J2786" i="2"/>
  <c r="M2785" i="2"/>
  <c r="J2785" i="2"/>
  <c r="M2784" i="2"/>
  <c r="J2784" i="2"/>
  <c r="M2783" i="2"/>
  <c r="J2783" i="2"/>
  <c r="M2782" i="2"/>
  <c r="J2782" i="2"/>
  <c r="M2781" i="2"/>
  <c r="J2781" i="2"/>
  <c r="M2780" i="2"/>
  <c r="J2780" i="2"/>
  <c r="M2779" i="2"/>
  <c r="J2779" i="2"/>
  <c r="M2778" i="2"/>
  <c r="J2778" i="2"/>
  <c r="M2777" i="2"/>
  <c r="J2777" i="2"/>
  <c r="M2776" i="2"/>
  <c r="J2776" i="2"/>
  <c r="M2775" i="2"/>
  <c r="J2775" i="2"/>
  <c r="M2774" i="2"/>
  <c r="J2774" i="2"/>
  <c r="M2773" i="2"/>
  <c r="J2773" i="2"/>
  <c r="M2772" i="2"/>
  <c r="J2772" i="2"/>
  <c r="M2771" i="2"/>
  <c r="J2771" i="2"/>
  <c r="M2769" i="2"/>
  <c r="J2769" i="2"/>
  <c r="M2764" i="2"/>
  <c r="J2764" i="2"/>
  <c r="M2763" i="2"/>
  <c r="J2763" i="2"/>
  <c r="M2745" i="2"/>
  <c r="J2745" i="2"/>
  <c r="M2744" i="2"/>
  <c r="J2744" i="2"/>
  <c r="M2743" i="2"/>
  <c r="J2743" i="2"/>
  <c r="M2741" i="2"/>
  <c r="J2741" i="2"/>
  <c r="M2740" i="2"/>
  <c r="J2740" i="2"/>
  <c r="M2739" i="2"/>
  <c r="J2739" i="2"/>
  <c r="M2738" i="2"/>
  <c r="J2738" i="2"/>
  <c r="M2737" i="2"/>
  <c r="J2737" i="2"/>
  <c r="M2736" i="2"/>
  <c r="J2736" i="2"/>
  <c r="M2735" i="2"/>
  <c r="J2735" i="2"/>
  <c r="M2734" i="2"/>
  <c r="J2734" i="2"/>
  <c r="M2733" i="2"/>
  <c r="J2733" i="2"/>
  <c r="M2730" i="2"/>
  <c r="J2730" i="2"/>
  <c r="M2729" i="2"/>
  <c r="J2729" i="2"/>
  <c r="M2714" i="2"/>
  <c r="J2714" i="2"/>
  <c r="M2712" i="2"/>
  <c r="J2712" i="2"/>
  <c r="M2684" i="2"/>
  <c r="J2684" i="2"/>
  <c r="M2682" i="2"/>
  <c r="J2682" i="2"/>
  <c r="M2681" i="2"/>
  <c r="J2681" i="2"/>
  <c r="M2680" i="2"/>
  <c r="J2680" i="2"/>
  <c r="M2679" i="2"/>
  <c r="J2679" i="2"/>
  <c r="M2678" i="2"/>
  <c r="J2678" i="2"/>
  <c r="M2676" i="2"/>
  <c r="J2676" i="2"/>
  <c r="M2675" i="2"/>
  <c r="J2675" i="2"/>
  <c r="M2674" i="2"/>
  <c r="J2674" i="2"/>
  <c r="M2660" i="2"/>
  <c r="J2660" i="2"/>
  <c r="M2647" i="2"/>
  <c r="J2647" i="2"/>
  <c r="M2646" i="2"/>
  <c r="J2646" i="2"/>
  <c r="M2605" i="2"/>
  <c r="J2605" i="2"/>
  <c r="M2604" i="2"/>
  <c r="J2604" i="2"/>
  <c r="M2603" i="2"/>
  <c r="J2603" i="2"/>
  <c r="M2602" i="2"/>
  <c r="J2602" i="2"/>
  <c r="M2601" i="2"/>
  <c r="J2601" i="2"/>
  <c r="M2600" i="2"/>
  <c r="J2600" i="2"/>
  <c r="M2599" i="2"/>
  <c r="J2599" i="2"/>
  <c r="M2598" i="2"/>
  <c r="J2598" i="2"/>
  <c r="M2597" i="2"/>
  <c r="J2597" i="2"/>
  <c r="M2596" i="2"/>
  <c r="J2596" i="2"/>
  <c r="M2595" i="2"/>
  <c r="J2595" i="2"/>
  <c r="M2594" i="2"/>
  <c r="J2594" i="2"/>
  <c r="M2593" i="2"/>
  <c r="J2593" i="2"/>
  <c r="M2591" i="2"/>
  <c r="J2591" i="2"/>
  <c r="M2589" i="2"/>
  <c r="J2589" i="2"/>
  <c r="M2588" i="2"/>
  <c r="J2588" i="2"/>
  <c r="M2587" i="2"/>
  <c r="J2587" i="2"/>
  <c r="M2586" i="2"/>
  <c r="J2586" i="2"/>
  <c r="M2585" i="2"/>
  <c r="J2585" i="2"/>
  <c r="M2584" i="2"/>
  <c r="J2584" i="2"/>
  <c r="M2583" i="2"/>
  <c r="J2583" i="2"/>
  <c r="M2582" i="2"/>
  <c r="J2582" i="2"/>
  <c r="M2581" i="2"/>
  <c r="J2581" i="2"/>
  <c r="M2580" i="2"/>
  <c r="J2580" i="2"/>
  <c r="M2579" i="2"/>
  <c r="J2579" i="2"/>
  <c r="M2577" i="2"/>
  <c r="J2577" i="2"/>
  <c r="M2576" i="2"/>
  <c r="J2576" i="2"/>
  <c r="M2575" i="2"/>
  <c r="J2575" i="2"/>
  <c r="M2574" i="2"/>
  <c r="J2574" i="2"/>
  <c r="M2571" i="2"/>
  <c r="J2571" i="2"/>
  <c r="M2567" i="2"/>
  <c r="J2567" i="2"/>
  <c r="M2566" i="2"/>
  <c r="J2566" i="2"/>
  <c r="M2565" i="2"/>
  <c r="J2565" i="2"/>
  <c r="M2564" i="2"/>
  <c r="J2564" i="2"/>
  <c r="M2563" i="2"/>
  <c r="J2563" i="2"/>
  <c r="M2562" i="2"/>
  <c r="J2562" i="2"/>
  <c r="M2561" i="2"/>
  <c r="J2561" i="2"/>
  <c r="M2560" i="2"/>
  <c r="J2560" i="2"/>
  <c r="M2554" i="2"/>
  <c r="J2554" i="2"/>
  <c r="M2553" i="2"/>
  <c r="J2553" i="2"/>
  <c r="M2552" i="2"/>
  <c r="J2552" i="2"/>
  <c r="M2550" i="2"/>
  <c r="J2550" i="2"/>
  <c r="M2548" i="2"/>
  <c r="J2548" i="2"/>
  <c r="M2547" i="2"/>
  <c r="J2547" i="2"/>
  <c r="M2546" i="2"/>
  <c r="J2546" i="2"/>
  <c r="M2545" i="2"/>
  <c r="J2545" i="2"/>
  <c r="M2544" i="2"/>
  <c r="J2544" i="2"/>
  <c r="M2543" i="2"/>
  <c r="J2543" i="2"/>
  <c r="M2542" i="2"/>
  <c r="J2542" i="2"/>
  <c r="M2541" i="2"/>
  <c r="J2541" i="2"/>
  <c r="M2539" i="2"/>
  <c r="J2539" i="2"/>
  <c r="M2538" i="2"/>
  <c r="J2538" i="2"/>
  <c r="M2536" i="2"/>
  <c r="J2536" i="2"/>
  <c r="M2535" i="2"/>
  <c r="J2535" i="2"/>
  <c r="M2534" i="2"/>
  <c r="J2534" i="2"/>
  <c r="M2533" i="2"/>
  <c r="J2533" i="2"/>
  <c r="M2532" i="2"/>
  <c r="J2532" i="2"/>
  <c r="M2531" i="2"/>
  <c r="J2531" i="2"/>
  <c r="M2528" i="2"/>
  <c r="J2528" i="2"/>
  <c r="M2527" i="2"/>
  <c r="J2527" i="2"/>
  <c r="M2526" i="2"/>
  <c r="J2526" i="2"/>
  <c r="M2525" i="2"/>
  <c r="J2525" i="2"/>
  <c r="M2524" i="2"/>
  <c r="J2524" i="2"/>
  <c r="M2523" i="2"/>
  <c r="J2523" i="2"/>
  <c r="M2522" i="2"/>
  <c r="J2522" i="2"/>
  <c r="M2521" i="2"/>
  <c r="J2521" i="2"/>
  <c r="M2520" i="2"/>
  <c r="J2520" i="2"/>
  <c r="M2519" i="2"/>
  <c r="J2519" i="2"/>
  <c r="M2518" i="2"/>
  <c r="J2518" i="2"/>
  <c r="M2517" i="2"/>
  <c r="J2517" i="2"/>
  <c r="M2514" i="2"/>
  <c r="J2514" i="2"/>
  <c r="M2513" i="2"/>
  <c r="J2513" i="2"/>
  <c r="M2498" i="2"/>
  <c r="J2498" i="2"/>
  <c r="M2497" i="2"/>
  <c r="J2497" i="2"/>
  <c r="M2496" i="2"/>
  <c r="J2496" i="2"/>
  <c r="M2495" i="2"/>
  <c r="J2495" i="2"/>
  <c r="M2460" i="2"/>
  <c r="J2460" i="2"/>
  <c r="M2459" i="2"/>
  <c r="J2459" i="2"/>
  <c r="M2458" i="2"/>
  <c r="J2458" i="2"/>
  <c r="M2406" i="2"/>
  <c r="J2406" i="2"/>
  <c r="M2402" i="2"/>
  <c r="J2402" i="2"/>
  <c r="M2401" i="2"/>
  <c r="J2401" i="2"/>
  <c r="M2400" i="2"/>
  <c r="J2400" i="2"/>
  <c r="M2352" i="2"/>
  <c r="J2352" i="2"/>
  <c r="M2351" i="2"/>
  <c r="J2351" i="2"/>
  <c r="M2350" i="2"/>
  <c r="J2350" i="2"/>
  <c r="M2349" i="2"/>
  <c r="J2349" i="2"/>
  <c r="M2348" i="2"/>
  <c r="J2348" i="2"/>
  <c r="M2344" i="2"/>
  <c r="J2344" i="2"/>
  <c r="M2343" i="2"/>
  <c r="J2343" i="2"/>
  <c r="M2342" i="2"/>
  <c r="J2342" i="2"/>
  <c r="M2334" i="2"/>
  <c r="J2334" i="2"/>
  <c r="M2333" i="2"/>
  <c r="J2333" i="2"/>
  <c r="M2321" i="2"/>
  <c r="J2321" i="2"/>
  <c r="M2320" i="2"/>
  <c r="J2320" i="2"/>
  <c r="M2293" i="2"/>
  <c r="J2293" i="2"/>
  <c r="M2292" i="2"/>
  <c r="J2292" i="2"/>
  <c r="M2291" i="2"/>
  <c r="J2291" i="2"/>
  <c r="M2289" i="2"/>
  <c r="J2289" i="2"/>
  <c r="M2288" i="2"/>
  <c r="J2288" i="2"/>
  <c r="M2283" i="2"/>
  <c r="J2283" i="2"/>
  <c r="M2282" i="2"/>
  <c r="J2282" i="2"/>
  <c r="M2255" i="2"/>
  <c r="J2255" i="2"/>
  <c r="M2254" i="2"/>
  <c r="J2254" i="2"/>
  <c r="M2253" i="2"/>
  <c r="J2253" i="2"/>
  <c r="M2252" i="2"/>
  <c r="J2252" i="2"/>
  <c r="M2251" i="2"/>
  <c r="J2251" i="2"/>
  <c r="M2250" i="2"/>
  <c r="J2250" i="2"/>
  <c r="M2249" i="2"/>
  <c r="J2249" i="2"/>
  <c r="M2248" i="2"/>
  <c r="J2248" i="2"/>
  <c r="M2247" i="2"/>
  <c r="J2247" i="2"/>
  <c r="M2246" i="2"/>
  <c r="J2246" i="2"/>
  <c r="M2245" i="2"/>
  <c r="J2245" i="2"/>
  <c r="M2244" i="2"/>
  <c r="J2244" i="2"/>
  <c r="M2243" i="2"/>
  <c r="J2243" i="2"/>
  <c r="M2242" i="2"/>
  <c r="J2242" i="2"/>
  <c r="M2241" i="2"/>
  <c r="J2241" i="2"/>
  <c r="M2236" i="2"/>
  <c r="J2236" i="2"/>
  <c r="M2235" i="2"/>
  <c r="J2235" i="2"/>
  <c r="M2234" i="2"/>
  <c r="J2234" i="2"/>
  <c r="M2233" i="2"/>
  <c r="J2233" i="2"/>
  <c r="M2232" i="2"/>
  <c r="J2232" i="2"/>
  <c r="M2231" i="2"/>
  <c r="J2231" i="2"/>
  <c r="M2230" i="2"/>
  <c r="J2230" i="2"/>
  <c r="M2229" i="2"/>
  <c r="J2229" i="2"/>
  <c r="M2228" i="2"/>
  <c r="J2228" i="2"/>
  <c r="M2227" i="2"/>
  <c r="J2227" i="2"/>
  <c r="M2226" i="2"/>
  <c r="J2226" i="2"/>
  <c r="M2225" i="2"/>
  <c r="J2225" i="2"/>
  <c r="M2224" i="2"/>
  <c r="J2224" i="2"/>
  <c r="M2223" i="2"/>
  <c r="J2223" i="2"/>
  <c r="M2222" i="2"/>
  <c r="J2222" i="2"/>
  <c r="M2221" i="2"/>
  <c r="J2221" i="2"/>
  <c r="M2220" i="2"/>
  <c r="J2220" i="2"/>
  <c r="M2219" i="2"/>
  <c r="J2219" i="2"/>
  <c r="M2218" i="2"/>
  <c r="J2218" i="2"/>
  <c r="M2217" i="2"/>
  <c r="J2217" i="2"/>
  <c r="M2216" i="2"/>
  <c r="J2216" i="2"/>
  <c r="M2215" i="2"/>
  <c r="J2215" i="2"/>
  <c r="M2214" i="2"/>
  <c r="J2214" i="2"/>
  <c r="M2213" i="2"/>
  <c r="J2213" i="2"/>
  <c r="M2212" i="2"/>
  <c r="J2212" i="2"/>
  <c r="M2211" i="2"/>
  <c r="J2211" i="2"/>
  <c r="M2210" i="2"/>
  <c r="J2210" i="2"/>
  <c r="M2209" i="2"/>
  <c r="J2209" i="2"/>
  <c r="M2208" i="2"/>
  <c r="J2208" i="2"/>
  <c r="M2207" i="2"/>
  <c r="J2207" i="2"/>
  <c r="M2206" i="2"/>
  <c r="J2206" i="2"/>
  <c r="M2205" i="2"/>
  <c r="J2205" i="2"/>
  <c r="M2204" i="2"/>
  <c r="J2204" i="2"/>
  <c r="M2203" i="2"/>
  <c r="J2203" i="2"/>
  <c r="M2202" i="2"/>
  <c r="J2202" i="2"/>
  <c r="M2201" i="2"/>
  <c r="J2201" i="2"/>
  <c r="M2200" i="2"/>
  <c r="J2200" i="2"/>
  <c r="M2199" i="2"/>
  <c r="J2199" i="2"/>
  <c r="M2198" i="2"/>
  <c r="J2198" i="2"/>
  <c r="M2197" i="2"/>
  <c r="J2197" i="2"/>
  <c r="M2196" i="2"/>
  <c r="J2196" i="2"/>
  <c r="M2195" i="2"/>
  <c r="J2195" i="2"/>
  <c r="M2194" i="2"/>
  <c r="J2194" i="2"/>
  <c r="M2185" i="2"/>
  <c r="J2185" i="2"/>
  <c r="M2184" i="2"/>
  <c r="J2184" i="2"/>
  <c r="M2183" i="2"/>
  <c r="J2183" i="2"/>
  <c r="M2182" i="2"/>
  <c r="J2182" i="2"/>
  <c r="M2181" i="2"/>
  <c r="J2181" i="2"/>
  <c r="M2167" i="2"/>
  <c r="J2167" i="2"/>
  <c r="M2166" i="2"/>
  <c r="J2166" i="2"/>
  <c r="M2163" i="2"/>
  <c r="J2163" i="2"/>
  <c r="M2162" i="2"/>
  <c r="J2162" i="2"/>
  <c r="M2161" i="2"/>
  <c r="J2161" i="2"/>
  <c r="M2160" i="2"/>
  <c r="J2160" i="2"/>
  <c r="M2159" i="2"/>
  <c r="J2159" i="2"/>
  <c r="M2158" i="2"/>
  <c r="J2158" i="2"/>
  <c r="M2122" i="2"/>
  <c r="J2122" i="2"/>
  <c r="M2121" i="2"/>
  <c r="J2121" i="2"/>
  <c r="M2120" i="2"/>
  <c r="J2120" i="2"/>
  <c r="M2119" i="2"/>
  <c r="J2119" i="2"/>
  <c r="M2097" i="2"/>
  <c r="J2097" i="2"/>
  <c r="M2078" i="2"/>
  <c r="J2078" i="2"/>
  <c r="M2071" i="2"/>
  <c r="J2071" i="2"/>
  <c r="M2070" i="2"/>
  <c r="J2070" i="2"/>
  <c r="M2069" i="2"/>
  <c r="J2069" i="2"/>
  <c r="M2068" i="2"/>
  <c r="J2068" i="2"/>
  <c r="M2067" i="2"/>
  <c r="J2067" i="2"/>
  <c r="M2066" i="2"/>
  <c r="J2066" i="2"/>
  <c r="M2065" i="2"/>
  <c r="J2065" i="2"/>
  <c r="M2064" i="2"/>
  <c r="J2064" i="2"/>
  <c r="M2063" i="2"/>
  <c r="J2063" i="2"/>
  <c r="M2062" i="2"/>
  <c r="J2062" i="2"/>
  <c r="M2059" i="2"/>
  <c r="J2059" i="2"/>
  <c r="M2058" i="2"/>
  <c r="J2058" i="2"/>
  <c r="M2057" i="2"/>
  <c r="J2057" i="2"/>
  <c r="M2056" i="2"/>
  <c r="J2056" i="2"/>
  <c r="M2050" i="2"/>
  <c r="J2050" i="2"/>
  <c r="M2049" i="2"/>
  <c r="J2049" i="2"/>
  <c r="M2047" i="2"/>
  <c r="J2047" i="2"/>
  <c r="M2044" i="2"/>
  <c r="J2044" i="2"/>
  <c r="M2043" i="2"/>
  <c r="J2043" i="2"/>
  <c r="M2042" i="2"/>
  <c r="J2042" i="2"/>
  <c r="M2040" i="2"/>
  <c r="J2040" i="2"/>
  <c r="M2039" i="2"/>
  <c r="J2039" i="2"/>
  <c r="M2005" i="2"/>
  <c r="J2005" i="2"/>
  <c r="M2004" i="2"/>
  <c r="J2004" i="2"/>
  <c r="M2003" i="2"/>
  <c r="J2003" i="2"/>
  <c r="M2002" i="2"/>
  <c r="J2002" i="2"/>
  <c r="M2001" i="2"/>
  <c r="J2001" i="2"/>
  <c r="M1998" i="2"/>
  <c r="J1998" i="2"/>
  <c r="M1997" i="2"/>
  <c r="J1997" i="2"/>
  <c r="M1996" i="2"/>
  <c r="J1996" i="2"/>
  <c r="M1993" i="2"/>
  <c r="J1993" i="2"/>
  <c r="M1992" i="2"/>
  <c r="J1992" i="2"/>
  <c r="M1990" i="2"/>
  <c r="J1990" i="2"/>
  <c r="M1988" i="2"/>
  <c r="J1988" i="2"/>
  <c r="M1983" i="2"/>
  <c r="J1983" i="2"/>
  <c r="M1982" i="2"/>
  <c r="J1982" i="2"/>
  <c r="M1981" i="2"/>
  <c r="J1981" i="2"/>
  <c r="M1980" i="2"/>
  <c r="J1980" i="2"/>
  <c r="M1979" i="2"/>
  <c r="J1979" i="2"/>
  <c r="M1978" i="2"/>
  <c r="J1978" i="2"/>
  <c r="M1977" i="2"/>
  <c r="J1977" i="2"/>
  <c r="M1976" i="2"/>
  <c r="J1976" i="2"/>
  <c r="M1975" i="2"/>
  <c r="J1975" i="2"/>
  <c r="M1974" i="2"/>
  <c r="J1974" i="2"/>
  <c r="M1973" i="2"/>
  <c r="J1973" i="2"/>
  <c r="M1972" i="2"/>
  <c r="J1972" i="2"/>
  <c r="M1971" i="2"/>
  <c r="J1971" i="2"/>
  <c r="M1970" i="2"/>
  <c r="J1970" i="2"/>
  <c r="M1969" i="2"/>
  <c r="J1969" i="2"/>
  <c r="M1968" i="2"/>
  <c r="J1968" i="2"/>
  <c r="M1967" i="2"/>
  <c r="J1967" i="2"/>
  <c r="M1966" i="2"/>
  <c r="J1966" i="2"/>
  <c r="M1965" i="2"/>
  <c r="J1965" i="2"/>
  <c r="M1964" i="2"/>
  <c r="J1964" i="2"/>
  <c r="M1963" i="2"/>
  <c r="J1963" i="2"/>
  <c r="M1962" i="2"/>
  <c r="J1962" i="2"/>
  <c r="M1961" i="2"/>
  <c r="J1961" i="2"/>
  <c r="M1960" i="2"/>
  <c r="J1960" i="2"/>
  <c r="M1959" i="2"/>
  <c r="J1959" i="2"/>
  <c r="M1958" i="2"/>
  <c r="J1958" i="2"/>
  <c r="M1957" i="2"/>
  <c r="J1957" i="2"/>
  <c r="M1956" i="2"/>
  <c r="J1956" i="2"/>
  <c r="M1955" i="2"/>
  <c r="J1955" i="2"/>
  <c r="M1954" i="2"/>
  <c r="J1954" i="2"/>
  <c r="M1953" i="2"/>
  <c r="J1953" i="2"/>
  <c r="M1952" i="2"/>
  <c r="J1952" i="2"/>
  <c r="M1951" i="2"/>
  <c r="J1951" i="2"/>
  <c r="M1950" i="2"/>
  <c r="J1950" i="2"/>
  <c r="M1949" i="2"/>
  <c r="J1949" i="2"/>
  <c r="M1948" i="2"/>
  <c r="J1948" i="2"/>
  <c r="M1947" i="2"/>
  <c r="J1947" i="2"/>
  <c r="M1946" i="2"/>
  <c r="J1946" i="2"/>
  <c r="M1945" i="2"/>
  <c r="J1945" i="2"/>
  <c r="M1944" i="2"/>
  <c r="J1944" i="2"/>
  <c r="M1943" i="2"/>
  <c r="J1943" i="2"/>
  <c r="M1942" i="2"/>
  <c r="J1942" i="2"/>
  <c r="M1941" i="2"/>
  <c r="J1941" i="2"/>
  <c r="M1939" i="2"/>
  <c r="J1939" i="2"/>
  <c r="M1938" i="2"/>
  <c r="J1938" i="2"/>
  <c r="M1937" i="2"/>
  <c r="J1937" i="2"/>
  <c r="M1936" i="2"/>
  <c r="J1936" i="2"/>
  <c r="M1935" i="2"/>
  <c r="J1935" i="2"/>
  <c r="M1934" i="2"/>
  <c r="J1934" i="2"/>
  <c r="M1933" i="2"/>
  <c r="J1933" i="2"/>
  <c r="M1932" i="2"/>
  <c r="J1932" i="2"/>
  <c r="M1931" i="2"/>
  <c r="J1931" i="2"/>
  <c r="M1930" i="2"/>
  <c r="J1930" i="2"/>
  <c r="M1929" i="2"/>
  <c r="J1929" i="2"/>
  <c r="M1928" i="2"/>
  <c r="J1928" i="2"/>
  <c r="M1927" i="2"/>
  <c r="J1927" i="2"/>
  <c r="M1926" i="2"/>
  <c r="J1926" i="2"/>
  <c r="M1925" i="2"/>
  <c r="J1925" i="2"/>
  <c r="M1924" i="2"/>
  <c r="J1924" i="2"/>
  <c r="M1923" i="2"/>
  <c r="J1923" i="2"/>
  <c r="M1922" i="2"/>
  <c r="J1922" i="2"/>
  <c r="M1921" i="2"/>
  <c r="J1921" i="2"/>
  <c r="M1918" i="2"/>
  <c r="J1918" i="2"/>
  <c r="M1917" i="2"/>
  <c r="J1917" i="2"/>
  <c r="M1916" i="2"/>
  <c r="J1916" i="2"/>
  <c r="M1878" i="2"/>
  <c r="J1878" i="2"/>
  <c r="M1877" i="2"/>
  <c r="J1877" i="2"/>
  <c r="M1876" i="2"/>
  <c r="J1876" i="2"/>
  <c r="M1875" i="2"/>
  <c r="J1875" i="2"/>
  <c r="M1874" i="2"/>
  <c r="J1874" i="2"/>
  <c r="M1872" i="2"/>
  <c r="J1872" i="2"/>
  <c r="M1868" i="2"/>
  <c r="J1868" i="2"/>
  <c r="M1867" i="2"/>
  <c r="J1867" i="2"/>
  <c r="M1865" i="2"/>
  <c r="J1865" i="2"/>
  <c r="M1864" i="2"/>
  <c r="J1864" i="2"/>
  <c r="M1855" i="2"/>
  <c r="J1855" i="2"/>
  <c r="M1850" i="2"/>
  <c r="J1850" i="2"/>
  <c r="M1848" i="2"/>
  <c r="J1848" i="2"/>
  <c r="M1847" i="2"/>
  <c r="J1847" i="2"/>
  <c r="M1840" i="2"/>
  <c r="J1840" i="2"/>
  <c r="M1838" i="2"/>
  <c r="J1838" i="2"/>
  <c r="M1837" i="2"/>
  <c r="J1837" i="2"/>
  <c r="M1836" i="2"/>
  <c r="J1836" i="2"/>
  <c r="M1835" i="2"/>
  <c r="J1835" i="2"/>
  <c r="M1834" i="2"/>
  <c r="J1834" i="2"/>
  <c r="M1833" i="2"/>
  <c r="J1833" i="2"/>
  <c r="M1832" i="2"/>
  <c r="J1832" i="2"/>
  <c r="M1794" i="2"/>
  <c r="J1794" i="2"/>
  <c r="M1791" i="2"/>
  <c r="J1791" i="2"/>
  <c r="M1790" i="2"/>
  <c r="J1790" i="2"/>
  <c r="M1789" i="2"/>
  <c r="J1789" i="2"/>
  <c r="M1788" i="2"/>
  <c r="J1788" i="2"/>
  <c r="M1787" i="2"/>
  <c r="J1787" i="2"/>
  <c r="M1786" i="2"/>
  <c r="J1786" i="2"/>
  <c r="M1785" i="2"/>
  <c r="J1785" i="2"/>
  <c r="M1768" i="2"/>
  <c r="J1768" i="2"/>
  <c r="M1767" i="2"/>
  <c r="J1767" i="2"/>
  <c r="M1766" i="2"/>
  <c r="J1766" i="2"/>
  <c r="M1765" i="2"/>
  <c r="J1765" i="2"/>
  <c r="M1764" i="2"/>
  <c r="J1764" i="2"/>
  <c r="M1763" i="2"/>
  <c r="J1763" i="2"/>
  <c r="M1762" i="2"/>
  <c r="J1762" i="2"/>
  <c r="M1761" i="2"/>
  <c r="J1761" i="2"/>
  <c r="M1760" i="2"/>
  <c r="J1760" i="2"/>
  <c r="M1759" i="2"/>
  <c r="J1759" i="2"/>
  <c r="M1757" i="2"/>
  <c r="J1757" i="2"/>
  <c r="M1750" i="2"/>
  <c r="J1750" i="2"/>
  <c r="M1749" i="2"/>
  <c r="J1749" i="2"/>
  <c r="M1748" i="2"/>
  <c r="J1748" i="2"/>
  <c r="M1730" i="2"/>
  <c r="J1730" i="2"/>
  <c r="M1722" i="2"/>
  <c r="J1722" i="2"/>
  <c r="M1681" i="2"/>
  <c r="J1681" i="2"/>
  <c r="M1680" i="2"/>
  <c r="J1680" i="2"/>
  <c r="M1679" i="2"/>
  <c r="J1679" i="2"/>
  <c r="M1678" i="2"/>
  <c r="J1678" i="2"/>
  <c r="M1677" i="2"/>
  <c r="J1677" i="2"/>
  <c r="M1676" i="2"/>
  <c r="J1676" i="2"/>
  <c r="M1675" i="2"/>
  <c r="J1675" i="2"/>
  <c r="M1614" i="2"/>
  <c r="J1614" i="2"/>
  <c r="M1613" i="2"/>
  <c r="J1613" i="2"/>
  <c r="M1612" i="2"/>
  <c r="J1612" i="2"/>
  <c r="M1611" i="2"/>
  <c r="J1611" i="2"/>
  <c r="M1610" i="2"/>
  <c r="J1610" i="2"/>
  <c r="M1601" i="2"/>
  <c r="J1601" i="2"/>
  <c r="M1600" i="2"/>
  <c r="J1600" i="2"/>
  <c r="M1599" i="2"/>
  <c r="J1599" i="2"/>
  <c r="M1598" i="2"/>
  <c r="J1598" i="2"/>
  <c r="M1595" i="2"/>
  <c r="J1595" i="2"/>
  <c r="M1594" i="2"/>
  <c r="J1594" i="2"/>
  <c r="M892" i="2"/>
  <c r="J892" i="2"/>
  <c r="M926" i="2"/>
  <c r="J926" i="2"/>
  <c r="M925" i="2"/>
  <c r="J925" i="2"/>
  <c r="M888" i="2"/>
  <c r="J888" i="2"/>
  <c r="M4531" i="2"/>
  <c r="J4531" i="2"/>
  <c r="M889" i="2"/>
  <c r="J889" i="2"/>
  <c r="M890" i="2"/>
  <c r="J890" i="2"/>
  <c r="M4527" i="2"/>
  <c r="J4527" i="2"/>
  <c r="M4535" i="2"/>
  <c r="J4535" i="2"/>
  <c r="M4529" i="2"/>
  <c r="J4529" i="2"/>
  <c r="M4536" i="2"/>
  <c r="J4536" i="2"/>
  <c r="M4532" i="2"/>
  <c r="J4532" i="2"/>
  <c r="M4523" i="2"/>
  <c r="J4523" i="2"/>
  <c r="M4534" i="2"/>
  <c r="J4534" i="2"/>
  <c r="M4522" i="2"/>
  <c r="J4522" i="2"/>
  <c r="M4528" i="2"/>
  <c r="J4528" i="2"/>
  <c r="M4530" i="2"/>
  <c r="J4530" i="2"/>
  <c r="M886" i="2"/>
  <c r="J886" i="2"/>
  <c r="M880" i="2"/>
  <c r="J880" i="2"/>
  <c r="M879" i="2"/>
  <c r="J879" i="2"/>
  <c r="M878" i="2"/>
  <c r="J878" i="2"/>
  <c r="M884" i="2"/>
  <c r="J884" i="2"/>
  <c r="M881" i="2"/>
  <c r="J881" i="2"/>
  <c r="M883" i="2"/>
  <c r="J883" i="2"/>
  <c r="M885" i="2"/>
  <c r="J885" i="2"/>
  <c r="M882" i="2"/>
  <c r="J882" i="2"/>
  <c r="M876" i="2"/>
  <c r="J876" i="2"/>
  <c r="M877" i="2"/>
  <c r="J877" i="2"/>
  <c r="M875" i="2"/>
  <c r="J875" i="2"/>
  <c r="M856" i="2"/>
  <c r="J856" i="2"/>
  <c r="M857" i="2"/>
  <c r="J857" i="2"/>
  <c r="M858" i="2"/>
  <c r="J858" i="2"/>
  <c r="M852" i="2"/>
  <c r="J852" i="2"/>
  <c r="M853" i="2"/>
  <c r="J853" i="2"/>
  <c r="M849" i="2"/>
  <c r="J849" i="2"/>
  <c r="M848" i="2"/>
  <c r="J848" i="2"/>
  <c r="M845" i="2"/>
  <c r="J845" i="2"/>
  <c r="M847" i="2"/>
  <c r="J847" i="2"/>
  <c r="M846" i="2"/>
  <c r="J846" i="2"/>
  <c r="M835" i="2"/>
  <c r="J835" i="2"/>
  <c r="M832" i="2"/>
  <c r="J832" i="2"/>
  <c r="M812" i="2"/>
  <c r="J812" i="2"/>
  <c r="M811" i="2"/>
  <c r="J811" i="2"/>
  <c r="M787" i="2"/>
  <c r="J787" i="2"/>
  <c r="M766" i="2"/>
  <c r="J766" i="2"/>
  <c r="M746" i="2"/>
  <c r="J746" i="2"/>
  <c r="M747" i="2"/>
  <c r="J747" i="2"/>
  <c r="M748" i="2"/>
  <c r="J748" i="2"/>
  <c r="M745" i="2"/>
  <c r="J745" i="2"/>
  <c r="M743" i="2"/>
  <c r="J743" i="2"/>
  <c r="M744" i="2"/>
  <c r="J744" i="2"/>
  <c r="M704" i="2"/>
  <c r="J704" i="2"/>
  <c r="M705" i="2"/>
  <c r="J705" i="2"/>
  <c r="M694" i="2"/>
  <c r="J694" i="2"/>
  <c r="M700" i="2"/>
  <c r="J700" i="2"/>
  <c r="M702" i="2"/>
  <c r="J702" i="2"/>
  <c r="M698" i="2"/>
  <c r="J698" i="2"/>
  <c r="M701" i="2"/>
  <c r="J701" i="2"/>
  <c r="M696" i="2"/>
  <c r="J696" i="2"/>
  <c r="M697" i="2"/>
  <c r="J697" i="2"/>
  <c r="M693" i="2"/>
  <c r="J693" i="2"/>
  <c r="M692" i="2"/>
  <c r="J692" i="2"/>
  <c r="M691" i="2"/>
  <c r="J691" i="2"/>
  <c r="M690" i="2"/>
  <c r="J690" i="2"/>
  <c r="M689" i="2"/>
  <c r="J689" i="2"/>
  <c r="M688" i="2"/>
  <c r="J688" i="2"/>
  <c r="M687" i="2"/>
  <c r="J687" i="2"/>
  <c r="M686" i="2"/>
  <c r="J686" i="2"/>
  <c r="M685" i="2"/>
  <c r="J685" i="2"/>
  <c r="M684" i="2"/>
  <c r="J684" i="2"/>
  <c r="M683" i="2"/>
  <c r="J683" i="2"/>
  <c r="M682" i="2"/>
  <c r="J682" i="2"/>
  <c r="M681" i="2"/>
  <c r="J681" i="2"/>
  <c r="M680" i="2"/>
  <c r="J680" i="2"/>
  <c r="M679" i="2"/>
  <c r="J679" i="2"/>
  <c r="M677" i="2"/>
  <c r="J677" i="2"/>
  <c r="M676" i="2"/>
  <c r="J676" i="2"/>
  <c r="M675" i="2"/>
  <c r="J675" i="2"/>
  <c r="M674" i="2"/>
  <c r="J674" i="2"/>
  <c r="M673" i="2"/>
  <c r="J673" i="2"/>
  <c r="M672" i="2"/>
  <c r="J672" i="2"/>
  <c r="M671" i="2"/>
  <c r="J671" i="2"/>
  <c r="M669" i="2"/>
  <c r="J669" i="2"/>
  <c r="M668" i="2"/>
  <c r="J668" i="2"/>
  <c r="M667" i="2"/>
  <c r="J667" i="2"/>
  <c r="M666" i="2"/>
  <c r="J666" i="2"/>
  <c r="M665" i="2"/>
  <c r="J665" i="2"/>
  <c r="M664" i="2"/>
  <c r="J664" i="2"/>
  <c r="M663" i="2"/>
  <c r="J663" i="2"/>
  <c r="M662" i="2"/>
  <c r="J662" i="2"/>
  <c r="M661" i="2"/>
  <c r="J661" i="2"/>
  <c r="M660" i="2"/>
  <c r="J660" i="2"/>
  <c r="M659" i="2"/>
  <c r="J659" i="2"/>
  <c r="M658" i="2"/>
  <c r="J658" i="2"/>
  <c r="M657" i="2"/>
  <c r="J657" i="2"/>
  <c r="M656" i="2"/>
  <c r="J656" i="2"/>
  <c r="M655" i="2"/>
  <c r="J655" i="2"/>
  <c r="M654" i="2"/>
  <c r="J654" i="2"/>
  <c r="M653" i="2"/>
  <c r="J653" i="2"/>
  <c r="M652" i="2"/>
  <c r="J652" i="2"/>
  <c r="M651" i="2"/>
  <c r="J651" i="2"/>
  <c r="M650" i="2"/>
  <c r="J650" i="2"/>
  <c r="M649" i="2"/>
  <c r="J649" i="2"/>
  <c r="M648" i="2"/>
  <c r="J648" i="2"/>
  <c r="M647" i="2"/>
  <c r="J647" i="2"/>
  <c r="M646" i="2"/>
  <c r="J646" i="2"/>
  <c r="M645" i="2"/>
  <c r="J645" i="2"/>
  <c r="M644" i="2"/>
  <c r="J644" i="2"/>
  <c r="M643" i="2"/>
  <c r="J643" i="2"/>
  <c r="M642" i="2"/>
  <c r="J642" i="2"/>
  <c r="M641" i="2"/>
  <c r="J641" i="2"/>
  <c r="M637" i="2"/>
  <c r="J637" i="2"/>
  <c r="M636" i="2"/>
  <c r="J636" i="2"/>
  <c r="M634" i="2"/>
  <c r="J634" i="2"/>
  <c r="M633" i="2"/>
  <c r="J633" i="2"/>
  <c r="M626" i="2"/>
  <c r="J626" i="2"/>
  <c r="M625" i="2"/>
  <c r="J625" i="2"/>
  <c r="M624" i="2"/>
  <c r="J624" i="2"/>
  <c r="M623" i="2"/>
  <c r="J623" i="2"/>
  <c r="M622" i="2"/>
  <c r="J622" i="2"/>
  <c r="M621" i="2"/>
  <c r="J621" i="2"/>
  <c r="M620" i="2"/>
  <c r="J620" i="2"/>
  <c r="M617" i="2"/>
  <c r="J617" i="2"/>
  <c r="M616" i="2"/>
  <c r="J616" i="2"/>
  <c r="M614" i="2"/>
  <c r="J614" i="2"/>
  <c r="M606" i="2"/>
  <c r="J606" i="2"/>
  <c r="M605" i="2"/>
  <c r="J605" i="2"/>
  <c r="M604" i="2"/>
  <c r="J604" i="2"/>
  <c r="M603" i="2"/>
  <c r="J603" i="2"/>
  <c r="M602" i="2"/>
  <c r="J602" i="2"/>
  <c r="M601" i="2"/>
  <c r="J601" i="2"/>
  <c r="M600" i="2"/>
  <c r="J600" i="2"/>
  <c r="M599" i="2"/>
  <c r="J599" i="2"/>
  <c r="M598" i="2"/>
  <c r="J598" i="2"/>
  <c r="M597" i="2"/>
  <c r="J597" i="2"/>
  <c r="M596" i="2"/>
  <c r="J596" i="2"/>
  <c r="M595" i="2"/>
  <c r="J595" i="2"/>
  <c r="M594" i="2"/>
  <c r="J594" i="2"/>
  <c r="M593" i="2"/>
  <c r="J593" i="2"/>
  <c r="M592" i="2"/>
  <c r="J592" i="2"/>
  <c r="M591" i="2"/>
  <c r="J591" i="2"/>
  <c r="M590" i="2"/>
  <c r="J590" i="2"/>
  <c r="M589" i="2"/>
  <c r="J589" i="2"/>
  <c r="M588" i="2"/>
  <c r="J588" i="2"/>
  <c r="M587" i="2"/>
  <c r="J587" i="2"/>
  <c r="M586" i="2"/>
  <c r="J586" i="2"/>
  <c r="M585" i="2"/>
  <c r="J585" i="2"/>
  <c r="M584" i="2"/>
  <c r="J584" i="2"/>
  <c r="M583" i="2"/>
  <c r="J583" i="2"/>
  <c r="M582" i="2"/>
  <c r="J582" i="2"/>
  <c r="M581" i="2"/>
  <c r="J581" i="2"/>
  <c r="M580" i="2"/>
  <c r="J580" i="2"/>
  <c r="M579" i="2"/>
  <c r="J579" i="2"/>
  <c r="M578" i="2"/>
  <c r="J578" i="2"/>
  <c r="M577" i="2"/>
  <c r="J577" i="2"/>
  <c r="M576" i="2"/>
  <c r="J576" i="2"/>
  <c r="M575" i="2"/>
  <c r="J575" i="2"/>
  <c r="M574" i="2"/>
  <c r="J574" i="2"/>
  <c r="M573" i="2"/>
  <c r="J573" i="2"/>
  <c r="M572" i="2"/>
  <c r="J572" i="2"/>
  <c r="M571" i="2"/>
  <c r="J571" i="2"/>
  <c r="M570" i="2"/>
  <c r="J570" i="2"/>
  <c r="M569" i="2"/>
  <c r="J569" i="2"/>
  <c r="M568" i="2"/>
  <c r="J568" i="2"/>
  <c r="M567" i="2"/>
  <c r="J567" i="2"/>
  <c r="M566" i="2"/>
  <c r="J566" i="2"/>
  <c r="M565" i="2"/>
  <c r="J565" i="2"/>
  <c r="M564" i="2"/>
  <c r="J564" i="2"/>
  <c r="M563" i="2"/>
  <c r="J563" i="2"/>
  <c r="M561" i="2"/>
  <c r="J561" i="2"/>
  <c r="M562" i="2"/>
  <c r="J562" i="2"/>
  <c r="M560" i="2"/>
  <c r="J560" i="2"/>
  <c r="M559" i="2"/>
  <c r="J559" i="2"/>
  <c r="M553" i="2"/>
  <c r="J553" i="2"/>
  <c r="M546" i="2"/>
  <c r="J546" i="2"/>
  <c r="M545" i="2"/>
  <c r="J545" i="2"/>
  <c r="M532" i="2"/>
  <c r="J532" i="2"/>
  <c r="M531" i="2"/>
  <c r="J531" i="2"/>
  <c r="M530" i="2"/>
  <c r="J530" i="2"/>
  <c r="M527" i="2"/>
  <c r="J527" i="2"/>
  <c r="M526" i="2"/>
  <c r="J526" i="2"/>
  <c r="M523" i="2"/>
  <c r="J523" i="2"/>
  <c r="M522" i="2"/>
  <c r="J522" i="2"/>
  <c r="M520" i="2"/>
  <c r="J520" i="2"/>
  <c r="M519" i="2"/>
  <c r="J519" i="2"/>
  <c r="M518" i="2"/>
  <c r="J518" i="2"/>
  <c r="M516" i="2"/>
  <c r="J516" i="2"/>
  <c r="M514" i="2"/>
  <c r="J514" i="2"/>
  <c r="M513" i="2"/>
  <c r="J513" i="2"/>
  <c r="M509" i="2"/>
  <c r="J509" i="2"/>
  <c r="M508" i="2"/>
  <c r="J508" i="2"/>
  <c r="M512" i="2"/>
  <c r="J512" i="2"/>
  <c r="M511" i="2"/>
  <c r="J511" i="2"/>
  <c r="M510" i="2"/>
  <c r="J510" i="2"/>
  <c r="M473" i="2"/>
  <c r="J473" i="2"/>
  <c r="M472" i="2"/>
  <c r="J472" i="2"/>
  <c r="M471" i="2"/>
  <c r="J471" i="2"/>
  <c r="M470" i="2"/>
  <c r="J470" i="2"/>
  <c r="M469" i="2"/>
  <c r="J469" i="2"/>
  <c r="M468" i="2"/>
  <c r="J468" i="2"/>
  <c r="M435" i="2"/>
  <c r="J435" i="2"/>
  <c r="M395" i="2"/>
  <c r="J395" i="2"/>
  <c r="M397" i="2"/>
  <c r="J397" i="2"/>
  <c r="M398" i="2"/>
  <c r="J398" i="2"/>
  <c r="M326" i="2"/>
  <c r="J326" i="2"/>
  <c r="M196" i="2"/>
  <c r="J196" i="2"/>
  <c r="M199" i="2"/>
  <c r="J199" i="2"/>
  <c r="M198" i="2"/>
  <c r="J198" i="2"/>
  <c r="M197" i="2"/>
  <c r="J197" i="2"/>
  <c r="M200" i="2"/>
  <c r="J200" i="2"/>
  <c r="M182" i="2"/>
  <c r="J182" i="2"/>
  <c r="M176" i="2"/>
  <c r="J176" i="2"/>
  <c r="M50" i="2"/>
  <c r="J50" i="2"/>
  <c r="M45" i="2"/>
  <c r="J45" i="2"/>
  <c r="M44" i="2"/>
  <c r="J44" i="2"/>
  <c r="M393" i="2"/>
  <c r="J393" i="2"/>
  <c r="M394" i="2"/>
  <c r="J394" i="2"/>
  <c r="M189" i="2"/>
  <c r="J189" i="2"/>
  <c r="M190" i="2"/>
  <c r="J190" i="2"/>
  <c r="M475" i="2"/>
  <c r="J475" i="2"/>
  <c r="M474" i="2"/>
  <c r="J474" i="2"/>
  <c r="M476" i="2"/>
  <c r="J476" i="2"/>
  <c r="M441" i="2"/>
  <c r="J441" i="2"/>
  <c r="M440" i="2"/>
  <c r="J440" i="2"/>
  <c r="M438" i="2"/>
  <c r="J438" i="2"/>
  <c r="M436" i="2"/>
  <c r="J436" i="2"/>
  <c r="M437" i="2"/>
  <c r="J437" i="2"/>
  <c r="M439" i="2"/>
  <c r="J439" i="2"/>
  <c r="M412" i="2"/>
  <c r="J412" i="2"/>
  <c r="M411" i="2"/>
  <c r="J411" i="2"/>
  <c r="M402" i="2"/>
  <c r="J402" i="2"/>
  <c r="M401" i="2"/>
  <c r="J401" i="2"/>
  <c r="M399" i="2"/>
  <c r="J399" i="2"/>
  <c r="M400" i="2"/>
  <c r="J400" i="2"/>
  <c r="M1257" i="2"/>
  <c r="J1257" i="2"/>
  <c r="M380" i="2"/>
  <c r="J380" i="2"/>
  <c r="M396" i="2"/>
  <c r="J396" i="2"/>
  <c r="M353" i="2"/>
  <c r="J353" i="2"/>
  <c r="M352" i="2"/>
  <c r="J352" i="2"/>
  <c r="M351" i="2"/>
  <c r="J351" i="2"/>
  <c r="M350" i="2"/>
  <c r="J350" i="2"/>
  <c r="M349" i="2"/>
  <c r="J349" i="2"/>
  <c r="M355" i="2"/>
  <c r="J355" i="2"/>
  <c r="M354" i="2"/>
  <c r="J354" i="2"/>
  <c r="M357" i="2"/>
  <c r="J357" i="2"/>
  <c r="M356" i="2"/>
  <c r="J356" i="2"/>
  <c r="M348" i="2"/>
  <c r="J348" i="2"/>
  <c r="M336" i="2"/>
  <c r="J336" i="2"/>
  <c r="M335" i="2"/>
  <c r="J335" i="2"/>
  <c r="M334" i="2"/>
  <c r="J334" i="2"/>
  <c r="M346" i="2"/>
  <c r="J346" i="2"/>
  <c r="M347" i="2"/>
  <c r="J347" i="2"/>
  <c r="M345" i="2"/>
  <c r="J345" i="2"/>
  <c r="M344" i="2"/>
  <c r="J344" i="2"/>
  <c r="M341" i="2"/>
  <c r="J341" i="2"/>
  <c r="M339" i="2"/>
  <c r="J339" i="2"/>
  <c r="M342" i="2"/>
  <c r="J342" i="2"/>
  <c r="M340" i="2"/>
  <c r="J340" i="2"/>
  <c r="M338" i="2"/>
  <c r="J338" i="2"/>
  <c r="M337" i="2"/>
  <c r="J337" i="2"/>
  <c r="M343" i="2"/>
  <c r="J343" i="2"/>
  <c r="M332" i="2"/>
  <c r="J332" i="2"/>
  <c r="M333" i="2"/>
  <c r="J333" i="2"/>
  <c r="M329" i="2"/>
  <c r="J329" i="2"/>
  <c r="M327" i="2"/>
  <c r="J327" i="2"/>
  <c r="M330" i="2"/>
  <c r="J330" i="2"/>
  <c r="M328" i="2"/>
  <c r="J328" i="2"/>
  <c r="M331" i="2"/>
  <c r="J331" i="2"/>
  <c r="M266" i="2"/>
  <c r="J266" i="2"/>
  <c r="M250" i="2"/>
  <c r="J250" i="2"/>
  <c r="M249" i="2"/>
  <c r="J249" i="2"/>
  <c r="M221" i="2"/>
  <c r="J221" i="2"/>
  <c r="M222" i="2"/>
  <c r="J222" i="2"/>
  <c r="M208" i="2"/>
  <c r="J208" i="2"/>
  <c r="M220" i="2"/>
  <c r="J220" i="2"/>
  <c r="M219" i="2"/>
  <c r="J219" i="2"/>
  <c r="M216" i="2"/>
  <c r="J216" i="2"/>
  <c r="M202" i="2"/>
  <c r="J202" i="2"/>
  <c r="M218" i="2"/>
  <c r="J218" i="2"/>
  <c r="M217" i="2"/>
  <c r="J217" i="2"/>
  <c r="M211" i="2"/>
  <c r="J211" i="2"/>
  <c r="M203" i="2"/>
  <c r="J203" i="2"/>
  <c r="M210" i="2"/>
  <c r="J210" i="2"/>
  <c r="M209" i="2"/>
  <c r="J209" i="2"/>
  <c r="M204" i="2"/>
  <c r="J204" i="2"/>
  <c r="M207" i="2"/>
  <c r="J207" i="2"/>
  <c r="M206" i="2"/>
  <c r="J206" i="2"/>
  <c r="M205" i="2"/>
  <c r="J205" i="2"/>
  <c r="M201" i="2"/>
  <c r="J201" i="2"/>
  <c r="M213" i="2"/>
  <c r="J213" i="2"/>
  <c r="M212" i="2"/>
  <c r="J212" i="2"/>
  <c r="M215" i="2"/>
  <c r="J215" i="2"/>
  <c r="M214" i="2"/>
  <c r="J214" i="2"/>
  <c r="M72" i="2"/>
  <c r="J72" i="2"/>
  <c r="M73" i="2"/>
  <c r="J73" i="2"/>
  <c r="M71" i="2"/>
  <c r="J71" i="2"/>
  <c r="M74" i="2"/>
  <c r="J74" i="2"/>
  <c r="M37" i="2"/>
  <c r="J37" i="2"/>
  <c r="M38" i="2"/>
  <c r="J38" i="2"/>
  <c r="M36" i="2"/>
  <c r="J36" i="2"/>
  <c r="M18" i="2"/>
  <c r="J18" i="2"/>
  <c r="M9" i="2"/>
  <c r="J9" i="2"/>
  <c r="M17" i="2"/>
  <c r="J17" i="2"/>
  <c r="M16" i="2"/>
  <c r="J16" i="2"/>
  <c r="M15" i="2"/>
  <c r="J15" i="2"/>
  <c r="M14" i="2"/>
  <c r="J14" i="2"/>
  <c r="M13" i="2"/>
  <c r="J13" i="2"/>
  <c r="M11" i="2"/>
  <c r="J11" i="2"/>
  <c r="M10" i="2"/>
  <c r="J10" i="2"/>
  <c r="M12" i="2"/>
  <c r="J12" i="2"/>
  <c r="M8" i="2"/>
  <c r="J8" i="2"/>
  <c r="M7" i="2"/>
  <c r="J7" i="2"/>
  <c r="M6" i="2"/>
  <c r="J6" i="2"/>
  <c r="M170" i="2"/>
  <c r="J170" i="2"/>
  <c r="M169" i="2"/>
  <c r="J169" i="2"/>
  <c r="M168" i="2"/>
  <c r="J168" i="2"/>
  <c r="M167" i="2"/>
  <c r="J167" i="2"/>
  <c r="M49" i="2"/>
  <c r="J49" i="2"/>
  <c r="M46" i="2"/>
  <c r="J46" i="2"/>
  <c r="M47" i="2"/>
  <c r="J47" i="2"/>
  <c r="M48" i="2"/>
  <c r="J48" i="2"/>
  <c r="M1584" i="2"/>
  <c r="J1584" i="2"/>
  <c r="M1583" i="2"/>
  <c r="J1583" i="2"/>
  <c r="M1582" i="2"/>
  <c r="J1582" i="2"/>
  <c r="M1581" i="2"/>
  <c r="J1581" i="2"/>
  <c r="M1580" i="2"/>
  <c r="J1580" i="2"/>
  <c r="M1579" i="2"/>
  <c r="J1579" i="2"/>
  <c r="M1577" i="2"/>
  <c r="J1577" i="2"/>
  <c r="M670" i="2"/>
  <c r="J670" i="2"/>
  <c r="M1568" i="2"/>
  <c r="J1568" i="2"/>
  <c r="M1567" i="2"/>
  <c r="J1567" i="2"/>
  <c r="M1469" i="2"/>
  <c r="J1469" i="2"/>
  <c r="M1467" i="2"/>
  <c r="J1467" i="2"/>
  <c r="M1466" i="2"/>
  <c r="J1466" i="2"/>
  <c r="M1450" i="2"/>
  <c r="J1450" i="2"/>
  <c r="M1449" i="2"/>
  <c r="J1449" i="2"/>
  <c r="M1448" i="2"/>
  <c r="J1448" i="2"/>
  <c r="M1447" i="2"/>
  <c r="J1447" i="2"/>
  <c r="M1446" i="2"/>
  <c r="J1446" i="2"/>
  <c r="M1445" i="2"/>
  <c r="J1445" i="2"/>
  <c r="M1444" i="2"/>
  <c r="J1444" i="2"/>
  <c r="M1443" i="2"/>
  <c r="J1443" i="2"/>
  <c r="M1442" i="2"/>
  <c r="J1442" i="2"/>
  <c r="M1441" i="2"/>
  <c r="J1441" i="2"/>
  <c r="M1440" i="2"/>
  <c r="J1440" i="2"/>
  <c r="M1439" i="2"/>
  <c r="J1439" i="2"/>
  <c r="M1438" i="2"/>
  <c r="J1438" i="2"/>
  <c r="M1437" i="2"/>
  <c r="J1437" i="2"/>
  <c r="M1436" i="2"/>
  <c r="J1436" i="2"/>
  <c r="M1435" i="2"/>
  <c r="J1435" i="2"/>
  <c r="M1434" i="2"/>
  <c r="J1434" i="2"/>
  <c r="M1433" i="2"/>
  <c r="J1433" i="2"/>
  <c r="M1432" i="2"/>
  <c r="J1432" i="2"/>
  <c r="M1431" i="2"/>
  <c r="J1431" i="2"/>
  <c r="M1430" i="2"/>
  <c r="J1430" i="2"/>
  <c r="M1429" i="2"/>
  <c r="J1429" i="2"/>
  <c r="M1428" i="2"/>
  <c r="J1428" i="2"/>
  <c r="M1427" i="2"/>
  <c r="J1427" i="2"/>
  <c r="M1426" i="2"/>
  <c r="J1426" i="2"/>
  <c r="M1425" i="2"/>
  <c r="J1425" i="2"/>
  <c r="M1424" i="2"/>
  <c r="J1424" i="2"/>
  <c r="M1423" i="2"/>
  <c r="J1423" i="2"/>
  <c r="M1422" i="2"/>
  <c r="J1422" i="2"/>
  <c r="M855" i="2"/>
  <c r="J855" i="2"/>
  <c r="M1397" i="2"/>
  <c r="J1397" i="2"/>
  <c r="M1396" i="2"/>
  <c r="J1396" i="2"/>
  <c r="M1369" i="2"/>
  <c r="J1369" i="2"/>
  <c r="M1363" i="2"/>
  <c r="J1363" i="2"/>
  <c r="M1362" i="2"/>
  <c r="J1362" i="2"/>
  <c r="M1361" i="2"/>
  <c r="J1361" i="2"/>
  <c r="M1360" i="2"/>
  <c r="J1360" i="2"/>
  <c r="M1359" i="2"/>
  <c r="J1359" i="2"/>
  <c r="M1358" i="2"/>
  <c r="J1358" i="2"/>
  <c r="M1357" i="2"/>
  <c r="J1357" i="2"/>
  <c r="M1356" i="2"/>
  <c r="J1356" i="2"/>
  <c r="M1355" i="2"/>
  <c r="J1355" i="2"/>
  <c r="M1354" i="2"/>
  <c r="J1354" i="2"/>
  <c r="M1353" i="2"/>
  <c r="J1353" i="2"/>
  <c r="M1352" i="2"/>
  <c r="J1352" i="2"/>
  <c r="M1351" i="2"/>
  <c r="J1351" i="2"/>
  <c r="M1350" i="2"/>
  <c r="J1350" i="2"/>
  <c r="M1349" i="2"/>
  <c r="J1349" i="2"/>
  <c r="M1348" i="2"/>
  <c r="J1348" i="2"/>
  <c r="M1347" i="2"/>
  <c r="J1347" i="2"/>
  <c r="M1346" i="2"/>
  <c r="J1346" i="2"/>
  <c r="M1345" i="2"/>
  <c r="J1345" i="2"/>
  <c r="M1344" i="2"/>
  <c r="J1344" i="2"/>
  <c r="M1343" i="2"/>
  <c r="J1343" i="2"/>
  <c r="M1342" i="2"/>
  <c r="J1342" i="2"/>
  <c r="M1341" i="2"/>
  <c r="J1341" i="2"/>
  <c r="M1340" i="2"/>
  <c r="J1340" i="2"/>
  <c r="M1339" i="2"/>
  <c r="J1339" i="2"/>
  <c r="M1338" i="2"/>
  <c r="J1338" i="2"/>
  <c r="M1337" i="2"/>
  <c r="J1337" i="2"/>
  <c r="M1336" i="2"/>
  <c r="J1336" i="2"/>
  <c r="M1335" i="2"/>
  <c r="J1335" i="2"/>
  <c r="M1334" i="2"/>
  <c r="J1334" i="2"/>
  <c r="M1333" i="2"/>
  <c r="J1333" i="2"/>
  <c r="M1332" i="2"/>
  <c r="J1332" i="2"/>
  <c r="M1331" i="2"/>
  <c r="J1331" i="2"/>
  <c r="M1329" i="2"/>
  <c r="J1329" i="2"/>
  <c r="M1328" i="2"/>
  <c r="J1328" i="2"/>
  <c r="M1327" i="2"/>
  <c r="J1327" i="2"/>
  <c r="M1326" i="2"/>
  <c r="J1326" i="2"/>
  <c r="M1325" i="2"/>
  <c r="J1325" i="2"/>
  <c r="M1323" i="2"/>
  <c r="J1323" i="2"/>
  <c r="M1321" i="2"/>
  <c r="J1321" i="2"/>
  <c r="M1320" i="2"/>
  <c r="J1320" i="2"/>
  <c r="M1319" i="2"/>
  <c r="J1319" i="2"/>
  <c r="M1318" i="2"/>
  <c r="J1318" i="2"/>
  <c r="M1317" i="2"/>
  <c r="J1317" i="2"/>
  <c r="M1316" i="2"/>
  <c r="J1316" i="2"/>
  <c r="M1307" i="2"/>
  <c r="J1307" i="2"/>
  <c r="M1306" i="2"/>
  <c r="J1306" i="2"/>
  <c r="M1303" i="2"/>
  <c r="J1303" i="2"/>
  <c r="M1301" i="2"/>
  <c r="J1301" i="2"/>
  <c r="M1298" i="2"/>
  <c r="J1298" i="2"/>
  <c r="M1294" i="2"/>
  <c r="J1294" i="2"/>
  <c r="M1293" i="2"/>
  <c r="J1293" i="2"/>
  <c r="M1283" i="2"/>
  <c r="J1283" i="2"/>
  <c r="M1282" i="2"/>
  <c r="J1282" i="2"/>
  <c r="M1281" i="2"/>
  <c r="J1281" i="2"/>
  <c r="M1280" i="2"/>
  <c r="J1280" i="2"/>
  <c r="M1279" i="2"/>
  <c r="J1279" i="2"/>
  <c r="M1278" i="2"/>
  <c r="J1278" i="2"/>
  <c r="M1256" i="2"/>
  <c r="J1256" i="2"/>
  <c r="M1255" i="2"/>
  <c r="J1255" i="2"/>
  <c r="M1254" i="2"/>
  <c r="J1254" i="2"/>
  <c r="M1253" i="2"/>
  <c r="J1253" i="2"/>
  <c r="M1252" i="2"/>
  <c r="J1252" i="2"/>
  <c r="M1251" i="2"/>
  <c r="J1251" i="2"/>
  <c r="M1250" i="2"/>
  <c r="J1250" i="2"/>
  <c r="M1249" i="2"/>
  <c r="J1249" i="2"/>
  <c r="M1248" i="2"/>
  <c r="J1248" i="2"/>
  <c r="M1247" i="2"/>
  <c r="J1247" i="2"/>
  <c r="M1246" i="2"/>
  <c r="J1246" i="2"/>
  <c r="M1245" i="2"/>
  <c r="J1245" i="2"/>
  <c r="M1244" i="2"/>
  <c r="J1244" i="2"/>
  <c r="M1243" i="2"/>
  <c r="J1243" i="2"/>
  <c r="M1242" i="2"/>
  <c r="J1242" i="2"/>
  <c r="M1241" i="2"/>
  <c r="J1241" i="2"/>
  <c r="M1240" i="2"/>
  <c r="J1240" i="2"/>
  <c r="M1239" i="2"/>
  <c r="J1239" i="2"/>
  <c r="M1237" i="2"/>
  <c r="J1237" i="2"/>
  <c r="M1233" i="2"/>
  <c r="J1233" i="2"/>
  <c r="M1213" i="2"/>
  <c r="J1213" i="2"/>
  <c r="M1212" i="2"/>
  <c r="J1212" i="2"/>
  <c r="M1210" i="2"/>
  <c r="J1210" i="2"/>
  <c r="M1209" i="2"/>
  <c r="J1209" i="2"/>
  <c r="M1208" i="2"/>
  <c r="J1208" i="2"/>
  <c r="M1207" i="2"/>
  <c r="J1207" i="2"/>
  <c r="M1206" i="2"/>
  <c r="J1206" i="2"/>
  <c r="M1205" i="2"/>
  <c r="J1205" i="2"/>
  <c r="M1204" i="2"/>
  <c r="J1204" i="2"/>
  <c r="M1203" i="2"/>
  <c r="J1203" i="2"/>
  <c r="M1202" i="2"/>
  <c r="J1202" i="2"/>
  <c r="M1201" i="2"/>
  <c r="J1201" i="2"/>
  <c r="M1200" i="2"/>
  <c r="J1200" i="2"/>
  <c r="M1199" i="2"/>
  <c r="J1199" i="2"/>
  <c r="M1198" i="2"/>
  <c r="J1198" i="2"/>
  <c r="M1193" i="2"/>
  <c r="J1193" i="2"/>
  <c r="M1192" i="2"/>
  <c r="J1192" i="2"/>
  <c r="M1191" i="2"/>
  <c r="J1191" i="2"/>
  <c r="M1175" i="2"/>
  <c r="J1175" i="2"/>
  <c r="M1174" i="2"/>
  <c r="J1174" i="2"/>
  <c r="M1173" i="2"/>
  <c r="J1173" i="2"/>
  <c r="M1172" i="2"/>
  <c r="J1172" i="2"/>
  <c r="M1171" i="2"/>
  <c r="J1171" i="2"/>
  <c r="M1169" i="2"/>
  <c r="J1169" i="2"/>
  <c r="M1168" i="2"/>
  <c r="J1168" i="2"/>
  <c r="M1167" i="2"/>
  <c r="J1167" i="2"/>
  <c r="M1166" i="2"/>
  <c r="J1166" i="2"/>
  <c r="M1165" i="2"/>
  <c r="J1165" i="2"/>
  <c r="M1163" i="2"/>
  <c r="J1163" i="2"/>
  <c r="M1162" i="2"/>
  <c r="J1162" i="2"/>
  <c r="M1161" i="2"/>
  <c r="J1161" i="2"/>
  <c r="M1160" i="2"/>
  <c r="J1160" i="2"/>
  <c r="M1159" i="2"/>
  <c r="J1159" i="2"/>
  <c r="M1158" i="2"/>
  <c r="J1158" i="2"/>
  <c r="M1157" i="2"/>
  <c r="J1157" i="2"/>
  <c r="M1154" i="2"/>
  <c r="J1154" i="2"/>
  <c r="M1153" i="2"/>
  <c r="J1153" i="2"/>
  <c r="M1152" i="2"/>
  <c r="J1152" i="2"/>
  <c r="M1151" i="2"/>
  <c r="J1151" i="2"/>
  <c r="M1150" i="2"/>
  <c r="J1150" i="2"/>
  <c r="M1147" i="2"/>
  <c r="J1147" i="2"/>
  <c r="M1146" i="2"/>
  <c r="J1146" i="2"/>
  <c r="M1145" i="2"/>
  <c r="J1145" i="2"/>
  <c r="M1144" i="2"/>
  <c r="J1144" i="2"/>
  <c r="M1143" i="2"/>
  <c r="J1143" i="2"/>
  <c r="M1142" i="2"/>
  <c r="J1142" i="2"/>
  <c r="M1141" i="2"/>
  <c r="J1141" i="2"/>
  <c r="M1140" i="2"/>
  <c r="J1140" i="2"/>
  <c r="M1138" i="2"/>
  <c r="J1138" i="2"/>
  <c r="M1137" i="2"/>
  <c r="J1137" i="2"/>
  <c r="M1136" i="2"/>
  <c r="J1136" i="2"/>
  <c r="M1135" i="2"/>
  <c r="J1135" i="2"/>
  <c r="M1134" i="2"/>
  <c r="J1134" i="2"/>
  <c r="M1133" i="2"/>
  <c r="J1133" i="2"/>
  <c r="M1129" i="2"/>
  <c r="J1129" i="2"/>
  <c r="M1126" i="2"/>
  <c r="J1126" i="2"/>
  <c r="M1125" i="2"/>
  <c r="J1125" i="2"/>
  <c r="M1124" i="2"/>
  <c r="J1124" i="2"/>
  <c r="M1123" i="2"/>
  <c r="J1123" i="2"/>
  <c r="M1122" i="2"/>
  <c r="J1122" i="2"/>
  <c r="M1099" i="2"/>
  <c r="J1099" i="2"/>
  <c r="M1094" i="2"/>
  <c r="J1094" i="2"/>
  <c r="M1093" i="2"/>
  <c r="J1093" i="2"/>
  <c r="M1078" i="2"/>
  <c r="J1078" i="2"/>
  <c r="M1077" i="2"/>
  <c r="J1077" i="2"/>
  <c r="M1076" i="2"/>
  <c r="J1076" i="2"/>
  <c r="M1075" i="2"/>
  <c r="J1075" i="2"/>
  <c r="M1074" i="2"/>
  <c r="J1074" i="2"/>
  <c r="M1073" i="2"/>
  <c r="J1073" i="2"/>
  <c r="M1072" i="2"/>
  <c r="J1072" i="2"/>
  <c r="M1071" i="2"/>
  <c r="J1071" i="2"/>
  <c r="M1070" i="2"/>
  <c r="J1070" i="2"/>
  <c r="M1069" i="2"/>
  <c r="J1069" i="2"/>
  <c r="M1068" i="2"/>
  <c r="J1068" i="2"/>
  <c r="M1067" i="2"/>
  <c r="J1067" i="2"/>
  <c r="M1066" i="2"/>
  <c r="J1066" i="2"/>
  <c r="M1065" i="2"/>
  <c r="J1065" i="2"/>
  <c r="M1064" i="2"/>
  <c r="J1064" i="2"/>
  <c r="M1063" i="2"/>
  <c r="J1063" i="2"/>
  <c r="M1062" i="2"/>
  <c r="J1062" i="2"/>
  <c r="M1043" i="2"/>
  <c r="J1043" i="2"/>
  <c r="M1042" i="2"/>
  <c r="J1042" i="2"/>
  <c r="M1041" i="2"/>
  <c r="J1041" i="2"/>
  <c r="M1040" i="2"/>
  <c r="J1040" i="2"/>
  <c r="M1039" i="2"/>
  <c r="J1039" i="2"/>
  <c r="M1038" i="2"/>
  <c r="J1038" i="2"/>
  <c r="M1037" i="2"/>
  <c r="J1037" i="2"/>
  <c r="M1036" i="2"/>
  <c r="J1036" i="2"/>
  <c r="M1035" i="2"/>
  <c r="J1035" i="2"/>
  <c r="M1034" i="2"/>
  <c r="J1034" i="2"/>
  <c r="M1001" i="2"/>
  <c r="J1001" i="2"/>
  <c r="M1000" i="2"/>
  <c r="J1000" i="2"/>
  <c r="M999" i="2"/>
  <c r="J999" i="2"/>
  <c r="M998" i="2"/>
  <c r="J998" i="2"/>
  <c r="M997" i="2"/>
  <c r="J997" i="2"/>
  <c r="M995" i="2"/>
  <c r="J995" i="2"/>
  <c r="M994" i="2"/>
  <c r="J994" i="2"/>
  <c r="M993" i="2"/>
  <c r="J993" i="2"/>
  <c r="M992" i="2"/>
  <c r="J992" i="2"/>
  <c r="M991" i="2"/>
  <c r="J991" i="2"/>
  <c r="M990" i="2"/>
  <c r="J990" i="2"/>
  <c r="M989" i="2"/>
  <c r="J989" i="2"/>
  <c r="M988" i="2"/>
  <c r="J988" i="2"/>
  <c r="M987" i="2"/>
  <c r="J987" i="2"/>
  <c r="M986" i="2"/>
  <c r="J986" i="2"/>
  <c r="M985" i="2"/>
  <c r="J985" i="2"/>
  <c r="M984" i="2"/>
  <c r="J984" i="2"/>
  <c r="M983" i="2"/>
  <c r="J983" i="2"/>
  <c r="M982" i="2"/>
  <c r="J982" i="2"/>
  <c r="M981" i="2"/>
  <c r="J981" i="2"/>
  <c r="M980" i="2"/>
  <c r="J980" i="2"/>
  <c r="M979" i="2"/>
  <c r="J979" i="2"/>
  <c r="M978" i="2"/>
  <c r="J978" i="2"/>
  <c r="M977" i="2"/>
  <c r="J977" i="2"/>
  <c r="M976" i="2"/>
  <c r="J976" i="2"/>
  <c r="M975" i="2"/>
  <c r="J975" i="2"/>
  <c r="M974" i="2"/>
  <c r="J974" i="2"/>
  <c r="M973" i="2"/>
  <c r="J973" i="2"/>
  <c r="M972" i="2"/>
  <c r="J972" i="2"/>
  <c r="M971" i="2"/>
  <c r="J971" i="2"/>
  <c r="M970" i="2"/>
  <c r="J970" i="2"/>
  <c r="M969" i="2"/>
  <c r="J969" i="2"/>
  <c r="M968" i="2"/>
  <c r="J968" i="2"/>
  <c r="M967" i="2"/>
  <c r="J967" i="2"/>
  <c r="M966" i="2"/>
  <c r="J966" i="2"/>
  <c r="M965" i="2"/>
  <c r="J965" i="2"/>
  <c r="M964" i="2"/>
  <c r="J964" i="2"/>
  <c r="M963" i="2"/>
  <c r="J963" i="2"/>
  <c r="M962" i="2"/>
  <c r="J962" i="2"/>
  <c r="M961" i="2"/>
  <c r="J961" i="2"/>
  <c r="M960" i="2"/>
  <c r="J960" i="2"/>
  <c r="M959" i="2"/>
  <c r="J959" i="2"/>
  <c r="M958" i="2"/>
  <c r="J958" i="2"/>
  <c r="M957" i="2"/>
  <c r="J957" i="2"/>
  <c r="M956" i="2"/>
  <c r="J956" i="2"/>
  <c r="M955" i="2"/>
  <c r="J955" i="2"/>
  <c r="M954" i="2"/>
  <c r="J954" i="2"/>
  <c r="M953" i="2"/>
  <c r="J953" i="2"/>
  <c r="M951" i="2"/>
  <c r="J951" i="2"/>
  <c r="M950" i="2"/>
  <c r="J950" i="2"/>
  <c r="M949" i="2"/>
  <c r="J949" i="2"/>
  <c r="M948" i="2"/>
  <c r="J948" i="2"/>
  <c r="M947" i="2"/>
  <c r="J947" i="2"/>
  <c r="M946" i="2"/>
  <c r="J946" i="2"/>
  <c r="M945" i="2"/>
  <c r="J945" i="2"/>
  <c r="M944" i="2"/>
  <c r="J944" i="2"/>
  <c r="M938" i="2"/>
  <c r="J938" i="2"/>
  <c r="M929" i="2"/>
  <c r="J929" i="2"/>
  <c r="M928" i="2"/>
  <c r="J928" i="2"/>
  <c r="M927" i="2"/>
  <c r="J927" i="2"/>
  <c r="M901" i="2"/>
  <c r="J901" i="2"/>
  <c r="M895" i="2"/>
  <c r="J895" i="2"/>
  <c r="M894" i="2"/>
  <c r="J894" i="2"/>
  <c r="M893" i="2"/>
  <c r="J893" i="2"/>
  <c r="M866" i="2"/>
  <c r="J866" i="2"/>
  <c r="M865" i="2"/>
  <c r="J865" i="2"/>
  <c r="M864" i="2"/>
  <c r="J864" i="2"/>
  <c r="M863" i="2"/>
  <c r="J863" i="2"/>
  <c r="M862" i="2"/>
  <c r="J862" i="2"/>
  <c r="M861" i="2"/>
  <c r="J861" i="2"/>
  <c r="M860" i="2"/>
  <c r="J860" i="2"/>
  <c r="M859" i="2"/>
  <c r="J859" i="2"/>
  <c r="M850" i="2"/>
  <c r="J850" i="2"/>
  <c r="M490" i="2"/>
  <c r="J490" i="2"/>
  <c r="M489" i="2"/>
  <c r="J489" i="2"/>
  <c r="M488" i="2"/>
  <c r="J488" i="2"/>
  <c r="M487" i="2"/>
  <c r="J487" i="2"/>
  <c r="M478" i="2"/>
  <c r="J478" i="2"/>
  <c r="M477" i="2"/>
  <c r="J477" i="2"/>
  <c r="M467" i="2"/>
  <c r="J467" i="2"/>
  <c r="M466" i="2"/>
  <c r="J466" i="2"/>
  <c r="M465" i="2"/>
  <c r="J465" i="2"/>
  <c r="M464" i="2"/>
  <c r="J464" i="2"/>
  <c r="M463" i="2"/>
  <c r="J463" i="2"/>
  <c r="M462" i="2"/>
  <c r="J462" i="2"/>
  <c r="M461" i="2"/>
  <c r="J461" i="2"/>
  <c r="M460" i="2"/>
  <c r="J460" i="2"/>
  <c r="M459" i="2"/>
  <c r="J459" i="2"/>
  <c r="M458" i="2"/>
  <c r="J458" i="2"/>
  <c r="M457" i="2"/>
  <c r="J457" i="2"/>
  <c r="M456" i="2"/>
  <c r="J456" i="2"/>
  <c r="M455" i="2"/>
  <c r="J455" i="2"/>
  <c r="M454" i="2"/>
  <c r="J454" i="2"/>
  <c r="M453" i="2"/>
  <c r="J453" i="2"/>
  <c r="M452" i="2"/>
  <c r="J452" i="2"/>
  <c r="M451" i="2"/>
  <c r="J451" i="2"/>
  <c r="M450" i="2"/>
  <c r="J450" i="2"/>
  <c r="M449" i="2"/>
  <c r="J449" i="2"/>
  <c r="M448" i="2"/>
  <c r="J448" i="2"/>
  <c r="M447" i="2"/>
  <c r="J447" i="2"/>
  <c r="M446" i="2"/>
  <c r="J446" i="2"/>
  <c r="M445" i="2"/>
  <c r="J445" i="2"/>
  <c r="M444" i="2"/>
  <c r="J444" i="2"/>
  <c r="M443" i="2"/>
  <c r="J443" i="2"/>
  <c r="M442" i="2"/>
  <c r="J442" i="2"/>
  <c r="M434" i="2"/>
  <c r="J434" i="2"/>
  <c r="M433" i="2"/>
  <c r="J433" i="2"/>
  <c r="M432" i="2"/>
  <c r="J432" i="2"/>
  <c r="M431" i="2"/>
  <c r="J431" i="2"/>
  <c r="M430" i="2"/>
  <c r="J430" i="2"/>
  <c r="M429" i="2"/>
  <c r="J429" i="2"/>
  <c r="M428" i="2"/>
  <c r="J428" i="2"/>
  <c r="M427" i="2"/>
  <c r="J427" i="2"/>
  <c r="M426" i="2"/>
  <c r="J426" i="2"/>
  <c r="M425" i="2"/>
  <c r="J425" i="2"/>
  <c r="M424" i="2"/>
  <c r="J424" i="2"/>
  <c r="M423" i="2"/>
  <c r="J423" i="2"/>
  <c r="M422" i="2"/>
  <c r="J422" i="2"/>
  <c r="M421" i="2"/>
  <c r="J421" i="2"/>
  <c r="M420" i="2"/>
  <c r="J420" i="2"/>
  <c r="M419" i="2"/>
  <c r="J419" i="2"/>
  <c r="M418" i="2"/>
  <c r="J418" i="2"/>
  <c r="M417" i="2"/>
  <c r="J417" i="2"/>
  <c r="M416" i="2"/>
  <c r="J416" i="2"/>
  <c r="M415" i="2"/>
  <c r="J415" i="2"/>
  <c r="M414" i="2"/>
  <c r="J414" i="2"/>
  <c r="M410" i="2"/>
  <c r="J410" i="2"/>
  <c r="M409" i="2"/>
  <c r="J409" i="2"/>
  <c r="M408" i="2"/>
  <c r="J408" i="2"/>
  <c r="M407" i="2"/>
  <c r="J407" i="2"/>
  <c r="M406" i="2"/>
  <c r="J406" i="2"/>
  <c r="M405" i="2"/>
  <c r="J405" i="2"/>
  <c r="M404" i="2"/>
  <c r="J404" i="2"/>
  <c r="M403" i="2"/>
  <c r="J403" i="2"/>
  <c r="M377" i="2"/>
  <c r="J377" i="2"/>
  <c r="M376" i="2"/>
  <c r="J376" i="2"/>
  <c r="M375" i="2"/>
  <c r="J375" i="2"/>
  <c r="M374" i="2"/>
  <c r="J374" i="2"/>
  <c r="M373" i="2"/>
  <c r="J373" i="2"/>
  <c r="M372" i="2"/>
  <c r="J372" i="2"/>
  <c r="M371" i="2"/>
  <c r="J371" i="2"/>
  <c r="M370" i="2"/>
  <c r="J370" i="2"/>
  <c r="M369" i="2"/>
  <c r="J369" i="2"/>
  <c r="M321" i="2"/>
  <c r="J321" i="2"/>
  <c r="M320" i="2"/>
  <c r="J320" i="2"/>
  <c r="M319" i="2"/>
  <c r="J319" i="2"/>
  <c r="M318" i="2"/>
  <c r="J318" i="2"/>
  <c r="M317" i="2"/>
  <c r="J317" i="2"/>
  <c r="M316" i="2"/>
  <c r="J316" i="2"/>
  <c r="M315" i="2"/>
  <c r="J315" i="2"/>
  <c r="M314" i="2"/>
  <c r="J314" i="2"/>
  <c r="M313" i="2"/>
  <c r="J313" i="2"/>
  <c r="M312" i="2"/>
  <c r="J312" i="2"/>
  <c r="M311" i="2"/>
  <c r="J311" i="2"/>
  <c r="M310" i="2"/>
  <c r="J310" i="2"/>
  <c r="M309" i="2"/>
  <c r="J309" i="2"/>
  <c r="M308" i="2"/>
  <c r="J308" i="2"/>
  <c r="M307" i="2"/>
  <c r="J307" i="2"/>
  <c r="M306" i="2"/>
  <c r="J306" i="2"/>
  <c r="M305" i="2"/>
  <c r="J305" i="2"/>
  <c r="M304" i="2"/>
  <c r="J304" i="2"/>
  <c r="M303" i="2"/>
  <c r="J303" i="2"/>
  <c r="M302" i="2"/>
  <c r="J302" i="2"/>
  <c r="M301" i="2"/>
  <c r="J301" i="2"/>
  <c r="M300" i="2"/>
  <c r="J300" i="2"/>
  <c r="M299" i="2"/>
  <c r="J299" i="2"/>
  <c r="M298" i="2"/>
  <c r="J298" i="2"/>
  <c r="M297" i="2"/>
  <c r="J297" i="2"/>
  <c r="M296" i="2"/>
  <c r="J296" i="2"/>
  <c r="M295" i="2"/>
  <c r="J295" i="2"/>
  <c r="M294" i="2"/>
  <c r="J294" i="2"/>
  <c r="M293" i="2"/>
  <c r="J293" i="2"/>
  <c r="M292" i="2"/>
  <c r="J292" i="2"/>
  <c r="M291" i="2"/>
  <c r="J291" i="2"/>
  <c r="M290" i="2"/>
  <c r="J290" i="2"/>
  <c r="M289" i="2"/>
  <c r="J289" i="2"/>
  <c r="M288" i="2"/>
  <c r="J288" i="2"/>
  <c r="M287" i="2"/>
  <c r="J287" i="2"/>
  <c r="M286" i="2"/>
  <c r="J286" i="2"/>
  <c r="M285" i="2"/>
  <c r="J285" i="2"/>
  <c r="M284" i="2"/>
  <c r="J284" i="2"/>
  <c r="M283" i="2"/>
  <c r="J283" i="2"/>
  <c r="M282" i="2"/>
  <c r="J282" i="2"/>
  <c r="M281" i="2"/>
  <c r="J281" i="2"/>
  <c r="M280" i="2"/>
  <c r="J280" i="2"/>
  <c r="M279" i="2"/>
  <c r="J279" i="2"/>
  <c r="M278" i="2"/>
  <c r="J278" i="2"/>
  <c r="M277" i="2"/>
  <c r="J277" i="2"/>
  <c r="M276" i="2"/>
  <c r="J276" i="2"/>
  <c r="M275" i="2"/>
  <c r="J275" i="2"/>
  <c r="M274" i="2"/>
  <c r="J274" i="2"/>
  <c r="M273" i="2"/>
  <c r="J273" i="2"/>
  <c r="M272" i="2"/>
  <c r="J272" i="2"/>
  <c r="M271" i="2"/>
  <c r="J271" i="2"/>
  <c r="M269" i="2"/>
  <c r="J269" i="2"/>
  <c r="M268" i="2"/>
  <c r="J268" i="2"/>
  <c r="M267" i="2"/>
  <c r="J267" i="2"/>
  <c r="M265" i="2"/>
  <c r="J265" i="2"/>
  <c r="M264" i="2"/>
  <c r="J264" i="2"/>
  <c r="M263" i="2"/>
  <c r="J263" i="2"/>
  <c r="M262" i="2"/>
  <c r="J262" i="2"/>
  <c r="M261" i="2"/>
  <c r="J261" i="2"/>
  <c r="M260" i="2"/>
  <c r="J260" i="2"/>
  <c r="M259" i="2"/>
  <c r="J259" i="2"/>
  <c r="M258" i="2"/>
  <c r="J258" i="2"/>
  <c r="M257" i="2"/>
  <c r="J257" i="2"/>
  <c r="M175" i="2"/>
  <c r="J175" i="2"/>
  <c r="M174" i="2"/>
  <c r="J174" i="2"/>
  <c r="M172" i="2"/>
  <c r="J172" i="2"/>
  <c r="M35" i="2"/>
  <c r="J35" i="2"/>
  <c r="M34" i="2"/>
  <c r="J34" i="2"/>
  <c r="M33" i="2"/>
  <c r="J33" i="2"/>
  <c r="M32" i="2"/>
  <c r="J32" i="2"/>
  <c r="M31" i="2"/>
  <c r="J31" i="2"/>
  <c r="M30" i="2"/>
  <c r="J30" i="2"/>
  <c r="M29" i="2"/>
  <c r="J29" i="2"/>
  <c r="M28" i="2"/>
  <c r="J28" i="2"/>
  <c r="M25" i="2"/>
  <c r="J25" i="2"/>
  <c r="M24" i="2"/>
  <c r="J24" i="2"/>
  <c r="M23" i="2"/>
  <c r="J23" i="2"/>
  <c r="M22" i="2"/>
  <c r="J22" i="2"/>
  <c r="M21" i="2"/>
  <c r="J21" i="2"/>
  <c r="M19" i="2"/>
  <c r="J19" i="2"/>
  <c r="M765" i="2"/>
  <c r="J765" i="2"/>
  <c r="M3226" i="2"/>
  <c r="J3226" i="2"/>
  <c r="M2508" i="2"/>
  <c r="J2508" i="2"/>
  <c r="M2506" i="2"/>
  <c r="J2506" i="2"/>
  <c r="M2503" i="2"/>
  <c r="J2503" i="2"/>
  <c r="M5364" i="2"/>
  <c r="J5364" i="2"/>
  <c r="M5363" i="2"/>
  <c r="J5363" i="2"/>
  <c r="M5362" i="2"/>
  <c r="J5362" i="2"/>
  <c r="M5361" i="2"/>
  <c r="J5361" i="2"/>
  <c r="M5360" i="2"/>
  <c r="J5360" i="2"/>
  <c r="M5359" i="2"/>
  <c r="J5359" i="2"/>
  <c r="M5358" i="2"/>
  <c r="J5358" i="2"/>
  <c r="M5357" i="2"/>
  <c r="J5357" i="2"/>
  <c r="M5356" i="2"/>
  <c r="J5356" i="2"/>
  <c r="M5355" i="2"/>
  <c r="J5355" i="2"/>
  <c r="M5132" i="2"/>
  <c r="J5132" i="2"/>
  <c r="M5094" i="2"/>
  <c r="J5094" i="2"/>
  <c r="M5062" i="2"/>
  <c r="J5062" i="2"/>
  <c r="M5060" i="2"/>
  <c r="J5060" i="2"/>
  <c r="M2272" i="2"/>
  <c r="J2272" i="2"/>
  <c r="M2271" i="2"/>
  <c r="J2271" i="2"/>
  <c r="M2270" i="2"/>
  <c r="J2270" i="2"/>
  <c r="M2269" i="2"/>
  <c r="J2269" i="2"/>
  <c r="M2268" i="2"/>
  <c r="J2268" i="2"/>
  <c r="M2267" i="2"/>
  <c r="J2267" i="2"/>
  <c r="M2266" i="2"/>
  <c r="J2266" i="2"/>
  <c r="M2265" i="2"/>
  <c r="J2265" i="2"/>
  <c r="M2264" i="2"/>
  <c r="J2264" i="2"/>
  <c r="M2263" i="2"/>
  <c r="J2263" i="2"/>
  <c r="M2262" i="2"/>
  <c r="J2262" i="2"/>
  <c r="M2261" i="2"/>
  <c r="J2261" i="2"/>
  <c r="M2260" i="2"/>
  <c r="J2260" i="2"/>
  <c r="M2259" i="2"/>
  <c r="J2259" i="2"/>
  <c r="M2258" i="2"/>
  <c r="J2258" i="2"/>
  <c r="M2257" i="2"/>
  <c r="J2257" i="2"/>
  <c r="M2256" i="2"/>
  <c r="J2256" i="2"/>
  <c r="M2041" i="2"/>
  <c r="J2041" i="2"/>
  <c r="M699" i="2"/>
  <c r="J699" i="2"/>
  <c r="M703" i="2"/>
  <c r="J703" i="2"/>
  <c r="M695" i="2"/>
  <c r="J695" i="2"/>
  <c r="M638" i="2"/>
  <c r="J638" i="2"/>
  <c r="M630" i="2"/>
  <c r="J630" i="2"/>
  <c r="M628" i="2"/>
  <c r="J628" i="2"/>
  <c r="M627" i="2"/>
  <c r="J627" i="2"/>
  <c r="M613" i="2"/>
  <c r="J613" i="2"/>
  <c r="M612" i="2"/>
  <c r="J612" i="2"/>
  <c r="M611" i="2"/>
  <c r="J611" i="2"/>
  <c r="M610" i="2"/>
  <c r="J610" i="2"/>
  <c r="M609" i="2"/>
  <c r="J609" i="2"/>
  <c r="M608" i="2"/>
  <c r="J608" i="2"/>
  <c r="M607" i="2"/>
  <c r="J607" i="2"/>
  <c r="M557" i="2"/>
  <c r="J557" i="2"/>
  <c r="M556" i="2"/>
  <c r="J556" i="2"/>
  <c r="M555" i="2"/>
  <c r="J555" i="2"/>
  <c r="M552" i="2"/>
  <c r="J552" i="2"/>
  <c r="M549" i="2"/>
  <c r="J549" i="2"/>
  <c r="M548" i="2"/>
  <c r="J548" i="2"/>
  <c r="M547" i="2"/>
  <c r="J547" i="2"/>
  <c r="M544" i="2"/>
  <c r="J544" i="2"/>
  <c r="M543" i="2"/>
  <c r="J543" i="2"/>
  <c r="M542" i="2"/>
  <c r="J542" i="2"/>
  <c r="M536" i="2"/>
  <c r="J536" i="2"/>
  <c r="M535" i="2"/>
  <c r="J535" i="2"/>
  <c r="M534" i="2"/>
  <c r="J534" i="2"/>
  <c r="M533" i="2"/>
  <c r="J533" i="2"/>
  <c r="M529" i="2"/>
  <c r="J529" i="2"/>
  <c r="M524" i="2"/>
  <c r="J524" i="2"/>
  <c r="M521" i="2"/>
  <c r="J521" i="2"/>
  <c r="M517" i="2"/>
  <c r="J517" i="2"/>
  <c r="M515" i="2"/>
  <c r="J515" i="2"/>
  <c r="M507" i="2"/>
  <c r="J507" i="2"/>
  <c r="M506" i="2"/>
  <c r="J506" i="2"/>
  <c r="M505" i="2"/>
  <c r="J505" i="2"/>
  <c r="M504" i="2"/>
  <c r="J504" i="2"/>
  <c r="M503" i="2"/>
  <c r="J503" i="2"/>
  <c r="M502" i="2"/>
  <c r="J502" i="2"/>
  <c r="M501" i="2"/>
  <c r="J501" i="2"/>
  <c r="M500" i="2"/>
  <c r="J500" i="2"/>
  <c r="M499" i="2"/>
  <c r="J499" i="2"/>
  <c r="M498" i="2"/>
  <c r="J498" i="2"/>
  <c r="M494" i="2"/>
  <c r="J494" i="2"/>
  <c r="M495" i="2"/>
  <c r="J495" i="2"/>
  <c r="M493" i="2"/>
  <c r="J493" i="2"/>
  <c r="M390" i="2"/>
  <c r="J390" i="2"/>
  <c r="M389" i="2"/>
  <c r="J389" i="2"/>
  <c r="M387" i="2"/>
  <c r="J387" i="2"/>
  <c r="M386" i="2"/>
  <c r="J386" i="2"/>
  <c r="M392" i="2"/>
  <c r="J392" i="2"/>
  <c r="M391" i="2"/>
  <c r="J391" i="2"/>
  <c r="M388" i="2"/>
  <c r="J388" i="2"/>
  <c r="M383" i="2"/>
  <c r="J383" i="2"/>
  <c r="M381" i="2"/>
  <c r="J381" i="2"/>
  <c r="M382" i="2"/>
  <c r="J382" i="2"/>
  <c r="M1920" i="2"/>
  <c r="J1920" i="2"/>
  <c r="M640" i="2"/>
  <c r="J640" i="2"/>
  <c r="M639" i="2"/>
  <c r="J639" i="2"/>
  <c r="M558" i="2"/>
  <c r="J558" i="2"/>
  <c r="M554" i="2"/>
  <c r="J554" i="2"/>
  <c r="M540" i="2"/>
  <c r="J540" i="2"/>
  <c r="M539" i="2"/>
  <c r="J539" i="2"/>
  <c r="M537" i="2"/>
  <c r="J537" i="2"/>
  <c r="M528" i="2"/>
  <c r="J528" i="2"/>
  <c r="M525" i="2"/>
  <c r="J525" i="2"/>
  <c r="M1139" i="2"/>
  <c r="J1139" i="2"/>
  <c r="M996" i="2"/>
  <c r="J996" i="2"/>
  <c r="M952" i="2"/>
  <c r="J952" i="2"/>
  <c r="M914" i="2"/>
  <c r="J914" i="2"/>
  <c r="M913" i="2"/>
  <c r="J913" i="2"/>
  <c r="M903" i="2"/>
  <c r="J903" i="2"/>
  <c r="M902" i="2"/>
  <c r="J902" i="2"/>
  <c r="M270" i="2"/>
  <c r="J270" i="2"/>
  <c r="M27" i="2"/>
  <c r="J27" i="2"/>
  <c r="M26" i="2"/>
  <c r="J26" i="2"/>
  <c r="M2509" i="2"/>
  <c r="J2509" i="2"/>
  <c r="M2507" i="2"/>
  <c r="J2507" i="2"/>
  <c r="M2512" i="2"/>
  <c r="J2512" i="2"/>
  <c r="M2505" i="2"/>
  <c r="J2505" i="2"/>
  <c r="M2504" i="2"/>
  <c r="J2504" i="2"/>
  <c r="M2494" i="2"/>
  <c r="J2494" i="2"/>
  <c r="M2493" i="2"/>
  <c r="J2493" i="2"/>
  <c r="M2492" i="2"/>
  <c r="J2492" i="2"/>
  <c r="M2491" i="2"/>
  <c r="J2491" i="2"/>
  <c r="M2489" i="2"/>
  <c r="J2489" i="2"/>
  <c r="M2487" i="2"/>
  <c r="J2487" i="2"/>
  <c r="M2486" i="2"/>
  <c r="J2486" i="2"/>
  <c r="M2484" i="2"/>
  <c r="J2484" i="2"/>
  <c r="M2483" i="2"/>
  <c r="J2483" i="2"/>
  <c r="M2482" i="2"/>
  <c r="J2482" i="2"/>
  <c r="M2481" i="2"/>
  <c r="J2481" i="2"/>
  <c r="M2480" i="2"/>
  <c r="J2480" i="2"/>
  <c r="M2479" i="2"/>
  <c r="J2479" i="2"/>
  <c r="M2478" i="2"/>
  <c r="J2478" i="2"/>
  <c r="M2476" i="2"/>
  <c r="J2476" i="2"/>
  <c r="M2474" i="2"/>
  <c r="J2474" i="2"/>
  <c r="M2473" i="2"/>
  <c r="J2473" i="2"/>
  <c r="M2471" i="2"/>
  <c r="J2471" i="2"/>
  <c r="M2470" i="2"/>
  <c r="J2470" i="2"/>
  <c r="M2467" i="2"/>
  <c r="J2467" i="2"/>
  <c r="M2465" i="2"/>
  <c r="J2465" i="2"/>
  <c r="M2463" i="2"/>
  <c r="J2463" i="2"/>
  <c r="M2461" i="2"/>
  <c r="J2461" i="2"/>
  <c r="M2457" i="2"/>
  <c r="J2457" i="2"/>
  <c r="M5802" i="2"/>
  <c r="J5802" i="2"/>
  <c r="M5801" i="2"/>
  <c r="J5801" i="2"/>
  <c r="M5799" i="2"/>
  <c r="J5799" i="2"/>
  <c r="M5690" i="2"/>
  <c r="J5690" i="2"/>
  <c r="M5470" i="2"/>
  <c r="J5470" i="2"/>
  <c r="M5440" i="2"/>
  <c r="J5440" i="2"/>
  <c r="M5439" i="2"/>
  <c r="J5439" i="2"/>
  <c r="M5438" i="2"/>
  <c r="J5438" i="2"/>
  <c r="M5427" i="2"/>
  <c r="J5427" i="2"/>
  <c r="M5425" i="2"/>
  <c r="J5425" i="2"/>
  <c r="M5424" i="2"/>
  <c r="J5424" i="2"/>
  <c r="M5422" i="2"/>
  <c r="J5422" i="2"/>
  <c r="M5419" i="2"/>
  <c r="J5419" i="2"/>
  <c r="M5418" i="2"/>
  <c r="J5418" i="2"/>
  <c r="M5417" i="2"/>
  <c r="J5417" i="2"/>
  <c r="M5416" i="2"/>
  <c r="J5416" i="2"/>
  <c r="M5415" i="2"/>
  <c r="J5415" i="2"/>
  <c r="M5414" i="2"/>
  <c r="J5414" i="2"/>
  <c r="M5413" i="2"/>
  <c r="J5413" i="2"/>
  <c r="M5412" i="2"/>
  <c r="J5412" i="2"/>
  <c r="M5411" i="2"/>
  <c r="J5411" i="2"/>
  <c r="M5410" i="2"/>
  <c r="J5410" i="2"/>
  <c r="M5409" i="2"/>
  <c r="J5409" i="2"/>
  <c r="M5408" i="2"/>
  <c r="J5408" i="2"/>
  <c r="M5407" i="2"/>
  <c r="J5407" i="2"/>
  <c r="M5406" i="2"/>
  <c r="J5406" i="2"/>
  <c r="M5405" i="2"/>
  <c r="J5405" i="2"/>
  <c r="M5404" i="2"/>
  <c r="J5404" i="2"/>
  <c r="M5390" i="2"/>
  <c r="J5390" i="2"/>
  <c r="M5388" i="2"/>
  <c r="J5388" i="2"/>
  <c r="M5387" i="2"/>
  <c r="J5387" i="2"/>
  <c r="M5386" i="2"/>
  <c r="J5386" i="2"/>
  <c r="M5385" i="2"/>
  <c r="J5385" i="2"/>
  <c r="M5318" i="2"/>
  <c r="J5318" i="2"/>
  <c r="M5317" i="2"/>
  <c r="J5317" i="2"/>
  <c r="M5316" i="2"/>
  <c r="J5316" i="2"/>
  <c r="M5293" i="2"/>
  <c r="J5293" i="2"/>
  <c r="M5292" i="2"/>
  <c r="J5292" i="2"/>
  <c r="M5291" i="2"/>
  <c r="J5291" i="2"/>
  <c r="M5290" i="2"/>
  <c r="J5290" i="2"/>
  <c r="M5289" i="2"/>
  <c r="J5289" i="2"/>
  <c r="M5288" i="2"/>
  <c r="J5288" i="2"/>
  <c r="M4987" i="2"/>
  <c r="J4987" i="2"/>
  <c r="M4986" i="2"/>
  <c r="J4986" i="2"/>
  <c r="M4985" i="2"/>
  <c r="J4985" i="2"/>
  <c r="M4984" i="2"/>
  <c r="J4984" i="2"/>
  <c r="M4983" i="2"/>
  <c r="J4983" i="2"/>
  <c r="M4982" i="2"/>
  <c r="J4982" i="2"/>
  <c r="M4770" i="2"/>
  <c r="J4770" i="2"/>
  <c r="M4769" i="2"/>
  <c r="J4769" i="2"/>
  <c r="M4768" i="2"/>
  <c r="J4768" i="2"/>
  <c r="M4614" i="2"/>
  <c r="J4614" i="2"/>
  <c r="M4613" i="2"/>
  <c r="J4613" i="2"/>
  <c r="M4612" i="2"/>
  <c r="J4612" i="2"/>
  <c r="M4611" i="2"/>
  <c r="J4611" i="2"/>
  <c r="M4610" i="2"/>
  <c r="J4610" i="2"/>
  <c r="M4609" i="2"/>
  <c r="J4609" i="2"/>
  <c r="M4608" i="2"/>
  <c r="J4608" i="2"/>
  <c r="M4607" i="2"/>
  <c r="J4607" i="2"/>
  <c r="M4606" i="2"/>
  <c r="J4606" i="2"/>
  <c r="M4605" i="2"/>
  <c r="J4605" i="2"/>
  <c r="M4604" i="2"/>
  <c r="J4604" i="2"/>
  <c r="M4603" i="2"/>
  <c r="J4603" i="2"/>
  <c r="M4602" i="2"/>
  <c r="J4602" i="2"/>
  <c r="M4601" i="2"/>
  <c r="J4601" i="2"/>
  <c r="M4600" i="2"/>
  <c r="J4600" i="2"/>
  <c r="M4596" i="2"/>
  <c r="J4596" i="2"/>
  <c r="M4595" i="2"/>
  <c r="J4595" i="2"/>
  <c r="M4594" i="2"/>
  <c r="J4594" i="2"/>
  <c r="M4593" i="2"/>
  <c r="J4593" i="2"/>
  <c r="M4592" i="2"/>
  <c r="J4592" i="2"/>
  <c r="M4591" i="2"/>
  <c r="J4591" i="2"/>
  <c r="M4590" i="2"/>
  <c r="J4590" i="2"/>
  <c r="M4589" i="2"/>
  <c r="J4589" i="2"/>
  <c r="M4588" i="2"/>
  <c r="J4588" i="2"/>
  <c r="M4587" i="2"/>
  <c r="J4587" i="2"/>
  <c r="M4586" i="2"/>
  <c r="J4586" i="2"/>
  <c r="M4585" i="2"/>
  <c r="J4585" i="2"/>
  <c r="M4584" i="2"/>
  <c r="J4584" i="2"/>
  <c r="M4583" i="2"/>
  <c r="J4583" i="2"/>
  <c r="M4582" i="2"/>
  <c r="J4582" i="2"/>
  <c r="M4581" i="2"/>
  <c r="J4581" i="2"/>
  <c r="M4580" i="2"/>
  <c r="J4580" i="2"/>
  <c r="M4579" i="2"/>
  <c r="J4579" i="2"/>
  <c r="M4578" i="2"/>
  <c r="J4578" i="2"/>
  <c r="M4577" i="2"/>
  <c r="J4577" i="2"/>
  <c r="M4576" i="2"/>
  <c r="J4576" i="2"/>
  <c r="M4575" i="2"/>
  <c r="J4575" i="2"/>
  <c r="M4574" i="2"/>
  <c r="J4574" i="2"/>
  <c r="M4573" i="2"/>
  <c r="J4573" i="2"/>
  <c r="M4572" i="2"/>
  <c r="J4572" i="2"/>
  <c r="M4571" i="2"/>
  <c r="J4571" i="2"/>
  <c r="M4570" i="2"/>
  <c r="J4570" i="2"/>
  <c r="M4569" i="2"/>
  <c r="J4569" i="2"/>
  <c r="M4568" i="2"/>
  <c r="J4568" i="2"/>
  <c r="M4567" i="2"/>
  <c r="J4567" i="2"/>
  <c r="M4566" i="2"/>
  <c r="J4566" i="2"/>
  <c r="M4565" i="2"/>
  <c r="J4565" i="2"/>
  <c r="M4564" i="2"/>
  <c r="J4564" i="2"/>
  <c r="M4563" i="2"/>
  <c r="J4563" i="2"/>
  <c r="M4562" i="2"/>
  <c r="J4562" i="2"/>
  <c r="M4561" i="2"/>
  <c r="J4561" i="2"/>
  <c r="M4560" i="2"/>
  <c r="J4560" i="2"/>
  <c r="M4559" i="2"/>
  <c r="J4559" i="2"/>
  <c r="M4558" i="2"/>
  <c r="J4558" i="2"/>
  <c r="M4557" i="2"/>
  <c r="J4557" i="2"/>
  <c r="M4556" i="2"/>
  <c r="J4556" i="2"/>
  <c r="M4555" i="2"/>
  <c r="J4555" i="2"/>
  <c r="M4554" i="2"/>
  <c r="J4554" i="2"/>
  <c r="M4553" i="2"/>
  <c r="J4553" i="2"/>
  <c r="M4552" i="2"/>
  <c r="J4552" i="2"/>
  <c r="M4551" i="2"/>
  <c r="J4551" i="2"/>
  <c r="M4550" i="2"/>
  <c r="J4550" i="2"/>
  <c r="M4549" i="2"/>
  <c r="J4549" i="2"/>
  <c r="M4547" i="2"/>
  <c r="J4547" i="2"/>
  <c r="M4546" i="2"/>
  <c r="J4546" i="2"/>
  <c r="M4544" i="2"/>
  <c r="J4544" i="2"/>
  <c r="M4541" i="2"/>
  <c r="J4541" i="2"/>
  <c r="M4540" i="2"/>
  <c r="J4540" i="2"/>
  <c r="M4538" i="2"/>
  <c r="J4538" i="2"/>
  <c r="M4448" i="2"/>
  <c r="J4448" i="2"/>
  <c r="M4442" i="2"/>
  <c r="J4442" i="2"/>
  <c r="M4441" i="2"/>
  <c r="J4441" i="2"/>
  <c r="M4440" i="2"/>
  <c r="J4440" i="2"/>
  <c r="M4439" i="2"/>
  <c r="J4439" i="2"/>
  <c r="M4437" i="2"/>
  <c r="J4437" i="2"/>
  <c r="M4436" i="2"/>
  <c r="J4436" i="2"/>
  <c r="M4435" i="2"/>
  <c r="J4435" i="2"/>
  <c r="M4434" i="2"/>
  <c r="J4434" i="2"/>
  <c r="M4433" i="2"/>
  <c r="J4433" i="2"/>
  <c r="M4426" i="2"/>
  <c r="J4426" i="2"/>
  <c r="M4424" i="2"/>
  <c r="J4424" i="2"/>
  <c r="M4423" i="2"/>
  <c r="J4423" i="2"/>
  <c r="M4422" i="2"/>
  <c r="J4422" i="2"/>
  <c r="M4421" i="2"/>
  <c r="J4421" i="2"/>
  <c r="M4420" i="2"/>
  <c r="J4420" i="2"/>
  <c r="M4418" i="2"/>
  <c r="J4418" i="2"/>
  <c r="M4417" i="2"/>
  <c r="J4417" i="2"/>
  <c r="M4416" i="2"/>
  <c r="J4416" i="2"/>
  <c r="M4415" i="2"/>
  <c r="J4415" i="2"/>
  <c r="M4414" i="2"/>
  <c r="J4414" i="2"/>
  <c r="M4413" i="2"/>
  <c r="J4413" i="2"/>
  <c r="M4412" i="2"/>
  <c r="J4412" i="2"/>
  <c r="M4411" i="2"/>
  <c r="J4411" i="2"/>
  <c r="M4410" i="2"/>
  <c r="J4410" i="2"/>
  <c r="M4409" i="2"/>
  <c r="J4409" i="2"/>
  <c r="M4408" i="2"/>
  <c r="J4408" i="2"/>
  <c r="M4407" i="2"/>
  <c r="J4407" i="2"/>
  <c r="M4406" i="2"/>
  <c r="J4406" i="2"/>
  <c r="M4405" i="2"/>
  <c r="J4405" i="2"/>
  <c r="M4404" i="2"/>
  <c r="J4404" i="2"/>
  <c r="M4403" i="2"/>
  <c r="J4403" i="2"/>
  <c r="M4399" i="2"/>
  <c r="J4399" i="2"/>
  <c r="M4398" i="2"/>
  <c r="J4398" i="2"/>
  <c r="M4396" i="2"/>
  <c r="J4396" i="2"/>
  <c r="M4395" i="2"/>
  <c r="J4395" i="2"/>
  <c r="M4394" i="2"/>
  <c r="J4394" i="2"/>
  <c r="M4393" i="2"/>
  <c r="J4393" i="2"/>
  <c r="M4392" i="2"/>
  <c r="J4392" i="2"/>
  <c r="M4391" i="2"/>
  <c r="J4391" i="2"/>
  <c r="M4390" i="2"/>
  <c r="J4390" i="2"/>
  <c r="M4389" i="2"/>
  <c r="J4389" i="2"/>
  <c r="M4386" i="2"/>
  <c r="J4386" i="2"/>
  <c r="M4385" i="2"/>
  <c r="J4385" i="2"/>
  <c r="M4384" i="2"/>
  <c r="J4384" i="2"/>
  <c r="M4383" i="2"/>
  <c r="J4383" i="2"/>
  <c r="M4381" i="2"/>
  <c r="J4381" i="2"/>
  <c r="M4380" i="2"/>
  <c r="J4380" i="2"/>
  <c r="M4379" i="2"/>
  <c r="J4379" i="2"/>
  <c r="M4378" i="2"/>
  <c r="J4378" i="2"/>
  <c r="M4377" i="2"/>
  <c r="J4377" i="2"/>
  <c r="M4376" i="2"/>
  <c r="J4376" i="2"/>
  <c r="M4375" i="2"/>
  <c r="J4375" i="2"/>
  <c r="M4374" i="2"/>
  <c r="J4374" i="2"/>
  <c r="M4372" i="2"/>
  <c r="J4372" i="2"/>
  <c r="M4371" i="2"/>
  <c r="J4371" i="2"/>
  <c r="M4370" i="2"/>
  <c r="J4370" i="2"/>
  <c r="M4364" i="2"/>
  <c r="J4364" i="2"/>
  <c r="M4362" i="2"/>
  <c r="J4362" i="2"/>
  <c r="M4361" i="2"/>
  <c r="J4361" i="2"/>
  <c r="M4360" i="2"/>
  <c r="J4360" i="2"/>
  <c r="M4358" i="2"/>
  <c r="J4358" i="2"/>
  <c r="M3949" i="2"/>
  <c r="J3949" i="2"/>
  <c r="M3948" i="2"/>
  <c r="J3948" i="2"/>
  <c r="M3947" i="2"/>
  <c r="J3947" i="2"/>
  <c r="M3946" i="2"/>
  <c r="J3946" i="2"/>
  <c r="M3945" i="2"/>
  <c r="J3945" i="2"/>
  <c r="M3922" i="2"/>
  <c r="J3922" i="2"/>
  <c r="M3921" i="2"/>
  <c r="J3921" i="2"/>
  <c r="M3920" i="2"/>
  <c r="J3920" i="2"/>
  <c r="M3919" i="2"/>
  <c r="J3919" i="2"/>
  <c r="M3918" i="2"/>
  <c r="J3918" i="2"/>
  <c r="M3917" i="2"/>
  <c r="J3917" i="2"/>
  <c r="M3916" i="2"/>
  <c r="J3916" i="2"/>
  <c r="M3915" i="2"/>
  <c r="J3915" i="2"/>
  <c r="M3913" i="2"/>
  <c r="J3913" i="2"/>
  <c r="M3912" i="2"/>
  <c r="J3912" i="2"/>
  <c r="M3895" i="2"/>
  <c r="J3895" i="2"/>
  <c r="M3892" i="2"/>
  <c r="J3892" i="2"/>
  <c r="M3891" i="2"/>
  <c r="J3891" i="2"/>
  <c r="M3890" i="2"/>
  <c r="J3890" i="2"/>
  <c r="M3889" i="2"/>
  <c r="J3889" i="2"/>
  <c r="M3888" i="2"/>
  <c r="J3888" i="2"/>
  <c r="M3887" i="2"/>
  <c r="J3887" i="2"/>
  <c r="M3886" i="2"/>
  <c r="J3886" i="2"/>
  <c r="M3885" i="2"/>
  <c r="J3885" i="2"/>
  <c r="M3884" i="2"/>
  <c r="J3884" i="2"/>
  <c r="M3883" i="2"/>
  <c r="J3883" i="2"/>
  <c r="M3881" i="2"/>
  <c r="J3881" i="2"/>
  <c r="M3880" i="2"/>
  <c r="J3880" i="2"/>
  <c r="M3879" i="2"/>
  <c r="J3879" i="2"/>
  <c r="M3877" i="2"/>
  <c r="J3877" i="2"/>
  <c r="M3876" i="2"/>
  <c r="J3876" i="2"/>
  <c r="M3875" i="2"/>
  <c r="J3875" i="2"/>
  <c r="M3874" i="2"/>
  <c r="J3874" i="2"/>
  <c r="M3873" i="2"/>
  <c r="J3873" i="2"/>
  <c r="M3872" i="2"/>
  <c r="J3872" i="2"/>
  <c r="M3871" i="2"/>
  <c r="J3871" i="2"/>
  <c r="M3870" i="2"/>
  <c r="J3870" i="2"/>
  <c r="M3810" i="2"/>
  <c r="J3810" i="2"/>
  <c r="M3425" i="2"/>
  <c r="J3425" i="2"/>
  <c r="M3424" i="2"/>
  <c r="J3424" i="2"/>
  <c r="M3423" i="2"/>
  <c r="J3423" i="2"/>
  <c r="M3422" i="2"/>
  <c r="J3422" i="2"/>
  <c r="M3421" i="2"/>
  <c r="J3421" i="2"/>
  <c r="M3420" i="2"/>
  <c r="J3420" i="2"/>
  <c r="M3419" i="2"/>
  <c r="J3419" i="2"/>
  <c r="M3418" i="2"/>
  <c r="J3418" i="2"/>
  <c r="M3417" i="2"/>
  <c r="J3417" i="2"/>
  <c r="M3416" i="2"/>
  <c r="J3416" i="2"/>
  <c r="M3415" i="2"/>
  <c r="J3415" i="2"/>
  <c r="M3414" i="2"/>
  <c r="J3414" i="2"/>
  <c r="M3413" i="2"/>
  <c r="J3413" i="2"/>
  <c r="M3412" i="2"/>
  <c r="J3412" i="2"/>
  <c r="M3411" i="2"/>
  <c r="J3411" i="2"/>
  <c r="M3410" i="2"/>
  <c r="J3410" i="2"/>
  <c r="M3409" i="2"/>
  <c r="J3409" i="2"/>
  <c r="M3408" i="2"/>
  <c r="J3408" i="2"/>
  <c r="M3407" i="2"/>
  <c r="J3407" i="2"/>
  <c r="M3406" i="2"/>
  <c r="J3406" i="2"/>
  <c r="M3405" i="2"/>
  <c r="J3405" i="2"/>
  <c r="M3403" i="2"/>
  <c r="J3403" i="2"/>
  <c r="M3402" i="2"/>
  <c r="J3402" i="2"/>
  <c r="M3401" i="2"/>
  <c r="J3401" i="2"/>
  <c r="M3396" i="2"/>
  <c r="J3396" i="2"/>
  <c r="M3395" i="2"/>
  <c r="J3395" i="2"/>
  <c r="M3394" i="2"/>
  <c r="J3394" i="2"/>
  <c r="M3393" i="2"/>
  <c r="J3393" i="2"/>
  <c r="M3392" i="2"/>
  <c r="J3392" i="2"/>
  <c r="M3391" i="2"/>
  <c r="J3391" i="2"/>
  <c r="M3390" i="2"/>
  <c r="J3390" i="2"/>
  <c r="M3389" i="2"/>
  <c r="J3389" i="2"/>
  <c r="M3388" i="2"/>
  <c r="J3388" i="2"/>
  <c r="M3386" i="2"/>
  <c r="J3386" i="2"/>
  <c r="M3384" i="2"/>
  <c r="J3384" i="2"/>
  <c r="M3383" i="2"/>
  <c r="J3383" i="2"/>
  <c r="M3382" i="2"/>
  <c r="J3382" i="2"/>
  <c r="M3381" i="2"/>
  <c r="J3381" i="2"/>
  <c r="M3380" i="2"/>
  <c r="J3380" i="2"/>
  <c r="M3377" i="2"/>
  <c r="J3377" i="2"/>
  <c r="M3190" i="2"/>
  <c r="J3190" i="2"/>
  <c r="M3185" i="2"/>
  <c r="J3185" i="2"/>
  <c r="M3177" i="2"/>
  <c r="J3177" i="2"/>
  <c r="M3176" i="2"/>
  <c r="J3176" i="2"/>
  <c r="M3175" i="2"/>
  <c r="J3175" i="2"/>
  <c r="M3174" i="2"/>
  <c r="J3174" i="2"/>
  <c r="M3173" i="2"/>
  <c r="J3173" i="2"/>
  <c r="M3172" i="2"/>
  <c r="J3172" i="2"/>
  <c r="M3171" i="2"/>
  <c r="J3171" i="2"/>
  <c r="M3170" i="2"/>
  <c r="J3170" i="2"/>
  <c r="M3169" i="2"/>
  <c r="J3169" i="2"/>
  <c r="M3168" i="2"/>
  <c r="J3168" i="2"/>
  <c r="M3167" i="2"/>
  <c r="J3167" i="2"/>
  <c r="M3166" i="2"/>
  <c r="J3166" i="2"/>
  <c r="M3165" i="2"/>
  <c r="J3165" i="2"/>
  <c r="M3164" i="2"/>
  <c r="J3164" i="2"/>
  <c r="M3163" i="2"/>
  <c r="J3163" i="2"/>
  <c r="M3162" i="2"/>
  <c r="J3162" i="2"/>
  <c r="M3161" i="2"/>
  <c r="J3161" i="2"/>
  <c r="M3160" i="2"/>
  <c r="J3160" i="2"/>
  <c r="M3159" i="2"/>
  <c r="J3159" i="2"/>
  <c r="M3057" i="2"/>
  <c r="J3057" i="2"/>
  <c r="M3049" i="2"/>
  <c r="J3049" i="2"/>
  <c r="M3048" i="2"/>
  <c r="J3048" i="2"/>
  <c r="M3047" i="2"/>
  <c r="J3047" i="2"/>
  <c r="M3046" i="2"/>
  <c r="J3046" i="2"/>
  <c r="M3045" i="2"/>
  <c r="J3045" i="2"/>
  <c r="M3044" i="2"/>
  <c r="J3044" i="2"/>
  <c r="M3043" i="2"/>
  <c r="J3043" i="2"/>
  <c r="M3042" i="2"/>
  <c r="J3042" i="2"/>
  <c r="M3041" i="2"/>
  <c r="J3041" i="2"/>
  <c r="M3040" i="2"/>
  <c r="J3040" i="2"/>
  <c r="M3039" i="2"/>
  <c r="J3039" i="2"/>
  <c r="M3038" i="2"/>
  <c r="J3038" i="2"/>
  <c r="M3023" i="2"/>
  <c r="J3023" i="2"/>
  <c r="M3022" i="2"/>
  <c r="J3022" i="2"/>
  <c r="M3021" i="2"/>
  <c r="J3021" i="2"/>
  <c r="M3020" i="2"/>
  <c r="J3020" i="2"/>
  <c r="M3017" i="2"/>
  <c r="J3017" i="2"/>
  <c r="M3016" i="2"/>
  <c r="J3016" i="2"/>
  <c r="M3015" i="2"/>
  <c r="J3015" i="2"/>
  <c r="M3011" i="2"/>
  <c r="J3011" i="2"/>
  <c r="M3010" i="2"/>
  <c r="J3010" i="2"/>
  <c r="M3009" i="2"/>
  <c r="J3009" i="2"/>
  <c r="M3008" i="2"/>
  <c r="J3008" i="2"/>
  <c r="M3006" i="2"/>
  <c r="J3006" i="2"/>
  <c r="M3005" i="2"/>
  <c r="J3005" i="2"/>
  <c r="M3003" i="2"/>
  <c r="J3003" i="2"/>
  <c r="M3000" i="2"/>
  <c r="J3000" i="2"/>
  <c r="M2999" i="2"/>
  <c r="J2999" i="2"/>
  <c r="M2998" i="2"/>
  <c r="J2998" i="2"/>
  <c r="M2997" i="2"/>
  <c r="J2997" i="2"/>
  <c r="M2994" i="2"/>
  <c r="J2994" i="2"/>
  <c r="M2993" i="2"/>
  <c r="J2993" i="2"/>
  <c r="M2992" i="2"/>
  <c r="J2992" i="2"/>
  <c r="M2991" i="2"/>
  <c r="J2991" i="2"/>
  <c r="M2990" i="2"/>
  <c r="J2990" i="2"/>
  <c r="M2989" i="2"/>
  <c r="J2989" i="2"/>
  <c r="M2983" i="2"/>
  <c r="J2983" i="2"/>
  <c r="M2982" i="2"/>
  <c r="J2982" i="2"/>
  <c r="M2981" i="2"/>
  <c r="J2981" i="2"/>
  <c r="M2979" i="2"/>
  <c r="J2979" i="2"/>
  <c r="M2977" i="2"/>
  <c r="J2977" i="2"/>
  <c r="M2742" i="2"/>
  <c r="J2742" i="2"/>
  <c r="M2715" i="2"/>
  <c r="J2715" i="2"/>
  <c r="M2511" i="2"/>
  <c r="J2511" i="2"/>
  <c r="M2510" i="2"/>
  <c r="J2510" i="2"/>
  <c r="M2502" i="2"/>
  <c r="J2502" i="2"/>
  <c r="M2490" i="2"/>
  <c r="J2490" i="2"/>
  <c r="M2488" i="2"/>
  <c r="J2488" i="2"/>
  <c r="M2485" i="2"/>
  <c r="J2485" i="2"/>
  <c r="M2477" i="2"/>
  <c r="J2477" i="2"/>
  <c r="M2475" i="2"/>
  <c r="J2475" i="2"/>
  <c r="M2472" i="2"/>
  <c r="J2472" i="2"/>
  <c r="M2469" i="2"/>
  <c r="J2469" i="2"/>
  <c r="M2464" i="2"/>
  <c r="J2464" i="2"/>
  <c r="M2462" i="2"/>
  <c r="J2462" i="2"/>
  <c r="M2456" i="2"/>
  <c r="J2456" i="2"/>
  <c r="M2455" i="2"/>
  <c r="J2455" i="2"/>
  <c r="M2297" i="2"/>
  <c r="J2297" i="2"/>
  <c r="M2296" i="2"/>
  <c r="J2296" i="2"/>
  <c r="M2295" i="2"/>
  <c r="J2295" i="2"/>
  <c r="M2294" i="2"/>
  <c r="J2294" i="2"/>
  <c r="M2192" i="2"/>
  <c r="J2192" i="2"/>
  <c r="M2190" i="2"/>
  <c r="J2190" i="2"/>
  <c r="M2187" i="2"/>
  <c r="J2187" i="2"/>
  <c r="M2186" i="2"/>
  <c r="J2186" i="2"/>
  <c r="M2095" i="2"/>
  <c r="J2095" i="2"/>
  <c r="M2094" i="2"/>
  <c r="J2094" i="2"/>
  <c r="M2093" i="2"/>
  <c r="J2093" i="2"/>
  <c r="M2092" i="2"/>
  <c r="J2092" i="2"/>
  <c r="M2091" i="2"/>
  <c r="J2091" i="2"/>
  <c r="M2061" i="2"/>
  <c r="J2061" i="2"/>
  <c r="M2060" i="2"/>
  <c r="J2060" i="2"/>
  <c r="M1873" i="2"/>
  <c r="J1873" i="2"/>
  <c r="M1871" i="2"/>
  <c r="J1871" i="2"/>
  <c r="M1870" i="2"/>
  <c r="J1870" i="2"/>
  <c r="M1866" i="2"/>
  <c r="J1866" i="2"/>
  <c r="M1863" i="2"/>
  <c r="J1863" i="2"/>
  <c r="M1862" i="2"/>
  <c r="J1862" i="2"/>
  <c r="M1861" i="2"/>
  <c r="J1861" i="2"/>
  <c r="M1856" i="2"/>
  <c r="J1856" i="2"/>
  <c r="M1854" i="2"/>
  <c r="J1854" i="2"/>
  <c r="M1852" i="2"/>
  <c r="J1852" i="2"/>
  <c r="M1851" i="2"/>
  <c r="J1851" i="2"/>
  <c r="M1849" i="2"/>
  <c r="J1849" i="2"/>
  <c r="M1846" i="2"/>
  <c r="J1846" i="2"/>
  <c r="M1845" i="2"/>
  <c r="J1845" i="2"/>
  <c r="M1844" i="2"/>
  <c r="J1844" i="2"/>
  <c r="M1843" i="2"/>
  <c r="J1843" i="2"/>
  <c r="M1842" i="2"/>
  <c r="J1842" i="2"/>
  <c r="M1841" i="2"/>
  <c r="J1841" i="2"/>
  <c r="M4537" i="2"/>
  <c r="J4537" i="2"/>
  <c r="M4525" i="2"/>
  <c r="J4525" i="2"/>
  <c r="M4533" i="2"/>
  <c r="J4533" i="2"/>
  <c r="M4526" i="2"/>
  <c r="J4526" i="2"/>
  <c r="M1180" i="2"/>
  <c r="J1180" i="2"/>
  <c r="M1177" i="2"/>
  <c r="J1177" i="2"/>
  <c r="M1179" i="2"/>
  <c r="J1179" i="2"/>
  <c r="M5465" i="2"/>
  <c r="J5465" i="2"/>
  <c r="M5464" i="2"/>
  <c r="J5464" i="2"/>
  <c r="M844" i="2"/>
  <c r="J844" i="2"/>
  <c r="M843" i="2"/>
  <c r="J843" i="2"/>
  <c r="M842" i="2"/>
  <c r="J842" i="2"/>
  <c r="M841" i="2"/>
  <c r="J841" i="2"/>
  <c r="M831" i="2"/>
  <c r="J831" i="2"/>
  <c r="M836" i="2"/>
  <c r="J836" i="2"/>
  <c r="M833" i="2"/>
  <c r="J833" i="2"/>
  <c r="M840" i="2"/>
  <c r="J840" i="2"/>
  <c r="M839" i="2"/>
  <c r="J839" i="2"/>
  <c r="M838" i="2"/>
  <c r="J838" i="2"/>
  <c r="M837" i="2"/>
  <c r="J837" i="2"/>
  <c r="M786" i="2"/>
  <c r="J786" i="2"/>
  <c r="M784" i="2"/>
  <c r="J784" i="2"/>
  <c r="M788" i="2"/>
  <c r="J788" i="2"/>
  <c r="M785" i="2"/>
  <c r="J785" i="2"/>
  <c r="M783" i="2"/>
  <c r="J783" i="2"/>
  <c r="M782" i="2"/>
  <c r="J782" i="2"/>
  <c r="M790" i="2"/>
  <c r="J790" i="2"/>
  <c r="M749" i="2"/>
  <c r="J749" i="2"/>
  <c r="M753" i="2"/>
  <c r="J753" i="2"/>
  <c r="M762" i="2"/>
  <c r="J762" i="2"/>
  <c r="M757" i="2"/>
  <c r="J757" i="2"/>
  <c r="M763" i="2"/>
  <c r="J763" i="2"/>
  <c r="M764" i="2"/>
  <c r="J764" i="2"/>
  <c r="M756" i="2"/>
  <c r="J756" i="2"/>
  <c r="M758" i="2"/>
  <c r="J758" i="2"/>
  <c r="M754" i="2"/>
  <c r="J754" i="2"/>
  <c r="M760" i="2"/>
  <c r="J760" i="2"/>
  <c r="M755" i="2"/>
  <c r="J755" i="2"/>
  <c r="M752" i="2"/>
  <c r="J752" i="2"/>
  <c r="M195" i="2"/>
  <c r="J195" i="2"/>
  <c r="M194" i="2"/>
  <c r="J194" i="2"/>
  <c r="M367" i="2"/>
  <c r="J367" i="2"/>
  <c r="M363" i="2"/>
  <c r="J363" i="2"/>
  <c r="M360" i="2"/>
  <c r="J360" i="2"/>
  <c r="M359" i="2"/>
  <c r="J359" i="2"/>
  <c r="M365" i="2"/>
  <c r="J365" i="2"/>
  <c r="M364" i="2"/>
  <c r="J364" i="2"/>
  <c r="M358" i="2"/>
  <c r="J358" i="2"/>
  <c r="M256" i="2"/>
  <c r="J256" i="2"/>
  <c r="M252" i="2"/>
  <c r="J252" i="2"/>
  <c r="M253" i="2"/>
  <c r="J253" i="2"/>
  <c r="M244" i="2"/>
  <c r="J244" i="2"/>
  <c r="M255" i="2"/>
  <c r="J255" i="2"/>
  <c r="M248" i="2"/>
  <c r="J248" i="2"/>
  <c r="M247" i="2"/>
  <c r="J247" i="2"/>
  <c r="M156" i="2"/>
  <c r="J156" i="2"/>
  <c r="M1500" i="2"/>
  <c r="J1500" i="2"/>
  <c r="M1499" i="2"/>
  <c r="J1499" i="2"/>
  <c r="M1498" i="2"/>
  <c r="J1498" i="2"/>
  <c r="M1497" i="2"/>
  <c r="J1497" i="2"/>
  <c r="M1496" i="2"/>
  <c r="J1496" i="2"/>
  <c r="M1495" i="2"/>
  <c r="J1495" i="2"/>
  <c r="M1494" i="2"/>
  <c r="J1494" i="2"/>
  <c r="M1493" i="2"/>
  <c r="J1493" i="2"/>
  <c r="M1492" i="2"/>
  <c r="J1492" i="2"/>
  <c r="M1491" i="2"/>
  <c r="J1491" i="2"/>
  <c r="M1488" i="2"/>
  <c r="J1488" i="2"/>
  <c r="M1487" i="2"/>
  <c r="J1487" i="2"/>
  <c r="M1486" i="2"/>
  <c r="J1486" i="2"/>
  <c r="M1485" i="2"/>
  <c r="J1485" i="2"/>
  <c r="M1484" i="2"/>
  <c r="J1484" i="2"/>
  <c r="M1483" i="2"/>
  <c r="J1483" i="2"/>
  <c r="M1481" i="2"/>
  <c r="J1481" i="2"/>
  <c r="M1480" i="2"/>
  <c r="J1480" i="2"/>
  <c r="M1479" i="2"/>
  <c r="J1479" i="2"/>
  <c r="M1478" i="2"/>
  <c r="J1478" i="2"/>
  <c r="M1476" i="2"/>
  <c r="J1476" i="2"/>
  <c r="M1474" i="2"/>
  <c r="J1474" i="2"/>
  <c r="M1471" i="2"/>
  <c r="J1471" i="2"/>
  <c r="M1470" i="2"/>
  <c r="J1470" i="2"/>
  <c r="M4524" i="2"/>
  <c r="J4524" i="2"/>
  <c r="M1176" i="2"/>
  <c r="J1176" i="2"/>
  <c r="M1178" i="2"/>
  <c r="J1178" i="2"/>
  <c r="M854" i="2"/>
  <c r="J854" i="2"/>
  <c r="M759" i="2"/>
  <c r="J759" i="2"/>
  <c r="M750" i="2"/>
  <c r="J750" i="2"/>
  <c r="M761" i="2"/>
  <c r="J761" i="2"/>
  <c r="M192" i="2"/>
  <c r="J192" i="2"/>
  <c r="M191" i="2"/>
  <c r="J191" i="2"/>
  <c r="M193" i="2"/>
  <c r="J193" i="2"/>
  <c r="M366" i="2"/>
  <c r="J366" i="2"/>
  <c r="M362" i="2"/>
  <c r="J362" i="2"/>
  <c r="M361" i="2"/>
  <c r="J361" i="2"/>
  <c r="M834" i="2"/>
  <c r="J834" i="2"/>
  <c r="M830" i="2"/>
  <c r="J830" i="2"/>
  <c r="M1238" i="2"/>
  <c r="J1238" i="2"/>
  <c r="M1031" i="2"/>
  <c r="J1031" i="2"/>
  <c r="M939" i="2"/>
  <c r="J939" i="2"/>
  <c r="M900" i="2"/>
  <c r="J900" i="2"/>
  <c r="M899" i="2"/>
  <c r="J899" i="2"/>
  <c r="M898" i="2"/>
  <c r="J898" i="2"/>
  <c r="M896" i="2"/>
  <c r="J896" i="2"/>
  <c r="M2397" i="2"/>
  <c r="J2397" i="2"/>
  <c r="M2395" i="2"/>
  <c r="J2395" i="2"/>
  <c r="M2393" i="2"/>
  <c r="J2393" i="2"/>
  <c r="M2392" i="2"/>
  <c r="J2392" i="2"/>
  <c r="M2390" i="2"/>
  <c r="J2390" i="2"/>
  <c r="M2385" i="2"/>
  <c r="J2385" i="2"/>
  <c r="M2383" i="2"/>
  <c r="J2383" i="2"/>
  <c r="M6060" i="2"/>
  <c r="J6060" i="2"/>
  <c r="M6059" i="2"/>
  <c r="J6059" i="2"/>
  <c r="M6058" i="2"/>
  <c r="J6058" i="2"/>
  <c r="M6057" i="2"/>
  <c r="J6057" i="2"/>
  <c r="M6056" i="2"/>
  <c r="J6056" i="2"/>
  <c r="M6055" i="2"/>
  <c r="J6055" i="2"/>
  <c r="M6054" i="2"/>
  <c r="J6054" i="2"/>
  <c r="M6053" i="2"/>
  <c r="J6053" i="2"/>
  <c r="M6052" i="2"/>
  <c r="J6052" i="2"/>
  <c r="M6051" i="2"/>
  <c r="J6051" i="2"/>
  <c r="M6050" i="2"/>
  <c r="J6050" i="2"/>
  <c r="M6049" i="2"/>
  <c r="J6049" i="2"/>
  <c r="M6029" i="2"/>
  <c r="J6029" i="2"/>
  <c r="M6028" i="2"/>
  <c r="J6028" i="2"/>
  <c r="M6027" i="2"/>
  <c r="J6027" i="2"/>
  <c r="M6026" i="2"/>
  <c r="J6026" i="2"/>
  <c r="M6025" i="2"/>
  <c r="J6025" i="2"/>
  <c r="M6024" i="2"/>
  <c r="J6024" i="2"/>
  <c r="M6023" i="2"/>
  <c r="J6023" i="2"/>
  <c r="M6022" i="2"/>
  <c r="J6022" i="2"/>
  <c r="M6021" i="2"/>
  <c r="J6021" i="2"/>
  <c r="M6020" i="2"/>
  <c r="J6020" i="2"/>
  <c r="M6019" i="2"/>
  <c r="J6019" i="2"/>
  <c r="M6018" i="2"/>
  <c r="J6018" i="2"/>
  <c r="M6017" i="2"/>
  <c r="J6017" i="2"/>
  <c r="M6016" i="2"/>
  <c r="J6016" i="2"/>
  <c r="M6015" i="2"/>
  <c r="J6015" i="2"/>
  <c r="M6014" i="2"/>
  <c r="J6014" i="2"/>
  <c r="M6013" i="2"/>
  <c r="J6013" i="2"/>
  <c r="M6012" i="2"/>
  <c r="J6012" i="2"/>
  <c r="M6011" i="2"/>
  <c r="J6011" i="2"/>
  <c r="M6010" i="2"/>
  <c r="J6010" i="2"/>
  <c r="M6009" i="2"/>
  <c r="J6009" i="2"/>
  <c r="M6008" i="2"/>
  <c r="J6008" i="2"/>
  <c r="M6007" i="2"/>
  <c r="J6007" i="2"/>
  <c r="M6006" i="2"/>
  <c r="J6006" i="2"/>
  <c r="M5745" i="2"/>
  <c r="J5745" i="2"/>
  <c r="M5744" i="2"/>
  <c r="J5744" i="2"/>
  <c r="M5743" i="2"/>
  <c r="J5743" i="2"/>
  <c r="M5742" i="2"/>
  <c r="J5742" i="2"/>
  <c r="M5741" i="2"/>
  <c r="J5741" i="2"/>
  <c r="M5740" i="2"/>
  <c r="J5740" i="2"/>
  <c r="M5739" i="2"/>
  <c r="J5739" i="2"/>
  <c r="M5689" i="2"/>
  <c r="J5689" i="2"/>
  <c r="M5688" i="2"/>
  <c r="J5688" i="2"/>
  <c r="M5687" i="2"/>
  <c r="J5687" i="2"/>
  <c r="M5686" i="2"/>
  <c r="J5686" i="2"/>
  <c r="M5685" i="2"/>
  <c r="J5685" i="2"/>
  <c r="M5679" i="2"/>
  <c r="J5679" i="2"/>
  <c r="M5678" i="2"/>
  <c r="J5678" i="2"/>
  <c r="M5676" i="2"/>
  <c r="J5676" i="2"/>
  <c r="M5675" i="2"/>
  <c r="J5675" i="2"/>
  <c r="M5674" i="2"/>
  <c r="J5674" i="2"/>
  <c r="M5673" i="2"/>
  <c r="J5673" i="2"/>
  <c r="M5672" i="2"/>
  <c r="J5672" i="2"/>
  <c r="M5671" i="2"/>
  <c r="J5671" i="2"/>
  <c r="M5670" i="2"/>
  <c r="J5670" i="2"/>
  <c r="M5669" i="2"/>
  <c r="J5669" i="2"/>
  <c r="M5668" i="2"/>
  <c r="J5668" i="2"/>
  <c r="M5667" i="2"/>
  <c r="J5667" i="2"/>
  <c r="M5666" i="2"/>
  <c r="J5666" i="2"/>
  <c r="M5515" i="2"/>
  <c r="J5515" i="2"/>
  <c r="M5514" i="2"/>
  <c r="J5514" i="2"/>
  <c r="M5513" i="2"/>
  <c r="J5513" i="2"/>
  <c r="M5512" i="2"/>
  <c r="J5512" i="2"/>
  <c r="M5509" i="2"/>
  <c r="J5509" i="2"/>
  <c r="M5508" i="2"/>
  <c r="J5508" i="2"/>
  <c r="M5507" i="2"/>
  <c r="J5507" i="2"/>
  <c r="M5506" i="2"/>
  <c r="J5506" i="2"/>
  <c r="M5396" i="2"/>
  <c r="J5396" i="2"/>
  <c r="M5395" i="2"/>
  <c r="J5395" i="2"/>
  <c r="M5394" i="2"/>
  <c r="J5394" i="2"/>
  <c r="M5393" i="2"/>
  <c r="J5393" i="2"/>
  <c r="M5392" i="2"/>
  <c r="J5392" i="2"/>
  <c r="M5391" i="2"/>
  <c r="J5391" i="2"/>
  <c r="M5382" i="2"/>
  <c r="J5382" i="2"/>
  <c r="M5377" i="2"/>
  <c r="J5377" i="2"/>
  <c r="M5376" i="2"/>
  <c r="J5376" i="2"/>
  <c r="M5372" i="2"/>
  <c r="J5372" i="2"/>
  <c r="M5370" i="2"/>
  <c r="J5370" i="2"/>
  <c r="M5369" i="2"/>
  <c r="J5369" i="2"/>
  <c r="M5366" i="2"/>
  <c r="J5366" i="2"/>
  <c r="M5329" i="2"/>
  <c r="J5329" i="2"/>
  <c r="M5328" i="2"/>
  <c r="J5328" i="2"/>
  <c r="M5326" i="2"/>
  <c r="J5326" i="2"/>
  <c r="M5325" i="2"/>
  <c r="J5325" i="2"/>
  <c r="M5324" i="2"/>
  <c r="J5324" i="2"/>
  <c r="M5286" i="2"/>
  <c r="J5286" i="2"/>
  <c r="M5285" i="2"/>
  <c r="J5285" i="2"/>
  <c r="M5048" i="2"/>
  <c r="J5048" i="2"/>
  <c r="M5047" i="2"/>
  <c r="J5047" i="2"/>
  <c r="M5046" i="2"/>
  <c r="J5046" i="2"/>
  <c r="M4994" i="2"/>
  <c r="J4994" i="2"/>
  <c r="M4993" i="2"/>
  <c r="J4993" i="2"/>
  <c r="M4397" i="2"/>
  <c r="J4397" i="2"/>
  <c r="M4317" i="2"/>
  <c r="J4317" i="2"/>
  <c r="M4316" i="2"/>
  <c r="J4316" i="2"/>
  <c r="M4315" i="2"/>
  <c r="J4315" i="2"/>
  <c r="M4314" i="2"/>
  <c r="J4314" i="2"/>
  <c r="M4313" i="2"/>
  <c r="J4313" i="2"/>
  <c r="M4243" i="2"/>
  <c r="J4243" i="2"/>
  <c r="M4242" i="2"/>
  <c r="J4242" i="2"/>
  <c r="M3767" i="2"/>
  <c r="J3767" i="2"/>
  <c r="M3763" i="2"/>
  <c r="J3763" i="2"/>
  <c r="M3758" i="2"/>
  <c r="J3758" i="2"/>
  <c r="M3757" i="2"/>
  <c r="J3757" i="2"/>
  <c r="M3756" i="2"/>
  <c r="J3756" i="2"/>
  <c r="M3755" i="2"/>
  <c r="J3755" i="2"/>
  <c r="M3504" i="2"/>
  <c r="J3504" i="2"/>
  <c r="M3503" i="2"/>
  <c r="J3503" i="2"/>
  <c r="M3502" i="2"/>
  <c r="J3502" i="2"/>
  <c r="M3501" i="2"/>
  <c r="J3501" i="2"/>
  <c r="M3500" i="2"/>
  <c r="J3500" i="2"/>
  <c r="M3499" i="2"/>
  <c r="J3499" i="2"/>
  <c r="M3498" i="2"/>
  <c r="J3498" i="2"/>
  <c r="M3497" i="2"/>
  <c r="J3497" i="2"/>
  <c r="M3496" i="2"/>
  <c r="J3496" i="2"/>
  <c r="M3495" i="2"/>
  <c r="J3495" i="2"/>
  <c r="M3494" i="2"/>
  <c r="J3494" i="2"/>
  <c r="M3493" i="2"/>
  <c r="J3493" i="2"/>
  <c r="M3492" i="2"/>
  <c r="J3492" i="2"/>
  <c r="M3491" i="2"/>
  <c r="J3491" i="2"/>
  <c r="M3490" i="2"/>
  <c r="J3490" i="2"/>
  <c r="M3489" i="2"/>
  <c r="J3489" i="2"/>
  <c r="M3488" i="2"/>
  <c r="J3488" i="2"/>
  <c r="M3486" i="2"/>
  <c r="J3486" i="2"/>
  <c r="M3485" i="2"/>
  <c r="J3485" i="2"/>
  <c r="M3484" i="2"/>
  <c r="J3484" i="2"/>
  <c r="M3483" i="2"/>
  <c r="J3483" i="2"/>
  <c r="M3482" i="2"/>
  <c r="J3482" i="2"/>
  <c r="M3481" i="2"/>
  <c r="J3481" i="2"/>
  <c r="M3480" i="2"/>
  <c r="J3480" i="2"/>
  <c r="M3479" i="2"/>
  <c r="J3479" i="2"/>
  <c r="M3478" i="2"/>
  <c r="J3478" i="2"/>
  <c r="M3443" i="2"/>
  <c r="J3443" i="2"/>
  <c r="M3435" i="2"/>
  <c r="J3435" i="2"/>
  <c r="M3434" i="2"/>
  <c r="J3434" i="2"/>
  <c r="M3365" i="2"/>
  <c r="J3365" i="2"/>
  <c r="M3359" i="2"/>
  <c r="J3359" i="2"/>
  <c r="M3356" i="2"/>
  <c r="J3356" i="2"/>
  <c r="M3355" i="2"/>
  <c r="J3355" i="2"/>
  <c r="M3352" i="2"/>
  <c r="J3352" i="2"/>
  <c r="M3350" i="2"/>
  <c r="J3350" i="2"/>
  <c r="M3189" i="2"/>
  <c r="J3189" i="2"/>
  <c r="M3188" i="2"/>
  <c r="J3188" i="2"/>
  <c r="M3187" i="2"/>
  <c r="J3187" i="2"/>
  <c r="M3186" i="2"/>
  <c r="J3186" i="2"/>
  <c r="M3182" i="2"/>
  <c r="J3182" i="2"/>
  <c r="M3181" i="2"/>
  <c r="J3181" i="2"/>
  <c r="M3180" i="2"/>
  <c r="J3180" i="2"/>
  <c r="M3179" i="2"/>
  <c r="J3179" i="2"/>
  <c r="M3178" i="2"/>
  <c r="J3178" i="2"/>
  <c r="M3083" i="2"/>
  <c r="J3083" i="2"/>
  <c r="M3082" i="2"/>
  <c r="J3082" i="2"/>
  <c r="M3080" i="2"/>
  <c r="J3080" i="2"/>
  <c r="M3079" i="2"/>
  <c r="J3079" i="2"/>
  <c r="M3078" i="2"/>
  <c r="J3078" i="2"/>
  <c r="M3077" i="2"/>
  <c r="J3077" i="2"/>
  <c r="M3066" i="2"/>
  <c r="J3066" i="2"/>
  <c r="M3065" i="2"/>
  <c r="J3065" i="2"/>
  <c r="M3064" i="2"/>
  <c r="J3064" i="2"/>
  <c r="M3063" i="2"/>
  <c r="J3063" i="2"/>
  <c r="M3062" i="2"/>
  <c r="J3062" i="2"/>
  <c r="M3060" i="2"/>
  <c r="J3060" i="2"/>
  <c r="M3055" i="2"/>
  <c r="J3055" i="2"/>
  <c r="M3054" i="2"/>
  <c r="J3054" i="2"/>
  <c r="M3053" i="2"/>
  <c r="J3053" i="2"/>
  <c r="M3052" i="2"/>
  <c r="J3052" i="2"/>
  <c r="M3051" i="2"/>
  <c r="J3051" i="2"/>
  <c r="M2762" i="2"/>
  <c r="J2762" i="2"/>
  <c r="M2761" i="2"/>
  <c r="J2761" i="2"/>
  <c r="M2760" i="2"/>
  <c r="J2760" i="2"/>
  <c r="M2759" i="2"/>
  <c r="J2759" i="2"/>
  <c r="M2758" i="2"/>
  <c r="J2758" i="2"/>
  <c r="M2757" i="2"/>
  <c r="J2757" i="2"/>
  <c r="M2756" i="2"/>
  <c r="J2756" i="2"/>
  <c r="M2755" i="2"/>
  <c r="J2755" i="2"/>
  <c r="M2754" i="2"/>
  <c r="J2754" i="2"/>
  <c r="M2753" i="2"/>
  <c r="J2753" i="2"/>
  <c r="M2752" i="2"/>
  <c r="J2752" i="2"/>
  <c r="M2751" i="2"/>
  <c r="J2751" i="2"/>
  <c r="M2750" i="2"/>
  <c r="J2750" i="2"/>
  <c r="M2749" i="2"/>
  <c r="J2749" i="2"/>
  <c r="M2748" i="2"/>
  <c r="J2748" i="2"/>
  <c r="M2747" i="2"/>
  <c r="J2747" i="2"/>
  <c r="M2746" i="2"/>
  <c r="J2746" i="2"/>
  <c r="M2732" i="2"/>
  <c r="J2732" i="2"/>
  <c r="M2731" i="2"/>
  <c r="J2731" i="2"/>
  <c r="M2728" i="2"/>
  <c r="J2728" i="2"/>
  <c r="M2727" i="2"/>
  <c r="J2727" i="2"/>
  <c r="M2726" i="2"/>
  <c r="J2726" i="2"/>
  <c r="M2725" i="2"/>
  <c r="J2725" i="2"/>
  <c r="M2724" i="2"/>
  <c r="J2724" i="2"/>
  <c r="M2723" i="2"/>
  <c r="J2723" i="2"/>
  <c r="M2722" i="2"/>
  <c r="J2722" i="2"/>
  <c r="M2721" i="2"/>
  <c r="J2721" i="2"/>
  <c r="M2720" i="2"/>
  <c r="J2720" i="2"/>
  <c r="M2719" i="2"/>
  <c r="J2719" i="2"/>
  <c r="M2718" i="2"/>
  <c r="J2718" i="2"/>
  <c r="M2717" i="2"/>
  <c r="J2717" i="2"/>
  <c r="M2716" i="2"/>
  <c r="J2716" i="2"/>
  <c r="M2713" i="2"/>
  <c r="J2713" i="2"/>
  <c r="M2711" i="2"/>
  <c r="J2711" i="2"/>
  <c r="M2398" i="2"/>
  <c r="J2398" i="2"/>
  <c r="M2396" i="2"/>
  <c r="J2396" i="2"/>
  <c r="M2394" i="2"/>
  <c r="J2394" i="2"/>
  <c r="M2391" i="2"/>
  <c r="J2391" i="2"/>
  <c r="M2389" i="2"/>
  <c r="J2389" i="2"/>
  <c r="M2388" i="2"/>
  <c r="J2388" i="2"/>
  <c r="M2387" i="2"/>
  <c r="J2387" i="2"/>
  <c r="M2386" i="2"/>
  <c r="J2386" i="2"/>
  <c r="M2384" i="2"/>
  <c r="J2384" i="2"/>
  <c r="M2382" i="2"/>
  <c r="J2382" i="2"/>
  <c r="M2381" i="2"/>
  <c r="J2381" i="2"/>
  <c r="M2380" i="2"/>
  <c r="J2380" i="2"/>
  <c r="M2353" i="2"/>
  <c r="J2353" i="2"/>
  <c r="M2347" i="2"/>
  <c r="J2347" i="2"/>
  <c r="M2346" i="2"/>
  <c r="J2346" i="2"/>
  <c r="M2345" i="2"/>
  <c r="J2345" i="2"/>
  <c r="M2341" i="2"/>
  <c r="J2341" i="2"/>
  <c r="M2118" i="2"/>
  <c r="J2118" i="2"/>
  <c r="M2117" i="2"/>
  <c r="J2117" i="2"/>
  <c r="M2116" i="2"/>
  <c r="J2116" i="2"/>
  <c r="M2115" i="2"/>
  <c r="J2115" i="2"/>
  <c r="M2114" i="2"/>
  <c r="J2114" i="2"/>
  <c r="M2113" i="2"/>
  <c r="J2113" i="2"/>
  <c r="M2112" i="2"/>
  <c r="J2112" i="2"/>
  <c r="M2111" i="2"/>
  <c r="J2111" i="2"/>
  <c r="M2110" i="2"/>
  <c r="J2110" i="2"/>
  <c r="M2109" i="2"/>
  <c r="J2109" i="2"/>
  <c r="M2108" i="2"/>
  <c r="J2108" i="2"/>
  <c r="M2107" i="2"/>
  <c r="J2107" i="2"/>
  <c r="M2106" i="2"/>
  <c r="J2106" i="2"/>
  <c r="M2105" i="2"/>
  <c r="J2105" i="2"/>
  <c r="M2104" i="2"/>
  <c r="J2104" i="2"/>
  <c r="M2103" i="2"/>
  <c r="J2103" i="2"/>
  <c r="M2102" i="2"/>
  <c r="J2102" i="2"/>
  <c r="M2101" i="2"/>
  <c r="J2101" i="2"/>
  <c r="M2100" i="2"/>
  <c r="J2100" i="2"/>
  <c r="M2099" i="2"/>
  <c r="J2099" i="2"/>
  <c r="M2098" i="2"/>
  <c r="J2098" i="2"/>
  <c r="M2038" i="2"/>
  <c r="J2038" i="2"/>
  <c r="M2037" i="2"/>
  <c r="J2037" i="2"/>
  <c r="M2036" i="2"/>
  <c r="J2036" i="2"/>
  <c r="M2035" i="2"/>
  <c r="J2035" i="2"/>
  <c r="M2034" i="2"/>
  <c r="J2034" i="2"/>
  <c r="M2033" i="2"/>
  <c r="J2033" i="2"/>
  <c r="M2032" i="2"/>
  <c r="J2032" i="2"/>
  <c r="M2031" i="2"/>
  <c r="J2031" i="2"/>
  <c r="M2030" i="2"/>
  <c r="J2030" i="2"/>
  <c r="M2029" i="2"/>
  <c r="J2029" i="2"/>
  <c r="M2028" i="2"/>
  <c r="J2028" i="2"/>
  <c r="M2027" i="2"/>
  <c r="J2027" i="2"/>
  <c r="M2026" i="2"/>
  <c r="J2026" i="2"/>
  <c r="M2025" i="2"/>
  <c r="J2025" i="2"/>
  <c r="M2024" i="2"/>
  <c r="J2024" i="2"/>
  <c r="M2023" i="2"/>
  <c r="J2023" i="2"/>
  <c r="M2022" i="2"/>
  <c r="J2022" i="2"/>
  <c r="M2021" i="2"/>
  <c r="J2021" i="2"/>
  <c r="M2020" i="2"/>
  <c r="J2020" i="2"/>
  <c r="M2019" i="2"/>
  <c r="J2019" i="2"/>
  <c r="M2018" i="2"/>
  <c r="J2018" i="2"/>
  <c r="M2017" i="2"/>
  <c r="J2017" i="2"/>
  <c r="M2016" i="2"/>
  <c r="J2016" i="2"/>
  <c r="M2015" i="2"/>
  <c r="J2015" i="2"/>
  <c r="M2014" i="2"/>
  <c r="J2014" i="2"/>
  <c r="M2013" i="2"/>
  <c r="J2013" i="2"/>
  <c r="M2012" i="2"/>
  <c r="J2012" i="2"/>
  <c r="M2011" i="2"/>
  <c r="J2011" i="2"/>
  <c r="M2010" i="2"/>
  <c r="J2010" i="2"/>
  <c r="M2009" i="2"/>
  <c r="J2009" i="2"/>
  <c r="M2008" i="2"/>
  <c r="J2008" i="2"/>
  <c r="M2007" i="2"/>
  <c r="J2007" i="2"/>
  <c r="M2006" i="2"/>
  <c r="J2006" i="2"/>
  <c r="M1915" i="2"/>
  <c r="J1915" i="2"/>
  <c r="M1914" i="2"/>
  <c r="J1914" i="2"/>
  <c r="M1913" i="2"/>
  <c r="J1913" i="2"/>
  <c r="M1912" i="2"/>
  <c r="J1912" i="2"/>
  <c r="M1911" i="2"/>
  <c r="J1911" i="2"/>
  <c r="M1910" i="2"/>
  <c r="J1910" i="2"/>
  <c r="M1909" i="2"/>
  <c r="J1909" i="2"/>
  <c r="M1908" i="2"/>
  <c r="J1908" i="2"/>
  <c r="M1907" i="2"/>
  <c r="J1907" i="2"/>
  <c r="M1906" i="2"/>
  <c r="J1906" i="2"/>
  <c r="M1905" i="2"/>
  <c r="J1905" i="2"/>
  <c r="M1904" i="2"/>
  <c r="J1904" i="2"/>
  <c r="M1900" i="2"/>
  <c r="J1900" i="2"/>
  <c r="M1897" i="2"/>
  <c r="J1897" i="2"/>
  <c r="M1896" i="2"/>
  <c r="J1896" i="2"/>
  <c r="M1895" i="2"/>
  <c r="J1895" i="2"/>
  <c r="M1894" i="2"/>
  <c r="J1894" i="2"/>
  <c r="M1893" i="2"/>
  <c r="J1893" i="2"/>
  <c r="M1891" i="2"/>
  <c r="J1891" i="2"/>
  <c r="M1890" i="2"/>
  <c r="J1890" i="2"/>
  <c r="M1889" i="2"/>
  <c r="J1889" i="2"/>
  <c r="M1888" i="2"/>
  <c r="J1888" i="2"/>
  <c r="M1887" i="2"/>
  <c r="J1887" i="2"/>
  <c r="M1886" i="2"/>
  <c r="J1886" i="2"/>
  <c r="M1885" i="2"/>
  <c r="J1885" i="2"/>
  <c r="M1884" i="2"/>
  <c r="J1884" i="2"/>
  <c r="M1883" i="2"/>
  <c r="J1883" i="2"/>
  <c r="M1882" i="2"/>
  <c r="J1882" i="2"/>
  <c r="M1831" i="2"/>
  <c r="J1831" i="2"/>
  <c r="M1827" i="2"/>
  <c r="J1827" i="2"/>
  <c r="M1826" i="2"/>
  <c r="J1826" i="2"/>
  <c r="M1825" i="2"/>
  <c r="J1825" i="2"/>
  <c r="M1824" i="2"/>
  <c r="J1824" i="2"/>
  <c r="M1823" i="2"/>
  <c r="J1823" i="2"/>
  <c r="M1822" i="2"/>
  <c r="J1822" i="2"/>
  <c r="M1821" i="2"/>
  <c r="J1821" i="2"/>
  <c r="M1820" i="2"/>
  <c r="J1820" i="2"/>
  <c r="M1819" i="2"/>
  <c r="J1819" i="2"/>
  <c r="M1818" i="2"/>
  <c r="J1818" i="2"/>
  <c r="M1817" i="2"/>
  <c r="J1817" i="2"/>
  <c r="M1816" i="2"/>
  <c r="J1816" i="2"/>
  <c r="M1815" i="2"/>
  <c r="J1815" i="2"/>
  <c r="M1814" i="2"/>
  <c r="J1814" i="2"/>
  <c r="M1813" i="2"/>
  <c r="J1813" i="2"/>
  <c r="M1812" i="2"/>
  <c r="J1812" i="2"/>
  <c r="M1811" i="2"/>
  <c r="J1811" i="2"/>
  <c r="M1810" i="2"/>
  <c r="J1810" i="2"/>
  <c r="M1809" i="2"/>
  <c r="J1809" i="2"/>
  <c r="M1808" i="2"/>
  <c r="J1808" i="2"/>
  <c r="M1807" i="2"/>
  <c r="J1807" i="2"/>
  <c r="M1806" i="2"/>
  <c r="J1806" i="2"/>
  <c r="M1805" i="2"/>
  <c r="J1805" i="2"/>
  <c r="M1804" i="2"/>
  <c r="J1804" i="2"/>
  <c r="M1803" i="2"/>
  <c r="J1803" i="2"/>
  <c r="M1802" i="2"/>
  <c r="J1802" i="2"/>
  <c r="M1801" i="2"/>
  <c r="J1801" i="2"/>
  <c r="M1800" i="2"/>
  <c r="J1800" i="2"/>
  <c r="M1799" i="2"/>
  <c r="J1799" i="2"/>
  <c r="M1798" i="2"/>
  <c r="J1798" i="2"/>
  <c r="M1797" i="2"/>
  <c r="J1797" i="2"/>
  <c r="M1796" i="2"/>
  <c r="J1796" i="2"/>
  <c r="M1795" i="2"/>
  <c r="J1795" i="2"/>
  <c r="M1755" i="2"/>
  <c r="J1755" i="2"/>
  <c r="M1754" i="2"/>
  <c r="J1754" i="2"/>
  <c r="M1753" i="2"/>
  <c r="J1753" i="2"/>
  <c r="M1752" i="2"/>
  <c r="J1752" i="2"/>
  <c r="M1751" i="2"/>
  <c r="J1751" i="2"/>
  <c r="M1713" i="2"/>
  <c r="J1713" i="2"/>
  <c r="M1711" i="2"/>
  <c r="J1711" i="2"/>
  <c r="M1710" i="2"/>
  <c r="J1710" i="2"/>
  <c r="M1709" i="2"/>
  <c r="J1709" i="2"/>
  <c r="M1708" i="2"/>
  <c r="J1708" i="2"/>
  <c r="M1707" i="2"/>
  <c r="J1707" i="2"/>
  <c r="M1706" i="2"/>
  <c r="J1706" i="2"/>
  <c r="M1705" i="2"/>
  <c r="J1705" i="2"/>
  <c r="M1704" i="2"/>
  <c r="J1704" i="2"/>
  <c r="M1703" i="2"/>
  <c r="J1703" i="2"/>
  <c r="M1699" i="2"/>
  <c r="J1699" i="2"/>
  <c r="M1698" i="2"/>
  <c r="J1698" i="2"/>
  <c r="M1696" i="2"/>
  <c r="J1696" i="2"/>
  <c r="M1694" i="2"/>
  <c r="J1694" i="2"/>
  <c r="M1693" i="2"/>
  <c r="J1693" i="2"/>
  <c r="M1692" i="2"/>
  <c r="J1692" i="2"/>
  <c r="M1691" i="2"/>
  <c r="J1691" i="2"/>
  <c r="M1690" i="2"/>
  <c r="J1690" i="2"/>
  <c r="M1689" i="2"/>
  <c r="J1689" i="2"/>
  <c r="M1688" i="2"/>
  <c r="J1688" i="2"/>
  <c r="M1687" i="2"/>
  <c r="J1687" i="2"/>
  <c r="M1609" i="2"/>
  <c r="J1609" i="2"/>
  <c r="M1608" i="2"/>
  <c r="J1608" i="2"/>
  <c r="M1607" i="2"/>
  <c r="J1607" i="2"/>
  <c r="M1606" i="2"/>
  <c r="J1606" i="2"/>
  <c r="M1605" i="2"/>
  <c r="J1605" i="2"/>
  <c r="M1604" i="2"/>
  <c r="J1604" i="2"/>
  <c r="M1602" i="2"/>
  <c r="J1602" i="2"/>
  <c r="M1597" i="2"/>
  <c r="J1597" i="2"/>
  <c r="M1596" i="2"/>
  <c r="J1596" i="2"/>
  <c r="M1593" i="2"/>
  <c r="J1593" i="2"/>
  <c r="M1590" i="2"/>
  <c r="J1590" i="2"/>
  <c r="M1589" i="2"/>
  <c r="J1589" i="2"/>
  <c r="M1588" i="2"/>
  <c r="J1588" i="2"/>
  <c r="M5467" i="2"/>
  <c r="J5467" i="2"/>
  <c r="M5466" i="2"/>
  <c r="J5466" i="2"/>
  <c r="M827" i="2"/>
  <c r="J827" i="2"/>
  <c r="M829" i="2"/>
  <c r="J829" i="2"/>
  <c r="M825" i="2"/>
  <c r="J825" i="2"/>
  <c r="M826" i="2"/>
  <c r="J826" i="2"/>
  <c r="M828" i="2"/>
  <c r="J828" i="2"/>
  <c r="M823" i="2"/>
  <c r="J823" i="2"/>
  <c r="M822" i="2"/>
  <c r="J822" i="2"/>
  <c r="M821" i="2"/>
  <c r="J821" i="2"/>
  <c r="M818" i="2"/>
  <c r="J818" i="2"/>
  <c r="M817" i="2"/>
  <c r="J817" i="2"/>
  <c r="M814" i="2"/>
  <c r="J814" i="2"/>
  <c r="M819" i="2"/>
  <c r="J819" i="2"/>
  <c r="M816" i="2"/>
  <c r="J816" i="2"/>
  <c r="M815" i="2"/>
  <c r="J815" i="2"/>
  <c r="M798" i="2"/>
  <c r="J798" i="2"/>
  <c r="M809" i="2"/>
  <c r="J809" i="2"/>
  <c r="M810" i="2"/>
  <c r="J810" i="2"/>
  <c r="M796" i="2"/>
  <c r="J796" i="2"/>
  <c r="M797" i="2"/>
  <c r="J797" i="2"/>
  <c r="M795" i="2"/>
  <c r="J795" i="2"/>
  <c r="M794" i="2"/>
  <c r="J794" i="2"/>
  <c r="M793" i="2"/>
  <c r="J793" i="2"/>
  <c r="M813" i="2"/>
  <c r="J813" i="2"/>
  <c r="M802" i="2"/>
  <c r="J802" i="2"/>
  <c r="M806" i="2"/>
  <c r="J806" i="2"/>
  <c r="M805" i="2"/>
  <c r="J805" i="2"/>
  <c r="M808" i="2"/>
  <c r="J808" i="2"/>
  <c r="M807" i="2"/>
  <c r="J807" i="2"/>
  <c r="M803" i="2"/>
  <c r="J803" i="2"/>
  <c r="M801" i="2"/>
  <c r="J801" i="2"/>
  <c r="M804" i="2"/>
  <c r="J804" i="2"/>
  <c r="M723" i="2"/>
  <c r="J723" i="2"/>
  <c r="M724" i="2"/>
  <c r="J724" i="2"/>
  <c r="M727" i="2"/>
  <c r="J727" i="2"/>
  <c r="M726" i="2"/>
  <c r="J726" i="2"/>
  <c r="M718" i="2"/>
  <c r="J718" i="2"/>
  <c r="M717" i="2"/>
  <c r="J717" i="2"/>
  <c r="M742" i="2"/>
  <c r="J742" i="2"/>
  <c r="M737" i="2"/>
  <c r="J737" i="2"/>
  <c r="M736" i="2"/>
  <c r="J736" i="2"/>
  <c r="M735" i="2"/>
  <c r="J735" i="2"/>
  <c r="M734" i="2"/>
  <c r="J734" i="2"/>
  <c r="M739" i="2"/>
  <c r="J739" i="2"/>
  <c r="M733" i="2"/>
  <c r="J733" i="2"/>
  <c r="M732" i="2"/>
  <c r="J732" i="2"/>
  <c r="M716" i="2"/>
  <c r="J716" i="2"/>
  <c r="M728" i="2"/>
  <c r="J728" i="2"/>
  <c r="M722" i="2"/>
  <c r="J722" i="2"/>
  <c r="M721" i="2"/>
  <c r="J721" i="2"/>
  <c r="M738" i="2"/>
  <c r="J738" i="2"/>
  <c r="M740" i="2"/>
  <c r="J740" i="2"/>
  <c r="M730" i="2"/>
  <c r="J730" i="2"/>
  <c r="M731" i="2"/>
  <c r="J731" i="2"/>
  <c r="M715" i="2"/>
  <c r="J715" i="2"/>
  <c r="M62" i="2"/>
  <c r="J62" i="2"/>
  <c r="M69" i="2"/>
  <c r="J69" i="2"/>
  <c r="M64" i="2"/>
  <c r="J64" i="2"/>
  <c r="M55" i="2"/>
  <c r="J55" i="2"/>
  <c r="M60" i="2"/>
  <c r="J60" i="2"/>
  <c r="M56" i="2"/>
  <c r="J56" i="2"/>
  <c r="M59" i="2"/>
  <c r="J59" i="2"/>
  <c r="M63" i="2"/>
  <c r="J63" i="2"/>
  <c r="M58" i="2"/>
  <c r="J58" i="2"/>
  <c r="M68" i="2"/>
  <c r="J68" i="2"/>
  <c r="M57" i="2"/>
  <c r="J57" i="2"/>
  <c r="M385" i="2"/>
  <c r="J385" i="2"/>
  <c r="M232" i="2"/>
  <c r="J232" i="2"/>
  <c r="M235" i="2"/>
  <c r="J235" i="2"/>
  <c r="M234" i="2"/>
  <c r="J234" i="2"/>
  <c r="M233" i="2"/>
  <c r="J233" i="2"/>
  <c r="M229" i="2"/>
  <c r="J229" i="2"/>
  <c r="M227" i="2"/>
  <c r="J227" i="2"/>
  <c r="M226" i="2"/>
  <c r="J226" i="2"/>
  <c r="M231" i="2"/>
  <c r="J231" i="2"/>
  <c r="M230" i="2"/>
  <c r="J230" i="2"/>
  <c r="M223" i="2"/>
  <c r="J223" i="2"/>
  <c r="M225" i="2"/>
  <c r="J225" i="2"/>
  <c r="M228" i="2"/>
  <c r="J228" i="2"/>
  <c r="M237" i="2"/>
  <c r="J237" i="2"/>
  <c r="M238" i="2"/>
  <c r="J238" i="2"/>
  <c r="M240" i="2"/>
  <c r="J240" i="2"/>
  <c r="M239" i="2"/>
  <c r="J239" i="2"/>
  <c r="M1587" i="2"/>
  <c r="J1587" i="2"/>
  <c r="M1586" i="2"/>
  <c r="J1586" i="2"/>
  <c r="M1578" i="2"/>
  <c r="J1578" i="2"/>
  <c r="M1575" i="2"/>
  <c r="J1575" i="2"/>
  <c r="M1574" i="2"/>
  <c r="J1574" i="2"/>
  <c r="M1573" i="2"/>
  <c r="J1573" i="2"/>
  <c r="M1572" i="2"/>
  <c r="J1572" i="2"/>
  <c r="M1571" i="2"/>
  <c r="J1571" i="2"/>
  <c r="M1569" i="2"/>
  <c r="J1569" i="2"/>
  <c r="M1314" i="2"/>
  <c r="J1314" i="2"/>
  <c r="M1313" i="2"/>
  <c r="J1313" i="2"/>
  <c r="M1312" i="2"/>
  <c r="J1312" i="2"/>
  <c r="M1311" i="2"/>
  <c r="J1311" i="2"/>
  <c r="M1310" i="2"/>
  <c r="J1310" i="2"/>
  <c r="M1309" i="2"/>
  <c r="J1309" i="2"/>
  <c r="M1308" i="2"/>
  <c r="J1308" i="2"/>
  <c r="M1305" i="2"/>
  <c r="J1305" i="2"/>
  <c r="M1304" i="2"/>
  <c r="J1304" i="2"/>
  <c r="M1302" i="2"/>
  <c r="J1302" i="2"/>
  <c r="M1300" i="2"/>
  <c r="J1300" i="2"/>
  <c r="M1299" i="2"/>
  <c r="J1299" i="2"/>
  <c r="M1297" i="2"/>
  <c r="J1297" i="2"/>
  <c r="M1296" i="2"/>
  <c r="J1296" i="2"/>
  <c r="M1295" i="2"/>
  <c r="J1295" i="2"/>
  <c r="M1292" i="2"/>
  <c r="J1292" i="2"/>
  <c r="M1291" i="2"/>
  <c r="J1291" i="2"/>
  <c r="M1290" i="2"/>
  <c r="J1290" i="2"/>
  <c r="M1289" i="2"/>
  <c r="J1289" i="2"/>
  <c r="M1288" i="2"/>
  <c r="J1288" i="2"/>
  <c r="M1286" i="2"/>
  <c r="J1286" i="2"/>
  <c r="M1285" i="2"/>
  <c r="J1285" i="2"/>
  <c r="M1284" i="2"/>
  <c r="J1284" i="2"/>
  <c r="M1277" i="2"/>
  <c r="J1277" i="2"/>
  <c r="M1276" i="2"/>
  <c r="J1276" i="2"/>
  <c r="M1275" i="2"/>
  <c r="J1275" i="2"/>
  <c r="M820" i="2"/>
  <c r="J820" i="2"/>
  <c r="M799" i="2"/>
  <c r="J799" i="2"/>
  <c r="M800" i="2"/>
  <c r="J800" i="2"/>
  <c r="M725" i="2"/>
  <c r="J725" i="2"/>
  <c r="M720" i="2"/>
  <c r="J720" i="2"/>
  <c r="M719" i="2"/>
  <c r="J719" i="2"/>
  <c r="M741" i="2"/>
  <c r="J741" i="2"/>
  <c r="M729" i="2"/>
  <c r="J729" i="2"/>
  <c r="M61" i="2"/>
  <c r="J61" i="2"/>
  <c r="M54" i="2"/>
  <c r="J54" i="2"/>
  <c r="M384" i="2"/>
  <c r="J384" i="2"/>
  <c r="M251" i="2"/>
  <c r="J251" i="2"/>
  <c r="M246" i="2"/>
  <c r="J246" i="2"/>
  <c r="M242" i="2"/>
  <c r="J242" i="2"/>
  <c r="M254" i="2"/>
  <c r="J254" i="2"/>
  <c r="M243" i="2"/>
  <c r="J243" i="2"/>
  <c r="M245" i="2"/>
  <c r="J245" i="2"/>
  <c r="M236" i="2"/>
  <c r="J236" i="2"/>
  <c r="M224" i="2"/>
  <c r="J224" i="2"/>
  <c r="M241" i="2"/>
  <c r="J241" i="2"/>
  <c r="M1236" i="2"/>
  <c r="J1236" i="2"/>
  <c r="M1235" i="2"/>
  <c r="J1235" i="2"/>
  <c r="M1234" i="2"/>
  <c r="J1234" i="2"/>
  <c r="M1211" i="2"/>
  <c r="J1211" i="2"/>
  <c r="M1190" i="2"/>
  <c r="J1190" i="2"/>
  <c r="M1189" i="2"/>
  <c r="J1189" i="2"/>
  <c r="M1188" i="2"/>
  <c r="J1188" i="2"/>
  <c r="M1187" i="2"/>
  <c r="J1187" i="2"/>
  <c r="M1186" i="2"/>
  <c r="J1186" i="2"/>
  <c r="M1185" i="2"/>
  <c r="J1185" i="2"/>
  <c r="M1184" i="2"/>
  <c r="J1184" i="2"/>
  <c r="M1183" i="2"/>
  <c r="J1183" i="2"/>
  <c r="M1182" i="2"/>
  <c r="J1182" i="2"/>
  <c r="M1181" i="2"/>
  <c r="J1181" i="2"/>
  <c r="M1128" i="2"/>
  <c r="J1128" i="2"/>
  <c r="M1127" i="2"/>
  <c r="J1127" i="2"/>
  <c r="M1121" i="2"/>
  <c r="J1121" i="2"/>
  <c r="M1120" i="2"/>
  <c r="J1120" i="2"/>
  <c r="M1119" i="2"/>
  <c r="J1119" i="2"/>
  <c r="M1118" i="2"/>
  <c r="J1118" i="2"/>
  <c r="M1117" i="2"/>
  <c r="J1117" i="2"/>
  <c r="M1116" i="2"/>
  <c r="J1116" i="2"/>
  <c r="M1115" i="2"/>
  <c r="J1115" i="2"/>
  <c r="M1114" i="2"/>
  <c r="J1114" i="2"/>
  <c r="M1113" i="2"/>
  <c r="J1113" i="2"/>
  <c r="M1112" i="2"/>
  <c r="J1112" i="2"/>
  <c r="M1111" i="2"/>
  <c r="J1111" i="2"/>
  <c r="M1110" i="2"/>
  <c r="J1110" i="2"/>
  <c r="M1109" i="2"/>
  <c r="J1109" i="2"/>
  <c r="M1108" i="2"/>
  <c r="J1108" i="2"/>
  <c r="M1107" i="2"/>
  <c r="J1107" i="2"/>
  <c r="M1106" i="2"/>
  <c r="J1106" i="2"/>
  <c r="M1105" i="2"/>
  <c r="J1105" i="2"/>
  <c r="M1104" i="2"/>
  <c r="J1104" i="2"/>
  <c r="M1103" i="2"/>
  <c r="J1103" i="2"/>
  <c r="M1102" i="2"/>
  <c r="J1102" i="2"/>
  <c r="M1101" i="2"/>
  <c r="J1101" i="2"/>
  <c r="M1100" i="2"/>
  <c r="J1100" i="2"/>
  <c r="M1098" i="2"/>
  <c r="J1098" i="2"/>
  <c r="M1097" i="2"/>
  <c r="J1097" i="2"/>
  <c r="M1096" i="2"/>
  <c r="J1096" i="2"/>
  <c r="M1095" i="2"/>
  <c r="J1095" i="2"/>
  <c r="M1092" i="2"/>
  <c r="J1092" i="2"/>
  <c r="M1091" i="2"/>
  <c r="J1091" i="2"/>
  <c r="M1090" i="2"/>
  <c r="J1090" i="2"/>
  <c r="M1088" i="2"/>
  <c r="J1088" i="2"/>
  <c r="M1086" i="2"/>
  <c r="J1086" i="2"/>
  <c r="M1085" i="2"/>
  <c r="J1085" i="2"/>
  <c r="M1084" i="2"/>
  <c r="J1084" i="2"/>
  <c r="M1083" i="2"/>
  <c r="J1083" i="2"/>
  <c r="M1082" i="2"/>
  <c r="J1082" i="2"/>
  <c r="M1081" i="2"/>
  <c r="J1081" i="2"/>
  <c r="M1080" i="2"/>
  <c r="J1080" i="2"/>
  <c r="M1079" i="2"/>
  <c r="J1079" i="2"/>
  <c r="M941" i="2"/>
  <c r="J941" i="2"/>
  <c r="M940" i="2"/>
  <c r="J940" i="2"/>
  <c r="M937" i="2"/>
  <c r="J937" i="2"/>
  <c r="M936" i="2"/>
  <c r="J936" i="2"/>
  <c r="M935" i="2"/>
  <c r="J935" i="2"/>
  <c r="M934" i="2"/>
  <c r="J934" i="2"/>
  <c r="M933" i="2"/>
  <c r="J933" i="2"/>
  <c r="M932" i="2"/>
  <c r="J932" i="2"/>
  <c r="M931" i="2"/>
  <c r="J931" i="2"/>
  <c r="M930" i="2"/>
  <c r="J930" i="2"/>
  <c r="M904" i="2"/>
  <c r="J904" i="2"/>
  <c r="M2453" i="2"/>
  <c r="J2453" i="2"/>
  <c r="M2452" i="2"/>
  <c r="J2452" i="2"/>
  <c r="M2451" i="2"/>
  <c r="J2451" i="2"/>
  <c r="M2450" i="2"/>
  <c r="J2450" i="2"/>
  <c r="M2449" i="2"/>
  <c r="J2449" i="2"/>
  <c r="M2447" i="2"/>
  <c r="J2447" i="2"/>
  <c r="M2446" i="2"/>
  <c r="J2446" i="2"/>
  <c r="M2445" i="2"/>
  <c r="J2445" i="2"/>
  <c r="M2444" i="2"/>
  <c r="J2444" i="2"/>
  <c r="M2443" i="2"/>
  <c r="J2443" i="2"/>
  <c r="M2442" i="2"/>
  <c r="J2442" i="2"/>
  <c r="M2441" i="2"/>
  <c r="J2441" i="2"/>
  <c r="M2440" i="2"/>
  <c r="J2440" i="2"/>
  <c r="M2439" i="2"/>
  <c r="J2439" i="2"/>
  <c r="M2438" i="2"/>
  <c r="J2438" i="2"/>
  <c r="M2437" i="2"/>
  <c r="J2437" i="2"/>
  <c r="M2429" i="2"/>
  <c r="J2429" i="2"/>
  <c r="M2427" i="2"/>
  <c r="J2427" i="2"/>
  <c r="M2426" i="2"/>
  <c r="J2426" i="2"/>
  <c r="M2425" i="2"/>
  <c r="J2425" i="2"/>
  <c r="M2424" i="2"/>
  <c r="J2424" i="2"/>
  <c r="M2420" i="2"/>
  <c r="J2420" i="2"/>
  <c r="M2419" i="2"/>
  <c r="J2419" i="2"/>
  <c r="M2416" i="2"/>
  <c r="J2416" i="2"/>
  <c r="M2415" i="2"/>
  <c r="J2415" i="2"/>
  <c r="M5780" i="2"/>
  <c r="J5780" i="2"/>
  <c r="M5779" i="2"/>
  <c r="J5779" i="2"/>
  <c r="M5778" i="2"/>
  <c r="J5778" i="2"/>
  <c r="M5777" i="2"/>
  <c r="J5777" i="2"/>
  <c r="M5776" i="2"/>
  <c r="J5776" i="2"/>
  <c r="M5775" i="2"/>
  <c r="J5775" i="2"/>
  <c r="M5774" i="2"/>
  <c r="J5774" i="2"/>
  <c r="M5772" i="2"/>
  <c r="J5772" i="2"/>
  <c r="M5771" i="2"/>
  <c r="J5771" i="2"/>
  <c r="M5770" i="2"/>
  <c r="J5770" i="2"/>
  <c r="M5769" i="2"/>
  <c r="J5769" i="2"/>
  <c r="M5768" i="2"/>
  <c r="J5768" i="2"/>
  <c r="M5767" i="2"/>
  <c r="J5767" i="2"/>
  <c r="M5765" i="2"/>
  <c r="J5765" i="2"/>
  <c r="M5764" i="2"/>
  <c r="J5764" i="2"/>
  <c r="M5763" i="2"/>
  <c r="J5763" i="2"/>
  <c r="M5762" i="2"/>
  <c r="J5762" i="2"/>
  <c r="M5759" i="2"/>
  <c r="J5759" i="2"/>
  <c r="M5758" i="2"/>
  <c r="J5758" i="2"/>
  <c r="M5757" i="2"/>
  <c r="J5757" i="2"/>
  <c r="M5756" i="2"/>
  <c r="J5756" i="2"/>
  <c r="M5755" i="2"/>
  <c r="J5755" i="2"/>
  <c r="M5735" i="2"/>
  <c r="J5735" i="2"/>
  <c r="M5733" i="2"/>
  <c r="J5733" i="2"/>
  <c r="M5732" i="2"/>
  <c r="J5732" i="2"/>
  <c r="M5730" i="2"/>
  <c r="J5730" i="2"/>
  <c r="M5729" i="2"/>
  <c r="J5729" i="2"/>
  <c r="M5728" i="2"/>
  <c r="J5728" i="2"/>
  <c r="M5724" i="2"/>
  <c r="J5724" i="2"/>
  <c r="M5723" i="2"/>
  <c r="J5723" i="2"/>
  <c r="M5722" i="2"/>
  <c r="J5722" i="2"/>
  <c r="M5721" i="2"/>
  <c r="J5721" i="2"/>
  <c r="M5720" i="2"/>
  <c r="J5720" i="2"/>
  <c r="M5719" i="2"/>
  <c r="J5719" i="2"/>
  <c r="M5718" i="2"/>
  <c r="J5718" i="2"/>
  <c r="M5717" i="2"/>
  <c r="J5717" i="2"/>
  <c r="M5716" i="2"/>
  <c r="J5716" i="2"/>
  <c r="M5715" i="2"/>
  <c r="J5715" i="2"/>
  <c r="M5713" i="2"/>
  <c r="J5713" i="2"/>
  <c r="M5712" i="2"/>
  <c r="J5712" i="2"/>
  <c r="M5711" i="2"/>
  <c r="J5711" i="2"/>
  <c r="M5710" i="2"/>
  <c r="J5710" i="2"/>
  <c r="M5709" i="2"/>
  <c r="J5709" i="2"/>
  <c r="M5708" i="2"/>
  <c r="J5708" i="2"/>
  <c r="M5707" i="2"/>
  <c r="J5707" i="2"/>
  <c r="M5706" i="2"/>
  <c r="J5706" i="2"/>
  <c r="M5705" i="2"/>
  <c r="J5705" i="2"/>
  <c r="M5704" i="2"/>
  <c r="J5704" i="2"/>
  <c r="M5703" i="2"/>
  <c r="J5703" i="2"/>
  <c r="M5702" i="2"/>
  <c r="J5702" i="2"/>
  <c r="M5701" i="2"/>
  <c r="J5701" i="2"/>
  <c r="M5623" i="2"/>
  <c r="J5623" i="2"/>
  <c r="M5622" i="2"/>
  <c r="J5622" i="2"/>
  <c r="M5621" i="2"/>
  <c r="J5621" i="2"/>
  <c r="M5620" i="2"/>
  <c r="J5620" i="2"/>
  <c r="M5619" i="2"/>
  <c r="J5619" i="2"/>
  <c r="M5618" i="2"/>
  <c r="J5618" i="2"/>
  <c r="M5617" i="2"/>
  <c r="J5617" i="2"/>
  <c r="M5616" i="2"/>
  <c r="J5616" i="2"/>
  <c r="M5615" i="2"/>
  <c r="J5615" i="2"/>
  <c r="M5614" i="2"/>
  <c r="J5614" i="2"/>
  <c r="M5613" i="2"/>
  <c r="J5613" i="2"/>
  <c r="M5612" i="2"/>
  <c r="J5612" i="2"/>
  <c r="M5611" i="2"/>
  <c r="J5611" i="2"/>
  <c r="M5610" i="2"/>
  <c r="J5610" i="2"/>
  <c r="M5609" i="2"/>
  <c r="J5609" i="2"/>
  <c r="M5608" i="2"/>
  <c r="J5608" i="2"/>
  <c r="M5607" i="2"/>
  <c r="J5607" i="2"/>
  <c r="M5606" i="2"/>
  <c r="J5606" i="2"/>
  <c r="M5605" i="2"/>
  <c r="J5605" i="2"/>
  <c r="M5604" i="2"/>
  <c r="J5604" i="2"/>
  <c r="M5603" i="2"/>
  <c r="J5603" i="2"/>
  <c r="M5602" i="2"/>
  <c r="J5602" i="2"/>
  <c r="M5601" i="2"/>
  <c r="J5601" i="2"/>
  <c r="M5600" i="2"/>
  <c r="J5600" i="2"/>
  <c r="M5599" i="2"/>
  <c r="J5599" i="2"/>
  <c r="M5598" i="2"/>
  <c r="J5598" i="2"/>
  <c r="M5597" i="2"/>
  <c r="J5597" i="2"/>
  <c r="M5596" i="2"/>
  <c r="J5596" i="2"/>
  <c r="M5595" i="2"/>
  <c r="J5595" i="2"/>
  <c r="M5594" i="2"/>
  <c r="J5594" i="2"/>
  <c r="M5593" i="2"/>
  <c r="J5593" i="2"/>
  <c r="M5592" i="2"/>
  <c r="J5592" i="2"/>
  <c r="M5591" i="2"/>
  <c r="J5591" i="2"/>
  <c r="M5590" i="2"/>
  <c r="J5590" i="2"/>
  <c r="M5589" i="2"/>
  <c r="J5589" i="2"/>
  <c r="M5588" i="2"/>
  <c r="J5588" i="2"/>
  <c r="M5587" i="2"/>
  <c r="J5587" i="2"/>
  <c r="M5586" i="2"/>
  <c r="J5586" i="2"/>
  <c r="M5585" i="2"/>
  <c r="J5585" i="2"/>
  <c r="M5584" i="2"/>
  <c r="J5584" i="2"/>
  <c r="M5583" i="2"/>
  <c r="J5583" i="2"/>
  <c r="M5582" i="2"/>
  <c r="J5582" i="2"/>
  <c r="M5581" i="2"/>
  <c r="J5581" i="2"/>
  <c r="M5580" i="2"/>
  <c r="J5580" i="2"/>
  <c r="M5579" i="2"/>
  <c r="J5579" i="2"/>
  <c r="M5577" i="2"/>
  <c r="J5577" i="2"/>
  <c r="M5576" i="2"/>
  <c r="J5576" i="2"/>
  <c r="M5575" i="2"/>
  <c r="J5575" i="2"/>
  <c r="M5574" i="2"/>
  <c r="J5574" i="2"/>
  <c r="M5573" i="2"/>
  <c r="J5573" i="2"/>
  <c r="M5572" i="2"/>
  <c r="J5572" i="2"/>
  <c r="M5571" i="2"/>
  <c r="J5571" i="2"/>
  <c r="M5570" i="2"/>
  <c r="J5570" i="2"/>
  <c r="M5568" i="2"/>
  <c r="J5568" i="2"/>
  <c r="M5567" i="2"/>
  <c r="J5567" i="2"/>
  <c r="M5566" i="2"/>
  <c r="J5566" i="2"/>
  <c r="M5565" i="2"/>
  <c r="J5565" i="2"/>
  <c r="M5564" i="2"/>
  <c r="J5564" i="2"/>
  <c r="M5561" i="2"/>
  <c r="J5561" i="2"/>
  <c r="M5560" i="2"/>
  <c r="J5560" i="2"/>
  <c r="M5558" i="2"/>
  <c r="J5558" i="2"/>
  <c r="M5557" i="2"/>
  <c r="J5557" i="2"/>
  <c r="M5556" i="2"/>
  <c r="J5556" i="2"/>
  <c r="M5555" i="2"/>
  <c r="J5555" i="2"/>
  <c r="M5553" i="2"/>
  <c r="J5553" i="2"/>
  <c r="M5552" i="2"/>
  <c r="J5552" i="2"/>
  <c r="M5547" i="2"/>
  <c r="J5547" i="2"/>
  <c r="M5546" i="2"/>
  <c r="J5546" i="2"/>
  <c r="M5545" i="2"/>
  <c r="J5545" i="2"/>
  <c r="M5544" i="2"/>
  <c r="J5544" i="2"/>
  <c r="M5543" i="2"/>
  <c r="J5543" i="2"/>
  <c r="M5542" i="2"/>
  <c r="J5542" i="2"/>
  <c r="M5541" i="2"/>
  <c r="J5541" i="2"/>
  <c r="M5536" i="2"/>
  <c r="J5536" i="2"/>
  <c r="M5535" i="2"/>
  <c r="J5535" i="2"/>
  <c r="M5534" i="2"/>
  <c r="J5534" i="2"/>
  <c r="M5533" i="2"/>
  <c r="J5533" i="2"/>
  <c r="M5532" i="2"/>
  <c r="J5532" i="2"/>
  <c r="M5531" i="2"/>
  <c r="J5531" i="2"/>
  <c r="M5530" i="2"/>
  <c r="J5530" i="2"/>
  <c r="M5519" i="2"/>
  <c r="J5519" i="2"/>
  <c r="M5452" i="2"/>
  <c r="J5452" i="2"/>
  <c r="M5451" i="2"/>
  <c r="J5451" i="2"/>
  <c r="M5450" i="2"/>
  <c r="J5450" i="2"/>
  <c r="M5449" i="2"/>
  <c r="J5449" i="2"/>
  <c r="M5447" i="2"/>
  <c r="J5447" i="2"/>
  <c r="M5446" i="2"/>
  <c r="J5446" i="2"/>
  <c r="M5445" i="2"/>
  <c r="J5445" i="2"/>
  <c r="M5444" i="2"/>
  <c r="J5444" i="2"/>
  <c r="M5443" i="2"/>
  <c r="J5443" i="2"/>
  <c r="M5442" i="2"/>
  <c r="J5442" i="2"/>
  <c r="M5441" i="2"/>
  <c r="J5441" i="2"/>
  <c r="M5436" i="2"/>
  <c r="J5436" i="2"/>
  <c r="M5435" i="2"/>
  <c r="J5435" i="2"/>
  <c r="M5434" i="2"/>
  <c r="J5434" i="2"/>
  <c r="M5298" i="2"/>
  <c r="J5298" i="2"/>
  <c r="M5297" i="2"/>
  <c r="J5297" i="2"/>
  <c r="M5296" i="2"/>
  <c r="J5296" i="2"/>
  <c r="M5295" i="2"/>
  <c r="J5295" i="2"/>
  <c r="M5265" i="2"/>
  <c r="J5265" i="2"/>
  <c r="M5264" i="2"/>
  <c r="J5264" i="2"/>
  <c r="M5263" i="2"/>
  <c r="J5263" i="2"/>
  <c r="M5262" i="2"/>
  <c r="J5262" i="2"/>
  <c r="M5261" i="2"/>
  <c r="J5261" i="2"/>
  <c r="M5260" i="2"/>
  <c r="J5260" i="2"/>
  <c r="M5259" i="2"/>
  <c r="J5259" i="2"/>
  <c r="M5258" i="2"/>
  <c r="J5258" i="2"/>
  <c r="M5257" i="2"/>
  <c r="J5257" i="2"/>
  <c r="M5256" i="2"/>
  <c r="J5256" i="2"/>
  <c r="M5255" i="2"/>
  <c r="J5255" i="2"/>
  <c r="M5254" i="2"/>
  <c r="J5254" i="2"/>
  <c r="M5253" i="2"/>
  <c r="J5253" i="2"/>
  <c r="M5252" i="2"/>
  <c r="J5252" i="2"/>
  <c r="M5251" i="2"/>
  <c r="J5251" i="2"/>
  <c r="M5250" i="2"/>
  <c r="J5250" i="2"/>
  <c r="M5249" i="2"/>
  <c r="J5249" i="2"/>
  <c r="M5248" i="2"/>
  <c r="J5248" i="2"/>
  <c r="M5245" i="2"/>
  <c r="J5245" i="2"/>
  <c r="M5244" i="2"/>
  <c r="J5244" i="2"/>
  <c r="M5243" i="2"/>
  <c r="J5243" i="2"/>
  <c r="M5242" i="2"/>
  <c r="J5242" i="2"/>
  <c r="M5241" i="2"/>
  <c r="J5241" i="2"/>
  <c r="M5240" i="2"/>
  <c r="J5240" i="2"/>
  <c r="M5239" i="2"/>
  <c r="J5239" i="2"/>
  <c r="M5238" i="2"/>
  <c r="J5238" i="2"/>
  <c r="M5237" i="2"/>
  <c r="J5237" i="2"/>
  <c r="M5236" i="2"/>
  <c r="J5236" i="2"/>
  <c r="M5235" i="2"/>
  <c r="J5235" i="2"/>
  <c r="M5234" i="2"/>
  <c r="J5234" i="2"/>
  <c r="M5232" i="2"/>
  <c r="J5232" i="2"/>
  <c r="M5231" i="2"/>
  <c r="J5231" i="2"/>
  <c r="M5230" i="2"/>
  <c r="J5230" i="2"/>
  <c r="M5229" i="2"/>
  <c r="J5229" i="2"/>
  <c r="M5228" i="2"/>
  <c r="J5228" i="2"/>
  <c r="M5227" i="2"/>
  <c r="J5227" i="2"/>
  <c r="M5226" i="2"/>
  <c r="J5226" i="2"/>
  <c r="M5225" i="2"/>
  <c r="J5225" i="2"/>
  <c r="M5224" i="2"/>
  <c r="J5224" i="2"/>
  <c r="M5222" i="2"/>
  <c r="J5222" i="2"/>
  <c r="M5221" i="2"/>
  <c r="J5221" i="2"/>
  <c r="M5220" i="2"/>
  <c r="J5220" i="2"/>
  <c r="M5219" i="2"/>
  <c r="J5219" i="2"/>
  <c r="M5218" i="2"/>
  <c r="J5218" i="2"/>
  <c r="M5217" i="2"/>
  <c r="J5217" i="2"/>
  <c r="M5216" i="2"/>
  <c r="J5216" i="2"/>
  <c r="M5215" i="2"/>
  <c r="J5215" i="2"/>
  <c r="M5214" i="2"/>
  <c r="J5214" i="2"/>
  <c r="M5213" i="2"/>
  <c r="J5213" i="2"/>
  <c r="M5212" i="2"/>
  <c r="J5212" i="2"/>
  <c r="M5211" i="2"/>
  <c r="J5211" i="2"/>
  <c r="M5210" i="2"/>
  <c r="J5210" i="2"/>
  <c r="M5209" i="2"/>
  <c r="J5209" i="2"/>
  <c r="M5208" i="2"/>
  <c r="J5208" i="2"/>
  <c r="M5207" i="2"/>
  <c r="J5207" i="2"/>
  <c r="M5206" i="2"/>
  <c r="J5206" i="2"/>
  <c r="M5205" i="2"/>
  <c r="J5205" i="2"/>
  <c r="M5204" i="2"/>
  <c r="J5204" i="2"/>
  <c r="M5203" i="2"/>
  <c r="J5203" i="2"/>
  <c r="M5202" i="2"/>
  <c r="J5202" i="2"/>
  <c r="M5201" i="2"/>
  <c r="J5201" i="2"/>
  <c r="M5200" i="2"/>
  <c r="J5200" i="2"/>
  <c r="M5184" i="2"/>
  <c r="J5184" i="2"/>
  <c r="M5182" i="2"/>
  <c r="J5182" i="2"/>
  <c r="M5181" i="2"/>
  <c r="J5181" i="2"/>
  <c r="M5031" i="2"/>
  <c r="J5031" i="2"/>
  <c r="M5030" i="2"/>
  <c r="J5030" i="2"/>
  <c r="M5029" i="2"/>
  <c r="J5029" i="2"/>
  <c r="M5028" i="2"/>
  <c r="J5028" i="2"/>
  <c r="M5027" i="2"/>
  <c r="J5027" i="2"/>
  <c r="M5026" i="2"/>
  <c r="J5026" i="2"/>
  <c r="M5025" i="2"/>
  <c r="J5025" i="2"/>
  <c r="M5024" i="2"/>
  <c r="J5024" i="2"/>
  <c r="M5023" i="2"/>
  <c r="J5023" i="2"/>
  <c r="M5022" i="2"/>
  <c r="J5022" i="2"/>
  <c r="M5021" i="2"/>
  <c r="J5021" i="2"/>
  <c r="M5020" i="2"/>
  <c r="J5020" i="2"/>
  <c r="M5019" i="2"/>
  <c r="J5019" i="2"/>
  <c r="M5013" i="2"/>
  <c r="J5013" i="2"/>
  <c r="M5012" i="2"/>
  <c r="J5012" i="2"/>
  <c r="M5011" i="2"/>
  <c r="J5011" i="2"/>
  <c r="M5010" i="2"/>
  <c r="J5010" i="2"/>
  <c r="M5009" i="2"/>
  <c r="J5009" i="2"/>
  <c r="M5008" i="2"/>
  <c r="J5008" i="2"/>
  <c r="M5007" i="2"/>
  <c r="J5007" i="2"/>
  <c r="M5006" i="2"/>
  <c r="J5006" i="2"/>
  <c r="M5005" i="2"/>
  <c r="J5005" i="2"/>
  <c r="M5004" i="2"/>
  <c r="J5004" i="2"/>
  <c r="M5003" i="2"/>
  <c r="J5003" i="2"/>
  <c r="M5002" i="2"/>
  <c r="J5002" i="2"/>
  <c r="M5001" i="2"/>
  <c r="J5001" i="2"/>
  <c r="M5000" i="2"/>
  <c r="J5000" i="2"/>
  <c r="M4999" i="2"/>
  <c r="J4999" i="2"/>
  <c r="M4980" i="2"/>
  <c r="J4980" i="2"/>
  <c r="M4979" i="2"/>
  <c r="J4979" i="2"/>
  <c r="M4978" i="2"/>
  <c r="J4978" i="2"/>
  <c r="M4977" i="2"/>
  <c r="J4977" i="2"/>
  <c r="M4976" i="2"/>
  <c r="J4976" i="2"/>
  <c r="M4975" i="2"/>
  <c r="J4975" i="2"/>
  <c r="M4974" i="2"/>
  <c r="J4974" i="2"/>
  <c r="M4973" i="2"/>
  <c r="J4973" i="2"/>
  <c r="M4972" i="2"/>
  <c r="J4972" i="2"/>
  <c r="M4914" i="2"/>
  <c r="J4914" i="2"/>
  <c r="M4913" i="2"/>
  <c r="J4913" i="2"/>
  <c r="M4912" i="2"/>
  <c r="J4912" i="2"/>
  <c r="M4911" i="2"/>
  <c r="J4911" i="2"/>
  <c r="M4910" i="2"/>
  <c r="J4910" i="2"/>
  <c r="M4909" i="2"/>
  <c r="J4909" i="2"/>
  <c r="M4908" i="2"/>
  <c r="J4908" i="2"/>
  <c r="M4907" i="2"/>
  <c r="J4907" i="2"/>
  <c r="M4906" i="2"/>
  <c r="J4906" i="2"/>
  <c r="M4905" i="2"/>
  <c r="J4905" i="2"/>
  <c r="M4904" i="2"/>
  <c r="J4904" i="2"/>
  <c r="M4903" i="2"/>
  <c r="J4903" i="2"/>
  <c r="M4902" i="2"/>
  <c r="J4902" i="2"/>
  <c r="M4901" i="2"/>
  <c r="J4901" i="2"/>
  <c r="M4900" i="2"/>
  <c r="J4900" i="2"/>
  <c r="M4899" i="2"/>
  <c r="J4899" i="2"/>
  <c r="M4898" i="2"/>
  <c r="J4898" i="2"/>
  <c r="M4897" i="2"/>
  <c r="J4897" i="2"/>
  <c r="M4896" i="2"/>
  <c r="J4896" i="2"/>
  <c r="M4895" i="2"/>
  <c r="J4895" i="2"/>
  <c r="M4894" i="2"/>
  <c r="J4894" i="2"/>
  <c r="M4893" i="2"/>
  <c r="J4893" i="2"/>
  <c r="M4892" i="2"/>
  <c r="J4892" i="2"/>
  <c r="M4891" i="2"/>
  <c r="J4891" i="2"/>
  <c r="M4890" i="2"/>
  <c r="J4890" i="2"/>
  <c r="M4889" i="2"/>
  <c r="J4889" i="2"/>
  <c r="M4888" i="2"/>
  <c r="J4888" i="2"/>
  <c r="M4887" i="2"/>
  <c r="J4887" i="2"/>
  <c r="M4886" i="2"/>
  <c r="J4886" i="2"/>
  <c r="M4885" i="2"/>
  <c r="J4885" i="2"/>
  <c r="M4884" i="2"/>
  <c r="J4884" i="2"/>
  <c r="M4883" i="2"/>
  <c r="J4883" i="2"/>
  <c r="M4882" i="2"/>
  <c r="J4882" i="2"/>
  <c r="M4871" i="2"/>
  <c r="J4871" i="2"/>
  <c r="M4870" i="2"/>
  <c r="J4870" i="2"/>
  <c r="M4869" i="2"/>
  <c r="J4869" i="2"/>
  <c r="M4868" i="2"/>
  <c r="J4868" i="2"/>
  <c r="M4867" i="2"/>
  <c r="J4867" i="2"/>
  <c r="M4866" i="2"/>
  <c r="J4866" i="2"/>
  <c r="M4865" i="2"/>
  <c r="J4865" i="2"/>
  <c r="M4864" i="2"/>
  <c r="J4864" i="2"/>
  <c r="M4863" i="2"/>
  <c r="J4863" i="2"/>
  <c r="M4862" i="2"/>
  <c r="J4862" i="2"/>
  <c r="M4855" i="2"/>
  <c r="J4855" i="2"/>
  <c r="M4854" i="2"/>
  <c r="J4854" i="2"/>
  <c r="M4822" i="2"/>
  <c r="J4822" i="2"/>
  <c r="M4821" i="2"/>
  <c r="J4821" i="2"/>
  <c r="M4819" i="2"/>
  <c r="J4819" i="2"/>
  <c r="M4818" i="2"/>
  <c r="J4818" i="2"/>
  <c r="M4817" i="2"/>
  <c r="J4817" i="2"/>
  <c r="M4816" i="2"/>
  <c r="J4816" i="2"/>
  <c r="M4815" i="2"/>
  <c r="J4815" i="2"/>
  <c r="M4814" i="2"/>
  <c r="J4814" i="2"/>
  <c r="M4813" i="2"/>
  <c r="J4813" i="2"/>
  <c r="M4812" i="2"/>
  <c r="J4812" i="2"/>
  <c r="M4811" i="2"/>
  <c r="J4811" i="2"/>
  <c r="M4810" i="2"/>
  <c r="J4810" i="2"/>
  <c r="M4809" i="2"/>
  <c r="J4809" i="2"/>
  <c r="M4808" i="2"/>
  <c r="J4808" i="2"/>
  <c r="M4807" i="2"/>
  <c r="J4807" i="2"/>
  <c r="M4805" i="2"/>
  <c r="J4805" i="2"/>
  <c r="M4802" i="2"/>
  <c r="J4802" i="2"/>
  <c r="M4801" i="2"/>
  <c r="J4801" i="2"/>
  <c r="M4800" i="2"/>
  <c r="J4800" i="2"/>
  <c r="M4798" i="2"/>
  <c r="J4798" i="2"/>
  <c r="M4795" i="2"/>
  <c r="J4795" i="2"/>
  <c r="M4794" i="2"/>
  <c r="J4794" i="2"/>
  <c r="M4793" i="2"/>
  <c r="J4793" i="2"/>
  <c r="M4792" i="2"/>
  <c r="J4792" i="2"/>
  <c r="M4791" i="2"/>
  <c r="J4791" i="2"/>
  <c r="M4790" i="2"/>
  <c r="J4790" i="2"/>
  <c r="M4788" i="2"/>
  <c r="J4788" i="2"/>
  <c r="M4787" i="2"/>
  <c r="J4787" i="2"/>
  <c r="M4786" i="2"/>
  <c r="J4786" i="2"/>
  <c r="M4785" i="2"/>
  <c r="J4785" i="2"/>
  <c r="M4784" i="2"/>
  <c r="J4784" i="2"/>
  <c r="M4783" i="2"/>
  <c r="J4783" i="2"/>
  <c r="M4782" i="2"/>
  <c r="J4782" i="2"/>
  <c r="M4766" i="2"/>
  <c r="J4766" i="2"/>
  <c r="M4765" i="2"/>
  <c r="J4765" i="2"/>
  <c r="M4764" i="2"/>
  <c r="J4764" i="2"/>
  <c r="M4763" i="2"/>
  <c r="J4763" i="2"/>
  <c r="M4762" i="2"/>
  <c r="J4762" i="2"/>
  <c r="M4761" i="2"/>
  <c r="J4761" i="2"/>
  <c r="M4760" i="2"/>
  <c r="J4760" i="2"/>
  <c r="M4759" i="2"/>
  <c r="J4759" i="2"/>
  <c r="M4758" i="2"/>
  <c r="J4758" i="2"/>
  <c r="M4757" i="2"/>
  <c r="J4757" i="2"/>
  <c r="M4756" i="2"/>
  <c r="J4756" i="2"/>
  <c r="M4755" i="2"/>
  <c r="J4755" i="2"/>
  <c r="M4754" i="2"/>
  <c r="J4754" i="2"/>
  <c r="M4753" i="2"/>
  <c r="J4753" i="2"/>
  <c r="M4752" i="2"/>
  <c r="J4752" i="2"/>
  <c r="M4751" i="2"/>
  <c r="J4751" i="2"/>
  <c r="M4750" i="2"/>
  <c r="J4750" i="2"/>
  <c r="M4749" i="2"/>
  <c r="J4749" i="2"/>
  <c r="M4748" i="2"/>
  <c r="J4748" i="2"/>
  <c r="M4747" i="2"/>
  <c r="J4747" i="2"/>
  <c r="M4746" i="2"/>
  <c r="J4746" i="2"/>
  <c r="M4745" i="2"/>
  <c r="J4745" i="2"/>
  <c r="M4744" i="2"/>
  <c r="J4744" i="2"/>
  <c r="M4743" i="2"/>
  <c r="J4743" i="2"/>
  <c r="M4742" i="2"/>
  <c r="J4742" i="2"/>
  <c r="M4741" i="2"/>
  <c r="J4741" i="2"/>
  <c r="M4740" i="2"/>
  <c r="J4740" i="2"/>
  <c r="M4739" i="2"/>
  <c r="J4739" i="2"/>
  <c r="M4738" i="2"/>
  <c r="J4738" i="2"/>
  <c r="M4737" i="2"/>
  <c r="J4737" i="2"/>
  <c r="M4736" i="2"/>
  <c r="J4736" i="2"/>
  <c r="M4735" i="2"/>
  <c r="J4735" i="2"/>
  <c r="M4734" i="2"/>
  <c r="J4734" i="2"/>
  <c r="M4733" i="2"/>
  <c r="J4733" i="2"/>
  <c r="M4732" i="2"/>
  <c r="J4732" i="2"/>
  <c r="M4731" i="2"/>
  <c r="J4731" i="2"/>
  <c r="M4730" i="2"/>
  <c r="J4730" i="2"/>
  <c r="M4729" i="2"/>
  <c r="J4729" i="2"/>
  <c r="M4728" i="2"/>
  <c r="J4728" i="2"/>
  <c r="M4727" i="2"/>
  <c r="J4727" i="2"/>
  <c r="M4726" i="2"/>
  <c r="J4726" i="2"/>
  <c r="M4725" i="2"/>
  <c r="J4725" i="2"/>
  <c r="M4724" i="2"/>
  <c r="J4724" i="2"/>
  <c r="M4723" i="2"/>
  <c r="J4723" i="2"/>
  <c r="M4722" i="2"/>
  <c r="J4722" i="2"/>
  <c r="M4721" i="2"/>
  <c r="J4721" i="2"/>
  <c r="M4720" i="2"/>
  <c r="J4720" i="2"/>
  <c r="M4719" i="2"/>
  <c r="J4719" i="2"/>
  <c r="M4718" i="2"/>
  <c r="J4718" i="2"/>
  <c r="M4717" i="2"/>
  <c r="J4717" i="2"/>
  <c r="M4716" i="2"/>
  <c r="J4716" i="2"/>
  <c r="M4715" i="2"/>
  <c r="J4715" i="2"/>
  <c r="M4714" i="2"/>
  <c r="J4714" i="2"/>
  <c r="M4492" i="2"/>
  <c r="J4492" i="2"/>
  <c r="M4490" i="2"/>
  <c r="J4490" i="2"/>
  <c r="M4489" i="2"/>
  <c r="J4489" i="2"/>
  <c r="M4488" i="2"/>
  <c r="J4488" i="2"/>
  <c r="M4486" i="2"/>
  <c r="J4486" i="2"/>
  <c r="M4485" i="2"/>
  <c r="J4485" i="2"/>
  <c r="M4483" i="2"/>
  <c r="J4483" i="2"/>
  <c r="M4482" i="2"/>
  <c r="J4482" i="2"/>
  <c r="M4481" i="2"/>
  <c r="J4481" i="2"/>
  <c r="M4479" i="2"/>
  <c r="J4479" i="2"/>
  <c r="M4478" i="2"/>
  <c r="J4478" i="2"/>
  <c r="M4477" i="2"/>
  <c r="J4477" i="2"/>
  <c r="M4476" i="2"/>
  <c r="J4476" i="2"/>
  <c r="M4475" i="2"/>
  <c r="J4475" i="2"/>
  <c r="M4474" i="2"/>
  <c r="J4474" i="2"/>
  <c r="M4473" i="2"/>
  <c r="J4473" i="2"/>
  <c r="M4471" i="2"/>
  <c r="J4471" i="2"/>
  <c r="M4470" i="2"/>
  <c r="J4470" i="2"/>
  <c r="M4469" i="2"/>
  <c r="J4469" i="2"/>
  <c r="M4468" i="2"/>
  <c r="J4468" i="2"/>
  <c r="M4467" i="2"/>
  <c r="J4467" i="2"/>
  <c r="M4465" i="2"/>
  <c r="J4465" i="2"/>
  <c r="M4464" i="2"/>
  <c r="J4464" i="2"/>
  <c r="M4463" i="2"/>
  <c r="J4463" i="2"/>
  <c r="M4253" i="2"/>
  <c r="J4253" i="2"/>
  <c r="M4248" i="2"/>
  <c r="J4248" i="2"/>
  <c r="M4247" i="2"/>
  <c r="J4247" i="2"/>
  <c r="M4246" i="2"/>
  <c r="J4246" i="2"/>
  <c r="M4241" i="2"/>
  <c r="J4241" i="2"/>
  <c r="M4240" i="2"/>
  <c r="J4240" i="2"/>
  <c r="M4239" i="2"/>
  <c r="J4239" i="2"/>
  <c r="M4236" i="2"/>
  <c r="J4236" i="2"/>
  <c r="M4235" i="2"/>
  <c r="J4235" i="2"/>
  <c r="M4234" i="2"/>
  <c r="J4234" i="2"/>
  <c r="M4233" i="2"/>
  <c r="J4233" i="2"/>
  <c r="M4231" i="2"/>
  <c r="J4231" i="2"/>
  <c r="M4220" i="2"/>
  <c r="J4220" i="2"/>
  <c r="M4219" i="2"/>
  <c r="J4219" i="2"/>
  <c r="M4218" i="2"/>
  <c r="J4218" i="2"/>
  <c r="M4217" i="2"/>
  <c r="J4217" i="2"/>
  <c r="M4216" i="2"/>
  <c r="J4216" i="2"/>
  <c r="M4215" i="2"/>
  <c r="J4215" i="2"/>
  <c r="M4214" i="2"/>
  <c r="J4214" i="2"/>
  <c r="M4213" i="2"/>
  <c r="J4213" i="2"/>
  <c r="M4212" i="2"/>
  <c r="J4212" i="2"/>
  <c r="M4211" i="2"/>
  <c r="J4211" i="2"/>
  <c r="M4210" i="2"/>
  <c r="J4210" i="2"/>
  <c r="M4194" i="2"/>
  <c r="J4194" i="2"/>
  <c r="M4193" i="2"/>
  <c r="J4193" i="2"/>
  <c r="M4192" i="2"/>
  <c r="J4192" i="2"/>
  <c r="M4191" i="2"/>
  <c r="J4191" i="2"/>
  <c r="M4190" i="2"/>
  <c r="J4190" i="2"/>
  <c r="M4189" i="2"/>
  <c r="J4189" i="2"/>
  <c r="M4188" i="2"/>
  <c r="J4188" i="2"/>
  <c r="M4187" i="2"/>
  <c r="J4187" i="2"/>
  <c r="M4186" i="2"/>
  <c r="J4186" i="2"/>
  <c r="M4185" i="2"/>
  <c r="J4185" i="2"/>
  <c r="M4184" i="2"/>
  <c r="J4184" i="2"/>
  <c r="M4182" i="2"/>
  <c r="J4182" i="2"/>
  <c r="M4181" i="2"/>
  <c r="J4181" i="2"/>
  <c r="M4179" i="2"/>
  <c r="J4179" i="2"/>
  <c r="M4178" i="2"/>
  <c r="J4178" i="2"/>
  <c r="M4177" i="2"/>
  <c r="J4177" i="2"/>
  <c r="M4176" i="2"/>
  <c r="J4176" i="2"/>
  <c r="M4174" i="2"/>
  <c r="J4174" i="2"/>
  <c r="M4173" i="2"/>
  <c r="J4173" i="2"/>
  <c r="M4172" i="2"/>
  <c r="J4172" i="2"/>
  <c r="M4171" i="2"/>
  <c r="J4171" i="2"/>
  <c r="M4170" i="2"/>
  <c r="J4170" i="2"/>
  <c r="M4169" i="2"/>
  <c r="J4169" i="2"/>
  <c r="M4168" i="2"/>
  <c r="J4168" i="2"/>
  <c r="M4167" i="2"/>
  <c r="J4167" i="2"/>
  <c r="M4166" i="2"/>
  <c r="J4166" i="2"/>
  <c r="M4165" i="2"/>
  <c r="J4165" i="2"/>
  <c r="M4162" i="2"/>
  <c r="J4162" i="2"/>
  <c r="M4161" i="2"/>
  <c r="J4161" i="2"/>
  <c r="M4150" i="2"/>
  <c r="J4150" i="2"/>
  <c r="M4149" i="2"/>
  <c r="J4149" i="2"/>
  <c r="M4148" i="2"/>
  <c r="J4148" i="2"/>
  <c r="M4092" i="2"/>
  <c r="J4092" i="2"/>
  <c r="M4091" i="2"/>
  <c r="J4091" i="2"/>
  <c r="M4090" i="2"/>
  <c r="J4090" i="2"/>
  <c r="M4089" i="2"/>
  <c r="J4089" i="2"/>
  <c r="M4084" i="2"/>
  <c r="J4084" i="2"/>
  <c r="M4083" i="2"/>
  <c r="J4083" i="2"/>
  <c r="M4082" i="2"/>
  <c r="J4082" i="2"/>
  <c r="M4081" i="2"/>
  <c r="J4081" i="2"/>
  <c r="M4080" i="2"/>
  <c r="J4080" i="2"/>
  <c r="M4079" i="2"/>
  <c r="J4079" i="2"/>
  <c r="M4076" i="2"/>
  <c r="J4076" i="2"/>
  <c r="M4075" i="2"/>
  <c r="J4075" i="2"/>
  <c r="M4074" i="2"/>
  <c r="J4074" i="2"/>
  <c r="M4073" i="2"/>
  <c r="J4073" i="2"/>
  <c r="M4071" i="2"/>
  <c r="J4071" i="2"/>
  <c r="M4070" i="2"/>
  <c r="J4070" i="2"/>
  <c r="M4069" i="2"/>
  <c r="J4069" i="2"/>
  <c r="M4068" i="2"/>
  <c r="J4068" i="2"/>
  <c r="M4067" i="2"/>
  <c r="J4067" i="2"/>
  <c r="M4066" i="2"/>
  <c r="J4066" i="2"/>
  <c r="M4065" i="2"/>
  <c r="J4065" i="2"/>
  <c r="M4064" i="2"/>
  <c r="J4064" i="2"/>
  <c r="M4063" i="2"/>
  <c r="J4063" i="2"/>
  <c r="M4062" i="2"/>
  <c r="J4062" i="2"/>
  <c r="M4061" i="2"/>
  <c r="J4061" i="2"/>
  <c r="M4060" i="2"/>
  <c r="J4060" i="2"/>
  <c r="M4059" i="2"/>
  <c r="J4059" i="2"/>
  <c r="M4058" i="2"/>
  <c r="J4058" i="2"/>
  <c r="M4049" i="2"/>
  <c r="J4049" i="2"/>
  <c r="M4048" i="2"/>
  <c r="J4048" i="2"/>
  <c r="M4047" i="2"/>
  <c r="J4047" i="2"/>
  <c r="M4046" i="2"/>
  <c r="J4046" i="2"/>
  <c r="M4045" i="2"/>
  <c r="J4045" i="2"/>
  <c r="M4044" i="2"/>
  <c r="J4044" i="2"/>
  <c r="M4043" i="2"/>
  <c r="J4043" i="2"/>
  <c r="M4042" i="2"/>
  <c r="J4042" i="2"/>
  <c r="M4041" i="2"/>
  <c r="J4041" i="2"/>
  <c r="M4040" i="2"/>
  <c r="J4040" i="2"/>
  <c r="M4039" i="2"/>
  <c r="J4039" i="2"/>
  <c r="M4038" i="2"/>
  <c r="J4038" i="2"/>
  <c r="M4037" i="2"/>
  <c r="J4037" i="2"/>
  <c r="M4036" i="2"/>
  <c r="J4036" i="2"/>
  <c r="M4035" i="2"/>
  <c r="J4035" i="2"/>
  <c r="M4034" i="2"/>
  <c r="J4034" i="2"/>
  <c r="M4033" i="2"/>
  <c r="J4033" i="2"/>
  <c r="M4032" i="2"/>
  <c r="J4032" i="2"/>
  <c r="M4031" i="2"/>
  <c r="J4031" i="2"/>
  <c r="M4030" i="2"/>
  <c r="J4030" i="2"/>
  <c r="M4029" i="2"/>
  <c r="J4029" i="2"/>
  <c r="M4028" i="2"/>
  <c r="J4028" i="2"/>
  <c r="M4027" i="2"/>
  <c r="J4027" i="2"/>
  <c r="M4026" i="2"/>
  <c r="J4026" i="2"/>
  <c r="M4025" i="2"/>
  <c r="J4025" i="2"/>
  <c r="M4024" i="2"/>
  <c r="J4024" i="2"/>
  <c r="M4023" i="2"/>
  <c r="J4023" i="2"/>
  <c r="M4022" i="2"/>
  <c r="J4022" i="2"/>
  <c r="M4021" i="2"/>
  <c r="J4021" i="2"/>
  <c r="M4020" i="2"/>
  <c r="J4020" i="2"/>
  <c r="M4019" i="2"/>
  <c r="J4019" i="2"/>
  <c r="M4018" i="2"/>
  <c r="J4018" i="2"/>
  <c r="M4017" i="2"/>
  <c r="J4017" i="2"/>
  <c r="M4016" i="2"/>
  <c r="J4016" i="2"/>
  <c r="M4015" i="2"/>
  <c r="J4015" i="2"/>
  <c r="M4014" i="2"/>
  <c r="J4014" i="2"/>
  <c r="M4013" i="2"/>
  <c r="J4013" i="2"/>
  <c r="M4012" i="2"/>
  <c r="J4012" i="2"/>
  <c r="M4011" i="2"/>
  <c r="J4011" i="2"/>
  <c r="M4010" i="2"/>
  <c r="J4010" i="2"/>
  <c r="M4009" i="2"/>
  <c r="J4009" i="2"/>
  <c r="M4008" i="2"/>
  <c r="J4008" i="2"/>
  <c r="M4007" i="2"/>
  <c r="J4007" i="2"/>
  <c r="M4006" i="2"/>
  <c r="J4006" i="2"/>
  <c r="M4005" i="2"/>
  <c r="J4005" i="2"/>
  <c r="M4004" i="2"/>
  <c r="J4004" i="2"/>
  <c r="M4003" i="2"/>
  <c r="J4003" i="2"/>
  <c r="M4002" i="2"/>
  <c r="J4002" i="2"/>
  <c r="M4001" i="2"/>
  <c r="J4001" i="2"/>
  <c r="M4000" i="2"/>
  <c r="J4000" i="2"/>
  <c r="M3999" i="2"/>
  <c r="J3999" i="2"/>
  <c r="M3998" i="2"/>
  <c r="J3998" i="2"/>
  <c r="M3997" i="2"/>
  <c r="J3997" i="2"/>
  <c r="M3996" i="2"/>
  <c r="J3996" i="2"/>
  <c r="M3995" i="2"/>
  <c r="J3995" i="2"/>
  <c r="M3994" i="2"/>
  <c r="J3994" i="2"/>
  <c r="M3993" i="2"/>
  <c r="J3993" i="2"/>
  <c r="M3992" i="2"/>
  <c r="J3992" i="2"/>
  <c r="M3991" i="2"/>
  <c r="J3991" i="2"/>
  <c r="M3990" i="2"/>
  <c r="J3990" i="2"/>
  <c r="M3989" i="2"/>
  <c r="J3989" i="2"/>
  <c r="M3988" i="2"/>
  <c r="J3988" i="2"/>
  <c r="M3987" i="2"/>
  <c r="J3987" i="2"/>
  <c r="M3986" i="2"/>
  <c r="J3986" i="2"/>
  <c r="M3985" i="2"/>
  <c r="J3985" i="2"/>
  <c r="M3984" i="2"/>
  <c r="J3984" i="2"/>
  <c r="M3983" i="2"/>
  <c r="J3983" i="2"/>
  <c r="M3982" i="2"/>
  <c r="J3982" i="2"/>
  <c r="M3981" i="2"/>
  <c r="J3981" i="2"/>
  <c r="M3980" i="2"/>
  <c r="J3980" i="2"/>
  <c r="M3979" i="2"/>
  <c r="J3979" i="2"/>
  <c r="M3978" i="2"/>
  <c r="J3978" i="2"/>
  <c r="M3977" i="2"/>
  <c r="J3977" i="2"/>
  <c r="M3976" i="2"/>
  <c r="J3976" i="2"/>
  <c r="M3975" i="2"/>
  <c r="J3975" i="2"/>
  <c r="M3974" i="2"/>
  <c r="J3974" i="2"/>
  <c r="M3973" i="2"/>
  <c r="J3973" i="2"/>
  <c r="M3972" i="2"/>
  <c r="J3972" i="2"/>
  <c r="M3971" i="2"/>
  <c r="J3971" i="2"/>
  <c r="M3970" i="2"/>
  <c r="J3970" i="2"/>
  <c r="M3969" i="2"/>
  <c r="J3969" i="2"/>
  <c r="M3968" i="2"/>
  <c r="J3968" i="2"/>
  <c r="M3967" i="2"/>
  <c r="J3967" i="2"/>
  <c r="M3966" i="2"/>
  <c r="J3966" i="2"/>
  <c r="M3965" i="2"/>
  <c r="J3965" i="2"/>
  <c r="M3964" i="2"/>
  <c r="J3964" i="2"/>
  <c r="M3963" i="2"/>
  <c r="J3963" i="2"/>
  <c r="M3962" i="2"/>
  <c r="J3962" i="2"/>
  <c r="M3961" i="2"/>
  <c r="J3961" i="2"/>
  <c r="M3960" i="2"/>
  <c r="J3960" i="2"/>
  <c r="M3959" i="2"/>
  <c r="J3959" i="2"/>
  <c r="M3958" i="2"/>
  <c r="J3958" i="2"/>
  <c r="M3957" i="2"/>
  <c r="J3957" i="2"/>
  <c r="M3956" i="2"/>
  <c r="J3956" i="2"/>
  <c r="M3955" i="2"/>
  <c r="J3955" i="2"/>
  <c r="M3954" i="2"/>
  <c r="J3954" i="2"/>
  <c r="M3953" i="2"/>
  <c r="J3953" i="2"/>
  <c r="M3952" i="2"/>
  <c r="J3952" i="2"/>
  <c r="M3951" i="2"/>
  <c r="J3951" i="2"/>
  <c r="M3950" i="2"/>
  <c r="J3950" i="2"/>
  <c r="M3851" i="2"/>
  <c r="J3851" i="2"/>
  <c r="M3850" i="2"/>
  <c r="J3850" i="2"/>
  <c r="M3849" i="2"/>
  <c r="J3849" i="2"/>
  <c r="M3848" i="2"/>
  <c r="J3848" i="2"/>
  <c r="M3847" i="2"/>
  <c r="J3847" i="2"/>
  <c r="M3845" i="2"/>
  <c r="J3845" i="2"/>
  <c r="M3843" i="2"/>
  <c r="J3843" i="2"/>
  <c r="M3842" i="2"/>
  <c r="J3842" i="2"/>
  <c r="M3841" i="2"/>
  <c r="J3841" i="2"/>
  <c r="M3840" i="2"/>
  <c r="J3840" i="2"/>
  <c r="M3839" i="2"/>
  <c r="J3839" i="2"/>
  <c r="M3838" i="2"/>
  <c r="J3838" i="2"/>
  <c r="M3837" i="2"/>
  <c r="J3837" i="2"/>
  <c r="M3836" i="2"/>
  <c r="J3836" i="2"/>
  <c r="M3835" i="2"/>
  <c r="J3835" i="2"/>
  <c r="M3834" i="2"/>
  <c r="J3834" i="2"/>
  <c r="M3833" i="2"/>
  <c r="J3833" i="2"/>
  <c r="M3832" i="2"/>
  <c r="J3832" i="2"/>
  <c r="M3831" i="2"/>
  <c r="J3831" i="2"/>
  <c r="M3830" i="2"/>
  <c r="J3830" i="2"/>
  <c r="M3829" i="2"/>
  <c r="J3829" i="2"/>
  <c r="M3828" i="2"/>
  <c r="J3828" i="2"/>
  <c r="M3827" i="2"/>
  <c r="J3827" i="2"/>
  <c r="M3826" i="2"/>
  <c r="J3826" i="2"/>
  <c r="M3825" i="2"/>
  <c r="J3825" i="2"/>
  <c r="M3824" i="2"/>
  <c r="J3824" i="2"/>
  <c r="M3823" i="2"/>
  <c r="J3823" i="2"/>
  <c r="M3822" i="2"/>
  <c r="J3822" i="2"/>
  <c r="M3820" i="2"/>
  <c r="J3820" i="2"/>
  <c r="M3818" i="2"/>
  <c r="J3818" i="2"/>
  <c r="M3801" i="2"/>
  <c r="J3801" i="2"/>
  <c r="M3800" i="2"/>
  <c r="J3800" i="2"/>
  <c r="M3798" i="2"/>
  <c r="J3798" i="2"/>
  <c r="M3766" i="2"/>
  <c r="J3766" i="2"/>
  <c r="M3760" i="2"/>
  <c r="J3760" i="2"/>
  <c r="M3759" i="2"/>
  <c r="J3759" i="2"/>
  <c r="M3737" i="2"/>
  <c r="J3737" i="2"/>
  <c r="M3736" i="2"/>
  <c r="J3736" i="2"/>
  <c r="M3735" i="2"/>
  <c r="J3735" i="2"/>
  <c r="M3734" i="2"/>
  <c r="J3734" i="2"/>
  <c r="M3733" i="2"/>
  <c r="J3733" i="2"/>
  <c r="M3732" i="2"/>
  <c r="J3732" i="2"/>
  <c r="M3731" i="2"/>
  <c r="J3731" i="2"/>
  <c r="M3730" i="2"/>
  <c r="J3730" i="2"/>
  <c r="M3729" i="2"/>
  <c r="J3729" i="2"/>
  <c r="M3728" i="2"/>
  <c r="J3728" i="2"/>
  <c r="M3708" i="2"/>
  <c r="J3708" i="2"/>
  <c r="M3707" i="2"/>
  <c r="J3707" i="2"/>
  <c r="M3706" i="2"/>
  <c r="J3706" i="2"/>
  <c r="M3705" i="2"/>
  <c r="J3705" i="2"/>
  <c r="M3704" i="2"/>
  <c r="J3704" i="2"/>
  <c r="M3703" i="2"/>
  <c r="J3703" i="2"/>
  <c r="M3702" i="2"/>
  <c r="J3702" i="2"/>
  <c r="M3701" i="2"/>
  <c r="J3701" i="2"/>
  <c r="M3700" i="2"/>
  <c r="J3700" i="2"/>
  <c r="M3699" i="2"/>
  <c r="J3699" i="2"/>
  <c r="M3606" i="2"/>
  <c r="J3606" i="2"/>
  <c r="M3605" i="2"/>
  <c r="J3605" i="2"/>
  <c r="M3604" i="2"/>
  <c r="J3604" i="2"/>
  <c r="M3603" i="2"/>
  <c r="J3603" i="2"/>
  <c r="M3602" i="2"/>
  <c r="J3602" i="2"/>
  <c r="M3601" i="2"/>
  <c r="J3601" i="2"/>
  <c r="M3600" i="2"/>
  <c r="J3600" i="2"/>
  <c r="M3599" i="2"/>
  <c r="J3599" i="2"/>
  <c r="M3598" i="2"/>
  <c r="J3598" i="2"/>
  <c r="M3597" i="2"/>
  <c r="J3597" i="2"/>
  <c r="M3596" i="2"/>
  <c r="J3596" i="2"/>
  <c r="M3595" i="2"/>
  <c r="J3595" i="2"/>
  <c r="M3594" i="2"/>
  <c r="J3594" i="2"/>
  <c r="M3593" i="2"/>
  <c r="J3593" i="2"/>
  <c r="M3592" i="2"/>
  <c r="J3592" i="2"/>
  <c r="M3591" i="2"/>
  <c r="J3591" i="2"/>
  <c r="M3590" i="2"/>
  <c r="J3590" i="2"/>
  <c r="M3589" i="2"/>
  <c r="J3589" i="2"/>
  <c r="M3533" i="2"/>
  <c r="J3533" i="2"/>
  <c r="M3532" i="2"/>
  <c r="J3532" i="2"/>
  <c r="M3531" i="2"/>
  <c r="J3531" i="2"/>
  <c r="M3530" i="2"/>
  <c r="J3530" i="2"/>
  <c r="M3529" i="2"/>
  <c r="J3529" i="2"/>
  <c r="M3528" i="2"/>
  <c r="J3528" i="2"/>
  <c r="M3527" i="2"/>
  <c r="J3527" i="2"/>
  <c r="M3526" i="2"/>
  <c r="J3526" i="2"/>
  <c r="M3525" i="2"/>
  <c r="J3525" i="2"/>
  <c r="M3524" i="2"/>
  <c r="J3524" i="2"/>
  <c r="M3523" i="2"/>
  <c r="J3523" i="2"/>
  <c r="M3522" i="2"/>
  <c r="J3522" i="2"/>
  <c r="M3521" i="2"/>
  <c r="J3521" i="2"/>
  <c r="M3520" i="2"/>
  <c r="J3520" i="2"/>
  <c r="M3519" i="2"/>
  <c r="J3519" i="2"/>
  <c r="M3518" i="2"/>
  <c r="J3518" i="2"/>
  <c r="M3517" i="2"/>
  <c r="J3517" i="2"/>
  <c r="M3516" i="2"/>
  <c r="J3516" i="2"/>
  <c r="M3515" i="2"/>
  <c r="J3515" i="2"/>
  <c r="M3514" i="2"/>
  <c r="J3514" i="2"/>
  <c r="M3513" i="2"/>
  <c r="J3513" i="2"/>
  <c r="M3512" i="2"/>
  <c r="J3512" i="2"/>
  <c r="M3511" i="2"/>
  <c r="J3511" i="2"/>
  <c r="M3510" i="2"/>
  <c r="J3510" i="2"/>
  <c r="M3509" i="2"/>
  <c r="J3509" i="2"/>
  <c r="M3508" i="2"/>
  <c r="J3508" i="2"/>
  <c r="M3507" i="2"/>
  <c r="J3507" i="2"/>
  <c r="M3506" i="2"/>
  <c r="J3506" i="2"/>
  <c r="M3505" i="2"/>
  <c r="J3505" i="2"/>
  <c r="M3372" i="2"/>
  <c r="J3372" i="2"/>
  <c r="M3371" i="2"/>
  <c r="J3371" i="2"/>
  <c r="M3370" i="2"/>
  <c r="J3370" i="2"/>
  <c r="M3369" i="2"/>
  <c r="J3369" i="2"/>
  <c r="M3344" i="2"/>
  <c r="J3344" i="2"/>
  <c r="M3343" i="2"/>
  <c r="J3343" i="2"/>
  <c r="M3342" i="2"/>
  <c r="J3342" i="2"/>
  <c r="M3341" i="2"/>
  <c r="J3341" i="2"/>
  <c r="M3340" i="2"/>
  <c r="J3340" i="2"/>
  <c r="M3339" i="2"/>
  <c r="J3339" i="2"/>
  <c r="M3338" i="2"/>
  <c r="J3338" i="2"/>
  <c r="M3337" i="2"/>
  <c r="J3337" i="2"/>
  <c r="M3336" i="2"/>
  <c r="J3336" i="2"/>
  <c r="M3334" i="2"/>
  <c r="J3334" i="2"/>
  <c r="M3333" i="2"/>
  <c r="J3333" i="2"/>
  <c r="M3332" i="2"/>
  <c r="J3332" i="2"/>
  <c r="M3331" i="2"/>
  <c r="J3331" i="2"/>
  <c r="M3325" i="2"/>
  <c r="J3325" i="2"/>
  <c r="M3324" i="2"/>
  <c r="J3324" i="2"/>
  <c r="M3322" i="2"/>
  <c r="J3322" i="2"/>
  <c r="M3289" i="2"/>
  <c r="J3289" i="2"/>
  <c r="M3288" i="2"/>
  <c r="J3288" i="2"/>
  <c r="M3287" i="2"/>
  <c r="J3287" i="2"/>
  <c r="M3286" i="2"/>
  <c r="J3286" i="2"/>
  <c r="M3285" i="2"/>
  <c r="J3285" i="2"/>
  <c r="M3284" i="2"/>
  <c r="J3284" i="2"/>
  <c r="M3283" i="2"/>
  <c r="J3283" i="2"/>
  <c r="M3282" i="2"/>
  <c r="J3282" i="2"/>
  <c r="M3281" i="2"/>
  <c r="J3281" i="2"/>
  <c r="M3280" i="2"/>
  <c r="J3280" i="2"/>
  <c r="M3279" i="2"/>
  <c r="J3279" i="2"/>
  <c r="M3278" i="2"/>
  <c r="J3278" i="2"/>
  <c r="M3277" i="2"/>
  <c r="J3277" i="2"/>
  <c r="M3276" i="2"/>
  <c r="J3276" i="2"/>
  <c r="M3275" i="2"/>
  <c r="J3275" i="2"/>
  <c r="M3274" i="2"/>
  <c r="J3274" i="2"/>
  <c r="M3273" i="2"/>
  <c r="J3273" i="2"/>
  <c r="M3272" i="2"/>
  <c r="J3272" i="2"/>
  <c r="M3271" i="2"/>
  <c r="J3271" i="2"/>
  <c r="M3270" i="2"/>
  <c r="J3270" i="2"/>
  <c r="M3269" i="2"/>
  <c r="J3269" i="2"/>
  <c r="M3268" i="2"/>
  <c r="J3268" i="2"/>
  <c r="M3267" i="2"/>
  <c r="J3267" i="2"/>
  <c r="M3266" i="2"/>
  <c r="J3266" i="2"/>
  <c r="M3265" i="2"/>
  <c r="J3265" i="2"/>
  <c r="M3264" i="2"/>
  <c r="J3264" i="2"/>
  <c r="M3263" i="2"/>
  <c r="J3263" i="2"/>
  <c r="M3262" i="2"/>
  <c r="J3262" i="2"/>
  <c r="M3261" i="2"/>
  <c r="J3261" i="2"/>
  <c r="M3260" i="2"/>
  <c r="J3260" i="2"/>
  <c r="M3259" i="2"/>
  <c r="J3259" i="2"/>
  <c r="M3258" i="2"/>
  <c r="J3258" i="2"/>
  <c r="M3257" i="2"/>
  <c r="J3257" i="2"/>
  <c r="M3256" i="2"/>
  <c r="J3256" i="2"/>
  <c r="M3255" i="2"/>
  <c r="J3255" i="2"/>
  <c r="M3254" i="2"/>
  <c r="J3254" i="2"/>
  <c r="M3253" i="2"/>
  <c r="J3253" i="2"/>
  <c r="M3252" i="2"/>
  <c r="J3252" i="2"/>
  <c r="M3251" i="2"/>
  <c r="J3251" i="2"/>
  <c r="M3250" i="2"/>
  <c r="J3250" i="2"/>
  <c r="M3249" i="2"/>
  <c r="J3249" i="2"/>
  <c r="M3248" i="2"/>
  <c r="J3248" i="2"/>
  <c r="M3247" i="2"/>
  <c r="J3247" i="2"/>
  <c r="M3246" i="2"/>
  <c r="J3246" i="2"/>
  <c r="M3245" i="2"/>
  <c r="J3245" i="2"/>
  <c r="M3244" i="2"/>
  <c r="J3244" i="2"/>
  <c r="M3243" i="2"/>
  <c r="J3243" i="2"/>
  <c r="M3217" i="2"/>
  <c r="J3217" i="2"/>
  <c r="M3216" i="2"/>
  <c r="J3216" i="2"/>
  <c r="M3215" i="2"/>
  <c r="J3215" i="2"/>
  <c r="M3214" i="2"/>
  <c r="J3214" i="2"/>
  <c r="M3107" i="2"/>
  <c r="J3107" i="2"/>
  <c r="M3106" i="2"/>
  <c r="J3106" i="2"/>
  <c r="M3105" i="2"/>
  <c r="J3105" i="2"/>
  <c r="M3104" i="2"/>
  <c r="J3104" i="2"/>
  <c r="M3103" i="2"/>
  <c r="J3103" i="2"/>
  <c r="M3102" i="2"/>
  <c r="J3102" i="2"/>
  <c r="M3101" i="2"/>
  <c r="J3101" i="2"/>
  <c r="M3100" i="2"/>
  <c r="J3100" i="2"/>
  <c r="M3099" i="2"/>
  <c r="J3099" i="2"/>
  <c r="M3098" i="2"/>
  <c r="J3098" i="2"/>
  <c r="M3097" i="2"/>
  <c r="J3097" i="2"/>
  <c r="M3096" i="2"/>
  <c r="J3096" i="2"/>
  <c r="M3095" i="2"/>
  <c r="J3095" i="2"/>
  <c r="M3094" i="2"/>
  <c r="J3094" i="2"/>
  <c r="M2972" i="2"/>
  <c r="J2972" i="2"/>
  <c r="M2971" i="2"/>
  <c r="J2971" i="2"/>
  <c r="M2970" i="2"/>
  <c r="J2970" i="2"/>
  <c r="M2969" i="2"/>
  <c r="J2969" i="2"/>
  <c r="M2968" i="2"/>
  <c r="J2968" i="2"/>
  <c r="M2967" i="2"/>
  <c r="J2967" i="2"/>
  <c r="M2966" i="2"/>
  <c r="J2966" i="2"/>
  <c r="M2965" i="2"/>
  <c r="J2965" i="2"/>
  <c r="M2964" i="2"/>
  <c r="J2964" i="2"/>
  <c r="M2963" i="2"/>
  <c r="J2963" i="2"/>
  <c r="M2962" i="2"/>
  <c r="J2962" i="2"/>
  <c r="M2961" i="2"/>
  <c r="J2961" i="2"/>
  <c r="M2960" i="2"/>
  <c r="J2960" i="2"/>
  <c r="M2959" i="2"/>
  <c r="J2959" i="2"/>
  <c r="M2957" i="2"/>
  <c r="J2957" i="2"/>
  <c r="M2956" i="2"/>
  <c r="J2956" i="2"/>
  <c r="M2955" i="2"/>
  <c r="J2955" i="2"/>
  <c r="M2954" i="2"/>
  <c r="J2954" i="2"/>
  <c r="M2953" i="2"/>
  <c r="J2953" i="2"/>
  <c r="M2952" i="2"/>
  <c r="J2952" i="2"/>
  <c r="M2951" i="2"/>
  <c r="J2951" i="2"/>
  <c r="M2950" i="2"/>
  <c r="J2950" i="2"/>
  <c r="M2948" i="2"/>
  <c r="J2948" i="2"/>
  <c r="M2947" i="2"/>
  <c r="J2947" i="2"/>
  <c r="M2943" i="2"/>
  <c r="J2943" i="2"/>
  <c r="M2942" i="2"/>
  <c r="J2942" i="2"/>
  <c r="M2941" i="2"/>
  <c r="J2941" i="2"/>
  <c r="M2940" i="2"/>
  <c r="J2940" i="2"/>
  <c r="M2939" i="2"/>
  <c r="J2939" i="2"/>
  <c r="M2938" i="2"/>
  <c r="J2938" i="2"/>
  <c r="M2937" i="2"/>
  <c r="J2937" i="2"/>
  <c r="M2934" i="2"/>
  <c r="J2934" i="2"/>
  <c r="M2933" i="2"/>
  <c r="J2933" i="2"/>
  <c r="M2930" i="2"/>
  <c r="J2930" i="2"/>
  <c r="M2929" i="2"/>
  <c r="J2929" i="2"/>
  <c r="M2928" i="2"/>
  <c r="J2928" i="2"/>
  <c r="M2927" i="2"/>
  <c r="J2927" i="2"/>
  <c r="M2926" i="2"/>
  <c r="J2926" i="2"/>
  <c r="M2920" i="2"/>
  <c r="J2920" i="2"/>
  <c r="M2919" i="2"/>
  <c r="J2919" i="2"/>
  <c r="M2918" i="2"/>
  <c r="J2918" i="2"/>
  <c r="M2917" i="2"/>
  <c r="J2917" i="2"/>
  <c r="M2916" i="2"/>
  <c r="J2916" i="2"/>
  <c r="M2915" i="2"/>
  <c r="J2915" i="2"/>
  <c r="M2914" i="2"/>
  <c r="J2914" i="2"/>
  <c r="M2913" i="2"/>
  <c r="J2913" i="2"/>
  <c r="M2912" i="2"/>
  <c r="J2912" i="2"/>
  <c r="M2911" i="2"/>
  <c r="J2911" i="2"/>
  <c r="M2909" i="2"/>
  <c r="J2909" i="2"/>
  <c r="M2908" i="2"/>
  <c r="J2908" i="2"/>
  <c r="M2907" i="2"/>
  <c r="J2907" i="2"/>
  <c r="M2906" i="2"/>
  <c r="J2906" i="2"/>
  <c r="M2905" i="2"/>
  <c r="J2905" i="2"/>
  <c r="M2904" i="2"/>
  <c r="J2904" i="2"/>
  <c r="M2901" i="2"/>
  <c r="J2901" i="2"/>
  <c r="M2900" i="2"/>
  <c r="J2900" i="2"/>
  <c r="M2899" i="2"/>
  <c r="J2899" i="2"/>
  <c r="M2898" i="2"/>
  <c r="J2898" i="2"/>
  <c r="M2897" i="2"/>
  <c r="J2897" i="2"/>
  <c r="M2896" i="2"/>
  <c r="J2896" i="2"/>
  <c r="M2895" i="2"/>
  <c r="J2895" i="2"/>
  <c r="M2894" i="2"/>
  <c r="J2894" i="2"/>
  <c r="M2893" i="2"/>
  <c r="J2893" i="2"/>
  <c r="M2891" i="2"/>
  <c r="J2891" i="2"/>
  <c r="M2890" i="2"/>
  <c r="J2890" i="2"/>
  <c r="M2889" i="2"/>
  <c r="J2889" i="2"/>
  <c r="M2885" i="2"/>
  <c r="J2885" i="2"/>
  <c r="M2884" i="2"/>
  <c r="J2884" i="2"/>
  <c r="M2883" i="2"/>
  <c r="J2883" i="2"/>
  <c r="M2882" i="2"/>
  <c r="J2882" i="2"/>
  <c r="M2881" i="2"/>
  <c r="J2881" i="2"/>
  <c r="M2880" i="2"/>
  <c r="J2880" i="2"/>
  <c r="M2877" i="2"/>
  <c r="J2877" i="2"/>
  <c r="M2876" i="2"/>
  <c r="J2876" i="2"/>
  <c r="M2873" i="2"/>
  <c r="J2873" i="2"/>
  <c r="M2872" i="2"/>
  <c r="J2872" i="2"/>
  <c r="M2871" i="2"/>
  <c r="J2871" i="2"/>
  <c r="M2870" i="2"/>
  <c r="J2870" i="2"/>
  <c r="M2869" i="2"/>
  <c r="J2869" i="2"/>
  <c r="M2863" i="2"/>
  <c r="J2863" i="2"/>
  <c r="M2861" i="2"/>
  <c r="J2861" i="2"/>
  <c r="M2860" i="2"/>
  <c r="J2860" i="2"/>
  <c r="M2859" i="2"/>
  <c r="J2859" i="2"/>
  <c r="M2858" i="2"/>
  <c r="J2858" i="2"/>
  <c r="M2857" i="2"/>
  <c r="J2857" i="2"/>
  <c r="M2799" i="2"/>
  <c r="J2799" i="2"/>
  <c r="M2798" i="2"/>
  <c r="J2798" i="2"/>
  <c r="M2797" i="2"/>
  <c r="J2797" i="2"/>
  <c r="M2796" i="2"/>
  <c r="J2796" i="2"/>
  <c r="M2795" i="2"/>
  <c r="J2795" i="2"/>
  <c r="M2794" i="2"/>
  <c r="J2794" i="2"/>
  <c r="M2793" i="2"/>
  <c r="J2793" i="2"/>
  <c r="M2792" i="2"/>
  <c r="J2792" i="2"/>
  <c r="M2791" i="2"/>
  <c r="J2791" i="2"/>
  <c r="M2790" i="2"/>
  <c r="J2790" i="2"/>
  <c r="M2789" i="2"/>
  <c r="J2789" i="2"/>
  <c r="M2788" i="2"/>
  <c r="J2788" i="2"/>
  <c r="M2710" i="2"/>
  <c r="J2710" i="2"/>
  <c r="M2709" i="2"/>
  <c r="J2709" i="2"/>
  <c r="M2708" i="2"/>
  <c r="J2708" i="2"/>
  <c r="M2707" i="2"/>
  <c r="J2707" i="2"/>
  <c r="M2706" i="2"/>
  <c r="J2706" i="2"/>
  <c r="M2705" i="2"/>
  <c r="J2705" i="2"/>
  <c r="M2704" i="2"/>
  <c r="J2704" i="2"/>
  <c r="M2703" i="2"/>
  <c r="J2703" i="2"/>
  <c r="M2702" i="2"/>
  <c r="J2702" i="2"/>
  <c r="M2701" i="2"/>
  <c r="J2701" i="2"/>
  <c r="M2700" i="2"/>
  <c r="J2700" i="2"/>
  <c r="M2699" i="2"/>
  <c r="J2699" i="2"/>
  <c r="M2698" i="2"/>
  <c r="J2698" i="2"/>
  <c r="M2697" i="2"/>
  <c r="J2697" i="2"/>
  <c r="M2696" i="2"/>
  <c r="J2696" i="2"/>
  <c r="M2695" i="2"/>
  <c r="J2695" i="2"/>
  <c r="M2694" i="2"/>
  <c r="J2694" i="2"/>
  <c r="M2693" i="2"/>
  <c r="J2693" i="2"/>
  <c r="M2692" i="2"/>
  <c r="J2692" i="2"/>
  <c r="M2691" i="2"/>
  <c r="J2691" i="2"/>
  <c r="M2690" i="2"/>
  <c r="J2690" i="2"/>
  <c r="M2689" i="2"/>
  <c r="J2689" i="2"/>
  <c r="M2688" i="2"/>
  <c r="J2688" i="2"/>
  <c r="M2687" i="2"/>
  <c r="J2687" i="2"/>
  <c r="M2686" i="2"/>
  <c r="J2686" i="2"/>
  <c r="M2683" i="2"/>
  <c r="J2683" i="2"/>
  <c r="M2677" i="2"/>
  <c r="J2677" i="2"/>
  <c r="M2673" i="2"/>
  <c r="J2673" i="2"/>
  <c r="M2672" i="2"/>
  <c r="J2672" i="2"/>
  <c r="M2671" i="2"/>
  <c r="J2671" i="2"/>
  <c r="M2670" i="2"/>
  <c r="J2670" i="2"/>
  <c r="M2669" i="2"/>
  <c r="J2669" i="2"/>
  <c r="M2668" i="2"/>
  <c r="J2668" i="2"/>
  <c r="M2667" i="2"/>
  <c r="J2667" i="2"/>
  <c r="M2666" i="2"/>
  <c r="J2666" i="2"/>
  <c r="M2665" i="2"/>
  <c r="J2665" i="2"/>
  <c r="M2664" i="2"/>
  <c r="J2664" i="2"/>
  <c r="M2663" i="2"/>
  <c r="J2663" i="2"/>
  <c r="M2662" i="2"/>
  <c r="J2662" i="2"/>
  <c r="M2661" i="2"/>
  <c r="J2661" i="2"/>
  <c r="M2659" i="2"/>
  <c r="J2659" i="2"/>
  <c r="M2658" i="2"/>
  <c r="J2658" i="2"/>
  <c r="M2657" i="2"/>
  <c r="J2657" i="2"/>
  <c r="M2656" i="2"/>
  <c r="J2656" i="2"/>
  <c r="M2655" i="2"/>
  <c r="J2655" i="2"/>
  <c r="M2654" i="2"/>
  <c r="J2654" i="2"/>
  <c r="M2653" i="2"/>
  <c r="J2653" i="2"/>
  <c r="M2652" i="2"/>
  <c r="J2652" i="2"/>
  <c r="M2651" i="2"/>
  <c r="J2651" i="2"/>
  <c r="M2650" i="2"/>
  <c r="J2650" i="2"/>
  <c r="M2649" i="2"/>
  <c r="J2649" i="2"/>
  <c r="M2648" i="2"/>
  <c r="J2648" i="2"/>
  <c r="M2645" i="2"/>
  <c r="J2645" i="2"/>
  <c r="M2644" i="2"/>
  <c r="J2644" i="2"/>
  <c r="M2643" i="2"/>
  <c r="J2643" i="2"/>
  <c r="M2642" i="2"/>
  <c r="J2642" i="2"/>
  <c r="M2641" i="2"/>
  <c r="J2641" i="2"/>
  <c r="M2640" i="2"/>
  <c r="J2640" i="2"/>
  <c r="M2639" i="2"/>
  <c r="J2639" i="2"/>
  <c r="M2638" i="2"/>
  <c r="J2638" i="2"/>
  <c r="M2637" i="2"/>
  <c r="J2637" i="2"/>
  <c r="M2636" i="2"/>
  <c r="J2636" i="2"/>
  <c r="M2635" i="2"/>
  <c r="J2635" i="2"/>
  <c r="M2634" i="2"/>
  <c r="J2634" i="2"/>
  <c r="M2633" i="2"/>
  <c r="J2633" i="2"/>
  <c r="M2632" i="2"/>
  <c r="J2632" i="2"/>
  <c r="M2631" i="2"/>
  <c r="J2631" i="2"/>
  <c r="M2630" i="2"/>
  <c r="J2630" i="2"/>
  <c r="M2629" i="2"/>
  <c r="J2629" i="2"/>
  <c r="M2628" i="2"/>
  <c r="J2628" i="2"/>
  <c r="M2627" i="2"/>
  <c r="J2627" i="2"/>
  <c r="M2626" i="2"/>
  <c r="J2626" i="2"/>
  <c r="M2625" i="2"/>
  <c r="J2625" i="2"/>
  <c r="M2624" i="2"/>
  <c r="J2624" i="2"/>
  <c r="M2623" i="2"/>
  <c r="J2623" i="2"/>
  <c r="M2622" i="2"/>
  <c r="J2622" i="2"/>
  <c r="M2621" i="2"/>
  <c r="J2621" i="2"/>
  <c r="M2620" i="2"/>
  <c r="J2620" i="2"/>
  <c r="M2619" i="2"/>
  <c r="J2619" i="2"/>
  <c r="M2618" i="2"/>
  <c r="J2618" i="2"/>
  <c r="M2617" i="2"/>
  <c r="J2617" i="2"/>
  <c r="M2616" i="2"/>
  <c r="J2616" i="2"/>
  <c r="M2615" i="2"/>
  <c r="J2615" i="2"/>
  <c r="M2614" i="2"/>
  <c r="J2614" i="2"/>
  <c r="M2613" i="2"/>
  <c r="J2613" i="2"/>
  <c r="M2612" i="2"/>
  <c r="J2612" i="2"/>
  <c r="M2611" i="2"/>
  <c r="J2611" i="2"/>
  <c r="M2610" i="2"/>
  <c r="J2610" i="2"/>
  <c r="M2609" i="2"/>
  <c r="J2609" i="2"/>
  <c r="M2608" i="2"/>
  <c r="J2608" i="2"/>
  <c r="M2607" i="2"/>
  <c r="J2607" i="2"/>
  <c r="M2606" i="2"/>
  <c r="J2606" i="2"/>
  <c r="M2454" i="2"/>
  <c r="J2454" i="2"/>
  <c r="M2448" i="2"/>
  <c r="J2448" i="2"/>
  <c r="M2436" i="2"/>
  <c r="J2436" i="2"/>
  <c r="M2435" i="2"/>
  <c r="J2435" i="2"/>
  <c r="M2434" i="2"/>
  <c r="J2434" i="2"/>
  <c r="M2433" i="2"/>
  <c r="J2433" i="2"/>
  <c r="M2432" i="2"/>
  <c r="J2432" i="2"/>
  <c r="M2431" i="2"/>
  <c r="J2431" i="2"/>
  <c r="M2430" i="2"/>
  <c r="J2430" i="2"/>
  <c r="M2428" i="2"/>
  <c r="J2428" i="2"/>
  <c r="M2423" i="2"/>
  <c r="J2423" i="2"/>
  <c r="M2422" i="2"/>
  <c r="J2422" i="2"/>
  <c r="M2421" i="2"/>
  <c r="J2421" i="2"/>
  <c r="M2418" i="2"/>
  <c r="J2418" i="2"/>
  <c r="M2417" i="2"/>
  <c r="J2417" i="2"/>
  <c r="M2414" i="2"/>
  <c r="J2414" i="2"/>
  <c r="M2413" i="2"/>
  <c r="J2413" i="2"/>
  <c r="M2412" i="2"/>
  <c r="J2412" i="2"/>
  <c r="M2411" i="2"/>
  <c r="J2411" i="2"/>
  <c r="M2410" i="2"/>
  <c r="J2410" i="2"/>
  <c r="M2409" i="2"/>
  <c r="J2409" i="2"/>
  <c r="M2379" i="2"/>
  <c r="J2379" i="2"/>
  <c r="M2378" i="2"/>
  <c r="J2378" i="2"/>
  <c r="M2377" i="2"/>
  <c r="J2377" i="2"/>
  <c r="M2376" i="2"/>
  <c r="J2376" i="2"/>
  <c r="M2375" i="2"/>
  <c r="J2375" i="2"/>
  <c r="M2374" i="2"/>
  <c r="J2374" i="2"/>
  <c r="M2373" i="2"/>
  <c r="J2373" i="2"/>
  <c r="M2372" i="2"/>
  <c r="J2372" i="2"/>
  <c r="M2371" i="2"/>
  <c r="J2371" i="2"/>
  <c r="M2370" i="2"/>
  <c r="J2370" i="2"/>
  <c r="M2369" i="2"/>
  <c r="J2369" i="2"/>
  <c r="M2368" i="2"/>
  <c r="J2368" i="2"/>
  <c r="M2367" i="2"/>
  <c r="J2367" i="2"/>
  <c r="M2366" i="2"/>
  <c r="J2366" i="2"/>
  <c r="M2365" i="2"/>
  <c r="J2365" i="2"/>
  <c r="M2364" i="2"/>
  <c r="J2364" i="2"/>
  <c r="M2363" i="2"/>
  <c r="J2363" i="2"/>
  <c r="M2362" i="2"/>
  <c r="J2362" i="2"/>
  <c r="M2361" i="2"/>
  <c r="J2361" i="2"/>
  <c r="M2360" i="2"/>
  <c r="J2360" i="2"/>
  <c r="M2359" i="2"/>
  <c r="J2359" i="2"/>
  <c r="M2358" i="2"/>
  <c r="J2358" i="2"/>
  <c r="M2357" i="2"/>
  <c r="J2357" i="2"/>
  <c r="M2356" i="2"/>
  <c r="J2356" i="2"/>
  <c r="M2355" i="2"/>
  <c r="J2355" i="2"/>
  <c r="M2354" i="2"/>
  <c r="J2354" i="2"/>
  <c r="M2339" i="2"/>
  <c r="J2339" i="2"/>
  <c r="M2338" i="2"/>
  <c r="J2338" i="2"/>
  <c r="M2337" i="2"/>
  <c r="J2337" i="2"/>
  <c r="M2336" i="2"/>
  <c r="J2336" i="2"/>
  <c r="M2335" i="2"/>
  <c r="J2335" i="2"/>
  <c r="M2332" i="2"/>
  <c r="J2332" i="2"/>
  <c r="M2331" i="2"/>
  <c r="J2331" i="2"/>
  <c r="M2330" i="2"/>
  <c r="J2330" i="2"/>
  <c r="M2329" i="2"/>
  <c r="J2329" i="2"/>
  <c r="M2328" i="2"/>
  <c r="J2328" i="2"/>
  <c r="M2327" i="2"/>
  <c r="J2327" i="2"/>
  <c r="M2326" i="2"/>
  <c r="J2326" i="2"/>
  <c r="M2325" i="2"/>
  <c r="J2325" i="2"/>
  <c r="M2324" i="2"/>
  <c r="J2324" i="2"/>
  <c r="M2323" i="2"/>
  <c r="J2323" i="2"/>
  <c r="M2322" i="2"/>
  <c r="J2322" i="2"/>
  <c r="M2319" i="2"/>
  <c r="J2319" i="2"/>
  <c r="M2318" i="2"/>
  <c r="J2318" i="2"/>
  <c r="M2317" i="2"/>
  <c r="J2317" i="2"/>
  <c r="M2316" i="2"/>
  <c r="J2316" i="2"/>
  <c r="M2315" i="2"/>
  <c r="J2315" i="2"/>
  <c r="M2314" i="2"/>
  <c r="J2314" i="2"/>
  <c r="M2313" i="2"/>
  <c r="J2313" i="2"/>
  <c r="M2312" i="2"/>
  <c r="J2312" i="2"/>
  <c r="M2311" i="2"/>
  <c r="J2311" i="2"/>
  <c r="M2310" i="2"/>
  <c r="J2310" i="2"/>
  <c r="M2309" i="2"/>
  <c r="J2309" i="2"/>
  <c r="M2308" i="2"/>
  <c r="J2308" i="2"/>
  <c r="M2307" i="2"/>
  <c r="J2307" i="2"/>
  <c r="M2306" i="2"/>
  <c r="J2306" i="2"/>
  <c r="M2305" i="2"/>
  <c r="J2305" i="2"/>
  <c r="M2304" i="2"/>
  <c r="J2304" i="2"/>
  <c r="M2303" i="2"/>
  <c r="J2303" i="2"/>
  <c r="M2302" i="2"/>
  <c r="J2302" i="2"/>
  <c r="M2301" i="2"/>
  <c r="J2301" i="2"/>
  <c r="M2300" i="2"/>
  <c r="J2300" i="2"/>
  <c r="M2299" i="2"/>
  <c r="J2299" i="2"/>
  <c r="M2298" i="2"/>
  <c r="J2298" i="2"/>
  <c r="M2290" i="2"/>
  <c r="J2290" i="2"/>
  <c r="M2287" i="2"/>
  <c r="J2287" i="2"/>
  <c r="M2286" i="2"/>
  <c r="J2286" i="2"/>
  <c r="M2285" i="2"/>
  <c r="J2285" i="2"/>
  <c r="M2284" i="2"/>
  <c r="J2284" i="2"/>
  <c r="M2281" i="2"/>
  <c r="J2281" i="2"/>
  <c r="M2155" i="2"/>
  <c r="J2155" i="2"/>
  <c r="M2154" i="2"/>
  <c r="J2154" i="2"/>
  <c r="M2153" i="2"/>
  <c r="J2153" i="2"/>
  <c r="M2152" i="2"/>
  <c r="J2152" i="2"/>
  <c r="M2151" i="2"/>
  <c r="J2151" i="2"/>
  <c r="M2150" i="2"/>
  <c r="J2150" i="2"/>
  <c r="M2149" i="2"/>
  <c r="J2149" i="2"/>
  <c r="M2148" i="2"/>
  <c r="J2148" i="2"/>
  <c r="M2147" i="2"/>
  <c r="J2147" i="2"/>
  <c r="M2146" i="2"/>
  <c r="J2146" i="2"/>
  <c r="M2145" i="2"/>
  <c r="J2145" i="2"/>
  <c r="M2144" i="2"/>
  <c r="J2144" i="2"/>
  <c r="M2143" i="2"/>
  <c r="J2143" i="2"/>
  <c r="M2142" i="2"/>
  <c r="J2142" i="2"/>
  <c r="M2141" i="2"/>
  <c r="J2141" i="2"/>
  <c r="M2140" i="2"/>
  <c r="J2140" i="2"/>
  <c r="M2139" i="2"/>
  <c r="J2139" i="2"/>
  <c r="M2138" i="2"/>
  <c r="J2138" i="2"/>
  <c r="M2137" i="2"/>
  <c r="J2137" i="2"/>
  <c r="M2136" i="2"/>
  <c r="J2136" i="2"/>
  <c r="M2135" i="2"/>
  <c r="J2135" i="2"/>
  <c r="M2134" i="2"/>
  <c r="J2134" i="2"/>
  <c r="M2133" i="2"/>
  <c r="J2133" i="2"/>
  <c r="M2132" i="2"/>
  <c r="J2132" i="2"/>
  <c r="M2131" i="2"/>
  <c r="J2131" i="2"/>
  <c r="M1892" i="2"/>
  <c r="J1892" i="2"/>
  <c r="M1747" i="2"/>
  <c r="J1747" i="2"/>
  <c r="M1746" i="2"/>
  <c r="J1746" i="2"/>
  <c r="M1745" i="2"/>
  <c r="J1745" i="2"/>
  <c r="M1744" i="2"/>
  <c r="J1744" i="2"/>
  <c r="M1743" i="2"/>
  <c r="J1743" i="2"/>
  <c r="M1742" i="2"/>
  <c r="J1742" i="2"/>
  <c r="M1741" i="2"/>
  <c r="J1741" i="2"/>
  <c r="M1740" i="2"/>
  <c r="J1740" i="2"/>
  <c r="M1739" i="2"/>
  <c r="J1739" i="2"/>
  <c r="M1738" i="2"/>
  <c r="J1738" i="2"/>
  <c r="M1737" i="2"/>
  <c r="J1737" i="2"/>
  <c r="M1736" i="2"/>
  <c r="J1736" i="2"/>
  <c r="M1735" i="2"/>
  <c r="J1735" i="2"/>
  <c r="M1734" i="2"/>
  <c r="J1734" i="2"/>
  <c r="M1733" i="2"/>
  <c r="J1733" i="2"/>
  <c r="M1732" i="2"/>
  <c r="J1732" i="2"/>
  <c r="M1731" i="2"/>
  <c r="J1731" i="2"/>
  <c r="M1729" i="2"/>
  <c r="J1729" i="2"/>
  <c r="M1728" i="2"/>
  <c r="J1728" i="2"/>
  <c r="M1727" i="2"/>
  <c r="J1727" i="2"/>
  <c r="M1726" i="2"/>
  <c r="J1726" i="2"/>
  <c r="M1725" i="2"/>
  <c r="J1725" i="2"/>
  <c r="M1724" i="2"/>
  <c r="J1724" i="2"/>
  <c r="M1721" i="2"/>
  <c r="J1721" i="2"/>
  <c r="M1720" i="2"/>
  <c r="J1720" i="2"/>
  <c r="M1718" i="2"/>
  <c r="J1718" i="2"/>
  <c r="M1716" i="2"/>
  <c r="J1716" i="2"/>
  <c r="M1715" i="2"/>
  <c r="J1715" i="2"/>
  <c r="M1674" i="2"/>
  <c r="J1674" i="2"/>
  <c r="M1673" i="2"/>
  <c r="J1673" i="2"/>
  <c r="M1672" i="2"/>
  <c r="J1672" i="2"/>
  <c r="M1671" i="2"/>
  <c r="J1671" i="2"/>
  <c r="M1670" i="2"/>
  <c r="J1670" i="2"/>
  <c r="M1669" i="2"/>
  <c r="J1669" i="2"/>
  <c r="M1668" i="2"/>
  <c r="J1668" i="2"/>
  <c r="M1667" i="2"/>
  <c r="J1667" i="2"/>
  <c r="M1666" i="2"/>
  <c r="J1666" i="2"/>
  <c r="M1665" i="2"/>
  <c r="J1665" i="2"/>
  <c r="M1664" i="2"/>
  <c r="J1664" i="2"/>
  <c r="M1663" i="2"/>
  <c r="J1663" i="2"/>
  <c r="M1662" i="2"/>
  <c r="J1662" i="2"/>
  <c r="M1661" i="2"/>
  <c r="J1661" i="2"/>
  <c r="M1660" i="2"/>
  <c r="J1660" i="2"/>
  <c r="M1659" i="2"/>
  <c r="J1659" i="2"/>
  <c r="M1658" i="2"/>
  <c r="J1658" i="2"/>
  <c r="M1657" i="2"/>
  <c r="J1657" i="2"/>
  <c r="M1656" i="2"/>
  <c r="J1656" i="2"/>
  <c r="M1655" i="2"/>
  <c r="J1655" i="2"/>
  <c r="M1654" i="2"/>
  <c r="J1654" i="2"/>
  <c r="M1653" i="2"/>
  <c r="J1653" i="2"/>
  <c r="M1652" i="2"/>
  <c r="J1652" i="2"/>
  <c r="M1651" i="2"/>
  <c r="J1651" i="2"/>
  <c r="M1650" i="2"/>
  <c r="J1650" i="2"/>
  <c r="M1649" i="2"/>
  <c r="J1649" i="2"/>
  <c r="M1648" i="2"/>
  <c r="J1648" i="2"/>
  <c r="M1647" i="2"/>
  <c r="J1647" i="2"/>
  <c r="M1646" i="2"/>
  <c r="J1646" i="2"/>
  <c r="M1645" i="2"/>
  <c r="J1645" i="2"/>
  <c r="M1644" i="2"/>
  <c r="J1644" i="2"/>
  <c r="M1643" i="2"/>
  <c r="J1643" i="2"/>
  <c r="M1642" i="2"/>
  <c r="J1642" i="2"/>
  <c r="M1641" i="2"/>
  <c r="J1641" i="2"/>
  <c r="M1640" i="2"/>
  <c r="J1640" i="2"/>
  <c r="M1639" i="2"/>
  <c r="J1639" i="2"/>
  <c r="M1638" i="2"/>
  <c r="J1638" i="2"/>
  <c r="M1637" i="2"/>
  <c r="J1637" i="2"/>
  <c r="M1636" i="2"/>
  <c r="J1636" i="2"/>
  <c r="M1635" i="2"/>
  <c r="J1635" i="2"/>
  <c r="M1634" i="2"/>
  <c r="J1634" i="2"/>
  <c r="M1633" i="2"/>
  <c r="J1633" i="2"/>
  <c r="M1632" i="2"/>
  <c r="J1632" i="2"/>
  <c r="M1631" i="2"/>
  <c r="J1631" i="2"/>
  <c r="M1630" i="2"/>
  <c r="J1630" i="2"/>
  <c r="M1629" i="2"/>
  <c r="J1629" i="2"/>
  <c r="M1628" i="2"/>
  <c r="J1628" i="2"/>
  <c r="M1627" i="2"/>
  <c r="J1627" i="2"/>
  <c r="M1626" i="2"/>
  <c r="J1626" i="2"/>
  <c r="M1625" i="2"/>
  <c r="J1625" i="2"/>
  <c r="M1624" i="2"/>
  <c r="J1624" i="2"/>
  <c r="M1623" i="2"/>
  <c r="J1623" i="2"/>
  <c r="M1622" i="2"/>
  <c r="J1622" i="2"/>
  <c r="M1621" i="2"/>
  <c r="J1621" i="2"/>
  <c r="M1620" i="2"/>
  <c r="J1620" i="2"/>
  <c r="M1619" i="2"/>
  <c r="J1619" i="2"/>
  <c r="M1618" i="2"/>
  <c r="J1618" i="2"/>
  <c r="M1617" i="2"/>
  <c r="J1617" i="2"/>
  <c r="M1616" i="2"/>
  <c r="J1616" i="2"/>
  <c r="M1615" i="2"/>
  <c r="J1615" i="2"/>
  <c r="M1603" i="2"/>
  <c r="J1603" i="2"/>
  <c r="M778" i="2"/>
  <c r="J778" i="2"/>
  <c r="M777" i="2"/>
  <c r="J777" i="2"/>
  <c r="M776" i="2"/>
  <c r="J776" i="2"/>
  <c r="M775" i="2"/>
  <c r="J775" i="2"/>
  <c r="M771" i="2"/>
  <c r="J771" i="2"/>
  <c r="M769" i="2"/>
  <c r="J769" i="2"/>
  <c r="M781" i="2"/>
  <c r="J781" i="2"/>
  <c r="M772" i="2"/>
  <c r="J772" i="2"/>
  <c r="M714" i="2"/>
  <c r="J714" i="2"/>
  <c r="M711" i="2"/>
  <c r="J711" i="2"/>
  <c r="M713" i="2"/>
  <c r="J713" i="2"/>
  <c r="M712" i="2"/>
  <c r="J712" i="2"/>
  <c r="M161" i="2"/>
  <c r="J161" i="2"/>
  <c r="M149" i="2"/>
  <c r="J149" i="2"/>
  <c r="M148" i="2"/>
  <c r="J148" i="2"/>
  <c r="M152" i="2"/>
  <c r="J152" i="2"/>
  <c r="M163" i="2"/>
  <c r="J163" i="2"/>
  <c r="M166" i="2"/>
  <c r="J166" i="2"/>
  <c r="M140" i="2"/>
  <c r="J140" i="2"/>
  <c r="M145" i="2"/>
  <c r="J145" i="2"/>
  <c r="M153" i="2"/>
  <c r="J153" i="2"/>
  <c r="M141" i="2"/>
  <c r="J141" i="2"/>
  <c r="M157" i="2"/>
  <c r="J157" i="2"/>
  <c r="M160" i="2"/>
  <c r="J160" i="2"/>
  <c r="M159" i="2"/>
  <c r="J159" i="2"/>
  <c r="M139" i="2"/>
  <c r="J139" i="2"/>
  <c r="M122" i="2"/>
  <c r="J122" i="2"/>
  <c r="M121" i="2"/>
  <c r="J121" i="2"/>
  <c r="M119" i="2"/>
  <c r="J119" i="2"/>
  <c r="M118" i="2"/>
  <c r="J118" i="2"/>
  <c r="M133" i="2"/>
  <c r="J133" i="2"/>
  <c r="M131" i="2"/>
  <c r="J131" i="2"/>
  <c r="M115" i="2"/>
  <c r="J115" i="2"/>
  <c r="M114" i="2"/>
  <c r="J114" i="2"/>
  <c r="M128" i="2"/>
  <c r="J128" i="2"/>
  <c r="M127" i="2"/>
  <c r="J127" i="2"/>
  <c r="M134" i="2"/>
  <c r="J134" i="2"/>
  <c r="M129" i="2"/>
  <c r="J129" i="2"/>
  <c r="M113" i="2"/>
  <c r="J113" i="2"/>
  <c r="M126" i="2"/>
  <c r="J126" i="2"/>
  <c r="M123" i="2"/>
  <c r="J123" i="2"/>
  <c r="M101" i="2"/>
  <c r="J101" i="2"/>
  <c r="M100" i="2"/>
  <c r="J100" i="2"/>
  <c r="M90" i="2"/>
  <c r="J90" i="2"/>
  <c r="M86" i="2"/>
  <c r="J86" i="2"/>
  <c r="M103" i="2"/>
  <c r="J103" i="2"/>
  <c r="M102" i="2"/>
  <c r="J102" i="2"/>
  <c r="M99" i="2"/>
  <c r="J99" i="2"/>
  <c r="M98" i="2"/>
  <c r="J98" i="2"/>
  <c r="M87" i="2"/>
  <c r="J87" i="2"/>
  <c r="M110" i="2"/>
  <c r="J110" i="2"/>
  <c r="M94" i="2"/>
  <c r="J94" i="2"/>
  <c r="M91" i="2"/>
  <c r="J91" i="2"/>
  <c r="M83" i="2"/>
  <c r="J83" i="2"/>
  <c r="M82" i="2"/>
  <c r="J82" i="2"/>
  <c r="M81" i="2"/>
  <c r="J81" i="2"/>
  <c r="M80" i="2"/>
  <c r="J80" i="2"/>
  <c r="M92" i="2"/>
  <c r="J92" i="2"/>
  <c r="M78" i="2"/>
  <c r="J78" i="2"/>
  <c r="M85" i="2"/>
  <c r="J85" i="2"/>
  <c r="M76" i="2"/>
  <c r="J76" i="2"/>
  <c r="M77" i="2"/>
  <c r="J77" i="2"/>
  <c r="M75" i="2"/>
  <c r="J75" i="2"/>
  <c r="M109" i="2"/>
  <c r="J109" i="2"/>
  <c r="M105" i="2"/>
  <c r="J105" i="2"/>
  <c r="M107" i="2"/>
  <c r="J107" i="2"/>
  <c r="M104" i="2"/>
  <c r="J104" i="2"/>
  <c r="M1465" i="2"/>
  <c r="J1465" i="2"/>
  <c r="M1464" i="2"/>
  <c r="J1464" i="2"/>
  <c r="M1463" i="2"/>
  <c r="J1463" i="2"/>
  <c r="M1462" i="2"/>
  <c r="J1462" i="2"/>
  <c r="M1461" i="2"/>
  <c r="J1461" i="2"/>
  <c r="M1460" i="2"/>
  <c r="J1460" i="2"/>
  <c r="M1459" i="2"/>
  <c r="J1459" i="2"/>
  <c r="M1458" i="2"/>
  <c r="J1458" i="2"/>
  <c r="M1457" i="2"/>
  <c r="J1457" i="2"/>
  <c r="M1456" i="2"/>
  <c r="J1456" i="2"/>
  <c r="M1455" i="2"/>
  <c r="J1455" i="2"/>
  <c r="M1454" i="2"/>
  <c r="J1454" i="2"/>
  <c r="M1453" i="2"/>
  <c r="J1453" i="2"/>
  <c r="M1421" i="2"/>
  <c r="J1421" i="2"/>
  <c r="M1420" i="2"/>
  <c r="J1420" i="2"/>
  <c r="M1419" i="2"/>
  <c r="J1419" i="2"/>
  <c r="M1418" i="2"/>
  <c r="J1418" i="2"/>
  <c r="M1417" i="2"/>
  <c r="J1417" i="2"/>
  <c r="M1416" i="2"/>
  <c r="J1416" i="2"/>
  <c r="M1415" i="2"/>
  <c r="J1415" i="2"/>
  <c r="M1414" i="2"/>
  <c r="J1414" i="2"/>
  <c r="M1413" i="2"/>
  <c r="J1413" i="2"/>
  <c r="M1412" i="2"/>
  <c r="J1412" i="2"/>
  <c r="M1411" i="2"/>
  <c r="J1411" i="2"/>
  <c r="M1410" i="2"/>
  <c r="J1410" i="2"/>
  <c r="M1409" i="2"/>
  <c r="J1409" i="2"/>
  <c r="M1408" i="2"/>
  <c r="J1408" i="2"/>
  <c r="M1407" i="2"/>
  <c r="J1407" i="2"/>
  <c r="M1406" i="2"/>
  <c r="J1406" i="2"/>
  <c r="M1405" i="2"/>
  <c r="J1405" i="2"/>
  <c r="M1404" i="2"/>
  <c r="J1404" i="2"/>
  <c r="M1403" i="2"/>
  <c r="J1403" i="2"/>
  <c r="M1402" i="2"/>
  <c r="J1402" i="2"/>
  <c r="M1401" i="2"/>
  <c r="J1401" i="2"/>
  <c r="M1400" i="2"/>
  <c r="J1400" i="2"/>
  <c r="M1399" i="2"/>
  <c r="J1399" i="2"/>
  <c r="M1398" i="2"/>
  <c r="J1398" i="2"/>
  <c r="M1395" i="2"/>
  <c r="J1395" i="2"/>
  <c r="M1394" i="2"/>
  <c r="J1394" i="2"/>
  <c r="M1393" i="2"/>
  <c r="J1393" i="2"/>
  <c r="M1392" i="2"/>
  <c r="J1392" i="2"/>
  <c r="M1391" i="2"/>
  <c r="J1391" i="2"/>
  <c r="M1390" i="2"/>
  <c r="J1390" i="2"/>
  <c r="M1389" i="2"/>
  <c r="J1389" i="2"/>
  <c r="M1388" i="2"/>
  <c r="J1388" i="2"/>
  <c r="M1387" i="2"/>
  <c r="J1387" i="2"/>
  <c r="M1386" i="2"/>
  <c r="J1386" i="2"/>
  <c r="M1385" i="2"/>
  <c r="J1385" i="2"/>
  <c r="M1384" i="2"/>
  <c r="J1384" i="2"/>
  <c r="M1383" i="2"/>
  <c r="J1383" i="2"/>
  <c r="M1382" i="2"/>
  <c r="J1382" i="2"/>
  <c r="M1381" i="2"/>
  <c r="J1381" i="2"/>
  <c r="M1380" i="2"/>
  <c r="J1380" i="2"/>
  <c r="M1379" i="2"/>
  <c r="J1379" i="2"/>
  <c r="M1378" i="2"/>
  <c r="J1378" i="2"/>
  <c r="M1377" i="2"/>
  <c r="J1377" i="2"/>
  <c r="M1376" i="2"/>
  <c r="J1376" i="2"/>
  <c r="M1375" i="2"/>
  <c r="J1375" i="2"/>
  <c r="M1374" i="2"/>
  <c r="J1374" i="2"/>
  <c r="M1373" i="2"/>
  <c r="J1373" i="2"/>
  <c r="M1372" i="2"/>
  <c r="J1372" i="2"/>
  <c r="M1371" i="2"/>
  <c r="J1371" i="2"/>
  <c r="M1370" i="2"/>
  <c r="J1370" i="2"/>
  <c r="M1367" i="2"/>
  <c r="J1367" i="2"/>
  <c r="M1364" i="2"/>
  <c r="J1364" i="2"/>
  <c r="M1274" i="2"/>
  <c r="J1274" i="2"/>
  <c r="M1273" i="2"/>
  <c r="J1273" i="2"/>
  <c r="M1272" i="2"/>
  <c r="J1272" i="2"/>
  <c r="M1271" i="2"/>
  <c r="J1271" i="2"/>
  <c r="M1270" i="2"/>
  <c r="J1270" i="2"/>
  <c r="M1269" i="2"/>
  <c r="J1269" i="2"/>
  <c r="M1268" i="2"/>
  <c r="J1268" i="2"/>
  <c r="M1267" i="2"/>
  <c r="J1267" i="2"/>
  <c r="M1266" i="2"/>
  <c r="J1266" i="2"/>
  <c r="M1265" i="2"/>
  <c r="J1265" i="2"/>
  <c r="M1264" i="2"/>
  <c r="J1264" i="2"/>
  <c r="M1262" i="2"/>
  <c r="J1262" i="2"/>
  <c r="M1260" i="2"/>
  <c r="J1260" i="2"/>
  <c r="M1232" i="2"/>
  <c r="J1232" i="2"/>
  <c r="M1231" i="2"/>
  <c r="J1231" i="2"/>
  <c r="M1230" i="2"/>
  <c r="J1230" i="2"/>
  <c r="M1229" i="2"/>
  <c r="J1229" i="2"/>
  <c r="M1228" i="2"/>
  <c r="J1228" i="2"/>
  <c r="M1227" i="2"/>
  <c r="J1227" i="2"/>
  <c r="M1226" i="2"/>
  <c r="J1226" i="2"/>
  <c r="M1225" i="2"/>
  <c r="J1225" i="2"/>
  <c r="M1224" i="2"/>
  <c r="J1224" i="2"/>
  <c r="M1223" i="2"/>
  <c r="J1223" i="2"/>
  <c r="M1222" i="2"/>
  <c r="J1222" i="2"/>
  <c r="M1221" i="2"/>
  <c r="J1221" i="2"/>
  <c r="M1220" i="2"/>
  <c r="J1220" i="2"/>
  <c r="M1219" i="2"/>
  <c r="J1219" i="2"/>
  <c r="M1218" i="2"/>
  <c r="J1218" i="2"/>
  <c r="M1217" i="2"/>
  <c r="J1217" i="2"/>
  <c r="M1216" i="2"/>
  <c r="J1216" i="2"/>
  <c r="M1215" i="2"/>
  <c r="J1215" i="2"/>
  <c r="M1214" i="2"/>
  <c r="J1214" i="2"/>
  <c r="M1055" i="2"/>
  <c r="J1055" i="2"/>
  <c r="M1054" i="2"/>
  <c r="J1054" i="2"/>
  <c r="M1052" i="2"/>
  <c r="J1052" i="2"/>
  <c r="M1051" i="2"/>
  <c r="J1051" i="2"/>
  <c r="M1050" i="2"/>
  <c r="J1050" i="2"/>
  <c r="M1049" i="2"/>
  <c r="J1049" i="2"/>
  <c r="M1048" i="2"/>
  <c r="J1048" i="2"/>
  <c r="M1047" i="2"/>
  <c r="J1047" i="2"/>
  <c r="M1046" i="2"/>
  <c r="J1046" i="2"/>
  <c r="M1045" i="2"/>
  <c r="J1045" i="2"/>
  <c r="M1044" i="2"/>
  <c r="J1044" i="2"/>
  <c r="M1033" i="2"/>
  <c r="J1033" i="2"/>
  <c r="M1032" i="2"/>
  <c r="J1032" i="2"/>
  <c r="M1027" i="2"/>
  <c r="J1027" i="2"/>
  <c r="M1026" i="2"/>
  <c r="J1026" i="2"/>
  <c r="M1025" i="2"/>
  <c r="J1025" i="2"/>
  <c r="M1019" i="2"/>
  <c r="J1019" i="2"/>
  <c r="M1018" i="2"/>
  <c r="J1018" i="2"/>
  <c r="M1017" i="2"/>
  <c r="J1017" i="2"/>
  <c r="M1016" i="2"/>
  <c r="J1016" i="2"/>
  <c r="M1015" i="2"/>
  <c r="J1015" i="2"/>
  <c r="M1014" i="2"/>
  <c r="J1014" i="2"/>
  <c r="M1013" i="2"/>
  <c r="J1013" i="2"/>
  <c r="M1012" i="2"/>
  <c r="J1012" i="2"/>
  <c r="M1011" i="2"/>
  <c r="J1011" i="2"/>
  <c r="M1010" i="2"/>
  <c r="J1010" i="2"/>
  <c r="M1002" i="2"/>
  <c r="J1002" i="2"/>
  <c r="M905" i="2"/>
  <c r="J905" i="2"/>
  <c r="M768" i="2"/>
  <c r="J768" i="2"/>
  <c r="M779" i="2"/>
  <c r="J779" i="2"/>
  <c r="M767" i="2"/>
  <c r="J767" i="2"/>
  <c r="M709" i="2"/>
  <c r="J709" i="2"/>
  <c r="M710" i="2"/>
  <c r="J710" i="2"/>
  <c r="M146" i="2"/>
  <c r="J146" i="2"/>
  <c r="M142" i="2"/>
  <c r="J142" i="2"/>
  <c r="M151" i="2"/>
  <c r="J151" i="2"/>
  <c r="M147" i="2"/>
  <c r="J147" i="2"/>
  <c r="M138" i="2"/>
  <c r="J138" i="2"/>
  <c r="M120" i="2"/>
  <c r="J120" i="2"/>
  <c r="M117" i="2"/>
  <c r="J117" i="2"/>
  <c r="M135" i="2"/>
  <c r="J135" i="2"/>
  <c r="M132" i="2"/>
  <c r="J132" i="2"/>
  <c r="M116" i="2"/>
  <c r="J116" i="2"/>
  <c r="M130" i="2"/>
  <c r="J130" i="2"/>
  <c r="M112" i="2"/>
  <c r="J112" i="2"/>
  <c r="M125" i="2"/>
  <c r="J125" i="2"/>
  <c r="M124" i="2"/>
  <c r="J124" i="2"/>
  <c r="M79" i="2"/>
  <c r="J79" i="2"/>
  <c r="M93" i="2"/>
  <c r="J93" i="2"/>
  <c r="M95" i="2"/>
  <c r="J95" i="2"/>
  <c r="M111" i="2"/>
  <c r="J111" i="2"/>
  <c r="M89" i="2"/>
  <c r="J89" i="2"/>
  <c r="M88" i="2"/>
  <c r="J88" i="2"/>
  <c r="M84" i="2"/>
  <c r="J84" i="2"/>
  <c r="M97" i="2"/>
  <c r="J97" i="2"/>
  <c r="M96" i="2"/>
  <c r="J96" i="2"/>
  <c r="M108" i="2"/>
  <c r="J108" i="2"/>
  <c r="M106" i="2"/>
  <c r="J106" i="2"/>
  <c r="M3311" i="2"/>
  <c r="J3311" i="2"/>
  <c r="M3305" i="2"/>
  <c r="J3305" i="2"/>
  <c r="M3302" i="2"/>
  <c r="J3302" i="2"/>
  <c r="M3301" i="2"/>
  <c r="J3301" i="2"/>
  <c r="M3299" i="2"/>
  <c r="J3299" i="2"/>
  <c r="M3298" i="2"/>
  <c r="J3298" i="2"/>
  <c r="M3240" i="2"/>
  <c r="J3240" i="2"/>
  <c r="M3239" i="2"/>
  <c r="J3239" i="2"/>
  <c r="M3238" i="2"/>
  <c r="J3238" i="2"/>
  <c r="M3235" i="2"/>
  <c r="J3235" i="2"/>
  <c r="M3234" i="2"/>
  <c r="J3234" i="2"/>
  <c r="M3233" i="2"/>
  <c r="J3233" i="2"/>
  <c r="M3224" i="2"/>
  <c r="J3224" i="2"/>
  <c r="M3223" i="2"/>
  <c r="J3223" i="2"/>
  <c r="M3222" i="2"/>
  <c r="J3222" i="2"/>
  <c r="M3221" i="2"/>
  <c r="J3221" i="2"/>
  <c r="M3220" i="2"/>
  <c r="J3220" i="2"/>
  <c r="M3219" i="2"/>
  <c r="J3219" i="2"/>
  <c r="M3218" i="2"/>
  <c r="J3218" i="2"/>
  <c r="M3313" i="2"/>
  <c r="J3313" i="2"/>
  <c r="M3312" i="2"/>
  <c r="J3312" i="2"/>
  <c r="M3310" i="2"/>
  <c r="J3310" i="2"/>
  <c r="M3309" i="2"/>
  <c r="J3309" i="2"/>
  <c r="M3308" i="2"/>
  <c r="J3308" i="2"/>
  <c r="M3307" i="2"/>
  <c r="J3307" i="2"/>
  <c r="M3306" i="2"/>
  <c r="J3306" i="2"/>
  <c r="M3304" i="2"/>
  <c r="J3304" i="2"/>
  <c r="M3303" i="2"/>
  <c r="J3303" i="2"/>
  <c r="M874" i="2"/>
  <c r="J874" i="2"/>
  <c r="M922" i="2"/>
  <c r="J922" i="2"/>
  <c r="M920" i="2"/>
  <c r="J920" i="2"/>
  <c r="M918" i="2"/>
  <c r="J918" i="2"/>
  <c r="M917" i="2"/>
  <c r="J917" i="2"/>
  <c r="M916" i="2"/>
  <c r="J916" i="2"/>
  <c r="M915" i="2"/>
  <c r="J915" i="2"/>
  <c r="M912" i="2"/>
  <c r="J912" i="2"/>
  <c r="M911" i="2"/>
  <c r="J911" i="2"/>
  <c r="M910" i="2"/>
  <c r="J910" i="2"/>
  <c r="M909" i="2"/>
  <c r="J909" i="2"/>
</calcChain>
</file>

<file path=xl/sharedStrings.xml><?xml version="1.0" encoding="utf-8"?>
<sst xmlns="http://schemas.openxmlformats.org/spreadsheetml/2006/main" count="56690" uniqueCount="12932">
  <si>
    <t>FIPE</t>
  </si>
  <si>
    <t>Modelo</t>
  </si>
  <si>
    <t>008030-6</t>
  </si>
  <si>
    <t>100 2.8 V6</t>
  </si>
  <si>
    <t>008076-4</t>
  </si>
  <si>
    <t>100 2.8 V6 Avant</t>
  </si>
  <si>
    <t>008031-4</t>
  </si>
  <si>
    <t>100 S-4 2.2 Avant Turbo</t>
  </si>
  <si>
    <t>008001-2</t>
  </si>
  <si>
    <t>80 2.0</t>
  </si>
  <si>
    <t>008077-2</t>
  </si>
  <si>
    <t>80 2.0 Avant</t>
  </si>
  <si>
    <t>008080-2</t>
  </si>
  <si>
    <t>80 2.6/ 2.8</t>
  </si>
  <si>
    <t>008002-0</t>
  </si>
  <si>
    <t>80 2.6/2.8 Avant</t>
  </si>
  <si>
    <t>008003-9</t>
  </si>
  <si>
    <t>80 2.8 Cabriolet</t>
  </si>
  <si>
    <t>008004-7</t>
  </si>
  <si>
    <t>80 S2 Avant</t>
  </si>
  <si>
    <t>008153-1</t>
  </si>
  <si>
    <t>A1 1.4 TFSI 122cv S-tronic 3p</t>
  </si>
  <si>
    <t>008177-9</t>
  </si>
  <si>
    <t>A1 2.0 TFSI Quattro 256cv 3p</t>
  </si>
  <si>
    <t>008172-8</t>
  </si>
  <si>
    <t>A1 Sport 1.4 TFSI 185cv 3p S-tronic</t>
  </si>
  <si>
    <t>008210-4</t>
  </si>
  <si>
    <t>A1 Sport. S Edition 1.4 TFSI 5p S-tronic</t>
  </si>
  <si>
    <t>008174-4</t>
  </si>
  <si>
    <t>A1 Sportback 1.4 TFSI 185cv 5p S-tronic</t>
  </si>
  <si>
    <t>008173-6</t>
  </si>
  <si>
    <t>A1 Sportback 1.4 TFSI 5p S-tronic</t>
  </si>
  <si>
    <t>008204-0</t>
  </si>
  <si>
    <t>A1 Sportback 1.8 TFSI 192cv 5p S-tronic</t>
  </si>
  <si>
    <t>008032-2</t>
  </si>
  <si>
    <t>A3 1.6 3p</t>
  </si>
  <si>
    <t>008056-0</t>
  </si>
  <si>
    <t>A3 1.6 3p Aut.</t>
  </si>
  <si>
    <t>008040-3</t>
  </si>
  <si>
    <t>A3 1.6 5p</t>
  </si>
  <si>
    <t>008057-8</t>
  </si>
  <si>
    <t>A3 1.6 5p Aut.</t>
  </si>
  <si>
    <t>008116-7</t>
  </si>
  <si>
    <t>A3 1.6 8V 102cv 3p</t>
  </si>
  <si>
    <t>008005-5</t>
  </si>
  <si>
    <t>A3 1.8 3p</t>
  </si>
  <si>
    <t>008043-8</t>
  </si>
  <si>
    <t>A3 1.8 3p Aut.</t>
  </si>
  <si>
    <t>008042-0</t>
  </si>
  <si>
    <t>A3 1.8 5p Aut.</t>
  </si>
  <si>
    <t>008041-1</t>
  </si>
  <si>
    <t>A3 1.8 5p Mec.</t>
  </si>
  <si>
    <t>008073-0</t>
  </si>
  <si>
    <t>A3 1.8 Turbo 180cv 3p Aut./ Tip.</t>
  </si>
  <si>
    <t>008074-8</t>
  </si>
  <si>
    <t>A3 1.8 Turbo 180cv 3p Mec.</t>
  </si>
  <si>
    <t>008071-3</t>
  </si>
  <si>
    <t>A3 1.8 Turbo 180cv 5p Aut./ Tip.</t>
  </si>
  <si>
    <t>008072-1</t>
  </si>
  <si>
    <t>A3 1.8 Turbo 180cv 5p Mec.</t>
  </si>
  <si>
    <t>008046-2</t>
  </si>
  <si>
    <t>A3 1.8 Turbo 3p Aut.</t>
  </si>
  <si>
    <t>008006-3</t>
  </si>
  <si>
    <t>A3 1.8 Turbo 3p Mec.</t>
  </si>
  <si>
    <t>008045-4</t>
  </si>
  <si>
    <t>A3 1.8 Turbo 5p Aut.</t>
  </si>
  <si>
    <t>008044-6</t>
  </si>
  <si>
    <t>A3 1.8 Turbo 5p Mec.</t>
  </si>
  <si>
    <t>008195-7</t>
  </si>
  <si>
    <t>A3 Cabriolet 1.8 16V TFSI 180cv S-tronic</t>
  </si>
  <si>
    <t>008223-6</t>
  </si>
  <si>
    <t>A3 Cabriolet Ambition 2.0 TFSI S-tronic</t>
  </si>
  <si>
    <t>008236-8</t>
  </si>
  <si>
    <t>A3 Cabriolet Perfor. 2.0 TFSI S-tronic</t>
  </si>
  <si>
    <t>008205-8</t>
  </si>
  <si>
    <t>A3 Sed. Ambition 2.0 TSFI 220cv S-tronic</t>
  </si>
  <si>
    <t>008255-4</t>
  </si>
  <si>
    <t>A3 Sed. P. Plus Tech 1.4 Flex TFSI Tip.</t>
  </si>
  <si>
    <t>008252-0</t>
  </si>
  <si>
    <t>A3 Sed. P.Plus 1.4 25Anos Flex TFSI Tip.</t>
  </si>
  <si>
    <t>008190-6</t>
  </si>
  <si>
    <t>A3 Sed.1.8/1.8 Ambit.16V TB FSI S-tronic</t>
  </si>
  <si>
    <t>008256-2</t>
  </si>
  <si>
    <t>008312-7</t>
  </si>
  <si>
    <t>A3 Sed.Perf. Black 2.0 TFSI S-tronic</t>
  </si>
  <si>
    <t>008203-1</t>
  </si>
  <si>
    <t>A3 Sedan 1.4 TFSI Flex Tiptronic 4p</t>
  </si>
  <si>
    <t>008192-2</t>
  </si>
  <si>
    <t>A3 Sedan 1.4/ Attra. 16V TB FSI S-tronic</t>
  </si>
  <si>
    <t>008311-9</t>
  </si>
  <si>
    <t>A3 Sedan Advance 2.0 TFSI S-tronic</t>
  </si>
  <si>
    <t>008237-6</t>
  </si>
  <si>
    <t>A3 Sedan Performance 2.0 TFSI S-tronic</t>
  </si>
  <si>
    <t>008234-1</t>
  </si>
  <si>
    <t>A3 Sedan Prestige 1.4 TFSI Flex Tip.</t>
  </si>
  <si>
    <t>008235-0</t>
  </si>
  <si>
    <t>A3 Sedan Prestige Plus 1.4 TFSI Flex Tip</t>
  </si>
  <si>
    <t>008279-1</t>
  </si>
  <si>
    <t>008277-5</t>
  </si>
  <si>
    <t>A3 Sedan S-Line Limited 1.4 TFSI Tiptro.</t>
  </si>
  <si>
    <t>008181-7</t>
  </si>
  <si>
    <t>A3 Sport 1.8 16V TFSI S-tronic 3p</t>
  </si>
  <si>
    <t>008138-8</t>
  </si>
  <si>
    <t>A3 Sport 2.0 16V TFSI S- tronic</t>
  </si>
  <si>
    <t>008275-9</t>
  </si>
  <si>
    <t>008313-5</t>
  </si>
  <si>
    <t>A3 Sportb. Performance 2.0 TFSI S-tronic</t>
  </si>
  <si>
    <t>008314-3</t>
  </si>
  <si>
    <t>A3 Sportb. Performance Black 2.0 S-tron.</t>
  </si>
  <si>
    <t>008233-3</t>
  </si>
  <si>
    <t>A3 Sportb. Prestige Plus 1.4 TFSI S-tron</t>
  </si>
  <si>
    <t>008278-3</t>
  </si>
  <si>
    <t>008276-7</t>
  </si>
  <si>
    <t>A3 Sportb. S-Line Limited 1.4 TFSI Tip.</t>
  </si>
  <si>
    <t>008184-1</t>
  </si>
  <si>
    <t>A3 Sportback 1.4 TFSI S-tronic</t>
  </si>
  <si>
    <t>008117-5</t>
  </si>
  <si>
    <t>A3 Sportback 1.6 8V 102cv 5p</t>
  </si>
  <si>
    <t>008185-0</t>
  </si>
  <si>
    <t>A3 Sportback 1.8 16V TFSI S-tronic 5p</t>
  </si>
  <si>
    <t>008118-3</t>
  </si>
  <si>
    <t>A3 Sportback 2.0 16V TFSI Mec.</t>
  </si>
  <si>
    <t>008119-1</t>
  </si>
  <si>
    <t>A3 Sportback 2.0 16V TFSI S-tronic</t>
  </si>
  <si>
    <t>008047-0</t>
  </si>
  <si>
    <t>A4 1.8 Aut.</t>
  </si>
  <si>
    <t>008007-1</t>
  </si>
  <si>
    <t>A4 1.8 Mec.</t>
  </si>
  <si>
    <t>008048-9</t>
  </si>
  <si>
    <t>A4 1.8 Avant Aut.</t>
  </si>
  <si>
    <t>008009-8</t>
  </si>
  <si>
    <t>A4 1.8 Avant Mec.</t>
  </si>
  <si>
    <t>008010-1</t>
  </si>
  <si>
    <t>A4 1.8 Avant Turbo Mec.</t>
  </si>
  <si>
    <t>008049-7</t>
  </si>
  <si>
    <t>A4 1.8 Avant Turbo Tip./ Multitronic</t>
  </si>
  <si>
    <t>008008-0</t>
  </si>
  <si>
    <t>A4 1.8 Tip./ Multitronic Turbo</t>
  </si>
  <si>
    <t>008070-5</t>
  </si>
  <si>
    <t>A4 1.8 Turbo</t>
  </si>
  <si>
    <t>008132-9</t>
  </si>
  <si>
    <t>A4 2.0 16V TFSI 183/180cv Multitronic</t>
  </si>
  <si>
    <t>008120-5</t>
  </si>
  <si>
    <t>A4 2.0 16V TFSI 200/ 214cv Multitronic</t>
  </si>
  <si>
    <t>008170-1</t>
  </si>
  <si>
    <t>A4 2.0 16V TFSI Quattro Stronic</t>
  </si>
  <si>
    <t>008101-9</t>
  </si>
  <si>
    <t>A4 2.0 20V 130cv Multitronic 4p</t>
  </si>
  <si>
    <t>008171-0</t>
  </si>
  <si>
    <t>A4 2.0 Avant 16V TFSI Quattro Stronic</t>
  </si>
  <si>
    <t>008211-2</t>
  </si>
  <si>
    <t>A4 2.0 Avant Ambie. 2.0 16V TFSi S tron.</t>
  </si>
  <si>
    <t>008133-7</t>
  </si>
  <si>
    <t>A4 2.0 Avant TFSI 183/180cv Multitroni</t>
  </si>
  <si>
    <t>008121-3</t>
  </si>
  <si>
    <t>A4 2.0 Avant TFSI 200/214cv Multitron.</t>
  </si>
  <si>
    <t>008020-9</t>
  </si>
  <si>
    <t>A4 2.4 30V Avant Mec.</t>
  </si>
  <si>
    <t>008021-7</t>
  </si>
  <si>
    <t>A4 2.4 30V Avant Tip./Multitronic</t>
  </si>
  <si>
    <t>008018-7</t>
  </si>
  <si>
    <t>A4 2.4 30V Mec.</t>
  </si>
  <si>
    <t>008019-5</t>
  </si>
  <si>
    <t>A4 2.4 30V Tip./Multitronic</t>
  </si>
  <si>
    <t>008081-0</t>
  </si>
  <si>
    <t>A4 2.4 Avant V6 30V Quattro Mec.</t>
  </si>
  <si>
    <t>008082-9</t>
  </si>
  <si>
    <t>A4 2.4 Avant V6 30V Quattro Tiptronic</t>
  </si>
  <si>
    <t>008083-7</t>
  </si>
  <si>
    <t>A4 2.4 V6 30V Quattro Mec.</t>
  </si>
  <si>
    <t>008084-5</t>
  </si>
  <si>
    <t>A4 2.4 V6 30V Quattro Tiptronic</t>
  </si>
  <si>
    <t>008011-0</t>
  </si>
  <si>
    <t>A4 2.8</t>
  </si>
  <si>
    <t>008023-3</t>
  </si>
  <si>
    <t>A4 2.8 30V Tiptronic/ Aut.</t>
  </si>
  <si>
    <t>008022-5</t>
  </si>
  <si>
    <t>A4 2.8 30V Mec.</t>
  </si>
  <si>
    <t>008036-5</t>
  </si>
  <si>
    <t>A4 2.8 Avant V6 12V</t>
  </si>
  <si>
    <t>008037-3</t>
  </si>
  <si>
    <t>A4 2.8 Avant V6 30V Mec.</t>
  </si>
  <si>
    <t>008087-0</t>
  </si>
  <si>
    <t>A4 2.8 Avant V6 30V Quattro Mec.</t>
  </si>
  <si>
    <t>008088-8</t>
  </si>
  <si>
    <t>A4 2.8 Avant V6 30V Quattro Tiptronic</t>
  </si>
  <si>
    <t>008055-1</t>
  </si>
  <si>
    <t>A4 2.8 Avant V6 30V Tiptronic</t>
  </si>
  <si>
    <t>008085-3</t>
  </si>
  <si>
    <t>A4 2.8 V6 30V Quattro Tiptronic</t>
  </si>
  <si>
    <t>008086-1</t>
  </si>
  <si>
    <t>A4 2.8 V6 30V Quattro Mec.</t>
  </si>
  <si>
    <t>008102-7</t>
  </si>
  <si>
    <t>A4 3.0 30V 218cv Multitronic 4p</t>
  </si>
  <si>
    <t>008109-4</t>
  </si>
  <si>
    <t>A4 3.0 30V 218cv Quattro Tiptron./Aut 4p</t>
  </si>
  <si>
    <t>008107-8</t>
  </si>
  <si>
    <t>A4 3.0 Avant 30V 218cv Multitronic 5p</t>
  </si>
  <si>
    <t>008110-8</t>
  </si>
  <si>
    <t>A4 3.0 Avant 30V 218cv Quattro Tiptronic</t>
  </si>
  <si>
    <t>008108-6</t>
  </si>
  <si>
    <t>A4 3.0 Cabriolet 30V 218cv Multitronic</t>
  </si>
  <si>
    <t>008123-0</t>
  </si>
  <si>
    <t>A4 3.2 FSI 24V 255cv Multitronic</t>
  </si>
  <si>
    <t>008130-2</t>
  </si>
  <si>
    <t>A4 3.2 FSI 24V 269cv Quattro Tiptronic</t>
  </si>
  <si>
    <t>008124-8</t>
  </si>
  <si>
    <t>A4 3.2 FSI Avant 24V 255cv Multitronic</t>
  </si>
  <si>
    <t>008135-3</t>
  </si>
  <si>
    <t>A4 3.2 FSI Avant 24V Quattro S Tronic</t>
  </si>
  <si>
    <t>008125-6</t>
  </si>
  <si>
    <t>A4 3.2 FSI Cabriolet 24V 255cv Multitron</t>
  </si>
  <si>
    <t>008209-0</t>
  </si>
  <si>
    <t>A4 Ambiente 2.0 TFSI 190cv S tronic</t>
  </si>
  <si>
    <t>008212-0</t>
  </si>
  <si>
    <t>A4 Ambition 2.0 TFSI Quattro S tronic</t>
  </si>
  <si>
    <t>008208-2</t>
  </si>
  <si>
    <t>A4 Attraction 2.0 TFSI 190cv S tronic</t>
  </si>
  <si>
    <t>008226-0</t>
  </si>
  <si>
    <t>A4 Avant Lim. Ed. 2.0 TFSI S tronic</t>
  </si>
  <si>
    <t>008246-5</t>
  </si>
  <si>
    <t>A4 Avant Prest. Plus 2.0 TFSI S-tronic</t>
  </si>
  <si>
    <t>008207-4</t>
  </si>
  <si>
    <t>A4 Launch Edition 2.0 TFSI 190cv S troni</t>
  </si>
  <si>
    <t>008222-8</t>
  </si>
  <si>
    <t>A4 Limited Edition 2.0 TFSI S tronic</t>
  </si>
  <si>
    <t>008264-3</t>
  </si>
  <si>
    <t>A4 Perfor. Black 2.0 TFSI Quat. S tronic</t>
  </si>
  <si>
    <t>008302-0</t>
  </si>
  <si>
    <t>A4 Prestige 2.0 16V TFSI Quattro (Híb.)</t>
  </si>
  <si>
    <t>008247-3</t>
  </si>
  <si>
    <t>008245-7</t>
  </si>
  <si>
    <t>A4 Prestige Plus 2.0 TFSI 190cv S tronic</t>
  </si>
  <si>
    <t>008281-3</t>
  </si>
  <si>
    <t>A4 S Line 2.0 TFSI 204cv S Tonic</t>
  </si>
  <si>
    <t>008303-8</t>
  </si>
  <si>
    <t>A4 S Line 2.0 16V TFSI Quattro (Híb.)</t>
  </si>
  <si>
    <t>008131-0</t>
  </si>
  <si>
    <t>A5 3.2 FSI 24V 269cv Multitronic</t>
  </si>
  <si>
    <t>008139-6</t>
  </si>
  <si>
    <t>A5 3.2 FSI V6 24V 269cv Quattro Tiptroni</t>
  </si>
  <si>
    <t>008215-5</t>
  </si>
  <si>
    <t>A5 Ambiente Sportb. 2.0 TFSI S tonic</t>
  </si>
  <si>
    <t>008216-3</t>
  </si>
  <si>
    <t>A5 Ambit. Plus Sport. 2.0 TFSI S tronic</t>
  </si>
  <si>
    <t>008217-1</t>
  </si>
  <si>
    <t>A5 Ambit. Sport. 2.0 TFSI S tronic</t>
  </si>
  <si>
    <t>008214-7</t>
  </si>
  <si>
    <t>A5 Attraction Sportb. 2.0 TFSI S tronic</t>
  </si>
  <si>
    <t>008165-5</t>
  </si>
  <si>
    <t>A5 Cabriolet 2.0 TFSI Quattro Stronic</t>
  </si>
  <si>
    <t>008164-7</t>
  </si>
  <si>
    <t>A5 Coupê 2.0 TFSI Quattro Stronic</t>
  </si>
  <si>
    <t>008316-0</t>
  </si>
  <si>
    <t>A5 Sedan Performance S Edition 2.0 TFSI Quattro</t>
  </si>
  <si>
    <t>008169-8</t>
  </si>
  <si>
    <t>A5 Sportb. 2.0 16V TFSI Quat. S-tronic</t>
  </si>
  <si>
    <t>008300-3</t>
  </si>
  <si>
    <t>A5 Sportb. Advanc. 2.0 TFSI Quatt. (Híb)</t>
  </si>
  <si>
    <t>008292-9</t>
  </si>
  <si>
    <t>A5 Sportb. Carbon Ed. 2.0 TFSI S-tronic</t>
  </si>
  <si>
    <t>008230-9</t>
  </si>
  <si>
    <t>A5 Sportb. Perf. 2.0 TFSI Quat. S-tronic</t>
  </si>
  <si>
    <t>008232-5</t>
  </si>
  <si>
    <t>A5 Sportb. Prestige 2.0 16V TFSI S-troni</t>
  </si>
  <si>
    <t>008301-1</t>
  </si>
  <si>
    <t>A5 Sportb. S Line 2.0 TFSI Quatt. (Híb.)</t>
  </si>
  <si>
    <t>008229-5</t>
  </si>
  <si>
    <t>A5 Sportb.Perf.B. 2.0 TFSI Quat. S-troni</t>
  </si>
  <si>
    <t>008231-7</t>
  </si>
  <si>
    <t>A5 Sportb.Prestige Plus 2.0 TFSI S-tronc</t>
  </si>
  <si>
    <t>008197-3</t>
  </si>
  <si>
    <t>A5 Sportback 1.8 TFSI 170cv Multi.</t>
  </si>
  <si>
    <t>008161-2</t>
  </si>
  <si>
    <t>A5 Sportback 2.0 16V TFSI 180cv Multi.</t>
  </si>
  <si>
    <t>008145-0</t>
  </si>
  <si>
    <t>A5 Sportback 2.0 16V TFSI 211cv Multi.</t>
  </si>
  <si>
    <t>008249-0</t>
  </si>
  <si>
    <t>A5 Sportback S-Line 2.0 TFSI S-tronic</t>
  </si>
  <si>
    <t>008200-7</t>
  </si>
  <si>
    <t>A6 2.0 TFSI 252cv S tronic 4p</t>
  </si>
  <si>
    <t>008024-1</t>
  </si>
  <si>
    <t>A6 2.4 30V Mec</t>
  </si>
  <si>
    <t>008025-0</t>
  </si>
  <si>
    <t>A6 2.4 30V Tip./Multitronic</t>
  </si>
  <si>
    <t>008051-9</t>
  </si>
  <si>
    <t>A6 2.4 Avant 30V Mec.</t>
  </si>
  <si>
    <t>008052-7</t>
  </si>
  <si>
    <t>A6 2.4 Avant 30V Tip./ Multitronic</t>
  </si>
  <si>
    <t>008091-8</t>
  </si>
  <si>
    <t>A6 2.4 Avant V6 30V Quattro Mec.</t>
  </si>
  <si>
    <t>008092-6</t>
  </si>
  <si>
    <t>A6 2.4 Avant V6 30V Quattro Tiptronic</t>
  </si>
  <si>
    <t>008089-6</t>
  </si>
  <si>
    <t>A6 2.4 V6 30V Quattro Mec</t>
  </si>
  <si>
    <t>008090-0</t>
  </si>
  <si>
    <t>A6 2.4 V6 30V Quattro Tiptronic</t>
  </si>
  <si>
    <t>008059-4</t>
  </si>
  <si>
    <t>A6 2.7 30V Avant Tiptronic</t>
  </si>
  <si>
    <t>008058-6</t>
  </si>
  <si>
    <t>A6 2.7 30V Mec.</t>
  </si>
  <si>
    <t>008068-3</t>
  </si>
  <si>
    <t>A6 2.7 Avant Quattro Tiptronic</t>
  </si>
  <si>
    <t>008067-5</t>
  </si>
  <si>
    <t>A6 2.7 Quattro Tiptronic</t>
  </si>
  <si>
    <t>008012-8</t>
  </si>
  <si>
    <t>A6 2.8</t>
  </si>
  <si>
    <t>008026-8</t>
  </si>
  <si>
    <t>A6 2.8 30V Mec.</t>
  </si>
  <si>
    <t>008027-6</t>
  </si>
  <si>
    <t>A6 2.8 30V Tiptronic</t>
  </si>
  <si>
    <t>008013-6</t>
  </si>
  <si>
    <t>A6 2.8 Avant</t>
  </si>
  <si>
    <t>008053-5</t>
  </si>
  <si>
    <t>A6 2.8 Avant 30V Mec.</t>
  </si>
  <si>
    <t>008054-3</t>
  </si>
  <si>
    <t>A6 2.8 Avant 30V Tiptronic</t>
  </si>
  <si>
    <t>008095-0</t>
  </si>
  <si>
    <t>A6 2.8 Avant V6 30V Quattro Mec.</t>
  </si>
  <si>
    <t>008096-9</t>
  </si>
  <si>
    <t>A6 2.8 Avant V6 30V Quattro Tiptronic</t>
  </si>
  <si>
    <t>008093-4</t>
  </si>
  <si>
    <t>A6 2.8 V6 30V Quattro Mec.</t>
  </si>
  <si>
    <t>008094-2</t>
  </si>
  <si>
    <t>A6 2.8 V6 30V Quattro Tiptronic</t>
  </si>
  <si>
    <t>008105-1</t>
  </si>
  <si>
    <t>A6 3.0 Avant V6 30V 218cv Multitronic 5p</t>
  </si>
  <si>
    <t>008150-7</t>
  </si>
  <si>
    <t>A6 3.0 Avant. TB FSI V6 Quattro Tip. 5p</t>
  </si>
  <si>
    <t>008179-5</t>
  </si>
  <si>
    <t>A6 3.0 Avant.TFSI V6 Quattro S tronic 5p</t>
  </si>
  <si>
    <t>008136-1</t>
  </si>
  <si>
    <t>A6 3.0 TB FSI V6 Quattro Tiptronic</t>
  </si>
  <si>
    <t>008178-7</t>
  </si>
  <si>
    <t>A6 3.0 TFSI V6 Quattro S tronic 4p</t>
  </si>
  <si>
    <t>008103-5</t>
  </si>
  <si>
    <t>A6 3.0 V6 30V 218cv Multitronic 4p</t>
  </si>
  <si>
    <t>008128-0</t>
  </si>
  <si>
    <t>A6 3.2 FSI 24V 255cv Multitronic</t>
  </si>
  <si>
    <t>008061-6</t>
  </si>
  <si>
    <t>A6 4.2 Avant Quattro Tiptronic</t>
  </si>
  <si>
    <t>008060-8</t>
  </si>
  <si>
    <t>A6 4.2 Quattro Tiptronic</t>
  </si>
  <si>
    <t>008180-9</t>
  </si>
  <si>
    <t>A6 Allroad 3.0 TFSI V6 Quattro S tronic</t>
  </si>
  <si>
    <t>008266-0</t>
  </si>
  <si>
    <t>A6 Perf. Black 3.0 TFSI Quattro S-tronic</t>
  </si>
  <si>
    <t>008253-8</t>
  </si>
  <si>
    <t>A6 Performance 3.0 TFSI Quattro S.tronic</t>
  </si>
  <si>
    <t>008269-4</t>
  </si>
  <si>
    <t>A6 Prestige Plus 2.0 TFSI Quattro S-tro.</t>
  </si>
  <si>
    <t>008315-1</t>
  </si>
  <si>
    <t>A6 Sport. e-tron Perf. Black (Elétrico)</t>
  </si>
  <si>
    <t>008268-6</t>
  </si>
  <si>
    <t>A7 SP.b. Perf. Bla. 3.0 TFSI Quat. S-tro</t>
  </si>
  <si>
    <t>008206-6</t>
  </si>
  <si>
    <t>A7 Sportback 2.0 TFSI S Tronic</t>
  </si>
  <si>
    <t>008154-0</t>
  </si>
  <si>
    <t>A7 Sportback 3.0 TFSI Quattro S Tronic</t>
  </si>
  <si>
    <t>008254-6</t>
  </si>
  <si>
    <t>A7 Sportback Perf. 3.0 TFSI S-tron Quat.</t>
  </si>
  <si>
    <t>008199-0</t>
  </si>
  <si>
    <t>A8 3.0 TFSI 310cv Quattro Tiptronic 4p</t>
  </si>
  <si>
    <t>008187-6</t>
  </si>
  <si>
    <t>A8 4.0 TFSI Quattro Tiptronic</t>
  </si>
  <si>
    <t>008062-4</t>
  </si>
  <si>
    <t>A8 4.2 Quattro Tiptronic</t>
  </si>
  <si>
    <t>008014-4</t>
  </si>
  <si>
    <t>A8 4.2 V8 32V Tiptronic</t>
  </si>
  <si>
    <t>008115-9</t>
  </si>
  <si>
    <t>A8 6.0 W12 48V 450cv Quattro Tiptronic</t>
  </si>
  <si>
    <t>008156-6</t>
  </si>
  <si>
    <t>A8 6.3 W12 48V Quattro Tiptronic</t>
  </si>
  <si>
    <t>008079-9</t>
  </si>
  <si>
    <t>Allroad 2.7 30V Quattro Turbo Tiptronic</t>
  </si>
  <si>
    <t>008015-2</t>
  </si>
  <si>
    <t>Avant RS2</t>
  </si>
  <si>
    <t>008295-3</t>
  </si>
  <si>
    <t>E-TRON GT Aut. (Elétrico)</t>
  </si>
  <si>
    <t>008258-9</t>
  </si>
  <si>
    <t>E-TRON Performa. Black Aut. (Elétrico)</t>
  </si>
  <si>
    <t>008257-0</t>
  </si>
  <si>
    <t>E-TRON Performace Aut. (Elétrico)</t>
  </si>
  <si>
    <t>008273-2</t>
  </si>
  <si>
    <t>E-TRON S Sportback Quat. Aut. (Elétrico)</t>
  </si>
  <si>
    <t>008260-0</t>
  </si>
  <si>
    <t>E-TRON Sportb. Perf.Black Aut.(Elétrico)</t>
  </si>
  <si>
    <t>008259-7</t>
  </si>
  <si>
    <t>E-TRON Sportback Perf. Aut. (Elétrico)</t>
  </si>
  <si>
    <t>008201-5</t>
  </si>
  <si>
    <t>Q3 1.4 TFSI/TFSI Flex S-tronic 5p</t>
  </si>
  <si>
    <t>008298-8</t>
  </si>
  <si>
    <t>Q3 2.0 TFSI Anniversary Edition Quattro</t>
  </si>
  <si>
    <t>008159-0</t>
  </si>
  <si>
    <t>Q3 2.0 TFSI Quat. 170/180cv S-tronic 5p</t>
  </si>
  <si>
    <t>008160-4</t>
  </si>
  <si>
    <t>Q3 2.0 TFSI Quat. 211/220cv S-tronic 5p</t>
  </si>
  <si>
    <t>008225-2</t>
  </si>
  <si>
    <t>Q3 Black Ed. 1.4 TFSI Flex/Black S-tron.</t>
  </si>
  <si>
    <t>008267-8</t>
  </si>
  <si>
    <t>Q3 Black S Line 1.4 TFSI S-tronic</t>
  </si>
  <si>
    <t>008228-7</t>
  </si>
  <si>
    <t>Q3 P. Plus 1.4 TFSI Flex/P.Plus S-tronic</t>
  </si>
  <si>
    <t>008280-5</t>
  </si>
  <si>
    <t>Q3 Perf. Black 2.0 TFSI Tiptr. Quattro</t>
  </si>
  <si>
    <t>008304-6</t>
  </si>
  <si>
    <t>Q3 Perf. Black.Plus 2.0 TFSI Tip. Quat.</t>
  </si>
  <si>
    <t>008284-8</t>
  </si>
  <si>
    <t>Q3 Performance 2.0 TFSI Tiptr. Quattro</t>
  </si>
  <si>
    <t>008227-9</t>
  </si>
  <si>
    <t>Q3 Prest. 1.4 TFSI Flex/Prest. S-tronic</t>
  </si>
  <si>
    <t>008289-9</t>
  </si>
  <si>
    <t>Q3 Prestige 2.0 TFSI Tiptr.Quatro</t>
  </si>
  <si>
    <t>008283-0</t>
  </si>
  <si>
    <t>Q3 SPB Perf. Black 2.0 TFSI Tipt. Quat.</t>
  </si>
  <si>
    <t>008305-4</t>
  </si>
  <si>
    <t>Q3 SPB Perf.Black Plus 2.0 TFSI Tip.Quat</t>
  </si>
  <si>
    <t>008282-1</t>
  </si>
  <si>
    <t>Q3 SPB Performance 2.0 TFSI Tipt. Quatt.</t>
  </si>
  <si>
    <t>008299-6</t>
  </si>
  <si>
    <t>Q3 Sportb. 2.0 TFSI Anniv. Edit. Quattro</t>
  </si>
  <si>
    <t>008186-8</t>
  </si>
  <si>
    <t>Q5 2.0 16V TFSI 225cv Quattro Tiptronic</t>
  </si>
  <si>
    <t>008134-5</t>
  </si>
  <si>
    <t>Q5 2.0 16V TFSI Quattro S Tronic</t>
  </si>
  <si>
    <t>008224-4</t>
  </si>
  <si>
    <t>Q5 2.0 TFSI Quattro S tronic (Blindado)</t>
  </si>
  <si>
    <t>008182-5</t>
  </si>
  <si>
    <t>Q5 3.0 V6 TFSI 272cv Quattro Tiptronic</t>
  </si>
  <si>
    <t>008137-0</t>
  </si>
  <si>
    <t>Q5 3.2 FSI V6 Quattro S Tronic</t>
  </si>
  <si>
    <t>008317-8</t>
  </si>
  <si>
    <t>Q5 Advanced 2.0 TFSI Quattro S-tronic</t>
  </si>
  <si>
    <t>008220-1</t>
  </si>
  <si>
    <t>Q5 Ambiente 2.0 TFSI Quattro S tronic</t>
  </si>
  <si>
    <t>008218-0</t>
  </si>
  <si>
    <t>Q5 Ambition 2.0 TFSI Quattro S tronic</t>
  </si>
  <si>
    <t>008219-8</t>
  </si>
  <si>
    <t>Q5 Attraction 2.0 TFSI Quattro S tronic</t>
  </si>
  <si>
    <t>008240-6</t>
  </si>
  <si>
    <t>Q5 Black 2.0 TFSI Quattro S tronic</t>
  </si>
  <si>
    <t>008285-6</t>
  </si>
  <si>
    <t>Q5 Perf. Black 2.0 TFSIe S.Tr. Qt (Hib.)</t>
  </si>
  <si>
    <t>008288-0</t>
  </si>
  <si>
    <t>Q5 Performance 2.0 TFSIe S.Tr. Qt (Hib.)</t>
  </si>
  <si>
    <t>008238-4</t>
  </si>
  <si>
    <t>Q5 Prestige 2.0 TFSI Quattro S tronic</t>
  </si>
  <si>
    <t>008239-2</t>
  </si>
  <si>
    <t>Q5 Prestige Plus 2.0 TFSI Quat. S tronic</t>
  </si>
  <si>
    <t>008248-1</t>
  </si>
  <si>
    <t>008319-4</t>
  </si>
  <si>
    <t>Q5 S-Line 2.0 TFSI Quattro S-tronic 272cv</t>
  </si>
  <si>
    <t>008270-8</t>
  </si>
  <si>
    <t>Q5 S-Line Black 2.0 TFSI Quat. S-Tronic</t>
  </si>
  <si>
    <t>008287-2</t>
  </si>
  <si>
    <t>Q5 SB P Black. 2.0 TFSIe S.Tr. Qt (Hib.)</t>
  </si>
  <si>
    <t>008286-4</t>
  </si>
  <si>
    <t>Q5 SB Perf. 2.0 TFSIe S.Tr. Qt (Hib.)</t>
  </si>
  <si>
    <t>008272-4</t>
  </si>
  <si>
    <t>Q5 SPB. S-Line Black 2.0 TFSI Qua.S-Tron</t>
  </si>
  <si>
    <t>008318-6</t>
  </si>
  <si>
    <t>Q5 Sportback Advanced 2.0 TFSI Quattro S-tronic</t>
  </si>
  <si>
    <t>008271-6</t>
  </si>
  <si>
    <t>Q5 Sportback S-Line 2.0 TFSI Quat.S-Tron</t>
  </si>
  <si>
    <t>008309-7</t>
  </si>
  <si>
    <t>Q6 E-TRON Quattro Perf. Black (Elétrico)</t>
  </si>
  <si>
    <t>008310-0</t>
  </si>
  <si>
    <t>Q6 E-TRON Quattro Performance (Elétrico)</t>
  </si>
  <si>
    <t>008213-9</t>
  </si>
  <si>
    <t>Q7 3.0 V6 TDI Quat.Tip. 5p Die./Perfor.</t>
  </si>
  <si>
    <t>008152-3</t>
  </si>
  <si>
    <t>008129-9</t>
  </si>
  <si>
    <t>Q7 3.6 V6 284cv Quattro Tiptronic</t>
  </si>
  <si>
    <t>008122-1</t>
  </si>
  <si>
    <t>Q7 4.2 V8 40V 350cv Quattro Tiptronic</t>
  </si>
  <si>
    <t>008243-0</t>
  </si>
  <si>
    <t>008244-9</t>
  </si>
  <si>
    <t>Q7 Perf.Black 3.0 TDI Quat.Tip.5p Dies.</t>
  </si>
  <si>
    <t>008308-9</t>
  </si>
  <si>
    <t>Q7 S-Line 3.0 V6 TFSI Qua. Tip. (Híb.)</t>
  </si>
  <si>
    <t>008261-9</t>
  </si>
  <si>
    <t>Q7 S-Line 3.0 V6 TFSI Quattro Tiptronic</t>
  </si>
  <si>
    <t>008297-0</t>
  </si>
  <si>
    <t>Q8 E-TRON Launch Edition (Elétrico)</t>
  </si>
  <si>
    <t>008296-1</t>
  </si>
  <si>
    <t>Q8 E-TRON Performance Black (Elétrico)</t>
  </si>
  <si>
    <t>008293-7</t>
  </si>
  <si>
    <t>Q8 E-TRON Sportb. Perf. Black (Elétrico)</t>
  </si>
  <si>
    <t>008294-5</t>
  </si>
  <si>
    <t>Q8 E-TRON Sportb.Launch Edt. (Elétrico)</t>
  </si>
  <si>
    <t>008250-3</t>
  </si>
  <si>
    <t>008251-1</t>
  </si>
  <si>
    <t>008147-7</t>
  </si>
  <si>
    <t>R8 4.2 V8 426cv Quattro R-tronic</t>
  </si>
  <si>
    <t>008146-9</t>
  </si>
  <si>
    <t>R8 5.2 V10 Quattro R-tronic/S-tronic</t>
  </si>
  <si>
    <t>008158-2</t>
  </si>
  <si>
    <t>R8 GT 5.2 V10 560cv Quattro R-tronic</t>
  </si>
  <si>
    <t>008155-8</t>
  </si>
  <si>
    <t>R8 Spyder 5.2 Quattro R-tronic/S-tronic</t>
  </si>
  <si>
    <t>008274-0</t>
  </si>
  <si>
    <t>RS E-TRON GT Quattro Aut. (Elétrico)</t>
  </si>
  <si>
    <t>008193-0</t>
  </si>
  <si>
    <t>RS Q3 2.5 TFSI Quattro S-tronic 5p</t>
  </si>
  <si>
    <t>008265-1</t>
  </si>
  <si>
    <t>RS Q3 Sportback 2.5 TFSI Quattro S-tron.</t>
  </si>
  <si>
    <t>008262-7</t>
  </si>
  <si>
    <t>RS Q8 4.0 Bi-TB V8 FSI Quattro Tiptronic</t>
  </si>
  <si>
    <t>008320-8</t>
  </si>
  <si>
    <t>RS Q8 Perfornace 4.0 Bi-TB V8 TFSI Quattro Tiptro.</t>
  </si>
  <si>
    <t>008221-0</t>
  </si>
  <si>
    <t>RS3 Sedan 2.5 TFSI Quattro S-tronic</t>
  </si>
  <si>
    <t>008321-6</t>
  </si>
  <si>
    <t>RS3 Sedan Track 2.5 TFSI Quattro S-tronic</t>
  </si>
  <si>
    <t>008157-4</t>
  </si>
  <si>
    <t>RS3 Sportback 2.5 TFSI Quattro S-tronic</t>
  </si>
  <si>
    <t>008100-0</t>
  </si>
  <si>
    <t>RS4 2.7 Avant V6 30V BI-TB Quattro 380cv</t>
  </si>
  <si>
    <t>008242-2</t>
  </si>
  <si>
    <t>RS4 2.9 Avant V6 TFSI Quattro Tiptronic</t>
  </si>
  <si>
    <t>008183-3</t>
  </si>
  <si>
    <t>RS4 4.2 Avant 32V FSI Quattro S-tronic</t>
  </si>
  <si>
    <t>008151-5</t>
  </si>
  <si>
    <t>RS5 4.2 FSI V8 450cv Quattro S-Tron. 2p</t>
  </si>
  <si>
    <t>008241-4</t>
  </si>
  <si>
    <t>RS5 Coupê 2.9 V6 TFSI Quattro Tiptronic</t>
  </si>
  <si>
    <t>008291-0</t>
  </si>
  <si>
    <t>RS5 SPB. C.Plus Track 2.9 Quat. S-tronic</t>
  </si>
  <si>
    <t>008290-2</t>
  </si>
  <si>
    <t>RS5 SPB. Compet. Plus 2.9 Quat. S-tronic</t>
  </si>
  <si>
    <t>008263-5</t>
  </si>
  <si>
    <t>RS5 Sportback 2.9 V6 TFSI Quattro Tip.</t>
  </si>
  <si>
    <t>008189-2</t>
  </si>
  <si>
    <t>008307-0</t>
  </si>
  <si>
    <t>RS6 4.0 Avant.Perf TFSI Quat.Tip.(Hib)</t>
  </si>
  <si>
    <t>008112-4</t>
  </si>
  <si>
    <t>RS6 4.2 450cv BI-TB Quattro Tiptronic 4p</t>
  </si>
  <si>
    <t>008111-6</t>
  </si>
  <si>
    <t>RS6 4.2 Avant BI-TB Quattro Tiptron. 5p</t>
  </si>
  <si>
    <t>008149-3</t>
  </si>
  <si>
    <t>RS6 5.0 Avant.FSI V10 Bi-TB Quattro Tip.</t>
  </si>
  <si>
    <t>008148-5</t>
  </si>
  <si>
    <t>RS6 5.0 FSI V10 Bi-TB Quattro Tip.</t>
  </si>
  <si>
    <t>008194-9</t>
  </si>
  <si>
    <t>RS7 Sportback 4.0 TFSI Quattro Tiptronic</t>
  </si>
  <si>
    <t>008191-4</t>
  </si>
  <si>
    <t>S Q5 3.0 V6 TFSI 354cv Quattro Tiptronic</t>
  </si>
  <si>
    <t>008066-7</t>
  </si>
  <si>
    <t>S3 1.8 225cv Turbo Quattro</t>
  </si>
  <si>
    <t>008196-5</t>
  </si>
  <si>
    <t>S3 Sedan 2.0 TFSI Quattro 286cv S-tronic</t>
  </si>
  <si>
    <t>008140-0</t>
  </si>
  <si>
    <t>S3 Sportback 2.0 TFSI Quattro S Tronic</t>
  </si>
  <si>
    <t>008069-1</t>
  </si>
  <si>
    <t>S4 2.7 Avant Turbo Quattro</t>
  </si>
  <si>
    <t>008063-2</t>
  </si>
  <si>
    <t>S4 2.7 Turbo Quattro Mec.</t>
  </si>
  <si>
    <t>008163-9</t>
  </si>
  <si>
    <t>S4 3.0 Avant TFSI V6 24V Quattro Stronic</t>
  </si>
  <si>
    <t>008162-0</t>
  </si>
  <si>
    <t>S4 3.0 TFSI V6 24V Quattro Stronic</t>
  </si>
  <si>
    <t>008114-0</t>
  </si>
  <si>
    <t>S4 4.2 Avant V8 40V 344cv Quattro Tipt.</t>
  </si>
  <si>
    <t>008113-2</t>
  </si>
  <si>
    <t>S4 4.2 V8 40V 344cv Quattro Tiptronic</t>
  </si>
  <si>
    <t>008168-0</t>
  </si>
  <si>
    <t>S5 Cabriolet 3.0 TFSI Quattro Stronic</t>
  </si>
  <si>
    <t>008167-1</t>
  </si>
  <si>
    <t>S5 Coupê 3.0 TFSI Quattro Stronic</t>
  </si>
  <si>
    <t>008166-3</t>
  </si>
  <si>
    <t>S5 Sportback 3.0 TFSI Quattro Stronic</t>
  </si>
  <si>
    <t>008038-1</t>
  </si>
  <si>
    <t>S6 2.2 20V TB</t>
  </si>
  <si>
    <t>008078-0</t>
  </si>
  <si>
    <t>S6 2.2 Avant 20V TB</t>
  </si>
  <si>
    <t>008202-3</t>
  </si>
  <si>
    <t>S6 4.0 TFSI Quattro S-Tronic 4p</t>
  </si>
  <si>
    <t>008097-7</t>
  </si>
  <si>
    <t>S6 4.2 Avant V8 40V Quattro Tiptronic</t>
  </si>
  <si>
    <t>008099-3</t>
  </si>
  <si>
    <t>S6 4.2 V8 40V Quattro Mec</t>
  </si>
  <si>
    <t>008098-5</t>
  </si>
  <si>
    <t>S6 4.2 V8 40V Quattro Tiptronic</t>
  </si>
  <si>
    <t>008144-2</t>
  </si>
  <si>
    <t>S6 5.2 Avant FSI V10 435cv Quattro Tiptr</t>
  </si>
  <si>
    <t>008143-4</t>
  </si>
  <si>
    <t>S6 5.2 FSI V10 435cv Quattro Tiptronic</t>
  </si>
  <si>
    <t>008016-0</t>
  </si>
  <si>
    <t>S6 Plus 4.2 Avant V8 32V</t>
  </si>
  <si>
    <t>008039-0</t>
  </si>
  <si>
    <t>S6 Plus 4.2 V8 32V</t>
  </si>
  <si>
    <t>008188-4</t>
  </si>
  <si>
    <t>S7 4.0 TFSI 420/450cv Quattro S-tronic</t>
  </si>
  <si>
    <t>008198-1</t>
  </si>
  <si>
    <t>S8 4.0 TFSI Quattro Tiptronic 4p</t>
  </si>
  <si>
    <t>008028-4</t>
  </si>
  <si>
    <t>S8 4.2 Mec</t>
  </si>
  <si>
    <t>008064-0</t>
  </si>
  <si>
    <t>S8 4.2 Quattro Mec.</t>
  </si>
  <si>
    <t>008065-9</t>
  </si>
  <si>
    <t>S8 4.2 Quattro Tiptronic</t>
  </si>
  <si>
    <t>008029-2</t>
  </si>
  <si>
    <t>S8 4.2 Tiptronic</t>
  </si>
  <si>
    <t>008322-4</t>
  </si>
  <si>
    <t>SQ5 3.0 TFSI Quattro S-tronic</t>
  </si>
  <si>
    <t>008323-2</t>
  </si>
  <si>
    <t>SQ5 Sportback 3.0 TFSI Quattro S-tronic</t>
  </si>
  <si>
    <t>008306-2</t>
  </si>
  <si>
    <t>SQ8 Sportback E-Tron Quattro (Elétrico)</t>
  </si>
  <si>
    <t>008034-9</t>
  </si>
  <si>
    <t>TT 1.8 TB 180cv</t>
  </si>
  <si>
    <t>008035-7</t>
  </si>
  <si>
    <t>TT 1.8 TB Quattro 225cv</t>
  </si>
  <si>
    <t>008126-4</t>
  </si>
  <si>
    <t>TT 2.0 16v TFSI S-Tronic</t>
  </si>
  <si>
    <t>008075-6</t>
  </si>
  <si>
    <t>TT Roadster 1.8 TB Quattro 225cv (Conv.)</t>
  </si>
  <si>
    <t>008127-2</t>
  </si>
  <si>
    <t>TT Roadster 2.0 16v TFSI S-Tronic</t>
  </si>
  <si>
    <t>008176-0</t>
  </si>
  <si>
    <t>TTRS 2.5 TFSI QUATTRO S Tronic</t>
  </si>
  <si>
    <t>008175-2</t>
  </si>
  <si>
    <t>TTRS Roadster 2.5 TB FSI Quat. S Tronic</t>
  </si>
  <si>
    <t>008141-8</t>
  </si>
  <si>
    <t>TTS 2.0 TFSI QUATTRO S Tronic</t>
  </si>
  <si>
    <t>008142-6</t>
  </si>
  <si>
    <t>TTS Roadster 2.0 TB FSI Quattro S Tronic</t>
  </si>
  <si>
    <t>ANO BASE</t>
  </si>
  <si>
    <t>Código Fipe</t>
  </si>
  <si>
    <t>Montadora</t>
  </si>
  <si>
    <t>Tipo veículo</t>
  </si>
  <si>
    <t>Cota</t>
  </si>
  <si>
    <t>Categoria</t>
  </si>
  <si>
    <t>Linha</t>
  </si>
  <si>
    <t>Ano inicial</t>
  </si>
  <si>
    <t>Ano final</t>
  </si>
  <si>
    <t>Tempo no mercado</t>
  </si>
  <si>
    <t>TABELA</t>
  </si>
  <si>
    <t>COTA</t>
  </si>
  <si>
    <t>Última produção</t>
  </si>
  <si>
    <t>INATIVADO</t>
  </si>
  <si>
    <t>024162-8</t>
  </si>
  <si>
    <t>Peugeot</t>
  </si>
  <si>
    <t>Boxer 2.3 Furg.TB Dies. Curto/Médio</t>
  </si>
  <si>
    <t>UTILITÁRIOS</t>
  </si>
  <si>
    <t>UTILITARIOS MEDIOS</t>
  </si>
  <si>
    <t>Furgão médio</t>
  </si>
  <si>
    <t>BOXER</t>
  </si>
  <si>
    <t>APP</t>
  </si>
  <si>
    <t>COTA 03</t>
  </si>
  <si>
    <t/>
  </si>
  <si>
    <t>024163-6</t>
  </si>
  <si>
    <t>Boxer 2.3 Furg.TB Dies. Méd/ LongoT.Alto</t>
  </si>
  <si>
    <t>024181-4</t>
  </si>
  <si>
    <t>Boxer 2.3 LH Executive 15/16L TB Diesel</t>
  </si>
  <si>
    <t>024166-0</t>
  </si>
  <si>
    <t>Boxer 2.3 Minibus 15/16L TB Diesel.</t>
  </si>
  <si>
    <t>024094-0</t>
  </si>
  <si>
    <t>Boxer 2.8 Furg. TB Dies. Méd/LongoT.Alto</t>
  </si>
  <si>
    <t>COTA 04</t>
  </si>
  <si>
    <t>024093-1</t>
  </si>
  <si>
    <t>Boxer 2.8 Furgão Dies/ TB Dies.curto/méd</t>
  </si>
  <si>
    <t>024073-7</t>
  </si>
  <si>
    <t>Boxer 2.8 Van Diesel/TB Diesel 15L/16L</t>
  </si>
  <si>
    <t>024244-6</t>
  </si>
  <si>
    <t>Boxer Business Furgão 2.0 Turbo Diesel</t>
  </si>
  <si>
    <t>COTA 02</t>
  </si>
  <si>
    <t>024254-3</t>
  </si>
  <si>
    <t>Boxer Cargo Furgão 2.0 Turbo Diesel</t>
  </si>
  <si>
    <t>024247-0</t>
  </si>
  <si>
    <t>Boxer Minibus 2.0 16L Turbo Diesel</t>
  </si>
  <si>
    <t>011194-5</t>
  </si>
  <si>
    <t>Citroen</t>
  </si>
  <si>
    <t>Berlingo Furgão 1.6 16V Flex 5P</t>
  </si>
  <si>
    <t>FUGÕES LEVES</t>
  </si>
  <si>
    <t>Furgão compacto</t>
  </si>
  <si>
    <t>BERLINGO</t>
  </si>
  <si>
    <t>025044-9</t>
  </si>
  <si>
    <t>Kangoo Express RL/ Express 1.0 16V/8V</t>
  </si>
  <si>
    <t>KANGOO</t>
  </si>
  <si>
    <t>025045-7</t>
  </si>
  <si>
    <t>Kangoo Express RL/ Express 1.6 16V/8V</t>
  </si>
  <si>
    <t>025038-4</t>
  </si>
  <si>
    <t>Kangoo RL 1.0 8V</t>
  </si>
  <si>
    <t>025041-4</t>
  </si>
  <si>
    <t>Kangoo RL 1.6 8V</t>
  </si>
  <si>
    <t>025070-8</t>
  </si>
  <si>
    <t>Kangoo RL/ Yahoo 1.0 16V 70cv</t>
  </si>
  <si>
    <t>025039-2</t>
  </si>
  <si>
    <t>Kangoo RN 1.0 8V</t>
  </si>
  <si>
    <t>025072-4</t>
  </si>
  <si>
    <t>Kangoo RN/ Yahoo/ Expression 1.0 16V 5p</t>
  </si>
  <si>
    <t>025073-2</t>
  </si>
  <si>
    <t>Kangoo RT 1.0 16V 70cv 5p</t>
  </si>
  <si>
    <t>025074-0</t>
  </si>
  <si>
    <t>Kangoo RT 1.6 16V/ 8V 90cv 5p</t>
  </si>
  <si>
    <t>011214-3</t>
  </si>
  <si>
    <t>Jumper 2.0 Cargo Furgão 16V TB Diesel</t>
  </si>
  <si>
    <t>JUMPER</t>
  </si>
  <si>
    <t>011202-0</t>
  </si>
  <si>
    <t>Jumper 2.0 FurgãoTurbo Diesel</t>
  </si>
  <si>
    <t>011209-7</t>
  </si>
  <si>
    <t>Jumper 2.0 Minibus 16L Turbo Diesel</t>
  </si>
  <si>
    <t>011099-0</t>
  </si>
  <si>
    <t>Jumper 2.3 15/16Lug. TB Diesel</t>
  </si>
  <si>
    <t>011100-7</t>
  </si>
  <si>
    <t>Jumper 2.3 Furgão TB Diesel</t>
  </si>
  <si>
    <t>011112-0</t>
  </si>
  <si>
    <t>Jumper 2.3 Vetrato Exec. 16Lug. TB Dies.</t>
  </si>
  <si>
    <t>011104-0</t>
  </si>
  <si>
    <t>Jumper 2.3 Vetrato TB Diesel</t>
  </si>
  <si>
    <t>011186-4</t>
  </si>
  <si>
    <t>Jumpy 1.6 Furgão Pack Turbo Diesel</t>
  </si>
  <si>
    <t>JUMPY</t>
  </si>
  <si>
    <t>011185-6</t>
  </si>
  <si>
    <t>Jumpy 1.6 Furgão Turbo Diesel</t>
  </si>
  <si>
    <t>011189-9</t>
  </si>
  <si>
    <t>Jumpy 1.6 Minibus Turbo Diesel</t>
  </si>
  <si>
    <t>011216-0</t>
  </si>
  <si>
    <t>Jumpy Cargo 1.5 Turbo Diesel</t>
  </si>
  <si>
    <t>011217-8</t>
  </si>
  <si>
    <t>Jumpy Vitré 1.5 Turbo Diesel</t>
  </si>
  <si>
    <t>011210-0</t>
  </si>
  <si>
    <t>Jumpy VITRÉ 1.6 Turbo Diesel</t>
  </si>
  <si>
    <t>025106-2</t>
  </si>
  <si>
    <t>Kangoo Authentique 1.6 16V 95cv</t>
  </si>
  <si>
    <t>025134-8</t>
  </si>
  <si>
    <t>Kangoo Authentique Hi-Flex 1.6 16V</t>
  </si>
  <si>
    <t>025128-3</t>
  </si>
  <si>
    <t>Kangoo Expres.SPORTWAY 1.6/1.6 Hi-Flex</t>
  </si>
  <si>
    <t>025133-0</t>
  </si>
  <si>
    <t>Kangoo Express Hi-Flex 1.6 16V</t>
  </si>
  <si>
    <t>025132-1</t>
  </si>
  <si>
    <t>Kangoo Expression Hi-Flex 1.6 16V 5p</t>
  </si>
  <si>
    <t>025040-6</t>
  </si>
  <si>
    <t>Kangoo RN/Expression 1.6 16V/1.6 8V 5p</t>
  </si>
  <si>
    <t>024114-8</t>
  </si>
  <si>
    <t>206 SW Feline 1.6/ 1.6 Flex 16V 5p</t>
  </si>
  <si>
    <t>SEDAN</t>
  </si>
  <si>
    <t>SEDAN COMPACTO</t>
  </si>
  <si>
    <t>Familiar compacto</t>
  </si>
  <si>
    <t>FAIXA 01</t>
  </si>
  <si>
    <t>024112-1</t>
  </si>
  <si>
    <t>206 SW Presence 1.4/ 1.4 Flex 8V 5p</t>
  </si>
  <si>
    <t>024123-7</t>
  </si>
  <si>
    <t>206 Sensation 1.4 Flex 8V 3p</t>
  </si>
  <si>
    <t>HATCH</t>
  </si>
  <si>
    <t>HATCH COMPACTO</t>
  </si>
  <si>
    <t>Hatch compacto</t>
  </si>
  <si>
    <t>024124-5</t>
  </si>
  <si>
    <t>206 Sensation 1.4 Flex 8V 5p</t>
  </si>
  <si>
    <t>024130-0</t>
  </si>
  <si>
    <t>206 Moonlight 1.4 Flex 8V 3p</t>
  </si>
  <si>
    <t>024102-4</t>
  </si>
  <si>
    <t>206 Presence 1.4/ 1.4 Flex 8V 3p</t>
  </si>
  <si>
    <t>024103-2</t>
  </si>
  <si>
    <t>206 Presence 1.4/ 1.4 Flex 8V 5p</t>
  </si>
  <si>
    <t>024100-8</t>
  </si>
  <si>
    <t>206 Techno/ Feline 1.6/ 1.6 Flex 16V 5p</t>
  </si>
  <si>
    <t>024084-2</t>
  </si>
  <si>
    <t>206 Selection/ Sensation 1.0 16v 5p</t>
  </si>
  <si>
    <t>024095-8</t>
  </si>
  <si>
    <t>206 Selection 1.6 16V 110cv 3p</t>
  </si>
  <si>
    <t>024104-0</t>
  </si>
  <si>
    <t>206 Feline 1.4/ 1.4 Flex 8V 5p</t>
  </si>
  <si>
    <t>024152-0</t>
  </si>
  <si>
    <t>207 SW XR 1.4 Flex 8V 5p</t>
  </si>
  <si>
    <t>024153-9</t>
  </si>
  <si>
    <t>207 SW XR Sport 1.4 Flex 8V 5p</t>
  </si>
  <si>
    <t>024202-0</t>
  </si>
  <si>
    <t>207 Active 1.4 Flex 8V 5p</t>
  </si>
  <si>
    <t>024146-6</t>
  </si>
  <si>
    <t>207 XR 1.4 Flex 8V 5p</t>
  </si>
  <si>
    <t>024183-0</t>
  </si>
  <si>
    <t>207 QUIKSILVER 1.6 Flex 16V 5p</t>
  </si>
  <si>
    <t>024148-2</t>
  </si>
  <si>
    <t>207 XR Sport 1.4 Flex 8V 5p</t>
  </si>
  <si>
    <t>024151-2</t>
  </si>
  <si>
    <t>207 XS 1.6 Flex 16V 5p Aut.</t>
  </si>
  <si>
    <t>024156-3</t>
  </si>
  <si>
    <t>207 Sed. Passion XR Sport 1.4 Flex 8V 4p</t>
  </si>
  <si>
    <t>Sedã compacto</t>
  </si>
  <si>
    <t>024155-5</t>
  </si>
  <si>
    <t>207 Sedan Passion XR 1.4 Flex 8V 4p</t>
  </si>
  <si>
    <t>024219-5</t>
  </si>
  <si>
    <t>208 Active 1.2 Flex 12V 5p Mec.</t>
  </si>
  <si>
    <t>024215-2</t>
  </si>
  <si>
    <t>208 Allure 1.6 Flex 16V 5p Aut.</t>
  </si>
  <si>
    <t>024197-0</t>
  </si>
  <si>
    <t>208 Griffe 1.6 Flex 16V 5p Aut.</t>
  </si>
  <si>
    <t>024194-6</t>
  </si>
  <si>
    <t>208 Active/Active Pack 1.5 Flex 8V 5p</t>
  </si>
  <si>
    <t>024195-4</t>
  </si>
  <si>
    <t>208 Allure 1.5 Flex 8V 5p</t>
  </si>
  <si>
    <t>004363-0</t>
  </si>
  <si>
    <t>GM - Chevrolet</t>
  </si>
  <si>
    <t>AGILE LTZ 1.4 MPFI 8V FlexPower 5p</t>
  </si>
  <si>
    <t>AGILE</t>
  </si>
  <si>
    <t>COTA 01</t>
  </si>
  <si>
    <t>004362-1</t>
  </si>
  <si>
    <t>AGILE LT 1.4 MPFI 8V FlexPower 5p</t>
  </si>
  <si>
    <t>001509-1</t>
  </si>
  <si>
    <t>Fiat</t>
  </si>
  <si>
    <t>ARGO 1.0 6V Flex.</t>
  </si>
  <si>
    <t>ARGO</t>
  </si>
  <si>
    <t>001519-9</t>
  </si>
  <si>
    <t>ARGO TREKKING 1.3 8V Flex</t>
  </si>
  <si>
    <t>001494-0</t>
  </si>
  <si>
    <t>ARGO DRIVE 1.0 6V Flex</t>
  </si>
  <si>
    <t>005153-5</t>
  </si>
  <si>
    <t>VW - Volkswagem</t>
  </si>
  <si>
    <t>Bora 2.0/ 2.0 Flex 8v Mec.</t>
  </si>
  <si>
    <t>SEDAN MEDIO</t>
  </si>
  <si>
    <t>Sedã médio</t>
  </si>
  <si>
    <t>BORA</t>
  </si>
  <si>
    <t>011207-0</t>
  </si>
  <si>
    <t>C3 100 Anos 1.6 16V Flex Aut.</t>
  </si>
  <si>
    <t>C3</t>
  </si>
  <si>
    <t>011145-7</t>
  </si>
  <si>
    <t>C3 Attra/Origine Pack 1.5 Flex 8V 5p Mec</t>
  </si>
  <si>
    <t>011181-3</t>
  </si>
  <si>
    <t>C3 Attraction 1.6 Flex 16V 5p Aut.</t>
  </si>
  <si>
    <t>011170-8</t>
  </si>
  <si>
    <t>C3 Attraction Pure Tech 1.2 Flex 12V Mec</t>
  </si>
  <si>
    <t>011119-8</t>
  </si>
  <si>
    <t>C3 Excl. 1.6 VTi Flex Start 16V 5p Aut.</t>
  </si>
  <si>
    <t>011118-0</t>
  </si>
  <si>
    <t>C3 Excl. 1.6 VTi Flex Start 16V 5p Mec.</t>
  </si>
  <si>
    <t>011091-4</t>
  </si>
  <si>
    <t>C3 Excl./Excl.Solar./Sonora 1.6 Flex Aut</t>
  </si>
  <si>
    <t>011071-0</t>
  </si>
  <si>
    <t>C3 Exclus./Excl.Solaris 1.6 Flex 16V Mec</t>
  </si>
  <si>
    <t>011083-3</t>
  </si>
  <si>
    <t>C3 Exclusive 1.4 Flex 8V 5p</t>
  </si>
  <si>
    <t>011142-2</t>
  </si>
  <si>
    <t>C3 Exclusive 1.5 Flex 8V 5p Mec.</t>
  </si>
  <si>
    <t>011192-9</t>
  </si>
  <si>
    <t>C3 Exclusive Bus. 1.6 Flex 5p Aut.</t>
  </si>
  <si>
    <t>011072-8</t>
  </si>
  <si>
    <t>C3 GLX 1.4/ GLX Sonora 1.4 Flex 8V 5p</t>
  </si>
  <si>
    <t>011090-6</t>
  </si>
  <si>
    <t>C3 GLX 1.6 Flex 16V 5p Aut.</t>
  </si>
  <si>
    <t>011070-1</t>
  </si>
  <si>
    <t>C3 GLX 1.6/ 1.6 Flex 16V 5p</t>
  </si>
  <si>
    <t>011116-3</t>
  </si>
  <si>
    <t>C3 Origine 1.5 Flex 8V 5p Mec.</t>
  </si>
  <si>
    <t>011171-6</t>
  </si>
  <si>
    <t>C3 Origine Pure Tech 1.2 Flex 12V Mec</t>
  </si>
  <si>
    <t>011183-0</t>
  </si>
  <si>
    <t>C3 Start 1.2 Flex 12V 5p</t>
  </si>
  <si>
    <t>011175-9</t>
  </si>
  <si>
    <t>C3 Style Ed. Pure Tech 1.2 Flex 12V Mec.</t>
  </si>
  <si>
    <t>011176-7</t>
  </si>
  <si>
    <t>C3 Style Edition 1.6 Flex 16V Aut.</t>
  </si>
  <si>
    <t>011117-1</t>
  </si>
  <si>
    <t>C3 Tendance 1.5 Flex 8V 5p Mec.</t>
  </si>
  <si>
    <t>011138-4</t>
  </si>
  <si>
    <t>C3 Tendance 1.6 VTi Flex Start 16V Aut.</t>
  </si>
  <si>
    <t>011169-4</t>
  </si>
  <si>
    <t>C3 Tendance Pure Tech 1.2 Flex 12V Mec.</t>
  </si>
  <si>
    <t>011190-2</t>
  </si>
  <si>
    <t>C3 Urban Trail 1.6 Flex 16V 5p Aut.</t>
  </si>
  <si>
    <t>011208-9</t>
  </si>
  <si>
    <t>C3 Urban Trail P.Tech 1.2 Flex 12V Mec.</t>
  </si>
  <si>
    <t>011137-6</t>
  </si>
  <si>
    <t>C3 X-BOX ONE 1.6 VTi Flex 16V 5p Mec.</t>
  </si>
  <si>
    <t>011082-5</t>
  </si>
  <si>
    <t>C3 XTR 1.4 Flex 8V 5p</t>
  </si>
  <si>
    <t>011080-9</t>
  </si>
  <si>
    <t>C3 XTR 1.6 Flex 16V 5p</t>
  </si>
  <si>
    <t>004227-7</t>
  </si>
  <si>
    <t>Celta 1.0/ Super 1.0 MPFI VHC 8v 5p</t>
  </si>
  <si>
    <t>CELTA</t>
  </si>
  <si>
    <t>004202-1</t>
  </si>
  <si>
    <t>Celta 1.0/Super/N.Piq.1.0 MPFi VHC 8V 3p</t>
  </si>
  <si>
    <t>004235-8</t>
  </si>
  <si>
    <t>Celta 1.4/ Super/ Energy 1.4 8V 85cv 3p</t>
  </si>
  <si>
    <t>004236-6</t>
  </si>
  <si>
    <t>Celta 1.4/ Super/ Energy 1.4 8V 85cv 5p</t>
  </si>
  <si>
    <t>004445-8</t>
  </si>
  <si>
    <t>Celta ADVANTAGE 1.0 8v FlexPower 5p</t>
  </si>
  <si>
    <t>004264-1</t>
  </si>
  <si>
    <t>Celta Life 1.0 MPFI VHC 8V 3p</t>
  </si>
  <si>
    <t>004266-8</t>
  </si>
  <si>
    <t>Celta Life 1.0 MPFI VHC 8V 5p</t>
  </si>
  <si>
    <t>004268-4</t>
  </si>
  <si>
    <t>Celta Life 1.4 MPFI 8V 85cv 3p</t>
  </si>
  <si>
    <t>004270-6</t>
  </si>
  <si>
    <t>Celta Life 1.4 MPFI 8V 85cv 5p</t>
  </si>
  <si>
    <t>004318-4</t>
  </si>
  <si>
    <t>Celta Life/ LS 1.0 MPFI 8V FlexPower 3p</t>
  </si>
  <si>
    <t>004319-2</t>
  </si>
  <si>
    <t>Celta Life/ LS 1.0 MPFI 8V FlexPower 5p</t>
  </si>
  <si>
    <t>004320-6</t>
  </si>
  <si>
    <t>Celta Spirit 1.0 MPFI 8V FlexPower 3p</t>
  </si>
  <si>
    <t>004265-0</t>
  </si>
  <si>
    <t>Celta Spirit 1.0 MPFI VHC 8V 3p</t>
  </si>
  <si>
    <t>004267-6</t>
  </si>
  <si>
    <t>Celta Spirit 1.0 MPFI VHC 8V 5p</t>
  </si>
  <si>
    <t>004269-2</t>
  </si>
  <si>
    <t>Celta Spirit 1.4 MPFI 8V 85cv 3p</t>
  </si>
  <si>
    <t>004271-4</t>
  </si>
  <si>
    <t>Celta Spirit 1.4 MPFI 8V 85cv 5p</t>
  </si>
  <si>
    <t>004321-4</t>
  </si>
  <si>
    <t>Celta Spirit/ LT 1.0 MPFI 8V FlexP. 5p</t>
  </si>
  <si>
    <t>004316-8</t>
  </si>
  <si>
    <t>Celta Super 1.0 MPFI 8V FlexPower 3p</t>
  </si>
  <si>
    <t>004317-6</t>
  </si>
  <si>
    <t>Celta Super 1.0 MPFI 8V FlexPower 5p</t>
  </si>
  <si>
    <t>014108-9</t>
  </si>
  <si>
    <t>Honda</t>
  </si>
  <si>
    <t>CITY Hatchback EXL 1.5 Flex 16V Aut.</t>
  </si>
  <si>
    <t>CITY</t>
  </si>
  <si>
    <t>014107-0</t>
  </si>
  <si>
    <t>CITY Hatchback Touring 1.5 Flex 16V Aut</t>
  </si>
  <si>
    <t>014067-8</t>
  </si>
  <si>
    <t>CITY Sedan DX 1.5 Flex 16V Aut.</t>
  </si>
  <si>
    <t>014068-6</t>
  </si>
  <si>
    <t>CITY Sedan DX 1.5 Flex 16V Mec.</t>
  </si>
  <si>
    <t>014061-9</t>
  </si>
  <si>
    <t>CITY Sedan EX 1.5 Flex 16V 4p Aut.</t>
  </si>
  <si>
    <t>014060-0</t>
  </si>
  <si>
    <t>CITY Sedan EX 1.5 Flex 16V 4p Mec.</t>
  </si>
  <si>
    <t>014063-5</t>
  </si>
  <si>
    <t>CITY Sedan EXL 1.5 Flex 16V 4p Aut.</t>
  </si>
  <si>
    <t>014062-7</t>
  </si>
  <si>
    <t>CITY Sedan EXL 1.5 Flex 16V 4p Mec.</t>
  </si>
  <si>
    <t>014059-7</t>
  </si>
  <si>
    <t>CITY Sedan LX 1.5 Flex 16V 4p Aut.</t>
  </si>
  <si>
    <t>014058-9</t>
  </si>
  <si>
    <t>CITY Sedan LX 1.5 Flex 16V 4p Mec.</t>
  </si>
  <si>
    <t>014098-8</t>
  </si>
  <si>
    <t>CITY Sedan Personal 1.5 Flex 16V Aut.</t>
  </si>
  <si>
    <t>014077-5</t>
  </si>
  <si>
    <t>CITY Sedan SPORT 1.5 FLEX 16V 4p Mec.</t>
  </si>
  <si>
    <t>014106-2</t>
  </si>
  <si>
    <t>CITY Sedan Touring 1.5 Flex 16V 4p Aut.</t>
  </si>
  <si>
    <t>004450-4</t>
  </si>
  <si>
    <t>Classic ADVANTAGE 1.0 VHC FlexPower 4p</t>
  </si>
  <si>
    <t>CORSA</t>
  </si>
  <si>
    <t>004360-5</t>
  </si>
  <si>
    <t>Classic Life/LS 1.0 VHC FlexP. 4p</t>
  </si>
  <si>
    <t>025099-6</t>
  </si>
  <si>
    <t>Clio Auth. /AIR Hi-Flex 1.6 16V 5p</t>
  </si>
  <si>
    <t>CLIO</t>
  </si>
  <si>
    <t>025081-3</t>
  </si>
  <si>
    <t>Clio Authentique 1.0 8V 3p</t>
  </si>
  <si>
    <t>025082-1</t>
  </si>
  <si>
    <t>Clio Authentique 1.0/1.0 Hi-Power 16V 3p</t>
  </si>
  <si>
    <t>025111-9</t>
  </si>
  <si>
    <t>Clio Authentique Hi-Flex 1.0 16V 3p</t>
  </si>
  <si>
    <t>025112-7</t>
  </si>
  <si>
    <t>Clio Authentique Hi-Flex 1.0 16V 5p</t>
  </si>
  <si>
    <t>025109-7</t>
  </si>
  <si>
    <t>Clio Authentique Hi-Flex 1.6 16V 3p</t>
  </si>
  <si>
    <t>025150-0</t>
  </si>
  <si>
    <t>Clio Campus Hi-Flex 1.0 16V 3p</t>
  </si>
  <si>
    <t>025151-8</t>
  </si>
  <si>
    <t>Clio Campus Hi-Flex 1.0 16V 5p</t>
  </si>
  <si>
    <t>025090-2</t>
  </si>
  <si>
    <t>Clio Dynamique 1.0/ 1.0 Hi-Power 16V 3p</t>
  </si>
  <si>
    <t>025091-0</t>
  </si>
  <si>
    <t>Clio Dynamique 1.6 16V 110cv 3p</t>
  </si>
  <si>
    <t>025098-8</t>
  </si>
  <si>
    <t>Clio Dynamique Hi-Flex 1.6 16V 3p</t>
  </si>
  <si>
    <t>025085-6</t>
  </si>
  <si>
    <t>Clio Expression 1.0 8V 60cv 3p</t>
  </si>
  <si>
    <t>025086-4</t>
  </si>
  <si>
    <t>Clio Expression 1.0/1.0 Hi-Power 16V 3p</t>
  </si>
  <si>
    <t>025113-5</t>
  </si>
  <si>
    <t>Clio Expression Hi-Flex 1.0 16V 3p</t>
  </si>
  <si>
    <t>025114-3</t>
  </si>
  <si>
    <t>Clio Expression Hi-Flex 1.0 16V 5p</t>
  </si>
  <si>
    <t>025121-6</t>
  </si>
  <si>
    <t>Clio GetUp Hi-Flex 1.0 16V 3p</t>
  </si>
  <si>
    <t>025122-4</t>
  </si>
  <si>
    <t>Clio GetUp Hi-Flex 1.0 16V 5p</t>
  </si>
  <si>
    <t>025169-0</t>
  </si>
  <si>
    <t>Clio Hi-Flex 1.0 16V 3p</t>
  </si>
  <si>
    <t>025170-4</t>
  </si>
  <si>
    <t>Clio Hi-Flex 1.0 16V 5p</t>
  </si>
  <si>
    <t>025095-3</t>
  </si>
  <si>
    <t>Clio Hi-Flex/ Expres. Hi-Flex 1.6 16V 3p</t>
  </si>
  <si>
    <t>025096-1</t>
  </si>
  <si>
    <t>Clio Hi-Flex/ Expres. Hi-Flex 1.6 16V 5p</t>
  </si>
  <si>
    <t>025115-1</t>
  </si>
  <si>
    <t>Clio Privilège Hi-Flex 1.0 16V 5p</t>
  </si>
  <si>
    <t>025100-3</t>
  </si>
  <si>
    <t>Clio Privilège Hi-Flex 1.6 16V 5p</t>
  </si>
  <si>
    <t>025026-0</t>
  </si>
  <si>
    <t>Clio RL / Yahoo/ Authent. 1.0 8V 5p</t>
  </si>
  <si>
    <t>025004-0</t>
  </si>
  <si>
    <t>Clio RL 1.6 3p/5p</t>
  </si>
  <si>
    <t>025075-9</t>
  </si>
  <si>
    <t>Clio RL Alizé/ Authent. 1.6 16V 110cv 5p</t>
  </si>
  <si>
    <t>025028-7</t>
  </si>
  <si>
    <t>Clio RN 1.6 5p</t>
  </si>
  <si>
    <t>025027-9</t>
  </si>
  <si>
    <t>Clio RN/ Expression 1.0 5p</t>
  </si>
  <si>
    <t>025048-1</t>
  </si>
  <si>
    <t>Clio RN/ Expression 1.6 16V 5p</t>
  </si>
  <si>
    <t>025054-6</t>
  </si>
  <si>
    <t>Clio RN/Alizé/Expr./1.0 Hi-Power 16V 5p</t>
  </si>
  <si>
    <t>025005-8</t>
  </si>
  <si>
    <t>Clio RT 1.6 5p</t>
  </si>
  <si>
    <t>025056-2</t>
  </si>
  <si>
    <t>Clio RT/ Privil. 1.0/1.0 Hi-Power 16V 5p</t>
  </si>
  <si>
    <t>025049-0</t>
  </si>
  <si>
    <t>Clio RT/ Privilège 1.6 16V 5p</t>
  </si>
  <si>
    <t>025051-1</t>
  </si>
  <si>
    <t>Clio Sed RT/ Privilège/ Botic 1.6 16V 4p</t>
  </si>
  <si>
    <t>025076-7</t>
  </si>
  <si>
    <t>Clio Sed. Alizé 1.6/ 1.6 Hi-Flex 16v 4p</t>
  </si>
  <si>
    <t>025116-0</t>
  </si>
  <si>
    <t>Clio Sed. Authentique Hi-Flex 1.0 16V 4p</t>
  </si>
  <si>
    <t>025102-0</t>
  </si>
  <si>
    <t>Clio Sed. Authentique Hi-Flex 1.6 16V 4p</t>
  </si>
  <si>
    <t>025117-8</t>
  </si>
  <si>
    <t>Clio Sed. Expression Hi-Flex 1.0 16V 4p</t>
  </si>
  <si>
    <t>025097-0</t>
  </si>
  <si>
    <t>Clio Sed. Hi-Flex/Exp.Hi-Flex 1.6 16V 4p</t>
  </si>
  <si>
    <t>025118-6</t>
  </si>
  <si>
    <t>Clio Sed. Privilège Hi-Flex 1.0 16V 4p</t>
  </si>
  <si>
    <t>025101-1</t>
  </si>
  <si>
    <t>Clio Sed. Privilège Hi-Flex 1.6 16V 4p</t>
  </si>
  <si>
    <t>025067-8</t>
  </si>
  <si>
    <t>Clio Sed.RL/Auth.1.0/1.0 Hi-Power 16V 4p</t>
  </si>
  <si>
    <t>025055-4</t>
  </si>
  <si>
    <t>Clio Sed.RN/Alizé/Botic./Exp.1.0 Hi-Pow.</t>
  </si>
  <si>
    <t>025057-0</t>
  </si>
  <si>
    <t>Clio Sed.RT/Privil.1.0/1.0 Hi-Pow.16V 4p</t>
  </si>
  <si>
    <t>025093-7</t>
  </si>
  <si>
    <t>Clio Sedan Authentique 1.6 16V 110cv 4p</t>
  </si>
  <si>
    <t>025123-2</t>
  </si>
  <si>
    <t>Clio Sedan Egeus Hi-Flex 1.0 16V 4p</t>
  </si>
  <si>
    <t>025124-0</t>
  </si>
  <si>
    <t>Clio Sedan Egeus Hi-Flex 1.6 16V 4p</t>
  </si>
  <si>
    <t>025050-3</t>
  </si>
  <si>
    <t>Clio Sedan RN/ Expression 1.6 16V 4p</t>
  </si>
  <si>
    <t>025053-8</t>
  </si>
  <si>
    <t>Clio SI 1.6 16V 4p</t>
  </si>
  <si>
    <t>025060-0</t>
  </si>
  <si>
    <t>Clio Tech Run 1.0 16v 70cv 5p</t>
  </si>
  <si>
    <t>004496-2</t>
  </si>
  <si>
    <t>COBALT 1.8 8V Econo.Flex 4p Aut.</t>
  </si>
  <si>
    <t>COBALT</t>
  </si>
  <si>
    <t>004442-3</t>
  </si>
  <si>
    <t>COBALT ADVANTAGE 1.4 MPFI 8V F.Power 4p</t>
  </si>
  <si>
    <t>004443-1</t>
  </si>
  <si>
    <t>COBALT ADVANTAGE 1.8 8V Eco.Flex 4p Aut.</t>
  </si>
  <si>
    <t>004468-7</t>
  </si>
  <si>
    <t>COBALT ELITE 1.8 8V Econo.Flex 4p Aut.</t>
  </si>
  <si>
    <t>004463-6</t>
  </si>
  <si>
    <t>COBALT Graphite 1.8 8V Econo.Flex 4p Aut</t>
  </si>
  <si>
    <t>004462-8</t>
  </si>
  <si>
    <t>COBALT Graphite 1.8 8V Econo.Flex 4p Mec</t>
  </si>
  <si>
    <t>004383-4</t>
  </si>
  <si>
    <t>COBALT LS 1.4 8V FlexPower 4p</t>
  </si>
  <si>
    <t>004384-2</t>
  </si>
  <si>
    <t>COBALT LT 1.4 8V FlexPower/EconoFlex 4p</t>
  </si>
  <si>
    <t>004419-9</t>
  </si>
  <si>
    <t>COBALT LT 1.8 8V Econo.Flex 4p Aut.</t>
  </si>
  <si>
    <t>004418-0</t>
  </si>
  <si>
    <t>COBALT LT 1.8 8V Econo.Flex 4p Mec.</t>
  </si>
  <si>
    <t>004385-0</t>
  </si>
  <si>
    <t>COBALT LTZ 1.4 8V FlexPower/EconoFlex 4p</t>
  </si>
  <si>
    <t>004421-0</t>
  </si>
  <si>
    <t>COBALT LTZ 1.8 8V Econo.Flex 4p Aut.</t>
  </si>
  <si>
    <t>004420-2</t>
  </si>
  <si>
    <t>COBALT LTZ 1.8 8V Econo.Flex 4p Mec.</t>
  </si>
  <si>
    <t>024135-0</t>
  </si>
  <si>
    <t>206 SW Automatic (feline)1.6 Flex 16V 5p</t>
  </si>
  <si>
    <t>024144-0</t>
  </si>
  <si>
    <t>206 SW Moonlight 1.4 Flex 8V 5p</t>
  </si>
  <si>
    <t>024129-6</t>
  </si>
  <si>
    <t>206 SW ESCAPADE 1.6 16V Flex 5p</t>
  </si>
  <si>
    <t>024113-0</t>
  </si>
  <si>
    <t>206 SW Presence 1.6/1.6 Flex 16V 5p</t>
  </si>
  <si>
    <t>024132-6</t>
  </si>
  <si>
    <t>206 Allure 1.6 Flex 16V 3p</t>
  </si>
  <si>
    <t>024134-2</t>
  </si>
  <si>
    <t>206 Automatic (feline)1.6 Flex 16V 5p</t>
  </si>
  <si>
    <t>024133-4</t>
  </si>
  <si>
    <t>206 Allure 1.6 Flex 16V 5p</t>
  </si>
  <si>
    <t>024131-8</t>
  </si>
  <si>
    <t>206 Moonlight 1.4 Flex 8V 5p</t>
  </si>
  <si>
    <t>024080-0</t>
  </si>
  <si>
    <t>206 CC 1.6 16V 2p</t>
  </si>
  <si>
    <t>024096-6</t>
  </si>
  <si>
    <t>206 Select./Presence 1.6/1.6 Flex 16V 5p</t>
  </si>
  <si>
    <t>024119-9</t>
  </si>
  <si>
    <t>206 Holiday 1.4 8V 75cv 3p</t>
  </si>
  <si>
    <t>024120-2</t>
  </si>
  <si>
    <t>206 Holiday 1.4 8V 75cv 5p</t>
  </si>
  <si>
    <t>024121-0</t>
  </si>
  <si>
    <t>206 Holiday 1.6 Flex 16V 3p</t>
  </si>
  <si>
    <t>024122-9</t>
  </si>
  <si>
    <t>206 Holiday 1.6 Flex 16V 5p</t>
  </si>
  <si>
    <t>024089-3</t>
  </si>
  <si>
    <t>206 Rallye 1.6/ 1.6 Flex 16v 110cv 3p</t>
  </si>
  <si>
    <t>024082-6</t>
  </si>
  <si>
    <t>206 Selection/ Sensation 1.0 16v 3p</t>
  </si>
  <si>
    <t>024099-0</t>
  </si>
  <si>
    <t>206 Techno 1.0 16V 70cv 5p</t>
  </si>
  <si>
    <t>024088-5</t>
  </si>
  <si>
    <t>206 Passion 1.6 16v 110cv 5p</t>
  </si>
  <si>
    <t>024085-0</t>
  </si>
  <si>
    <t>206 Soleil 1.0 16v 5p</t>
  </si>
  <si>
    <t>024087-7</t>
  </si>
  <si>
    <t>206 Soleil 1.6 16v 110cv 5p</t>
  </si>
  <si>
    <t>024081-8</t>
  </si>
  <si>
    <t>206 Soleil/Quiksilver 1.0 16V 3p</t>
  </si>
  <si>
    <t>024086-9</t>
  </si>
  <si>
    <t>206 Soleil/Quiksilver 1.6 16V 110cv 3p</t>
  </si>
  <si>
    <t>024030-3</t>
  </si>
  <si>
    <t>206 Passion 1.6</t>
  </si>
  <si>
    <t>024031-1</t>
  </si>
  <si>
    <t>206 Rallye 1.6</t>
  </si>
  <si>
    <t>024029-0</t>
  </si>
  <si>
    <t>206 Soleil 1.6 3p</t>
  </si>
  <si>
    <t>024069-9</t>
  </si>
  <si>
    <t>206 Soleil 1.6 5p</t>
  </si>
  <si>
    <t>024159-8</t>
  </si>
  <si>
    <t>207 SW ESCAPADE 1.6 16V Flex 5p</t>
  </si>
  <si>
    <t>024154-7</t>
  </si>
  <si>
    <t>207 SW XS 1.6 Flex 16V 5p Aut.</t>
  </si>
  <si>
    <t>024192-0</t>
  </si>
  <si>
    <t>207 Blue Lion 1.4 Flex 8V 5p</t>
  </si>
  <si>
    <t>024145-8</t>
  </si>
  <si>
    <t>207 XR 1.4 Flex 8V 3p</t>
  </si>
  <si>
    <t>024150-4</t>
  </si>
  <si>
    <t>207 XS 1.6 Flex 16V 5p</t>
  </si>
  <si>
    <t>024164-4</t>
  </si>
  <si>
    <t>207 X-Line 1.4 Flex 8V 3p</t>
  </si>
  <si>
    <t>024165-2</t>
  </si>
  <si>
    <t>207 X-Line 1.4 Flex 8V 5p</t>
  </si>
  <si>
    <t>024167-9</t>
  </si>
  <si>
    <t>207 QUIKSILVER 1.4 Flex 8V 3p</t>
  </si>
  <si>
    <t>024168-7</t>
  </si>
  <si>
    <t>207 QUIKSILVER 1.4 Flex 8V 5p</t>
  </si>
  <si>
    <t>024147-4</t>
  </si>
  <si>
    <t>207 XR Sport 1.4 Flex 8V 3p</t>
  </si>
  <si>
    <t>024149-0</t>
  </si>
  <si>
    <t>207 XS 1.6 Flex 16V 3p</t>
  </si>
  <si>
    <t>024203-9</t>
  </si>
  <si>
    <t>207 Sedan Active 1.4 Flex 8V 4p</t>
  </si>
  <si>
    <t>024204-7</t>
  </si>
  <si>
    <t>207 Sedan Allure 1.4 Flex 8v 4p</t>
  </si>
  <si>
    <t>024157-1</t>
  </si>
  <si>
    <t>207 Sedan Passion XS 1.6 Flex 16V 4p</t>
  </si>
  <si>
    <t>024158-0</t>
  </si>
  <si>
    <t>207 Sedan Passion XS 1.6 Flex 16V 4p Aut</t>
  </si>
  <si>
    <t>024249-7</t>
  </si>
  <si>
    <t>208 Active 1.6 Flex 16V 5p Aut.</t>
  </si>
  <si>
    <t>024251-9</t>
  </si>
  <si>
    <t>208 Like 1.6 Flex 16V 5p Mec.</t>
  </si>
  <si>
    <t>024256-0</t>
  </si>
  <si>
    <t>208 Like Essencial 1.6 Flex 16V 5p Mec.</t>
  </si>
  <si>
    <t>024237-3</t>
  </si>
  <si>
    <t>208 Inconcert 1.6 Flex 16V 5p Aut.</t>
  </si>
  <si>
    <t>024207-1</t>
  </si>
  <si>
    <t>208 Active Pack 1.6 Flex 16V 5p Aut.</t>
  </si>
  <si>
    <t>024238-1</t>
  </si>
  <si>
    <t>208 Griffe Bus. 1.6 Flex 5p Aut.</t>
  </si>
  <si>
    <t>024221-7</t>
  </si>
  <si>
    <t>208 Allure 1.2 Flex 12V 5p Mec.</t>
  </si>
  <si>
    <t>024220-9</t>
  </si>
  <si>
    <t>208 Active Pack 1.2 Flex 12V 5p Mec.</t>
  </si>
  <si>
    <t>024231-4</t>
  </si>
  <si>
    <t>208 URBANTECH1.6 Flex 16V 5p Aut.</t>
  </si>
  <si>
    <t>024222-5</t>
  </si>
  <si>
    <t>208 Sport 1.6 Flex 16V 5p Mec.</t>
  </si>
  <si>
    <t>024196-2</t>
  </si>
  <si>
    <t>208 Griffe 1.6 Flex 16V 5p Mec.</t>
  </si>
  <si>
    <t>024217-9</t>
  </si>
  <si>
    <t>208 Allure inconcert 1.5 Flex 8V 5p Mec.</t>
  </si>
  <si>
    <t>024218-7</t>
  </si>
  <si>
    <t>208 Allure inconcert 1.6 Flex 16V 5p Aut</t>
  </si>
  <si>
    <t>024198-9</t>
  </si>
  <si>
    <t>208 Premier 1.6 Flex 16V 5p</t>
  </si>
  <si>
    <t>004446-6</t>
  </si>
  <si>
    <t>AGILE LTZ EFFECT 1.4 8V FlexPower 5p Mec</t>
  </si>
  <si>
    <t>004447-4</t>
  </si>
  <si>
    <t>AGILE LTZ EFFECT EASYTR.1.4 8V FlexP. 5p</t>
  </si>
  <si>
    <t>004427-0</t>
  </si>
  <si>
    <t>AGILE LTZ EASYTRONIC 1.4 8V FlexPower 5p</t>
  </si>
  <si>
    <t>004382-6</t>
  </si>
  <si>
    <t>AGILE LTZ WI-FI 1.4 8V FlexPower 5p</t>
  </si>
  <si>
    <t>001540-7</t>
  </si>
  <si>
    <t>ARGO DRIVE S-DESIGN 1.3 8V Flex</t>
  </si>
  <si>
    <t>001524-5</t>
  </si>
  <si>
    <t>ARGO TREKKING 1.8 16V Flex Aut.</t>
  </si>
  <si>
    <t>001493-1</t>
  </si>
  <si>
    <t>ARGO DRIVE 1.3 8V Flex</t>
  </si>
  <si>
    <t>001492-3</t>
  </si>
  <si>
    <t>ARGO DRIVE GSR 1.3 8V Flex</t>
  </si>
  <si>
    <t>001488-5</t>
  </si>
  <si>
    <t>ARGO HGT 1.8 16V Flex Aut.</t>
  </si>
  <si>
    <t>001490-7</t>
  </si>
  <si>
    <t>ARGO HGT 1.8 16V Flex Mec.</t>
  </si>
  <si>
    <t>001489-3</t>
  </si>
  <si>
    <t>ARGO PRECISION 1.8 16V Flex Aut.</t>
  </si>
  <si>
    <t>001491-5</t>
  </si>
  <si>
    <t>ARGO PRECISION 1.8 16V Flex Mec.</t>
  </si>
  <si>
    <t>002028-1</t>
  </si>
  <si>
    <t>Toyota</t>
  </si>
  <si>
    <t>Corolla XEi 1.8/1.8 Flex 16V Mec.</t>
  </si>
  <si>
    <t>COROLLA</t>
  </si>
  <si>
    <t>004199-8</t>
  </si>
  <si>
    <t>Corsa Furgão 1.6 MPFi Powertech 92cv</t>
  </si>
  <si>
    <t>004004-5</t>
  </si>
  <si>
    <t>Corsa GL 1.6 MPFI / 1.4 EFI 2p e 4p</t>
  </si>
  <si>
    <t>004085-1</t>
  </si>
  <si>
    <t>Corsa GLS 1.6 MPFI 5p</t>
  </si>
  <si>
    <t>004033-9</t>
  </si>
  <si>
    <t>Corsa GSi 16V</t>
  </si>
  <si>
    <t>004280-3</t>
  </si>
  <si>
    <t>Corsa Hat. Joy 1.0/ 1.0 FlexPower 8V 5p</t>
  </si>
  <si>
    <t>004286-2</t>
  </si>
  <si>
    <t>Corsa Hat. Joy 1.8 MPFI 8V FlexPower 5p</t>
  </si>
  <si>
    <t>004281-1</t>
  </si>
  <si>
    <t>Corsa Hat. Maxx 1.0/ 1.0 FlexPower 8V 5p</t>
  </si>
  <si>
    <t>004339-7</t>
  </si>
  <si>
    <t>Corsa Hat. Maxx 1.4 8V ECONOFLEX 5p</t>
  </si>
  <si>
    <t>004287-0</t>
  </si>
  <si>
    <t>Corsa Hat. Maxx 1.8 MPFI 8V FlexPower 5p</t>
  </si>
  <si>
    <t>004282-0</t>
  </si>
  <si>
    <t>Corsa Hat. Prem. 1.0/1.0 FlexPower 8V 5p</t>
  </si>
  <si>
    <t>004340-0</t>
  </si>
  <si>
    <t>Corsa Hat. Premium 1.4 8V ECONOFLEX 5p</t>
  </si>
  <si>
    <t>004326-5</t>
  </si>
  <si>
    <t>Corsa Hat. SS 1.8 MPFI 8V FlexPower 5p</t>
  </si>
  <si>
    <t>004288-9</t>
  </si>
  <si>
    <t>Corsa Hat.Premium 1.8 MPFI 8V F.Power 5p</t>
  </si>
  <si>
    <t>004218-8</t>
  </si>
  <si>
    <t>Corsa Hatchback 1.0 MPFI 8V 71cv 5p</t>
  </si>
  <si>
    <t>004220-0</t>
  </si>
  <si>
    <t>Corsa Hatchback 1.8 MPFI 8V 102cv 5p</t>
  </si>
  <si>
    <t>004233-1</t>
  </si>
  <si>
    <t>Corsa Hatchback 1.8 MPFI FlexPower 8V 5p</t>
  </si>
  <si>
    <t>004003-7</t>
  </si>
  <si>
    <t>Corsa Pick-Up GL/ Champ 1.6 MPFI / EFI</t>
  </si>
  <si>
    <t>PICAPE</t>
  </si>
  <si>
    <t>PICAPES LEVES</t>
  </si>
  <si>
    <t>Picape compacta</t>
  </si>
  <si>
    <t>004213-7</t>
  </si>
  <si>
    <t>Corsa Pick-Up Sport 1.6 MPFI</t>
  </si>
  <si>
    <t>004086-0</t>
  </si>
  <si>
    <t>Corsa Pick-Up STD/ Rodeio 1.6 MPFI</t>
  </si>
  <si>
    <t>004278-1</t>
  </si>
  <si>
    <t>Corsa Sed Clas.Spirit 1.6MPFI VHC 8V Aut</t>
  </si>
  <si>
    <t>004279-0</t>
  </si>
  <si>
    <t>Corsa Sed Clas.Super 1.6MPFI VHC 8V Aut</t>
  </si>
  <si>
    <t>004272-2</t>
  </si>
  <si>
    <t>Corsa Sed Class.Life 1.0/1.0 FlexPower</t>
  </si>
  <si>
    <t>004273-0</t>
  </si>
  <si>
    <t>Corsa Sed Class.Spirit 1.0/1.0 FlexPower</t>
  </si>
  <si>
    <t>004274-9</t>
  </si>
  <si>
    <t>Corsa Sed Class.Super 1.0/1.0 FlexPower</t>
  </si>
  <si>
    <t>004275-7</t>
  </si>
  <si>
    <t>Corsa Sed Classic Life 1.6 MPFI VHC 8V</t>
  </si>
  <si>
    <t>004276-5</t>
  </si>
  <si>
    <t>Corsa Sed Classic Spirit 1.6 MPFI VHC 8V</t>
  </si>
  <si>
    <t>004277-3</t>
  </si>
  <si>
    <t>Corsa Sed Classic Super 1.6 MPFI VHC 8V</t>
  </si>
  <si>
    <t>004283-8</t>
  </si>
  <si>
    <t>Corsa Sed. Joy 1.0/ 1.0 FlexPower 8V 4p</t>
  </si>
  <si>
    <t>004289-7</t>
  </si>
  <si>
    <t>Corsa Sed. Joy 1.8 MPFI 8V FlexPower</t>
  </si>
  <si>
    <t>004284-6</t>
  </si>
  <si>
    <t>Corsa Sed. Maxx 1.0/ 1.0 FlexPower 8V 4p</t>
  </si>
  <si>
    <t>004341-9</t>
  </si>
  <si>
    <t>Corsa Sed. Maxx 1.4 8V ECONOFLEX 4p</t>
  </si>
  <si>
    <t>004290-0</t>
  </si>
  <si>
    <t>Corsa Sed. Maxx 1.8 MPFI 8V FlexPower</t>
  </si>
  <si>
    <t>004342-7</t>
  </si>
  <si>
    <t>Corsa Sed. Premium 1.4 8V ECONOFLEX 4p</t>
  </si>
  <si>
    <t>004291-9</t>
  </si>
  <si>
    <t>Corsa Sed. Premium 1.8 MPFI 8V FlexPower</t>
  </si>
  <si>
    <t>004285-4</t>
  </si>
  <si>
    <t>Corsa Sed.Prem. 1.0/ 1.0 FlexPower 8V 4p</t>
  </si>
  <si>
    <t>004121-1</t>
  </si>
  <si>
    <t>Corsa Sed.Wind 1.0/Millenium/Classic VHC</t>
  </si>
  <si>
    <t>004219-6</t>
  </si>
  <si>
    <t>Corsa Sedan 1.0 MPFI 8V 71cv 4p</t>
  </si>
  <si>
    <t>004221-8</t>
  </si>
  <si>
    <t>Corsa Sedan 1.8 MPFI 8V 102cv 4p</t>
  </si>
  <si>
    <t>004234-0</t>
  </si>
  <si>
    <t>Corsa Sedan 1.8 MPFI FlexPower 8V 4p</t>
  </si>
  <si>
    <t>004005-3</t>
  </si>
  <si>
    <t>Corsa Sedan GL 1.6 MPFI 4p</t>
  </si>
  <si>
    <t>004006-1</t>
  </si>
  <si>
    <t>Corsa Sedan GLS 1.6 16V MPFI 4p</t>
  </si>
  <si>
    <t>004032-0</t>
  </si>
  <si>
    <t>Corsa Sedan GLS 1.6 MPFI 4p</t>
  </si>
  <si>
    <t>004208-0</t>
  </si>
  <si>
    <t>Corsa Sedan Sup./Classic 1.6 8v Aut/Mec</t>
  </si>
  <si>
    <t>004171-8</t>
  </si>
  <si>
    <t>Corsa Sedan Super 1.0 MPFI 16V 4p</t>
  </si>
  <si>
    <t>004080-0</t>
  </si>
  <si>
    <t>Corsa Sedan Super 1.0 MPFI 4p</t>
  </si>
  <si>
    <t>004122-0</t>
  </si>
  <si>
    <t>Corsa Sedan Super Milenium 1.0 MPFI 16V</t>
  </si>
  <si>
    <t>004002-9</t>
  </si>
  <si>
    <t>Corsa Super 1.0 MPFI / 2p e 4p</t>
  </si>
  <si>
    <t>004087-8</t>
  </si>
  <si>
    <t>Corsa Super 1.0 MPFI 16V 3p</t>
  </si>
  <si>
    <t>004172-6</t>
  </si>
  <si>
    <t>Corsa Super 1.0 MPFI 16V 5p</t>
  </si>
  <si>
    <t>004207-2</t>
  </si>
  <si>
    <t>Corsa Super 1.6 MPFI 8v 5p</t>
  </si>
  <si>
    <t>004007-0</t>
  </si>
  <si>
    <t>Corsa Wagon GL 1.6 MPFI 4p</t>
  </si>
  <si>
    <t>004008-8</t>
  </si>
  <si>
    <t>Corsa Wagon GLS 1.6 16V MPFI 4p</t>
  </si>
  <si>
    <t>004186-6</t>
  </si>
  <si>
    <t>Corsa Wagon GLS 1.6 8V 4p</t>
  </si>
  <si>
    <t>004112-2</t>
  </si>
  <si>
    <t>Corsa Wagon Super 1.0 MPFI 16V</t>
  </si>
  <si>
    <t>004209-9</t>
  </si>
  <si>
    <t>Corsa Wagon Super 1.6 MPFI 8v</t>
  </si>
  <si>
    <t>004173-4</t>
  </si>
  <si>
    <t>Corsa Wind 1.0 MPF/MilleniumI/ EFI 4p</t>
  </si>
  <si>
    <t>004001-0</t>
  </si>
  <si>
    <t>Corsa Wind 1.0 MPFI / EFI 2p</t>
  </si>
  <si>
    <t>004197-1</t>
  </si>
  <si>
    <t>Corsa Wind 1.6 MPFi 2p</t>
  </si>
  <si>
    <t>004198-0</t>
  </si>
  <si>
    <t>Corsa Wind 1.6 MPFi 4p</t>
  </si>
  <si>
    <t>004203-0</t>
  </si>
  <si>
    <t>Corsa Wind Piquet/ Champ 1.0 MPFI 2p</t>
  </si>
  <si>
    <t>001506-7</t>
  </si>
  <si>
    <t>CRONOS 1.3 8V Flex</t>
  </si>
  <si>
    <t>CRONOS</t>
  </si>
  <si>
    <t>001523-7</t>
  </si>
  <si>
    <t>CRONOS 1.8 16V Flex Aut.</t>
  </si>
  <si>
    <t>001505-9</t>
  </si>
  <si>
    <t>CRONOS DRIVE 1.3 8V Flex</t>
  </si>
  <si>
    <t>001517-2</t>
  </si>
  <si>
    <t>CRONOS DRIVE 1.8 16V Flex Aut.</t>
  </si>
  <si>
    <t>001504-0</t>
  </si>
  <si>
    <t>CRONOS DRIVE GSR 1.3 8V Flex</t>
  </si>
  <si>
    <t>001502-4</t>
  </si>
  <si>
    <t>CRONOS PRECISION 1.8 16V Flex Aut.</t>
  </si>
  <si>
    <t>001503-2</t>
  </si>
  <si>
    <t>CRONOS PRECISION 1.8 16V Flex Mec.</t>
  </si>
  <si>
    <t>005225-6</t>
  </si>
  <si>
    <t>CROSSFOX 1.6 Mi Total Flex 8V 5p</t>
  </si>
  <si>
    <t>Aventureiro compacto</t>
  </si>
  <si>
    <t>CROSSFOX</t>
  </si>
  <si>
    <t>005418-6</t>
  </si>
  <si>
    <t>CROSSFOX 1.6 T. Flex 16V 5p</t>
  </si>
  <si>
    <t>005342-2</t>
  </si>
  <si>
    <t>CROSSFOX I MOTION 1.6 Mi T. Flex 8V 5p</t>
  </si>
  <si>
    <t>005419-4</t>
  </si>
  <si>
    <t>CROSSFOX I MOTION 1.6 T. Flex 16V 5p</t>
  </si>
  <si>
    <t>004492-0</t>
  </si>
  <si>
    <t>CRUZE Black Bow Tie 1.4 TB Flex 4p Aut</t>
  </si>
  <si>
    <t>HATCH MEDIO</t>
  </si>
  <si>
    <t>Hatch médio</t>
  </si>
  <si>
    <t>CRUZE</t>
  </si>
  <si>
    <t>004493-8</t>
  </si>
  <si>
    <t>CRUZE HB Black Bow Tie 1.4 TB Flex Aut.</t>
  </si>
  <si>
    <t>004399-0</t>
  </si>
  <si>
    <t>CRUZE HB Sport LT 1.8 16V FlexP. 5p Aut</t>
  </si>
  <si>
    <t>004398-2</t>
  </si>
  <si>
    <t>CRUZE HB Sport LT 1.8 16V FlexP. 5p Mec</t>
  </si>
  <si>
    <t>004401-6</t>
  </si>
  <si>
    <t>CRUZE HB Sport LTZ 1.8 16V FlexP. 5p Aut</t>
  </si>
  <si>
    <t>004400-8</t>
  </si>
  <si>
    <t>CRUZE HB Sport LTZ 1.8 16V FlexP. 5p Mec</t>
  </si>
  <si>
    <t>004470-9</t>
  </si>
  <si>
    <t>CRUZE LT 1.4 16V Turbo Flex 4p Aut.</t>
  </si>
  <si>
    <t>004380-0</t>
  </si>
  <si>
    <t>CRUZE LT 1.8 16V FlexPower 4p Aut.</t>
  </si>
  <si>
    <t>004379-6</t>
  </si>
  <si>
    <t>CRUZE LT 1.8 16V FlexPower 4p Mec.</t>
  </si>
  <si>
    <t>004469-5</t>
  </si>
  <si>
    <t>CRUZE LTZ 1.4 16V Turbo Flex 4p Aut.</t>
  </si>
  <si>
    <t>004381-8</t>
  </si>
  <si>
    <t>CRUZE LTZ 1.8 16V FlexPower 4p Aut.</t>
  </si>
  <si>
    <t>004537-3</t>
  </si>
  <si>
    <t>CRUZE Midnight 1.4 16V TB Flex Aut.</t>
  </si>
  <si>
    <t>004509-8</t>
  </si>
  <si>
    <t>CRUZE Premier 1.4 16V TB Flex Aut.</t>
  </si>
  <si>
    <t>004478-4</t>
  </si>
  <si>
    <t>CRUZE Sport LT 1.4 16V TB Flex 5p Aut.</t>
  </si>
  <si>
    <t>004479-2</t>
  </si>
  <si>
    <t>CRUZE Sport LTZ 1.4 16V TB Flex 5p Aut.</t>
  </si>
  <si>
    <t>004510-1</t>
  </si>
  <si>
    <t>CRUZE Sport Premier 1.4 16V TB Flex Aut.</t>
  </si>
  <si>
    <t>004536-5</t>
  </si>
  <si>
    <t>CRUZE Sport RS 1.4 16V TB Flex 5p Aut.</t>
  </si>
  <si>
    <t>025263-8</t>
  </si>
  <si>
    <t>DUSTER Expression 1.6 Flex 16V Aut.</t>
  </si>
  <si>
    <t>SUV</t>
  </si>
  <si>
    <t>SUV COMPACTO</t>
  </si>
  <si>
    <t>SUV compacto</t>
  </si>
  <si>
    <t>DUSTER</t>
  </si>
  <si>
    <t>002121-0</t>
  </si>
  <si>
    <t>ETIOS 1.3 Flex 16V 5p Mec.</t>
  </si>
  <si>
    <t>ETIOS</t>
  </si>
  <si>
    <t>002148-2</t>
  </si>
  <si>
    <t>ETIOS CROSS 1.5 Flex 16V 5p Aut.</t>
  </si>
  <si>
    <t>002133-4</t>
  </si>
  <si>
    <t>ETIOS CROSS 1.5 Flex 16V 5p Mec.</t>
  </si>
  <si>
    <t>002156-3</t>
  </si>
  <si>
    <t>ETIOS PLATINUM 1.5 Flex 16V 4p Aut.</t>
  </si>
  <si>
    <t>002134-2</t>
  </si>
  <si>
    <t>ETIOS PLATINUM 1.5 Flex 16V 5p Mec.</t>
  </si>
  <si>
    <t>002157-1</t>
  </si>
  <si>
    <t>ETIOS PLATINUM Sed. 1.5 Flex 16V 4p Aut.</t>
  </si>
  <si>
    <t>002135-0</t>
  </si>
  <si>
    <t>ETIOS PLATINUM Sed. 1.5 Flex 16V 4p Mec.</t>
  </si>
  <si>
    <t>002159-8</t>
  </si>
  <si>
    <t>ETIOS READY! 1.5 Flex 16V 5p Aut.</t>
  </si>
  <si>
    <t>002154-7</t>
  </si>
  <si>
    <t>ETIOS X 1.3 Flex 16V 5p Aut.</t>
  </si>
  <si>
    <t>002122-9</t>
  </si>
  <si>
    <t>ETIOS X 1.3 Flex 16V 5p Mec.</t>
  </si>
  <si>
    <t>002162-8</t>
  </si>
  <si>
    <t>ETIOS X Plus 1.5 Flex 16V 5p Aut.</t>
  </si>
  <si>
    <t>002163-6</t>
  </si>
  <si>
    <t>ETIOS X Plus 1.5 Flex 16V 5p Mec.</t>
  </si>
  <si>
    <t>002164-4</t>
  </si>
  <si>
    <t>ETIOS X Plus Sedan 1.5 Flex 16V 4p Aut.</t>
  </si>
  <si>
    <t>002165-2</t>
  </si>
  <si>
    <t>ETIOS X Plus Sedan 1.5 Flex 16V 4p Mec.</t>
  </si>
  <si>
    <t>002153-9</t>
  </si>
  <si>
    <t>ETIOS X Sedan 1.5 Flex 16V 4p Aut.</t>
  </si>
  <si>
    <t>002125-3</t>
  </si>
  <si>
    <t>ETIOS X Sedan 1.5 Flex 16V 4p Mec.</t>
  </si>
  <si>
    <t>002124-5</t>
  </si>
  <si>
    <t>ETIOS XLS 1.5 Flex 16V 5p Mec.</t>
  </si>
  <si>
    <t>002150-4</t>
  </si>
  <si>
    <t>ETIOS XLS 1.5 Flex 5p Aut.</t>
  </si>
  <si>
    <t>002149-0</t>
  </si>
  <si>
    <t>ETIOS XLS Sedan 1.5 Flex 16V 4p Aut.</t>
  </si>
  <si>
    <t>002127-0</t>
  </si>
  <si>
    <t>ETIOS XLS Sedan 1.5 Flex 16V 4p Mec.</t>
  </si>
  <si>
    <t>002123-7</t>
  </si>
  <si>
    <t>ETIOS XS 1.3 Flex 16V 5p Mec.</t>
  </si>
  <si>
    <t>002152-0</t>
  </si>
  <si>
    <t>ETIOS XS 1.5 Flex 16V 5p Aut.</t>
  </si>
  <si>
    <t>002132-6</t>
  </si>
  <si>
    <t>ETIOS XS 1.5 Flex 16V 5p Mec.</t>
  </si>
  <si>
    <t>002151-2</t>
  </si>
  <si>
    <t>ETIOS XS Sedan 1.5 Flex 16V 4p Aut.</t>
  </si>
  <si>
    <t>002126-1</t>
  </si>
  <si>
    <t>ETIOS XS Sedan1.5 Flex 16V 4p Mec.</t>
  </si>
  <si>
    <t>003310-3</t>
  </si>
  <si>
    <t>Ford</t>
  </si>
  <si>
    <t>Fiesta 1.0 8V Flex/Class 1.0 8V Flex 5p</t>
  </si>
  <si>
    <t>FIESTA</t>
  </si>
  <si>
    <t>003386-3</t>
  </si>
  <si>
    <t>Fiesta 1.5 16V Flex Mec. 5p</t>
  </si>
  <si>
    <t>003388-0</t>
  </si>
  <si>
    <t>Fiesta 1.6 16V Flex Aut. 5p</t>
  </si>
  <si>
    <t>003387-1</t>
  </si>
  <si>
    <t>Fiesta 1.6 16V Flex Mec. 5p</t>
  </si>
  <si>
    <t>003286-7</t>
  </si>
  <si>
    <t>Fiesta 1.6 8V Flex/Class 1.6 8V Flex 5p</t>
  </si>
  <si>
    <t>003261-1</t>
  </si>
  <si>
    <t>Fiesta Class 1.6 8V 98cv 5p</t>
  </si>
  <si>
    <t>003193-3</t>
  </si>
  <si>
    <t>Fiesta GLX 1.6 8V 5p</t>
  </si>
  <si>
    <t>003259-0</t>
  </si>
  <si>
    <t>Fiesta Personnalité 1.0 8V 66cv 5p</t>
  </si>
  <si>
    <t>003380-4</t>
  </si>
  <si>
    <t>Fiesta S 1.0 8V Flex 5p</t>
  </si>
  <si>
    <t>003381-2</t>
  </si>
  <si>
    <t>Fiesta SE 1.0 8V Flex 5p</t>
  </si>
  <si>
    <t>003351-0</t>
  </si>
  <si>
    <t>Fiesta SE 1.6 16V Flex 5p</t>
  </si>
  <si>
    <t>003382-0</t>
  </si>
  <si>
    <t>Fiesta SE 1.6 8V Flex 5p</t>
  </si>
  <si>
    <t>003449-5</t>
  </si>
  <si>
    <t>Fiesta SE Plus 1.6 16V Flex Aut. 5p</t>
  </si>
  <si>
    <t>003437-1</t>
  </si>
  <si>
    <t>Fiesta SE Plus Direct 1.6 16V Flex Aut.</t>
  </si>
  <si>
    <t>003430-4</t>
  </si>
  <si>
    <t>Fiesta SE Style 1.6 16V Flex Mec. 5p</t>
  </si>
  <si>
    <t>003289-1</t>
  </si>
  <si>
    <t>Fiesta Sed. 1.6 8V Flex 4p</t>
  </si>
  <si>
    <t>003287-5</t>
  </si>
  <si>
    <t>Fiesta Sed. Personnalité 1.0 8V 4p</t>
  </si>
  <si>
    <t>003288-3</t>
  </si>
  <si>
    <t>Fiesta Sed. Supercharger 1.0 8V 4p</t>
  </si>
  <si>
    <t>003400-2</t>
  </si>
  <si>
    <t>Fiesta Sed. TI./TI.Plus1.6 16V Flex Aut.</t>
  </si>
  <si>
    <t>003311-1</t>
  </si>
  <si>
    <t>Fiesta Sedan 1.0 8V Flex 4p</t>
  </si>
  <si>
    <t>003398-7</t>
  </si>
  <si>
    <t>Fiesta Sedan 1.6 16V Flex Aut.</t>
  </si>
  <si>
    <t>003397-9</t>
  </si>
  <si>
    <t>Fiesta Sedan 1.6 16V Flex Mec.</t>
  </si>
  <si>
    <t>003383-9</t>
  </si>
  <si>
    <t>Fiesta Sedan S 1.0 8V Flex 4p</t>
  </si>
  <si>
    <t>003384-7</t>
  </si>
  <si>
    <t>Fiesta Sedan SE 1.0 8V Flex 4p</t>
  </si>
  <si>
    <t>003340-5</t>
  </si>
  <si>
    <t>Fiesta Sedan SE 1.6 16V Flex 4p</t>
  </si>
  <si>
    <t>003385-5</t>
  </si>
  <si>
    <t>Fiesta Sedan SE 1.6 8V Flex 4p</t>
  </si>
  <si>
    <t>003443-6</t>
  </si>
  <si>
    <t>Fiesta Sedan SEL 1.6 16V Flex Aut.</t>
  </si>
  <si>
    <t>003444-4</t>
  </si>
  <si>
    <t>Fiesta Sedan SEL 1.6 16V Flex Mec.</t>
  </si>
  <si>
    <t>003399-5</t>
  </si>
  <si>
    <t>Fiesta Sedan TITANIUM 1.6 16V Flex Mec</t>
  </si>
  <si>
    <t>003436-3</t>
  </si>
  <si>
    <t>Fiesta SEL 1.0 12V EcoBoost Aut. 5p</t>
  </si>
  <si>
    <t>003423-1</t>
  </si>
  <si>
    <t>Fiesta SEL 1.6 16V Flex Aut. 5p</t>
  </si>
  <si>
    <t>003422-3</t>
  </si>
  <si>
    <t>Fiesta SEL 1.6 16V Flex Mec. 5p</t>
  </si>
  <si>
    <t>003450-9</t>
  </si>
  <si>
    <t>Fiesta SEL Style 1.0 EcoBoost Aut . 5p</t>
  </si>
  <si>
    <t>003431-2</t>
  </si>
  <si>
    <t>Fiesta SEL Style 1.6 16V Flex Mec. 5p</t>
  </si>
  <si>
    <t>003219-0</t>
  </si>
  <si>
    <t>Fiesta Sport 1.0MPi 4p</t>
  </si>
  <si>
    <t>003416-9</t>
  </si>
  <si>
    <t>Fiesta Sport 1.6 16V Flex Mec.</t>
  </si>
  <si>
    <t>003221-2</t>
  </si>
  <si>
    <t>Fiesta Sport 1.6MPi 4p</t>
  </si>
  <si>
    <t>003229-8</t>
  </si>
  <si>
    <t>Fiesta Street 1.0 8v 3p</t>
  </si>
  <si>
    <t>003256-5</t>
  </si>
  <si>
    <t>Fiesta Street 1.6 8v 95cv 5p</t>
  </si>
  <si>
    <t>003390-1</t>
  </si>
  <si>
    <t>Fiesta TIT./TIT.Plus 1.6 16V Flex Aut.</t>
  </si>
  <si>
    <t>003424-0</t>
  </si>
  <si>
    <t>Fiesta TIT.Plus 1.0 12V EcoBoost Aut. 5p</t>
  </si>
  <si>
    <t>003389-8</t>
  </si>
  <si>
    <t>Fiesta TITANIUM 1.6 16V Flex Mec.</t>
  </si>
  <si>
    <t>003322-7</t>
  </si>
  <si>
    <t>Fiesta TRAIL 1.0 8V Flex 5p</t>
  </si>
  <si>
    <t>003323-5</t>
  </si>
  <si>
    <t>Fiesta TRAIL 1.6 8V Flex 5p</t>
  </si>
  <si>
    <t>014079-1</t>
  </si>
  <si>
    <t>Fit CX 1.4 Flex 16V 5p Aut.</t>
  </si>
  <si>
    <t>FIT</t>
  </si>
  <si>
    <t>014078-3</t>
  </si>
  <si>
    <t>Fit CX 1.4 Flex 16V 5p Mec.</t>
  </si>
  <si>
    <t>014070-8</t>
  </si>
  <si>
    <t>Fit DX 1.4 Flex 16V 5p Aut.</t>
  </si>
  <si>
    <t>014069-4</t>
  </si>
  <si>
    <t>Fit DX 1.4 Flex 16V 5p Mec.</t>
  </si>
  <si>
    <t>014082-1</t>
  </si>
  <si>
    <t>Fit DX 1.5 Flexone 16V 5p Aut.</t>
  </si>
  <si>
    <t>014083-0</t>
  </si>
  <si>
    <t>Fit DX 1.5 Flexone 16V 5p Mec.</t>
  </si>
  <si>
    <t>014046-5</t>
  </si>
  <si>
    <t>Fit EX/ S 1.5/ EX 1.5 Flex 16V 5p Mec.</t>
  </si>
  <si>
    <t>014045-7</t>
  </si>
  <si>
    <t>Fit EX/S/EX 1.5 Flex/Flexone 16V 5p Aut.</t>
  </si>
  <si>
    <t>014057-0</t>
  </si>
  <si>
    <t>Fit EXL 1.5 Flex 16V 5p Mec</t>
  </si>
  <si>
    <t>014056-2</t>
  </si>
  <si>
    <t>Fit EXL 1.5 Flex/Flexone 16V 5p Aut</t>
  </si>
  <si>
    <t>014040-6</t>
  </si>
  <si>
    <t>Fit LX 1.4/ 1.4 Flex 8V/16V 5p Aut.</t>
  </si>
  <si>
    <t>014039-2</t>
  </si>
  <si>
    <t>Fit LX 1.4/ 1.4 Flex 8V/16V 5p Mec.</t>
  </si>
  <si>
    <t>014081-3</t>
  </si>
  <si>
    <t>Fit LX 1.5 Flexone 16V 5p Aut.</t>
  </si>
  <si>
    <t>014080-5</t>
  </si>
  <si>
    <t>Fit LX 1.5 Flexone 16V 5p Mec.</t>
  </si>
  <si>
    <t>014042-2</t>
  </si>
  <si>
    <t>Fit LXL 1.4/ 1.4 Flex 8V/16V 5p Aut.</t>
  </si>
  <si>
    <t>014041-4</t>
  </si>
  <si>
    <t>Fit LXL 1.4/ 1.4 Flex 8V/16V 5p Mec.</t>
  </si>
  <si>
    <t>014097-0</t>
  </si>
  <si>
    <t>Fit Personal 1.5 Flexone 16V 5p Aut.</t>
  </si>
  <si>
    <t>014073-2</t>
  </si>
  <si>
    <t>Fit Twist 1.5 Flex 16V 5p Aut.</t>
  </si>
  <si>
    <t>014072-4</t>
  </si>
  <si>
    <t>Fit Twist 1.5 Flex 16V 5p Mec.</t>
  </si>
  <si>
    <t>025225-5</t>
  </si>
  <si>
    <t>FLUENCE Sed. Dyn. Plus 2.0 16V FLEX Aut.</t>
  </si>
  <si>
    <t>FLUENCE</t>
  </si>
  <si>
    <t>025174-7</t>
  </si>
  <si>
    <t>FLUENCE Sed. Dynamique 2.0 16V FLEX Aut.</t>
  </si>
  <si>
    <t>025173-9</t>
  </si>
  <si>
    <t>FLUENCE Sed. Dynamique 2.0 16V FLEX Mec.</t>
  </si>
  <si>
    <t>025239-5</t>
  </si>
  <si>
    <t>FLUENCE Sedan Expres. 1.6 16V FLEX Mec.</t>
  </si>
  <si>
    <t>025212-3</t>
  </si>
  <si>
    <t>FLUENCE Sedan GT Line 2.0 Flex Aut.</t>
  </si>
  <si>
    <t>025194-1</t>
  </si>
  <si>
    <t>FLUENCE Sedan GT SPORT</t>
  </si>
  <si>
    <t>025175-5</t>
  </si>
  <si>
    <t>FLUENCE Sedan Privilège 2.0 16V FLEX Aut</t>
  </si>
  <si>
    <t>005307-4</t>
  </si>
  <si>
    <t>Fox 1.0 Mi Total Flex 8V 3p</t>
  </si>
  <si>
    <t>FOX</t>
  </si>
  <si>
    <t>005308-2</t>
  </si>
  <si>
    <t>Fox 1.0 Mi Total Flex 8V 5p</t>
  </si>
  <si>
    <t>005305-8</t>
  </si>
  <si>
    <t>Fox 1.6 Mi I MOTION Total Flex 8V 5p</t>
  </si>
  <si>
    <t>005306-6</t>
  </si>
  <si>
    <t>Fox 1.6 Mi Total Flex 8V 5p</t>
  </si>
  <si>
    <t>005352-0</t>
  </si>
  <si>
    <t>Fox BLUEMOTION 1.0 Mi Total Flex 12V 3p</t>
  </si>
  <si>
    <t>005353-8</t>
  </si>
  <si>
    <t>Fox BLUEMOTION 1.0 Mi Total Flex 12V 5p</t>
  </si>
  <si>
    <t>005205-1</t>
  </si>
  <si>
    <t>Fox City 1.0 Mi/ 1.0Mi Total Flex 8V 5p</t>
  </si>
  <si>
    <t>005198-5</t>
  </si>
  <si>
    <t>Fox City 1.0Mi/ 1.0Mi Total Flex 8V 3p</t>
  </si>
  <si>
    <t>005405-4</t>
  </si>
  <si>
    <t>Fox Comfortline 1.6 Flex 8V 5p</t>
  </si>
  <si>
    <t>005404-6</t>
  </si>
  <si>
    <t>Fox Comfortline I Motion 1.6 Flex 8V 5p</t>
  </si>
  <si>
    <t>005481-0</t>
  </si>
  <si>
    <t>Fox Connect 1.6 Flex 8V 5p</t>
  </si>
  <si>
    <t>005421-6</t>
  </si>
  <si>
    <t>Fox PEPPER 1.6 Flex 16V 5p</t>
  </si>
  <si>
    <t>005199-3</t>
  </si>
  <si>
    <t>Fox Plus 1.0Mi/ 1.0Mi Total Flex 8V 3p</t>
  </si>
  <si>
    <t>005206-0</t>
  </si>
  <si>
    <t>Fox Plus 1.0Mi/ 1.0Mi Total Flex 8V 4p</t>
  </si>
  <si>
    <t>005200-0</t>
  </si>
  <si>
    <t>Fox Plus 1.6Mi/ 1.6Mi Total Flex 8V 3p</t>
  </si>
  <si>
    <t>005207-8</t>
  </si>
  <si>
    <t>Fox Plus 1.6Mi/ 1.6Mi Total Flex 8V 4p</t>
  </si>
  <si>
    <t>005304-0</t>
  </si>
  <si>
    <t>Fox PRIME/Hghi. IMOTION 1.6 T.Flex 8V 5p</t>
  </si>
  <si>
    <t>005303-1</t>
  </si>
  <si>
    <t>Fox PRIME/Higli. 1.6 Total Flex 8V 5p</t>
  </si>
  <si>
    <t>005332-5</t>
  </si>
  <si>
    <t>Fox Rock in Rio 1.6 Mi Total Flex 8V 5p</t>
  </si>
  <si>
    <t>005208-6</t>
  </si>
  <si>
    <t>Fox Sportline/Sports 1.6/1.6 Tot.Flex 4p</t>
  </si>
  <si>
    <t>005480-1</t>
  </si>
  <si>
    <t>Fox Xtreme 1.6 Flex 8V 5p</t>
  </si>
  <si>
    <t>005345-7</t>
  </si>
  <si>
    <t>Gol (novo) 1.0 Mi Total Flex 8V 2p</t>
  </si>
  <si>
    <t>GOL</t>
  </si>
  <si>
    <t>005275-2</t>
  </si>
  <si>
    <t>Gol (novo) 1.0 Mi Total Flex 8V 4p</t>
  </si>
  <si>
    <t>005346-5</t>
  </si>
  <si>
    <t>Gol (novo) 1.6 Mi Total Flex 8V 2p</t>
  </si>
  <si>
    <t>005276-0</t>
  </si>
  <si>
    <t>Gol (novo) 1.6 Mi Total Flex 8V 4p</t>
  </si>
  <si>
    <t>005277-9</t>
  </si>
  <si>
    <t>Gol (novo) 1.6 Power/Highi T.Flex 8v 4P</t>
  </si>
  <si>
    <t>005490-9</t>
  </si>
  <si>
    <t>Gol 1.0 Flex 12V 5p</t>
  </si>
  <si>
    <t>005159-4</t>
  </si>
  <si>
    <t>Gol 1.0 Mi FUN/ Highway/ Sport 16V 2/4p</t>
  </si>
  <si>
    <t>005148-9</t>
  </si>
  <si>
    <t>Gol 1.0 Plus 16v 2p</t>
  </si>
  <si>
    <t>005147-0</t>
  </si>
  <si>
    <t>Gol 1.0 Plus 16v 4p</t>
  </si>
  <si>
    <t>005150-0</t>
  </si>
  <si>
    <t>Gol 1.0 Plus 8v 2p</t>
  </si>
  <si>
    <t>005149-7</t>
  </si>
  <si>
    <t>Gol 1.0 Plus 8v 4p</t>
  </si>
  <si>
    <t>005162-4</t>
  </si>
  <si>
    <t>Gol 1.0 Power 16v 76cv 4p</t>
  </si>
  <si>
    <t>005341-4</t>
  </si>
  <si>
    <t>Gol 1.0 Total Flex 8V 5p (25 Anos)</t>
  </si>
  <si>
    <t>005163-2</t>
  </si>
  <si>
    <t>Gol 1.0 Trend/ Power 8V 2p</t>
  </si>
  <si>
    <t>005164-0</t>
  </si>
  <si>
    <t>Gol 1.0 Trend/ Power 8V 4p</t>
  </si>
  <si>
    <t>005310-4</t>
  </si>
  <si>
    <t>Gol 1.6 I MOTI.Power/Highli T.Flex 8V 4p</t>
  </si>
  <si>
    <t>005350-3</t>
  </si>
  <si>
    <t>Gol 1.6 Mi I MOTION Total Flex 8V 3p</t>
  </si>
  <si>
    <t>005197-7</t>
  </si>
  <si>
    <t>Gol 1.6 Mi Plus Total Flex 8V 2p</t>
  </si>
  <si>
    <t>005196-9</t>
  </si>
  <si>
    <t>Gol 1.6 Mi Plus Total Flex 8V 4p</t>
  </si>
  <si>
    <t>005190-0</t>
  </si>
  <si>
    <t>Gol 1.6 Mi Power Total Flex 8V 4p</t>
  </si>
  <si>
    <t>005324-4</t>
  </si>
  <si>
    <t>Gol 1.6 Mi Rallye I MOTION T. Flex 8V 4p</t>
  </si>
  <si>
    <t>005210-8</t>
  </si>
  <si>
    <t>Gol 1.6 Mi Rallye Total Flex 8V 4p</t>
  </si>
  <si>
    <t>005078-4</t>
  </si>
  <si>
    <t>Gol 1.6 Mi/ 1.6i 2p</t>
  </si>
  <si>
    <t>005124-1</t>
  </si>
  <si>
    <t>Gol 1.6 Mi/ Power 1.6 Mi 4p</t>
  </si>
  <si>
    <t>005502-6</t>
  </si>
  <si>
    <t>Gol 1.6 MSI Flex 16V 5p Aut.</t>
  </si>
  <si>
    <t>005491-7</t>
  </si>
  <si>
    <t>Gol 1.6 MSI Flex 8V 5p</t>
  </si>
  <si>
    <t>005104-7</t>
  </si>
  <si>
    <t>Gol 1.8 Mi</t>
  </si>
  <si>
    <t>005125-0</t>
  </si>
  <si>
    <t>Gol 1.8 Mi 4p</t>
  </si>
  <si>
    <t>005216-7</t>
  </si>
  <si>
    <t>Gol 1.8 Mi Power Total Flex 8V 4p</t>
  </si>
  <si>
    <t>005217-5</t>
  </si>
  <si>
    <t>Gol 1.8 Mi Rallye Total Flex 8V 4p</t>
  </si>
  <si>
    <t>005028-8</t>
  </si>
  <si>
    <t>Gol 1000 (modelo antigo)</t>
  </si>
  <si>
    <t>005144-6</t>
  </si>
  <si>
    <t>Gol 1000 Mi 16V 2p Turbo</t>
  </si>
  <si>
    <t>005146-2</t>
  </si>
  <si>
    <t>Gol 1000 Mi 16V 4p Turbo</t>
  </si>
  <si>
    <t>005002-4</t>
  </si>
  <si>
    <t>Gol 1000 Mi 16V/ Ouro 2p</t>
  </si>
  <si>
    <t>005126-8</t>
  </si>
  <si>
    <t>Gol 1000 Mi 16V/ Ouro 4p</t>
  </si>
  <si>
    <t>005001-6</t>
  </si>
  <si>
    <t>Gol 1000 Mi 2p / 1000i</t>
  </si>
  <si>
    <t>005127-6</t>
  </si>
  <si>
    <t>Gol 1000 Mi 4p</t>
  </si>
  <si>
    <t>005004-0</t>
  </si>
  <si>
    <t>Gol 1000 Mi Plus 16V 2p e 4p</t>
  </si>
  <si>
    <t>005030-0</t>
  </si>
  <si>
    <t>Gol 1000 Mi Plus 8v 2p e 4p</t>
  </si>
  <si>
    <t>005029-6</t>
  </si>
  <si>
    <t>Gol 1000i Plus 2p</t>
  </si>
  <si>
    <t>005339-2</t>
  </si>
  <si>
    <t>Gol BLACK 1.0 Mi Total Flex 8V 4p</t>
  </si>
  <si>
    <t>005227-2</t>
  </si>
  <si>
    <t>Gol City (Trend) 1.0 Mi Total Flex 8V 2p</t>
  </si>
  <si>
    <t>005229-9</t>
  </si>
  <si>
    <t>Gol City (Trend) 1.6 Mi T. Flex 8V 2p</t>
  </si>
  <si>
    <t>005195-0</t>
  </si>
  <si>
    <t>Gol City (Trend) 1.6 Mi T.Flex 8V 4p</t>
  </si>
  <si>
    <t>005228-0</t>
  </si>
  <si>
    <t>Gol City (Trend)/Titan 1.0 T. Flex 8V 4p</t>
  </si>
  <si>
    <t>005179-9</t>
  </si>
  <si>
    <t>Gol City 1.0 Mi 8V 2p</t>
  </si>
  <si>
    <t>005180-2</t>
  </si>
  <si>
    <t>Gol City 1.0 Mi 8V 4p</t>
  </si>
  <si>
    <t>005523-9</t>
  </si>
  <si>
    <t>Gol City 1.0 Total Flex 12V 2p</t>
  </si>
  <si>
    <t>005518-2</t>
  </si>
  <si>
    <t>Gol City 1.0 Total Flex 12V 4P</t>
  </si>
  <si>
    <t>005181-0</t>
  </si>
  <si>
    <t>Gol City 1.6 Mi 8V 2p</t>
  </si>
  <si>
    <t>005182-9</t>
  </si>
  <si>
    <t>Gol City 1.6 Mi 8V 4p</t>
  </si>
  <si>
    <t>005005-9</t>
  </si>
  <si>
    <t>Gol CL 1.6 Mi 2p e 4p</t>
  </si>
  <si>
    <t>005033-4</t>
  </si>
  <si>
    <t>Gol CLi / CL 1.8</t>
  </si>
  <si>
    <t>005032-6</t>
  </si>
  <si>
    <t>Gol CLi / CL/ Copa/ Stones 1.6</t>
  </si>
  <si>
    <t>005393-7</t>
  </si>
  <si>
    <t>Gol Comfort. I MOTION 1.6 T. Flex 8V 3p</t>
  </si>
  <si>
    <t>005394-5</t>
  </si>
  <si>
    <t>Gol Comfort. I MOTION 1.6 T. Flex 8V 5p</t>
  </si>
  <si>
    <t>005456-9</t>
  </si>
  <si>
    <t>Gol Comfortline 1.0 T. Flex 12V 5p</t>
  </si>
  <si>
    <t>005389-9</t>
  </si>
  <si>
    <t>Gol Comfortline 1.0 T. Flex 8V 3p</t>
  </si>
  <si>
    <t>005390-2</t>
  </si>
  <si>
    <t>Gol Comfortline 1.0 T. Flex 8V 5p</t>
  </si>
  <si>
    <t>005391-0</t>
  </si>
  <si>
    <t>Gol Comfortline 1.6 T. Flex 8V 3p</t>
  </si>
  <si>
    <t>005392-9</t>
  </si>
  <si>
    <t>Gol Comfortline 1.6 T. Flex 8V 5p</t>
  </si>
  <si>
    <t>005243-4</t>
  </si>
  <si>
    <t>Gol COPA 1.0 Mi Total Flex 8V 4p</t>
  </si>
  <si>
    <t>005244-2</t>
  </si>
  <si>
    <t>Gol COPA 1.6 Mi Total Flex 8V 4p</t>
  </si>
  <si>
    <t>005316-3</t>
  </si>
  <si>
    <t>Gol ECOMOTION 1.0 Mi Total Flex 8V 2p</t>
  </si>
  <si>
    <t>005317-1</t>
  </si>
  <si>
    <t>Gol ECOMOTION 1.0 Mi Total Flex 8V 4p</t>
  </si>
  <si>
    <t>005007-5</t>
  </si>
  <si>
    <t>Gol GL 1.8 Mi 2p e 4p</t>
  </si>
  <si>
    <t>005309-0</t>
  </si>
  <si>
    <t>Gol I MOTION 1.6 Mi Total Flex 8V 4p</t>
  </si>
  <si>
    <t>005230-2</t>
  </si>
  <si>
    <t>Gol Plus 1.0 Mi Total Flex 2p</t>
  </si>
  <si>
    <t>005231-0</t>
  </si>
  <si>
    <t>Gol Plus 1.0 Mi Total Flex 4p</t>
  </si>
  <si>
    <t>005395-3</t>
  </si>
  <si>
    <t>Gol Rallye 1.6 T. Flex 16V 5p</t>
  </si>
  <si>
    <t>005396-1</t>
  </si>
  <si>
    <t>Gol Rallye I MOTION 1.6 T. Flex 16V 5p</t>
  </si>
  <si>
    <t>005331-7</t>
  </si>
  <si>
    <t>Gol Rock in Rio 1.0 Mi Total Flex 8V 5p</t>
  </si>
  <si>
    <t>005318-0</t>
  </si>
  <si>
    <t>Gol SELEÇÃO 1.0 Mi Total Flex 8V 5p</t>
  </si>
  <si>
    <t>005364-3</t>
  </si>
  <si>
    <t>Gol SELEÇÃO 1.6 I MOTION T.Flex 8V 5p</t>
  </si>
  <si>
    <t>005363-5</t>
  </si>
  <si>
    <t>Gol SELEÇÃO 1.6 Total Flex 8V 5p</t>
  </si>
  <si>
    <t>005189-6</t>
  </si>
  <si>
    <t>Gol Special 1.0 Mi 4p</t>
  </si>
  <si>
    <t>005415-1</t>
  </si>
  <si>
    <t>Gol Special 1.0 Total Flex 8V 3p</t>
  </si>
  <si>
    <t>005414-3</t>
  </si>
  <si>
    <t>Gol Special 1.0 Total Flex 8V 5p</t>
  </si>
  <si>
    <t>005178-0</t>
  </si>
  <si>
    <t>Gol Special 1.6 Mi 8V 99cv 2p</t>
  </si>
  <si>
    <t>005079-2</t>
  </si>
  <si>
    <t>Gol Special/ Special Xtreme 1.0 Mi 2p</t>
  </si>
  <si>
    <t>005253-1</t>
  </si>
  <si>
    <t>Gol TECH 1.0 Mi Total Flex 8V 2p</t>
  </si>
  <si>
    <t>005254-0</t>
  </si>
  <si>
    <t>Gol TECH 1.0 Mi Total Flex 8V 4p</t>
  </si>
  <si>
    <t>005351-1</t>
  </si>
  <si>
    <t>Gol TRACK 1.0 Mi Total Flex 8V 4p</t>
  </si>
  <si>
    <t>005469-0</t>
  </si>
  <si>
    <t>Gol TRACK 1.0 Total Flex 12V 5p</t>
  </si>
  <si>
    <t>005461-5</t>
  </si>
  <si>
    <t>Gol Trendline 1.0 T.Flex 12V 3p</t>
  </si>
  <si>
    <t>005455-0</t>
  </si>
  <si>
    <t>Gol Trendline 1.0 T.Flex 12V 5p</t>
  </si>
  <si>
    <t>005383-0</t>
  </si>
  <si>
    <t>Gol Trendline 1.0 T.Flex 8V 3p</t>
  </si>
  <si>
    <t>005384-8</t>
  </si>
  <si>
    <t>Gol Trendline 1.0 T.Flex 8V 5p</t>
  </si>
  <si>
    <t>005412-7</t>
  </si>
  <si>
    <t>Gol Trendline 1.6 T.Flex 8V 3p</t>
  </si>
  <si>
    <t>005397-0</t>
  </si>
  <si>
    <t>Gol Trendline 1.6 T.Flex 8V 5p</t>
  </si>
  <si>
    <t>005411-9</t>
  </si>
  <si>
    <t>Gol Trendline I Motion 1.6 T. Flex 8V 3p</t>
  </si>
  <si>
    <t>005398-8</t>
  </si>
  <si>
    <t>Gol Trendline I MOTION 1.6 T. Flex 8V 5p</t>
  </si>
  <si>
    <t>005168-3</t>
  </si>
  <si>
    <t>Grand Saveiro Xtreme/Street 1.6/1.8/2.0</t>
  </si>
  <si>
    <t>SAVEIRO</t>
  </si>
  <si>
    <t>001533-4</t>
  </si>
  <si>
    <t>Grand Siena 1.0 EVO Flex 8V 4p</t>
  </si>
  <si>
    <t>SIENA</t>
  </si>
  <si>
    <t>001532-6</t>
  </si>
  <si>
    <t>Grand Siena 1.4 EVO Flex 8V 4p</t>
  </si>
  <si>
    <t>001378-1</t>
  </si>
  <si>
    <t>Grand Siena ATTRAC. 1.4 EVO F.Flex 8V</t>
  </si>
  <si>
    <t>001481-8</t>
  </si>
  <si>
    <t>Grand Siena ATTRACTIVE 1.0 Flex 8V 4p</t>
  </si>
  <si>
    <t>001423-0</t>
  </si>
  <si>
    <t>Grand Siena ESSEN. ITALIA Dual. 1.6 Flex</t>
  </si>
  <si>
    <t>001399-4</t>
  </si>
  <si>
    <t>Grand Siena ESSEN.SUBLIME 1.6 Flex</t>
  </si>
  <si>
    <t>001400-1</t>
  </si>
  <si>
    <t>Grand Siena ESSEN.SUBLIME Dual. 1.6 Flex</t>
  </si>
  <si>
    <t>001379-0</t>
  </si>
  <si>
    <t>Grand Siena ESSENCE 1.6 Flex 16V</t>
  </si>
  <si>
    <t>001380-3</t>
  </si>
  <si>
    <t>Grand Siena ESSENCE Dual. 1.6 Flex 16V</t>
  </si>
  <si>
    <t>001422-2</t>
  </si>
  <si>
    <t>Grand Siena ESSENCE ITALIA 1.6 Flex 16V</t>
  </si>
  <si>
    <t>001381-1</t>
  </si>
  <si>
    <t>Grand Siena TETRAFUEL 1.4 Evo F. Flex 8V</t>
  </si>
  <si>
    <t>015158-0</t>
  </si>
  <si>
    <t>Hyundai</t>
  </si>
  <si>
    <t>HB20 1 Million 1.6 Flex 16V Aut.</t>
  </si>
  <si>
    <t>HB20</t>
  </si>
  <si>
    <t>015147-5</t>
  </si>
  <si>
    <t>HB20 5 Anos 1.0 Flex 12V Mec.</t>
  </si>
  <si>
    <t>015150-5</t>
  </si>
  <si>
    <t>HB20 5 Anos 1.6 Flex 16V Aut.</t>
  </si>
  <si>
    <t>015089-4</t>
  </si>
  <si>
    <t>HB20 C./C.Plus/C.Style 1.6 Flex 16V Mec.</t>
  </si>
  <si>
    <t>015090-8</t>
  </si>
  <si>
    <t>HB20 C.Style/C.Plus 1.6 Flex 16V Aut.</t>
  </si>
  <si>
    <t>015088-6</t>
  </si>
  <si>
    <t>HB20 Comf./C.Plus/C.Style 1.0 Flex 12V</t>
  </si>
  <si>
    <t>015126-2</t>
  </si>
  <si>
    <t>HB20 Comfort Plus 1.0 TB Flex 12V Mec.</t>
  </si>
  <si>
    <t>015127-0</t>
  </si>
  <si>
    <t>HB20 Comfort Style 1.0 TB Flex 12V Mec.</t>
  </si>
  <si>
    <t>015109-2</t>
  </si>
  <si>
    <t>HB20 Copa do Mundo 1.0 Flex 12V Mec.</t>
  </si>
  <si>
    <t>015111-4</t>
  </si>
  <si>
    <t>HB20 Copa do Mundo 1.6 Flex 16V Aut.</t>
  </si>
  <si>
    <t>015110-6</t>
  </si>
  <si>
    <t>HB20 Copa do Mundo 1.6 Flex 16V Mec.</t>
  </si>
  <si>
    <t>015171-8</t>
  </si>
  <si>
    <t>HB20 Diamond 1.0 TB Flex 12V Aut.</t>
  </si>
  <si>
    <t>015172-6</t>
  </si>
  <si>
    <t>HB20 Diamond Plus 1.0 TB Flex 12V Aut.</t>
  </si>
  <si>
    <t>015192-0</t>
  </si>
  <si>
    <t>HB20 Evol. Bluelink 1.0 TB Flex 12V Aut.</t>
  </si>
  <si>
    <t>015164-5</t>
  </si>
  <si>
    <t>HB20 Evolution 1.0 Flex 12V Mec.</t>
  </si>
  <si>
    <t>015170-0</t>
  </si>
  <si>
    <t>HB20 Evolution 1.0 TB Flex 12V Aut.</t>
  </si>
  <si>
    <t>015191-2</t>
  </si>
  <si>
    <t>HB20 Evolution Bluelink 1.0 Flex 12V Mec</t>
  </si>
  <si>
    <t>015115-7</t>
  </si>
  <si>
    <t>HB20 For You 1.0 Flex 12V 5p</t>
  </si>
  <si>
    <t>015167-0</t>
  </si>
  <si>
    <t>HB20 Launch Edition 1.6 Flex 16V Aut.</t>
  </si>
  <si>
    <t>015130-0</t>
  </si>
  <si>
    <t>HB20 Ocean 1.0 Flex 12V 5p Mec.</t>
  </si>
  <si>
    <t>015132-7</t>
  </si>
  <si>
    <t>HB20 Ocean 1.6 Flex 16V 5p Aut.</t>
  </si>
  <si>
    <t>015131-9</t>
  </si>
  <si>
    <t>HB20 Ocean 1.6 Flex 16V 5p Mec.</t>
  </si>
  <si>
    <t>015209-9</t>
  </si>
  <si>
    <t>HB20 Platinum 1.0 TB Flex 12V Aut.</t>
  </si>
  <si>
    <t>015204-8</t>
  </si>
  <si>
    <t>HB20 Platinum 1.0 TB Flex 12V Mec.</t>
  </si>
  <si>
    <t>015208-0</t>
  </si>
  <si>
    <t>HB20 Platinum Plus 1.0 TB Flex 12V Aut.</t>
  </si>
  <si>
    <t>015092-4</t>
  </si>
  <si>
    <t>HB20 Premium 1.6 Flex 16V Aut.</t>
  </si>
  <si>
    <t>015091-6</t>
  </si>
  <si>
    <t>HB20 Premium 1.6 Flex 16V Mec.</t>
  </si>
  <si>
    <t>015124-6</t>
  </si>
  <si>
    <t>HB20 R spec 1.6 Flex 16V Aut.</t>
  </si>
  <si>
    <t>015125-4</t>
  </si>
  <si>
    <t>HB20 R spec 1.6 Flex 16V Mec.</t>
  </si>
  <si>
    <t>015154-8</t>
  </si>
  <si>
    <t>HB20 R spec Limited 1.6 flex 16V Aut.</t>
  </si>
  <si>
    <t>015165-3</t>
  </si>
  <si>
    <t>HB20 Sense 1.0 Flex 12V Mec.</t>
  </si>
  <si>
    <t>015119-0</t>
  </si>
  <si>
    <t>HB20 Spicy 1.0 Flex 12V Mec.</t>
  </si>
  <si>
    <t>015118-1</t>
  </si>
  <si>
    <t>HB20 Spicy 1.6 Flex 16V Aut.</t>
  </si>
  <si>
    <t>015117-3</t>
  </si>
  <si>
    <t>HB20 Spicy 1.6 Flex 16V Mec.</t>
  </si>
  <si>
    <t>015187-4</t>
  </si>
  <si>
    <t>HB20 Sport 1.0 TB Flex 12V Aut.</t>
  </si>
  <si>
    <t>015156-4</t>
  </si>
  <si>
    <t>HB20 Unique 1.0 Flex 12V Mec.</t>
  </si>
  <si>
    <t>015168-8</t>
  </si>
  <si>
    <t>HB20 Vision 1.0 Flex 12V Mec.</t>
  </si>
  <si>
    <t>015166-1</t>
  </si>
  <si>
    <t>HB20 Vision 1.6 Flex 16V Aut</t>
  </si>
  <si>
    <t>015169-6</t>
  </si>
  <si>
    <t>HB20 Vision 1.6 Flex 16V Mec.</t>
  </si>
  <si>
    <t>015197-1</t>
  </si>
  <si>
    <t>HB20 Vision Bluelink 1.6 Flex 16V Aut.</t>
  </si>
  <si>
    <t>015198-0</t>
  </si>
  <si>
    <t>HB20 Vision Bluelink 1.6 Flex 16V Mec.</t>
  </si>
  <si>
    <t>015160-2</t>
  </si>
  <si>
    <t>HB20S 1 Million 1.6 Flex 16V Aut. 4p</t>
  </si>
  <si>
    <t>015148-3</t>
  </si>
  <si>
    <t>HB20S 5 Anos 1.0 Flex 12V Mec.</t>
  </si>
  <si>
    <t>015149-1</t>
  </si>
  <si>
    <t>HB20S 5 Anos 1.6 Flex 16V Aut.</t>
  </si>
  <si>
    <t>015100-9</t>
  </si>
  <si>
    <t>HB20S C.Plus/C.Style 1.6 Flex 16V Mec.4p</t>
  </si>
  <si>
    <t>015099-1</t>
  </si>
  <si>
    <t>HB20S C.Plus/C.Style1.0 Flex 12V Mec. 4P</t>
  </si>
  <si>
    <t>015101-7</t>
  </si>
  <si>
    <t>HB20S C.Style/C.Plus1.6 Flex 16V Aut. 4p</t>
  </si>
  <si>
    <t>015128-9</t>
  </si>
  <si>
    <t>HB20S Comfort Plus 1.0 TB Flex 12V Mec.</t>
  </si>
  <si>
    <t>015129-7</t>
  </si>
  <si>
    <t>HB20S Comfort Style 1.0 TB Flex 12V Mec.</t>
  </si>
  <si>
    <t>015112-2</t>
  </si>
  <si>
    <t>HB20S Copa do Mundo 1.0 Flex 12V Mec.</t>
  </si>
  <si>
    <t>015114-9</t>
  </si>
  <si>
    <t>HB20S Copa do Mundo 1.6 Flex 16V Aut.</t>
  </si>
  <si>
    <t>015113-0</t>
  </si>
  <si>
    <t>HB20S Copa do Mundo 1.6 Flex 16V Mec.</t>
  </si>
  <si>
    <t>015179-3</t>
  </si>
  <si>
    <t>HB20S Diamond 1.0 TB Flex 12V Aut.</t>
  </si>
  <si>
    <t>015180-7</t>
  </si>
  <si>
    <t>HB20S Diamond Plus 1.0 TB Flex 12V Aut.</t>
  </si>
  <si>
    <t>015193-9</t>
  </si>
  <si>
    <t>HB20S Evol. Bluelink 1.0 Flex 12 Mec.</t>
  </si>
  <si>
    <t>015194-7</t>
  </si>
  <si>
    <t>HB20S Evol. Bluelink 1.0 TB Flex 12V Aut</t>
  </si>
  <si>
    <t>015176-9</t>
  </si>
  <si>
    <t>HB20S Evolution 1.0 Flex 12V Mec.</t>
  </si>
  <si>
    <t>015178-5</t>
  </si>
  <si>
    <t>HB20S Evolution 1.0 TB Flex 12V Aut.</t>
  </si>
  <si>
    <t>015116-5</t>
  </si>
  <si>
    <t>HB20S For You 1.0 Flex 12V 4p</t>
  </si>
  <si>
    <t>015120-3</t>
  </si>
  <si>
    <t>HB20S Impress 1.6 Flex 16V Aut.</t>
  </si>
  <si>
    <t>015121-1</t>
  </si>
  <si>
    <t>HB20S Impress 1.6 Flex 16v Mec.</t>
  </si>
  <si>
    <t>015134-3</t>
  </si>
  <si>
    <t>HB20S Ocean 1.6 Flex 16v 4p Aut.</t>
  </si>
  <si>
    <t>015133-5</t>
  </si>
  <si>
    <t>HB20S Ocean 1.6 Flex 16V 4p Mec.</t>
  </si>
  <si>
    <t>015206-4</t>
  </si>
  <si>
    <t>HB20S Platinum 1.0 TB Flex 12V Aut.</t>
  </si>
  <si>
    <t>015207-2</t>
  </si>
  <si>
    <t>HB20S Platinum 1.0 TB Flex 12V Mec.</t>
  </si>
  <si>
    <t>015205-6</t>
  </si>
  <si>
    <t>HB20S Platinum Plus 1.0 TB Flex 12V Aut.</t>
  </si>
  <si>
    <t>015103-3</t>
  </si>
  <si>
    <t>HB20S Premium 1.6 Flex 16V Aut. 4p</t>
  </si>
  <si>
    <t>015102-5</t>
  </si>
  <si>
    <t>HB20S Premium 1.6 Flex 16V Mec. 4p</t>
  </si>
  <si>
    <t>015155-6</t>
  </si>
  <si>
    <t>HB20S Style 1.6 Flex 16V Aut.</t>
  </si>
  <si>
    <t>015161-0</t>
  </si>
  <si>
    <t>HB20S Unique 1.0 Flex 12V Mec.</t>
  </si>
  <si>
    <t>015174-2</t>
  </si>
  <si>
    <t>HB20S Vision 1.0 Flex 12V Mec.</t>
  </si>
  <si>
    <t>015173-4</t>
  </si>
  <si>
    <t>HB20S Vision 1.6 Flex 16V Aut.</t>
  </si>
  <si>
    <t>015177-7</t>
  </si>
  <si>
    <t>HB20S Vision 1.6 Flex 16V Mec.</t>
  </si>
  <si>
    <t>015195-5</t>
  </si>
  <si>
    <t>HB20S Vision Bluelink 1.6 Flex 16V Aut.</t>
  </si>
  <si>
    <t>015196-3</t>
  </si>
  <si>
    <t>HB20S Vision Bluelink 1.6 Flex 16V Mec.</t>
  </si>
  <si>
    <t>015183-1</t>
  </si>
  <si>
    <t>HB20X Diamond 1.6 Flex 16V Aut.</t>
  </si>
  <si>
    <t>015182-3</t>
  </si>
  <si>
    <t>HB20X Diamond Plus 1.6 Flex 16V Aut.</t>
  </si>
  <si>
    <t>015199-8</t>
  </si>
  <si>
    <t>HB20X Evol. Bluelink 1.6 Flex 16V Aut.</t>
  </si>
  <si>
    <t>015184-0</t>
  </si>
  <si>
    <t>HB20X Evolution 1.6 Flex 16V Aut.</t>
  </si>
  <si>
    <t>015097-5</t>
  </si>
  <si>
    <t>HB20X Premium 1.6 Flex 16V Aut.</t>
  </si>
  <si>
    <t>015096-7</t>
  </si>
  <si>
    <t>HB20X Premium 1.6 Flex 16V Mec.</t>
  </si>
  <si>
    <t>015095-9</t>
  </si>
  <si>
    <t>HB20X Style 1.6 Flex 16V Aut.</t>
  </si>
  <si>
    <t>015094-0</t>
  </si>
  <si>
    <t>HB20X Style 1.6 Flex 16v Mec.</t>
  </si>
  <si>
    <t>015185-8</t>
  </si>
  <si>
    <t>HB20X Vision 1.6 Flex 16V Aut.</t>
  </si>
  <si>
    <t>015186-6</t>
  </si>
  <si>
    <t>HB20X Vision 1.6 Flex 16V Mec.</t>
  </si>
  <si>
    <t>001454-0</t>
  </si>
  <si>
    <t>Idea A.Ext./A..Ext.Loc.Dual. 1.8 Flex 5p</t>
  </si>
  <si>
    <t>IDEA</t>
  </si>
  <si>
    <t>001281-5</t>
  </si>
  <si>
    <t>Idea Adv./ Adv.LOCK.Dualogic 1.8 Flex 5p</t>
  </si>
  <si>
    <t>001455-9</t>
  </si>
  <si>
    <t>Idea Adv.Ext./Adv.Ext. Loc. 1.8 Flex 5p</t>
  </si>
  <si>
    <t>001242-4</t>
  </si>
  <si>
    <t>Idea Advent./ Adv.LOCKER 1.8 mpi Flex 5p</t>
  </si>
  <si>
    <t>001328-5</t>
  </si>
  <si>
    <t>Idea ATTRACTIVE 1.4 Fire Flex 8V 5p</t>
  </si>
  <si>
    <t>001228-9</t>
  </si>
  <si>
    <t>Idea ELX 1.4 mpi Fire Flex 8V 5p</t>
  </si>
  <si>
    <t>001276-9</t>
  </si>
  <si>
    <t>Idea ELX 1.8 mpi Flex 8V 5p</t>
  </si>
  <si>
    <t>001326-9</t>
  </si>
  <si>
    <t>Idea ESSENCE 1.6 Flex 16V 5p</t>
  </si>
  <si>
    <t>001327-7</t>
  </si>
  <si>
    <t>Idea ESSENCE Dualogic 1.6 Flex 16V 5p</t>
  </si>
  <si>
    <t>001416-8</t>
  </si>
  <si>
    <t>Idea ESSENCE SUBLIME 1.6 Flex 16V 5p</t>
  </si>
  <si>
    <t>001417-6</t>
  </si>
  <si>
    <t>Idea ESSENCE SUBLIME Dual.1.6 Flex16V 5p</t>
  </si>
  <si>
    <t>001229-7</t>
  </si>
  <si>
    <t>Idea HLX 1.8 mpi Flex 8V 5p</t>
  </si>
  <si>
    <t>001329-3</t>
  </si>
  <si>
    <t>Idea SPORTING 1.8 Flex 16V 5p</t>
  </si>
  <si>
    <t>001330-7</t>
  </si>
  <si>
    <t>Idea SPORTING Dualogic 1.8 Flex 16V 5p</t>
  </si>
  <si>
    <t>004506-3</t>
  </si>
  <si>
    <t>JOY Hatch 1.0 8V Black Edition Flex Mec.</t>
  </si>
  <si>
    <t>ONIX</t>
  </si>
  <si>
    <t>004505-5</t>
  </si>
  <si>
    <t>JOY Hatch 1.0 8V Flex 5p Mec.</t>
  </si>
  <si>
    <t>004507-1</t>
  </si>
  <si>
    <t>JOY Plus 1.0 8V 4p Flex Mec.</t>
  </si>
  <si>
    <t>004508-0</t>
  </si>
  <si>
    <t>JOY Plus Black Ed.1.0 8V 4p Flex Mec.</t>
  </si>
  <si>
    <t>003325-1</t>
  </si>
  <si>
    <t>Ka 1.0 8V/1.0 8V ST Flex 3p</t>
  </si>
  <si>
    <t>KA</t>
  </si>
  <si>
    <t>003473-8</t>
  </si>
  <si>
    <t>Ka 1.0 FREESTYLE 12V Flex 5p Mec.</t>
  </si>
  <si>
    <t>003448-7</t>
  </si>
  <si>
    <t>Ka 1.0 S TiVCT Flex 5p</t>
  </si>
  <si>
    <t>003408-8</t>
  </si>
  <si>
    <t>Ka 1.0 SE/SE Plus TiVCT Flex 5p</t>
  </si>
  <si>
    <t>003409-6</t>
  </si>
  <si>
    <t>Ka 1.0 SEL TiVCT Flex 5p</t>
  </si>
  <si>
    <t>003447-9</t>
  </si>
  <si>
    <t>Ka 1.0 TECNO 12V Flex 5p</t>
  </si>
  <si>
    <t>003327-8</t>
  </si>
  <si>
    <t>Ka 1.0 TECNO 8V Flex 3p</t>
  </si>
  <si>
    <t>003018-0</t>
  </si>
  <si>
    <t>Ka 1.0i 3p</t>
  </si>
  <si>
    <t>003471-1</t>
  </si>
  <si>
    <t>Ka 1.5 100 Anos Flex 5p Aut.</t>
  </si>
  <si>
    <t>003457-6</t>
  </si>
  <si>
    <t>Ka 1.5 FreeStyle 12V Flex 5p Aut.</t>
  </si>
  <si>
    <t>003458-4</t>
  </si>
  <si>
    <t>Ka 1.5 FreeStyle 12V Flex 5p Mec.</t>
  </si>
  <si>
    <t>003459-2</t>
  </si>
  <si>
    <t>Ka 1.5 SE 12V Flex 5p Aut.</t>
  </si>
  <si>
    <t>003462-2</t>
  </si>
  <si>
    <t>Ka 1.5 SE 12V Flex 5p Mec.</t>
  </si>
  <si>
    <t>003460-6</t>
  </si>
  <si>
    <t>Ka 1.5 SE Plus 12V Flex 5p Aut.</t>
  </si>
  <si>
    <t>003461-4</t>
  </si>
  <si>
    <t>Ka 1.5 SE Plus 12V Flex 5p Mec.</t>
  </si>
  <si>
    <t>003410-0</t>
  </si>
  <si>
    <t>Ka 1.5 SE/SE PLUS 16V Flex 5p</t>
  </si>
  <si>
    <t>003464-9</t>
  </si>
  <si>
    <t>Ka 1.5 Sedan SE 12V Flex 4p Aut.</t>
  </si>
  <si>
    <t>003463-0</t>
  </si>
  <si>
    <t>Ka 1.5 Sedan SE 12V Flex 4p Mec.</t>
  </si>
  <si>
    <t>003465-7</t>
  </si>
  <si>
    <t>Ka 1.5 Sedan SE Plus 12V Flex 4p Aut.</t>
  </si>
  <si>
    <t>003466-5</t>
  </si>
  <si>
    <t>Ka 1.5 Sedan SE Plus 12V Flex 4p Mec.</t>
  </si>
  <si>
    <t>003474-6</t>
  </si>
  <si>
    <t>Ka 1.5 Sedan SEL 12V Flex 4p Aut.</t>
  </si>
  <si>
    <t>003468-1</t>
  </si>
  <si>
    <t>Ka 1.5 Sedan SEL 12V Flex 4p Mec.</t>
  </si>
  <si>
    <t>003456-8</t>
  </si>
  <si>
    <t>Ka 1.5 Sedan TITANIUM 12V Flex 4p Aut.</t>
  </si>
  <si>
    <t>003467-3</t>
  </si>
  <si>
    <t>Ka 1.5 TITANIUM 12V Flex 5p Aut.</t>
  </si>
  <si>
    <t>003326-0</t>
  </si>
  <si>
    <t>Ka 1.6 8V Flex 3p</t>
  </si>
  <si>
    <t>003328-6</t>
  </si>
  <si>
    <t>Ka 1.6 TECNO 8V Flex 3p</t>
  </si>
  <si>
    <t>003264-6</t>
  </si>
  <si>
    <t>Ka Action 1.6 MPI 8V 95cv</t>
  </si>
  <si>
    <t>003233-6</t>
  </si>
  <si>
    <t>Ka Black 1.0 MPI 8v 65cv</t>
  </si>
  <si>
    <t>003234-4</t>
  </si>
  <si>
    <t>Ka Black 1.6 MPI 8v 95cv</t>
  </si>
  <si>
    <t>003019-8</t>
  </si>
  <si>
    <t>Ka CLX 1.3i 3p</t>
  </si>
  <si>
    <t>003145-3</t>
  </si>
  <si>
    <t>Ka GL 1.0i Zetec Rocam</t>
  </si>
  <si>
    <t>003161-5</t>
  </si>
  <si>
    <t>Ka GL Image 1.0i/ 1.0i Zetec Rocam</t>
  </si>
  <si>
    <t>003098-8</t>
  </si>
  <si>
    <t>Ka Image 1.0i</t>
  </si>
  <si>
    <t>003301-4</t>
  </si>
  <si>
    <t>Ka MP3 1.0 MPI 8V 65cv</t>
  </si>
  <si>
    <t>003302-2</t>
  </si>
  <si>
    <t>Ka MP3 1.6 MPI 8V 95cv</t>
  </si>
  <si>
    <t>003411-8</t>
  </si>
  <si>
    <t>Ka SEL 1.5 16V Flex 5p</t>
  </si>
  <si>
    <t>003350-2</t>
  </si>
  <si>
    <t>Ka Sport 1.6 8V Flex 3p</t>
  </si>
  <si>
    <t>003097-0</t>
  </si>
  <si>
    <t>Ka Street 1.0i</t>
  </si>
  <si>
    <t>003169-0</t>
  </si>
  <si>
    <t>Ka Tecno 1.0i 8v Zetec Rocam</t>
  </si>
  <si>
    <t>003435-5</t>
  </si>
  <si>
    <t>Ka TRAIL 1.0 12V Flex Mec. 5p</t>
  </si>
  <si>
    <t>003434-7</t>
  </si>
  <si>
    <t>Ka TRAIL 1.5 16V Flex Mec. 5p</t>
  </si>
  <si>
    <t>003232-8</t>
  </si>
  <si>
    <t>Ka XR 1.6 MPI 8V</t>
  </si>
  <si>
    <t>003412-6</t>
  </si>
  <si>
    <t>Ka+ Sedan 1.0 SE/SE PLUS TiVCT Flex 4p</t>
  </si>
  <si>
    <t>003413-4</t>
  </si>
  <si>
    <t>Ka+ Sedan 1.0 SEL TiCVT Flex 4p</t>
  </si>
  <si>
    <t>003446-0</t>
  </si>
  <si>
    <t>Ka+ Sedan 1.5 ADVANCED 16V Flex 4p</t>
  </si>
  <si>
    <t>003414-2</t>
  </si>
  <si>
    <t>Ka+ Sedan 1.5 SE/SE PLUS 16V Flex 4p</t>
  </si>
  <si>
    <t>003415-0</t>
  </si>
  <si>
    <t>Ka+ Sedan 1.5 SEL 16V Flex 4p</t>
  </si>
  <si>
    <t>023173-8</t>
  </si>
  <si>
    <t>Nissan</t>
  </si>
  <si>
    <t>KICKS Active S 1.6 16V Flex Aut.</t>
  </si>
  <si>
    <t>KICKS</t>
  </si>
  <si>
    <t>023180-0</t>
  </si>
  <si>
    <t>KICKS Advance 1.6 16V Flex Aut.</t>
  </si>
  <si>
    <t>023181-9</t>
  </si>
  <si>
    <t>KICKS Exclusive 1.6 16V Flex Aut.</t>
  </si>
  <si>
    <t>023148-7</t>
  </si>
  <si>
    <t>KICKS Rio 2016 1.6 16V FlexStar 5p Aut.</t>
  </si>
  <si>
    <t>023156-8</t>
  </si>
  <si>
    <t>KICKS S 1.6 16V Flex 5p Aut.</t>
  </si>
  <si>
    <t>023155-0</t>
  </si>
  <si>
    <t>KICKS S 1.6 16V FlexStar 5p Mec.</t>
  </si>
  <si>
    <t>023158-4</t>
  </si>
  <si>
    <t>KICKS S Direct 1.6 16V Flex 5p Aut.</t>
  </si>
  <si>
    <t>023178-9</t>
  </si>
  <si>
    <t>KICKS Sense 1.6 16V Flex Aut.</t>
  </si>
  <si>
    <t>023179-7</t>
  </si>
  <si>
    <t>KICKS Sense 1.6 16V Flex Mec.</t>
  </si>
  <si>
    <t>023149-5</t>
  </si>
  <si>
    <t>KICKS SL 1.6 16V FlexStar 5p Aut.</t>
  </si>
  <si>
    <t>023165-7</t>
  </si>
  <si>
    <t>KICKS Special Ed. 1.6 16V Flex 5p Aut.</t>
  </si>
  <si>
    <t>023166-5</t>
  </si>
  <si>
    <t>KICKS Special Ed.1.6 16V Flex 5p Mec.</t>
  </si>
  <si>
    <t>023154-1</t>
  </si>
  <si>
    <t>KICKS SV 1.6 16V FlexStar 5p Aut.</t>
  </si>
  <si>
    <t>023152-5</t>
  </si>
  <si>
    <t>KICKS SV Limited 1.6 16V Flex 5p Aut.</t>
  </si>
  <si>
    <t>023162-2</t>
  </si>
  <si>
    <t>KICKS UCL 1.6 16V Flex 5p Aut.</t>
  </si>
  <si>
    <t>023182-7</t>
  </si>
  <si>
    <t>KICKS XPlay 1.6 16V Flex Aut.</t>
  </si>
  <si>
    <t>025267-0</t>
  </si>
  <si>
    <t>KWID Intense 1.0 Flex 12V 5p Mec.</t>
  </si>
  <si>
    <t>KWID</t>
  </si>
  <si>
    <t>025265-4</t>
  </si>
  <si>
    <t>KWID Life 1.0 Flex 12V 5p Mec.</t>
  </si>
  <si>
    <t>025279-4</t>
  </si>
  <si>
    <t>KWID OUTSIDER 1.0 Flex 12V 5p Mec.</t>
  </si>
  <si>
    <t>025266-2</t>
  </si>
  <si>
    <t>KWID Zen 1.0 Flex 12V 5p Mec.</t>
  </si>
  <si>
    <t>025242-5</t>
  </si>
  <si>
    <t>LOGAN Authentique Flex 1.0 12V 4p</t>
  </si>
  <si>
    <t>LOGAN</t>
  </si>
  <si>
    <t>025135-6</t>
  </si>
  <si>
    <t>LOGAN Authentique Hi-Flex 1.0 16V 4p</t>
  </si>
  <si>
    <t>025138-0</t>
  </si>
  <si>
    <t>LOGAN Authentique Hi-Flex 1.6 8V 4p</t>
  </si>
  <si>
    <t>025226-3</t>
  </si>
  <si>
    <t>LOGAN Authentique Plus Hi-F. 1.0 16V 4p</t>
  </si>
  <si>
    <t>025178-0</t>
  </si>
  <si>
    <t>LOGAN Avantage Hi-Flex 1.0 16V 4p</t>
  </si>
  <si>
    <t>025218-2</t>
  </si>
  <si>
    <t>LOGAN Dyna. EasyR Hi-Flex 1.6 8V</t>
  </si>
  <si>
    <t>025252-2</t>
  </si>
  <si>
    <t>LOGAN Dynamique EasyR Flex 1.6 16V 4p</t>
  </si>
  <si>
    <t>025255-7</t>
  </si>
  <si>
    <t>LOGAN Dynamique Flex 1.6 16V 4p</t>
  </si>
  <si>
    <t>025208-5</t>
  </si>
  <si>
    <t>LOGAN Dynamique Hi-Flex 1.6 8V 4p</t>
  </si>
  <si>
    <t>025224-7</t>
  </si>
  <si>
    <t>LOGAN Exclusive EasyR Hi-Flex 1.6 8V 4p</t>
  </si>
  <si>
    <t>025223-9</t>
  </si>
  <si>
    <t>LOGAN Exclusive Hi-Flex 1.6 8V 4p</t>
  </si>
  <si>
    <t>025268-9</t>
  </si>
  <si>
    <t>LOGAN Expres. Avantage Flex 1.0 12v 4p</t>
  </si>
  <si>
    <t>025269-7</t>
  </si>
  <si>
    <t>LOGAN Expres. Avantage Flex 1.6 16V 4p</t>
  </si>
  <si>
    <t>025217-4</t>
  </si>
  <si>
    <t>LOGAN Expres. EasyR Hi-Flex 1.6 8V</t>
  </si>
  <si>
    <t>025238-7</t>
  </si>
  <si>
    <t>LOGAN Expres. P.Avant. Hi-Flex 1.6 8V 4p</t>
  </si>
  <si>
    <t>025136-4</t>
  </si>
  <si>
    <t>LOGAN Expres./Exp. UP Hi-Flex 1.0 16V 4p</t>
  </si>
  <si>
    <t>025256-5</t>
  </si>
  <si>
    <t>LOGAN Expression Easy R Flex 1.6 16V 4p</t>
  </si>
  <si>
    <t>025241-7</t>
  </si>
  <si>
    <t>LOGAN Expression Flex 1.0 12V 4p</t>
  </si>
  <si>
    <t>025253-0</t>
  </si>
  <si>
    <t>LOGAN Expression Flex 1.6 16V 4p</t>
  </si>
  <si>
    <t>025177-1</t>
  </si>
  <si>
    <t>LOGAN Expression Hi-Flex 1.6 16V 4p Aut</t>
  </si>
  <si>
    <t>025139-9</t>
  </si>
  <si>
    <t>LOGAN Expression Hi-Flex 1.6 8V 4p</t>
  </si>
  <si>
    <t>025294-8</t>
  </si>
  <si>
    <t>LOGAN Iconic Flex 1.6 16V 4p Aut.</t>
  </si>
  <si>
    <t>025293-0</t>
  </si>
  <si>
    <t>LOGAN Intense Flex 1.6 16V 4p Aut.</t>
  </si>
  <si>
    <t>025289-1</t>
  </si>
  <si>
    <t>LOGAN Life Flex 1.0 12V 4p Mec.</t>
  </si>
  <si>
    <t>025137-2</t>
  </si>
  <si>
    <t>LOGAN Privilège Hi-Flex 1.6 16V 4p</t>
  </si>
  <si>
    <t>025140-2</t>
  </si>
  <si>
    <t>LOGAN Privilège Hi-Flex 1.6 8V 4p</t>
  </si>
  <si>
    <t>025290-5</t>
  </si>
  <si>
    <t>LOGAN Zen Flex 1.0 12V 4p Mec.</t>
  </si>
  <si>
    <t>025292-1</t>
  </si>
  <si>
    <t>LOGAN Zen Flex 1.6 16V 4p Aut.</t>
  </si>
  <si>
    <t>025291-3</t>
  </si>
  <si>
    <t>LOGAN Zen Flex 1.6 16V 4p Mec.</t>
  </si>
  <si>
    <t>023134-7</t>
  </si>
  <si>
    <t>MARCH 1.0 12V Flex 5p</t>
  </si>
  <si>
    <t>MARCH</t>
  </si>
  <si>
    <t>023146-0</t>
  </si>
  <si>
    <t>MARCH 1.0 12V FlexStart 5p</t>
  </si>
  <si>
    <t>023105-3</t>
  </si>
  <si>
    <t>MARCH 1.0 16V Flex Fuel 5p</t>
  </si>
  <si>
    <t>023119-3</t>
  </si>
  <si>
    <t>MARCH Rio2016 1.0 Flex Fuel 5p</t>
  </si>
  <si>
    <t>023120-7</t>
  </si>
  <si>
    <t>MARCH Rio2016 1.6 Flex Fuel 5p</t>
  </si>
  <si>
    <t>023129-0</t>
  </si>
  <si>
    <t>MARCH S 1.0 12V Flex 5p</t>
  </si>
  <si>
    <t>023104-5</t>
  </si>
  <si>
    <t>MARCH S 1.0 16V Flex Fuel 5p</t>
  </si>
  <si>
    <t>023108-8</t>
  </si>
  <si>
    <t>MARCH S 1.6 16V Flex Fuel 5p</t>
  </si>
  <si>
    <t>023150-9</t>
  </si>
  <si>
    <t>MARCH S 1.6 16V FlexStart 5p</t>
  </si>
  <si>
    <t>023127-4</t>
  </si>
  <si>
    <t>MARCH SL 1.6 16V Flex Fuel 5p</t>
  </si>
  <si>
    <t>023139-8</t>
  </si>
  <si>
    <t>MARCH SL 1.6 16V FlexStart 5p Aut.</t>
  </si>
  <si>
    <t>023147-9</t>
  </si>
  <si>
    <t>MARCH SL 1.6 16V FlexStart 5p Mec.</t>
  </si>
  <si>
    <t>023110-0</t>
  </si>
  <si>
    <t>MARCH SR 1.6 16V Flex Fuel 5p</t>
  </si>
  <si>
    <t>023130-4</t>
  </si>
  <si>
    <t>MARCH SV 1.0 12V Flex 5p</t>
  </si>
  <si>
    <t>023126-6</t>
  </si>
  <si>
    <t>MARCH SV 1.0 16V Flex Fuel 5p</t>
  </si>
  <si>
    <t>023109-6</t>
  </si>
  <si>
    <t>MARCH SV 1.6 16V Flex Fuel</t>
  </si>
  <si>
    <t>023143-6</t>
  </si>
  <si>
    <t>MARCH SV 1.6 16V FlexStart 5p Aut.</t>
  </si>
  <si>
    <t>023145-2</t>
  </si>
  <si>
    <t>MARCH SV 1.6 16V FlexStart 5p Mec.</t>
  </si>
  <si>
    <t>004229-3</t>
  </si>
  <si>
    <t>Meriva 1.8/ CD 1.8 MPFI 16V 122cv 5p</t>
  </si>
  <si>
    <t>MERIVA</t>
  </si>
  <si>
    <t>004228-5</t>
  </si>
  <si>
    <t>Meriva 1.8/ CD 1.8 MPFI 8V 102cv 5p</t>
  </si>
  <si>
    <t>004242-0</t>
  </si>
  <si>
    <t>Meriva 1.8/ CD 1.8 MPFI FlexPower 8V</t>
  </si>
  <si>
    <t>004408-3</t>
  </si>
  <si>
    <t>Meriva COLLECTION 1.4 8V ECONOFLEX 5p</t>
  </si>
  <si>
    <t>004355-9</t>
  </si>
  <si>
    <t>Meriva Expres.EASYTRONIC 1.8 FlexPower</t>
  </si>
  <si>
    <t>004353-2</t>
  </si>
  <si>
    <t>Meriva Joy 1.4 MPFI 8V ECONOFLEX 5p</t>
  </si>
  <si>
    <t>004292-7</t>
  </si>
  <si>
    <t>Meriva Joy 1.8 MPFI 8V FlexPower</t>
  </si>
  <si>
    <t>004354-0</t>
  </si>
  <si>
    <t>Meriva Maxx 1.4 MPFI 8V ECONOFLEX 5p</t>
  </si>
  <si>
    <t>004293-5</t>
  </si>
  <si>
    <t>Meriva Maxx 1.8 MPFI 8V FlexPower</t>
  </si>
  <si>
    <t>004347-8</t>
  </si>
  <si>
    <t>Meriva Prem.EASYTRONIC 1.8 FlexPower 5p</t>
  </si>
  <si>
    <t>001480-0</t>
  </si>
  <si>
    <t>MOBI DRIVE 1.0 Flex 6V 5p</t>
  </si>
  <si>
    <t>MOBI</t>
  </si>
  <si>
    <t>001482-6</t>
  </si>
  <si>
    <t>MOBI DRIVE GSR 1.0 Flex 6V 5p</t>
  </si>
  <si>
    <t>001463-0</t>
  </si>
  <si>
    <t>MOBI EASY 1.0 Fire Flex 5p.</t>
  </si>
  <si>
    <t>001510-5</t>
  </si>
  <si>
    <t>MOBI EASY COMFORT 1.0 Flex 5p.</t>
  </si>
  <si>
    <t>001464-8</t>
  </si>
  <si>
    <t>MOBI EASY on 1.0 Fire Flex 5p.</t>
  </si>
  <si>
    <t>001461-3</t>
  </si>
  <si>
    <t>MOBI LIKE 1.0 Fire Flex 5p.</t>
  </si>
  <si>
    <t>001462-1</t>
  </si>
  <si>
    <t>MOBI LIKE ON 1.0 Fire Flex 5p.</t>
  </si>
  <si>
    <t>001536-9</t>
  </si>
  <si>
    <t>MOBI TREKKING 1.0 Flex 5p.</t>
  </si>
  <si>
    <t>001466-4</t>
  </si>
  <si>
    <t>MOBI WAY 1.0 Fire Flex 5p.</t>
  </si>
  <si>
    <t>001465-6</t>
  </si>
  <si>
    <t>MOBI WAY on 1.0 Fire Flex 5p.</t>
  </si>
  <si>
    <t>004370-2</t>
  </si>
  <si>
    <t>MONTANA LS 1.4 ECONOFLEX 8V 2p</t>
  </si>
  <si>
    <t>MONTANA</t>
  </si>
  <si>
    <t>004422-9</t>
  </si>
  <si>
    <t>MONTANA LS COMBO 1.4 8V ECONOFLEX 2p</t>
  </si>
  <si>
    <t>004365-6</t>
  </si>
  <si>
    <t>MONTANA Sport 1.4 ECONOFLEX 8V 2p</t>
  </si>
  <si>
    <t>005525-5</t>
  </si>
  <si>
    <t>Nivus Comfortline 1.0 200 TSI Flex Aut.</t>
  </si>
  <si>
    <t>NIVUS</t>
  </si>
  <si>
    <t>005526-3</t>
  </si>
  <si>
    <t>Nivus Highline 1.0 200 TSI Flex Aut.</t>
  </si>
  <si>
    <t>005524-7</t>
  </si>
  <si>
    <t>Nivus Launching Ed. 1.0 200 TSI Flex Aut</t>
  </si>
  <si>
    <t>004519-5</t>
  </si>
  <si>
    <t>ONIX HATCH 1.0 12V Flex 5p Mec.</t>
  </si>
  <si>
    <t>004511-0</t>
  </si>
  <si>
    <t>ONIX HATCH 1.0 12V TB Flex 5p Aut.</t>
  </si>
  <si>
    <t>004471-7</t>
  </si>
  <si>
    <t>ONIX HATCH ACTIV 1.4 8V Flex 5P Aut.</t>
  </si>
  <si>
    <t>004472-5</t>
  </si>
  <si>
    <t>ONIX HATCH ACTIV 1.4 8V Flex 5p Mec.</t>
  </si>
  <si>
    <t>004488-1</t>
  </si>
  <si>
    <t>ONIX HATCH ADVANTAGE 1.4 8V Flex 5p Aut.</t>
  </si>
  <si>
    <t>004460-1</t>
  </si>
  <si>
    <t>ONIX HATCH EFFECT 1.4 8V F.Power 5p Mec.</t>
  </si>
  <si>
    <t>004473-3</t>
  </si>
  <si>
    <t>ONIX HATCH Joy 1.0 8V Flex 5p Mec.</t>
  </si>
  <si>
    <t>004423-7</t>
  </si>
  <si>
    <t>ONIX HATCH LS 1.0 8V FlexPower 5p Mec.</t>
  </si>
  <si>
    <t>004517-9</t>
  </si>
  <si>
    <t>ONIX HATCH LT 1.0 12V Flex 5p Mec.</t>
  </si>
  <si>
    <t>004514-4</t>
  </si>
  <si>
    <t>ONIX HATCH LT 1.0 12V TB Flex 5p Aut.</t>
  </si>
  <si>
    <t>004512-8</t>
  </si>
  <si>
    <t>ONIX HATCH LT 1.0 12V TB Flex 5p Mec.</t>
  </si>
  <si>
    <t>004424-5</t>
  </si>
  <si>
    <t>ONIX HATCH LT 1.0 8V FlexPower 5p Mec.</t>
  </si>
  <si>
    <t>004438-5</t>
  </si>
  <si>
    <t>ONIX HATCH LT 1.4 8V FlexPower 5p Aut.</t>
  </si>
  <si>
    <t>004425-3</t>
  </si>
  <si>
    <t>ONIX HATCH LT 1.4 8V FlexPower 5p Mec.</t>
  </si>
  <si>
    <t>004515-2</t>
  </si>
  <si>
    <t>ONIX HATCH LTZ 1.0 12V TB Flex 5p Aut.</t>
  </si>
  <si>
    <t>004513-6</t>
  </si>
  <si>
    <t>ONIX HATCH LTZ 1.0 12V TB Flex 5p Mec.</t>
  </si>
  <si>
    <t>004439-3</t>
  </si>
  <si>
    <t>ONIX HATCH LTZ 1.4 8V FlexPower 5p Aut.</t>
  </si>
  <si>
    <t>004426-1</t>
  </si>
  <si>
    <t>ONIX HATCH LTZ 1.4 8V FlexPower 5p Mec.</t>
  </si>
  <si>
    <t>004516-0</t>
  </si>
  <si>
    <t>ONIX HATCH PREM. 1.0 12V TB Flex 5p Aut.</t>
  </si>
  <si>
    <t>004530-6</t>
  </si>
  <si>
    <t>ONIX HATCH RS 1.0 TB 12V Flex 5p Aut.</t>
  </si>
  <si>
    <t>004461-0</t>
  </si>
  <si>
    <t>ONIX HATCH SELEÇÃO 1.0 8V Flex 5p Mec.</t>
  </si>
  <si>
    <t>004451-2</t>
  </si>
  <si>
    <t>ONIX Lollapalooza 1.0 F.Power 5p Mec.</t>
  </si>
  <si>
    <t>004531-4</t>
  </si>
  <si>
    <t>ONIX SD. P. PR. MIDNIGHT 1.0 TB Flex Aut</t>
  </si>
  <si>
    <t>004504-7</t>
  </si>
  <si>
    <t>ONIX SED. Plus PREM. 1.0 12V TB Flex Aut</t>
  </si>
  <si>
    <t>004499-7</t>
  </si>
  <si>
    <t>ONIX SEDAN Plus 1.0 12V TB Flex Aut.</t>
  </si>
  <si>
    <t>004518-7</t>
  </si>
  <si>
    <t>ONIX SEDAN Plus LT 1.0 12V Flex 4p Mec.</t>
  </si>
  <si>
    <t>004501-2</t>
  </si>
  <si>
    <t>ONIX SEDAN Plus LT 1.0 12V TB Flex Aut.</t>
  </si>
  <si>
    <t>004500-4</t>
  </si>
  <si>
    <t>ONIX SEDAN Plus LT 1.0 12V TB Flex Mec.</t>
  </si>
  <si>
    <t>004502-0</t>
  </si>
  <si>
    <t>ONIX SEDAN Plus LTZ 1.0 12V TB Flex Aut.</t>
  </si>
  <si>
    <t>004503-9</t>
  </si>
  <si>
    <t>ONIX SEDAN Plus LTZ 1.0 12V TB Flex Mec.</t>
  </si>
  <si>
    <t>001269-6</t>
  </si>
  <si>
    <t>Palio 1.0 Cel. ECON./ITALIA F.Flex 8V 4p</t>
  </si>
  <si>
    <t>PALIO</t>
  </si>
  <si>
    <t>001268-8</t>
  </si>
  <si>
    <t>Palio 1.0 Celebr. ECONOMY F.Flex 8V 2p</t>
  </si>
  <si>
    <t>001266-1</t>
  </si>
  <si>
    <t>Palio 1.0 ECONOMY Fire Flex 8V 2p</t>
  </si>
  <si>
    <t>001267-0</t>
  </si>
  <si>
    <t>Palio 1.0 ECONOMY Fire Flex 8V 4p</t>
  </si>
  <si>
    <t>001176-2</t>
  </si>
  <si>
    <t>Palio 1.0/ Trofeo 1.0 Fire/ Fire Flex 2p</t>
  </si>
  <si>
    <t>001177-0</t>
  </si>
  <si>
    <t>Palio 1.0/ Trofeo 1.0 Fire/ Fire Flex 4p</t>
  </si>
  <si>
    <t>001200-9</t>
  </si>
  <si>
    <t>Palio 1.5 mpi 8V 2p</t>
  </si>
  <si>
    <t>001201-7</t>
  </si>
  <si>
    <t>Palio 1.5 mpi 8V 4p</t>
  </si>
  <si>
    <t>001009-0</t>
  </si>
  <si>
    <t>Palio 1.6 mpi 16V 2p</t>
  </si>
  <si>
    <t>001070-7</t>
  </si>
  <si>
    <t>Palio 1.6 mpi 16V 4p</t>
  </si>
  <si>
    <t>001244-0</t>
  </si>
  <si>
    <t>Palio 1.8R mpi Flex 8V 2p</t>
  </si>
  <si>
    <t>001231-9</t>
  </si>
  <si>
    <t>Palio 1.8R mpi Flex 8V 4p</t>
  </si>
  <si>
    <t>001439-7</t>
  </si>
  <si>
    <t>Palio ATTRA. Best Seller 1.0 EVO Flex 5p</t>
  </si>
  <si>
    <t>001438-9</t>
  </si>
  <si>
    <t>Palio ATTRA. Best Seller 1.4 EVO Flex 5p</t>
  </si>
  <si>
    <t>001314-5</t>
  </si>
  <si>
    <t>Palio ATTRA./ITÁLIA 1.4 EVO F.Flex 8V 5p</t>
  </si>
  <si>
    <t>001372-2</t>
  </si>
  <si>
    <t>Palio ATTRACTIVE 1.0 EVO Fire Flex 8v 5p</t>
  </si>
  <si>
    <t>001237-8</t>
  </si>
  <si>
    <t>Palio Celebration 1.0 Fire Flex 8V 2p</t>
  </si>
  <si>
    <t>001238-6</t>
  </si>
  <si>
    <t>Palio Celebration 1.0 Fire Flex 8V 4p</t>
  </si>
  <si>
    <t>001067-7</t>
  </si>
  <si>
    <t>Palio City 1.0 4p</t>
  </si>
  <si>
    <t>001069-3</t>
  </si>
  <si>
    <t>Palio City 1.5/1.6 4p</t>
  </si>
  <si>
    <t>001115-0</t>
  </si>
  <si>
    <t>Palio CityMatic 1.0 mpi</t>
  </si>
  <si>
    <t>001006-5</t>
  </si>
  <si>
    <t>Palio ED 1.0 mpi 2p e 4p</t>
  </si>
  <si>
    <t>001007-3</t>
  </si>
  <si>
    <t>Palio EDX 1.0 mpi 2p</t>
  </si>
  <si>
    <t>001008-1</t>
  </si>
  <si>
    <t>Palio EDX 1.0 mpi 4p</t>
  </si>
  <si>
    <t>001031-6</t>
  </si>
  <si>
    <t>Palio EL 1.5 mpi 2p e 4p</t>
  </si>
  <si>
    <t>001063-4</t>
  </si>
  <si>
    <t>Palio EL 1.6 spi 2p e 4p</t>
  </si>
  <si>
    <t>001207-6</t>
  </si>
  <si>
    <t>Palio ELX 1.0 Fire/30 Anos F. Flex 8V 4p</t>
  </si>
  <si>
    <t>001151-7</t>
  </si>
  <si>
    <t>Palio ELX 1.0 mpi Fire 16v 4p (25 anos)</t>
  </si>
  <si>
    <t>001066-9</t>
  </si>
  <si>
    <t>Palio ELX 1.0/ 1.0 Fire Flex 8V 2p</t>
  </si>
  <si>
    <t>001142-8</t>
  </si>
  <si>
    <t>Palio ELX 1.3 mpi Fire 16V 4p</t>
  </si>
  <si>
    <t>001208-4</t>
  </si>
  <si>
    <t>Palio ELX 1.3 mpi Flex 8V 4p</t>
  </si>
  <si>
    <t>001223-8</t>
  </si>
  <si>
    <t>Palio ELX 1.4 Fire/30 Anos F. Flex 8V 4p</t>
  </si>
  <si>
    <t>001071-5</t>
  </si>
  <si>
    <t>Palio ELX 1.5 4p</t>
  </si>
  <si>
    <t>001068-5</t>
  </si>
  <si>
    <t>Palio ELX 1.6 4p</t>
  </si>
  <si>
    <t>001152-5</t>
  </si>
  <si>
    <t>Palio ELX 1.6 mpi 16v 4p</t>
  </si>
  <si>
    <t>001196-7</t>
  </si>
  <si>
    <t>Palio ELX 1.8/ 1.8 mpi Flex 8V 4p</t>
  </si>
  <si>
    <t>001278-5</t>
  </si>
  <si>
    <t>Palio ELX Dualogic 1.8 mpi Flex 8V 4p</t>
  </si>
  <si>
    <t>001065-0</t>
  </si>
  <si>
    <t>Palio ELX/ 500 1.0 4p</t>
  </si>
  <si>
    <t>001324-2</t>
  </si>
  <si>
    <t>Palio ESSENCE 1.6 Flex 16V 5p</t>
  </si>
  <si>
    <t>001325-0</t>
  </si>
  <si>
    <t>Palio ESSENCE Dualogic 1.6 Flex 16V 5p</t>
  </si>
  <si>
    <t>001004-9</t>
  </si>
  <si>
    <t>Palio EX 1.0 mpi 2p</t>
  </si>
  <si>
    <t>001005-7</t>
  </si>
  <si>
    <t>Palio EX 1.0 mpi 4p</t>
  </si>
  <si>
    <t>001154-1</t>
  </si>
  <si>
    <t>Palio EX 1.0 mpi Fire 8v 4p</t>
  </si>
  <si>
    <t>001153-3</t>
  </si>
  <si>
    <t>Palio EX 1.0 mpi Fire/ Fire Flex 8v 2p</t>
  </si>
  <si>
    <t>001178-9</t>
  </si>
  <si>
    <t>Palio EX 1.3 mpi Fire 8V 67cv 2p</t>
  </si>
  <si>
    <t>001179-7</t>
  </si>
  <si>
    <t>Palio EX 1.3 mpi Fire 8V 67cv 4p</t>
  </si>
  <si>
    <t>001195-9</t>
  </si>
  <si>
    <t>Palio EX 1.8 mpi 8V 103cv 4p</t>
  </si>
  <si>
    <t>001171-1</t>
  </si>
  <si>
    <t>Palio EX Century 1.0 mpi Fire 16v 2p</t>
  </si>
  <si>
    <t>001172-0</t>
  </si>
  <si>
    <t>Palio EX Century 1.0 mpi Fire 16v 4p</t>
  </si>
  <si>
    <t>001209-2</t>
  </si>
  <si>
    <t>Palio HLX 1.8 mpi 8V 103cv 4p</t>
  </si>
  <si>
    <t>001210-6</t>
  </si>
  <si>
    <t>Palio HLX 1.8 mpi Flex 8V 4p</t>
  </si>
  <si>
    <t>001426-5</t>
  </si>
  <si>
    <t>Palio Rua 1.0 Fire Flex 8V 5p</t>
  </si>
  <si>
    <t>001397-8</t>
  </si>
  <si>
    <t>Palio SPORT.INTERLAGOS 1.6 Flex 16V</t>
  </si>
  <si>
    <t>001398-6</t>
  </si>
  <si>
    <t>Palio SPORT.INTERLAGOS Dual.1.6 Flex 16V</t>
  </si>
  <si>
    <t>001370-6</t>
  </si>
  <si>
    <t>Palio SPORTING 1.6 Flex 16V 5p</t>
  </si>
  <si>
    <t>001467-2</t>
  </si>
  <si>
    <t>Palio SPORTING B.Edit. 1.6 Flex 16V 5p</t>
  </si>
  <si>
    <t>001468-0</t>
  </si>
  <si>
    <t>Palio SPORTING Dual. B.Edit. 1.6 Flex 5p</t>
  </si>
  <si>
    <t>001371-4</t>
  </si>
  <si>
    <t>Palio SPORTING Dualogic 1.6 Flex 16V 5p</t>
  </si>
  <si>
    <t>001155-0</t>
  </si>
  <si>
    <t>Palio Stile 1.6 mpi 16v 4p</t>
  </si>
  <si>
    <t>001376-5</t>
  </si>
  <si>
    <t>Palio W.Adv. LOC. ITAL.Dual.1.8 Flex 16V</t>
  </si>
  <si>
    <t>001374-9</t>
  </si>
  <si>
    <t>Palio W.ADV. LOCK. ITALIA 1.8 Flex 16V</t>
  </si>
  <si>
    <t>001418-4</t>
  </si>
  <si>
    <t>Palio Way 1.0 Fire Flex 8V 5p</t>
  </si>
  <si>
    <t>001419-2</t>
  </si>
  <si>
    <t>Palio Way Celebration 1.0 F. Flex 8V 5p</t>
  </si>
  <si>
    <t>001357-9</t>
  </si>
  <si>
    <t>Palio Week. Adv. Dualogic 1.8 Flex</t>
  </si>
  <si>
    <t>001373-0</t>
  </si>
  <si>
    <t>Palio Week. Adv. ITALIA 1.8 Flex 16V</t>
  </si>
  <si>
    <t>001216-5</t>
  </si>
  <si>
    <t>Palio Week. Adv/Adv TRYON 1.8 mpi Flex</t>
  </si>
  <si>
    <t>001315-3</t>
  </si>
  <si>
    <t>Palio Week. ATTRACTIVE 1.4 Fire Flex 8V</t>
  </si>
  <si>
    <t>001375-7</t>
  </si>
  <si>
    <t>Palio Week.Adv. ITAL. Dual. 1.8 Flex 16V</t>
  </si>
  <si>
    <t>001280-7</t>
  </si>
  <si>
    <t>Palio Week.Adv.LOCK.Dualogic 1.8 Flex</t>
  </si>
  <si>
    <t>001104-5</t>
  </si>
  <si>
    <t>Palio Weekend 1.0 6-marchas</t>
  </si>
  <si>
    <t>001010-3</t>
  </si>
  <si>
    <t>Palio Weekend 1.5 mpi 4p</t>
  </si>
  <si>
    <t>001011-1</t>
  </si>
  <si>
    <t>Palio Weekend 1.6 mpi 16V 4p</t>
  </si>
  <si>
    <t>001459-1</t>
  </si>
  <si>
    <t>Palio Weekend Adv. Ext. 1.8 Dual. Flex</t>
  </si>
  <si>
    <t>001457-5</t>
  </si>
  <si>
    <t>Palio Weekend Adv. Ext. 1.8 Flex</t>
  </si>
  <si>
    <t>001460-5</t>
  </si>
  <si>
    <t>Palio Weekend Adv. Loc.Ext.1.8 Dual.Flex</t>
  </si>
  <si>
    <t>001458-3</t>
  </si>
  <si>
    <t>Palio Weekend Adv. LOCKER Ext. 1.8 Flex</t>
  </si>
  <si>
    <t>001111-8</t>
  </si>
  <si>
    <t>Palio Weekend Adventure 1.6 8V/16V</t>
  </si>
  <si>
    <t>001194-0</t>
  </si>
  <si>
    <t>Palio Weekend Adventure 1.8 8V 103cv 4p</t>
  </si>
  <si>
    <t>001255-6</t>
  </si>
  <si>
    <t>Palio Weekend Adventure LOCKER 1.8 Flex</t>
  </si>
  <si>
    <t>001136-3</t>
  </si>
  <si>
    <t>Palio Weekend City 1.5/ 1.6 4p</t>
  </si>
  <si>
    <t>001156-8</t>
  </si>
  <si>
    <t>Palio Weekend ELX 1.0 mpi Fire 16V</t>
  </si>
  <si>
    <t>001143-6</t>
  </si>
  <si>
    <t>Palio Weekend ELX 1.3 mpi Fire 16V</t>
  </si>
  <si>
    <t>001214-9</t>
  </si>
  <si>
    <t>Palio Weekend ELX 1.3 mpi Flex 8V 4p</t>
  </si>
  <si>
    <t>001225-4</t>
  </si>
  <si>
    <t>Palio Weekend ELX 1.4 mpi Fire Flex 8V</t>
  </si>
  <si>
    <t>001075-8</t>
  </si>
  <si>
    <t>Palio Weekend ELX 1.5 mpi 4p</t>
  </si>
  <si>
    <t>001073-1</t>
  </si>
  <si>
    <t>Palio Weekend ELX 1.6 mpi</t>
  </si>
  <si>
    <t>001191-6</t>
  </si>
  <si>
    <t>Palio Weekend EX 1.3 mpi Fire 8V 67cv 4p</t>
  </si>
  <si>
    <t>001074-0</t>
  </si>
  <si>
    <t>Palio Weekend EX 1.5 mpi</t>
  </si>
  <si>
    <t>001192-4</t>
  </si>
  <si>
    <t>Palio Weekend EX 1.8 mpi 8V 103cv 4p</t>
  </si>
  <si>
    <t>001215-7</t>
  </si>
  <si>
    <t>Palio Weekend HLX 1.8 mpi Flex 4p</t>
  </si>
  <si>
    <t>001013-8</t>
  </si>
  <si>
    <t>Palio Weekend Sport 1.6 mpi 16V 4p</t>
  </si>
  <si>
    <t>001012-0</t>
  </si>
  <si>
    <t>Palio Weekend Stile 1.6 mpi 16V 4p</t>
  </si>
  <si>
    <t>001193-2</t>
  </si>
  <si>
    <t>Palio Weekend Stile 1.8 mpi 8V 103cv 4p</t>
  </si>
  <si>
    <t>001256-4</t>
  </si>
  <si>
    <t>Palio Weekend Trekking 1.4 Fire Flex 8V</t>
  </si>
  <si>
    <t>001336-6</t>
  </si>
  <si>
    <t>Palio Weekend Trekking 1.6 Flex 16V 5p</t>
  </si>
  <si>
    <t>001294-7</t>
  </si>
  <si>
    <t>Palio Weekend Trekking 1.8 mpi Flex 8V</t>
  </si>
  <si>
    <t>001149-5</t>
  </si>
  <si>
    <t>Palio Young 1.0 mpi 8v 2p</t>
  </si>
  <si>
    <t>001150-9</t>
  </si>
  <si>
    <t>Palio Young 1.0 mpi 8v 4p</t>
  </si>
  <si>
    <t>001165-7</t>
  </si>
  <si>
    <t>Palio Young 1.0 mpi Fire 8V 2p</t>
  </si>
  <si>
    <t>001166-5</t>
  </si>
  <si>
    <t>Palio Young 1.0 mpi Fire 8V 4p</t>
  </si>
  <si>
    <t>005160-8</t>
  </si>
  <si>
    <t>Parati 1.0 Mi FUN/ SunSet 16V 4p</t>
  </si>
  <si>
    <t>PARATI</t>
  </si>
  <si>
    <t>005151-9</t>
  </si>
  <si>
    <t>Parati 1.0 Mi Plus 16v 4p</t>
  </si>
  <si>
    <t>005152-7</t>
  </si>
  <si>
    <t>Parati 1.0 Mi Summer 16v 4p</t>
  </si>
  <si>
    <t>005165-9</t>
  </si>
  <si>
    <t>Parati 1.0 Mi Tour 16V 76cv 4p</t>
  </si>
  <si>
    <t>005211-6</t>
  </si>
  <si>
    <t>Parati 1.6 Mi Plus Total Flex 8V 4p</t>
  </si>
  <si>
    <t>005108-0</t>
  </si>
  <si>
    <t>Parati 1.6 Mi/ 1.6 Mi City</t>
  </si>
  <si>
    <t>005192-6</t>
  </si>
  <si>
    <t>Parati 1.6Mi/1.6Mi City/T.Field T.Flex</t>
  </si>
  <si>
    <t>005218-3</t>
  </si>
  <si>
    <t>Parati 1.8 Mi City Total Flex 8V 4p</t>
  </si>
  <si>
    <t>005221-3</t>
  </si>
  <si>
    <t>Parati 1.8 Mi CROSSOVER Total Flex 8V 4p</t>
  </si>
  <si>
    <t>005219-1</t>
  </si>
  <si>
    <t>Parati 1.8 Mi Plus Total Flex 8V 4p</t>
  </si>
  <si>
    <t>005220-5</t>
  </si>
  <si>
    <t>Parati 1.8 Mi T. Field Total Flex 8V 4p</t>
  </si>
  <si>
    <t>005166-7</t>
  </si>
  <si>
    <t>Parati 1.8 Mi Tour 8V 99cv 4p</t>
  </si>
  <si>
    <t>005109-8</t>
  </si>
  <si>
    <t>Parati 1.8 Mi/ 1.8 Mi Plus</t>
  </si>
  <si>
    <t>005008-3</t>
  </si>
  <si>
    <t>Parati 1000 Mi 16V 2p e 4p</t>
  </si>
  <si>
    <t>005167-5</t>
  </si>
  <si>
    <t>Parati 2.0 Mi Tour 8V 112cv 4p</t>
  </si>
  <si>
    <t>005110-1</t>
  </si>
  <si>
    <t>Parati 2.0 Mi/ 2.0 Mi Track &amp; Field</t>
  </si>
  <si>
    <t>005009-1</t>
  </si>
  <si>
    <t>Parati C 1.6/ CL 1.6 Mi 2p e 4p</t>
  </si>
  <si>
    <t>005010-5</t>
  </si>
  <si>
    <t>Parati CL 1.8 Mi 2p e 4p</t>
  </si>
  <si>
    <t>005242-6</t>
  </si>
  <si>
    <t>Parati COMFORTLINE 1.6 Mi Tot.Flex 8V 4p</t>
  </si>
  <si>
    <t>005232-9</t>
  </si>
  <si>
    <t>Parati COMFORTLINE 1.8 Mi Tot.Flex 8V 4p</t>
  </si>
  <si>
    <t>005188-8</t>
  </si>
  <si>
    <t>Parati CROSSOVER 2.0 8V/ 1.0 16V TB 4p</t>
  </si>
  <si>
    <t>005183-7</t>
  </si>
  <si>
    <t>Parati Evidence 1.8 8V/ 1.0 16V TB 4p</t>
  </si>
  <si>
    <t>005050-4</t>
  </si>
  <si>
    <t>Parati GL 1.6 Mi/ 1.6/ GLS/ Club 1.6</t>
  </si>
  <si>
    <t>005011-3</t>
  </si>
  <si>
    <t>Parati GL 1.8 Mi/ Club 1.8 Mi 2p e 4p</t>
  </si>
  <si>
    <t>005100-4</t>
  </si>
  <si>
    <t>Parati Plus/ LS/ S</t>
  </si>
  <si>
    <t>005270-1</t>
  </si>
  <si>
    <t>Parati SURF 1.6 Mi Total Flex</t>
  </si>
  <si>
    <t>005271-0</t>
  </si>
  <si>
    <t>Parati SURF 1.8 Mi Total Flex</t>
  </si>
  <si>
    <t>005289-2</t>
  </si>
  <si>
    <t>Parati TITAN 1.6 Mi Total Flex 8V 4p</t>
  </si>
  <si>
    <t>018060-2</t>
  </si>
  <si>
    <t>Kia</t>
  </si>
  <si>
    <t>Picanto EX 1.1/1.0/ 1.0 Flex Aut.</t>
  </si>
  <si>
    <t>PICANTO</t>
  </si>
  <si>
    <t>018059-9</t>
  </si>
  <si>
    <t>Picanto EX 1.1/1.0/ 1.0 Flex Mec.</t>
  </si>
  <si>
    <t>018090-4</t>
  </si>
  <si>
    <t>Picanto GT 1.0 12V Flex Aut.</t>
  </si>
  <si>
    <t>005479-8</t>
  </si>
  <si>
    <t>Polo 1.0 Flex 12V 5p</t>
  </si>
  <si>
    <t>POLO</t>
  </si>
  <si>
    <t>005174-8</t>
  </si>
  <si>
    <t>Polo 1.0 Mi 79cv 16V 5p</t>
  </si>
  <si>
    <t>005290-6</t>
  </si>
  <si>
    <t>Polo 1.6 E-Flex 8V 5p</t>
  </si>
  <si>
    <t>005172-1</t>
  </si>
  <si>
    <t>Polo 1.6 Mi/ S.Ouro 1.6Mi 101cv 8V 5p</t>
  </si>
  <si>
    <t>005213-2</t>
  </si>
  <si>
    <t>Polo 1.6 Mi/S.Ouro 1.6 Mi Tot.Flex 8V 5p</t>
  </si>
  <si>
    <t>005478-0</t>
  </si>
  <si>
    <t>Polo 1.6 MSI Flex 16V 5p</t>
  </si>
  <si>
    <t>005499-2</t>
  </si>
  <si>
    <t>Polo 1.6 MSI Total Flex 16V 5p Aut.</t>
  </si>
  <si>
    <t>005173-0</t>
  </si>
  <si>
    <t>Polo 2.0 Mi 116cv 8V 5p</t>
  </si>
  <si>
    <t>005288-4</t>
  </si>
  <si>
    <t>Polo BLUEMOTION 1.6 Total Flex 8V 5p</t>
  </si>
  <si>
    <t>005177-2</t>
  </si>
  <si>
    <t>Polo Classic 1.0 Mi 16v 65cv 4p</t>
  </si>
  <si>
    <t>005013-0</t>
  </si>
  <si>
    <t>Polo Classic/ Special 1.8 Mi</t>
  </si>
  <si>
    <t>005477-1</t>
  </si>
  <si>
    <t>Polo Comfort. 200 TSI 1.0 Flex 12V Aut.</t>
  </si>
  <si>
    <t>005284-1</t>
  </si>
  <si>
    <t>Polo GT 2.0 Mi Total Flex 8V 5p</t>
  </si>
  <si>
    <t>005258-2</t>
  </si>
  <si>
    <t>Polo GTI 1.8 Mi 150cv 20V Turbo 3p</t>
  </si>
  <si>
    <t>005521-2</t>
  </si>
  <si>
    <t>Polo GTS 1.4 TSI 16V Flex</t>
  </si>
  <si>
    <t>005476-3</t>
  </si>
  <si>
    <t>Polo Highline 200 TSI 1.0 Flex 12V Aut.</t>
  </si>
  <si>
    <t>005294-9</t>
  </si>
  <si>
    <t>Polo I MOTION 1.6 Total Flex 5p</t>
  </si>
  <si>
    <t>005191-8</t>
  </si>
  <si>
    <t>Polo Next 1.6 Mi 101cv 8V 5p</t>
  </si>
  <si>
    <t>005248-5</t>
  </si>
  <si>
    <t>Polo Sed. COMFORT. 1.6 Mi Tot. Flex 8v</t>
  </si>
  <si>
    <t>005186-1</t>
  </si>
  <si>
    <t>Polo Sed./Sed. COMF. 2.0/2.0 Flex 8V 4p</t>
  </si>
  <si>
    <t>005297-3</t>
  </si>
  <si>
    <t>Polo Sed.COMFORT. I MOTION 1.6 T.Flex 4p</t>
  </si>
  <si>
    <t>005185-3</t>
  </si>
  <si>
    <t>Polo Sedan 1.6 Mi 101cv 8V 4p</t>
  </si>
  <si>
    <t>005214-0</t>
  </si>
  <si>
    <t>Polo Sedan 1.6 Mi Total Flex 8V 4p</t>
  </si>
  <si>
    <t>005226-4</t>
  </si>
  <si>
    <t>Polo Sedan Evidence 1.6 Mi T.Flex 8v 4p</t>
  </si>
  <si>
    <t>005296-5</t>
  </si>
  <si>
    <t>Polo Sedan I MOTION 1.6 Total Flex 4p</t>
  </si>
  <si>
    <t>005513-1</t>
  </si>
  <si>
    <t>Polo Sense 200 TSI 1.0 Flex 12V Aut</t>
  </si>
  <si>
    <t>005249-3</t>
  </si>
  <si>
    <t>Polo SPORTLINE 1.6 Mi Total Flex 8V 5p</t>
  </si>
  <si>
    <t>005333-3</t>
  </si>
  <si>
    <t>Polo Sportline 2.0 Mi Total Flex 8V 5p</t>
  </si>
  <si>
    <t>005295-7</t>
  </si>
  <si>
    <t>Polo SPORTLINE I MOTION 1.6 T.Flex 5p</t>
  </si>
  <si>
    <t>004452-0</t>
  </si>
  <si>
    <t>PRISMA Sed. ADVANT. 1.0 8V FlexPower 4p</t>
  </si>
  <si>
    <t>PRISMA</t>
  </si>
  <si>
    <t>004466-0</t>
  </si>
  <si>
    <t>PRISMA Sed. ADVANT. 1.4 8V F.Power Aut.</t>
  </si>
  <si>
    <t>004332-0</t>
  </si>
  <si>
    <t>PRISMA Sed. Joy 1.4 8V ECONOFLEX 4p</t>
  </si>
  <si>
    <t>004358-3</t>
  </si>
  <si>
    <t>PRISMA Sed. Joy/ LS 1.0 8V FlexPower 4p</t>
  </si>
  <si>
    <t>004432-6</t>
  </si>
  <si>
    <t>PRISMA Sed. LT 1.0 8V FlexPower 4p</t>
  </si>
  <si>
    <t>004433-4</t>
  </si>
  <si>
    <t>PRISMA Sed. LT 1.4 8V FlexPower 4p</t>
  </si>
  <si>
    <t>004436-9</t>
  </si>
  <si>
    <t>PRISMA Sed. LT 1.4 8V FlexPower 4p Aut.</t>
  </si>
  <si>
    <t>004434-2</t>
  </si>
  <si>
    <t>PRISMA Sed. LTZ 1.4 8V FlexPower 4p</t>
  </si>
  <si>
    <t>004437-7</t>
  </si>
  <si>
    <t>PRISMA Sed. LTZ 1.4 8V FlexPower 4p Aut.</t>
  </si>
  <si>
    <t>004359-1</t>
  </si>
  <si>
    <t>PRISMA Sed. Maxx 1.0 8V FlexPower 4p</t>
  </si>
  <si>
    <t>004333-8</t>
  </si>
  <si>
    <t>PRISMA Sed. Maxx/ LT 1.4 8V ECONOF. 4p</t>
  </si>
  <si>
    <t>001542-3</t>
  </si>
  <si>
    <t>PULSE AUDACE 1.0 Turbo 200 Flex Aut.</t>
  </si>
  <si>
    <t>PULSE</t>
  </si>
  <si>
    <t>001543-1</t>
  </si>
  <si>
    <t>PULSE DRIVE 1.0 Turbo 200 Flex Aut.</t>
  </si>
  <si>
    <t>001544-0</t>
  </si>
  <si>
    <t>PULSE DRIVE 1.3 8V Flex Aut.</t>
  </si>
  <si>
    <t>001545-8</t>
  </si>
  <si>
    <t>PULSE DRIVE 1.3 8V Flex Mec.</t>
  </si>
  <si>
    <t>001546-6</t>
  </si>
  <si>
    <t>PULSE IMPETUS 1.0 TURBO 200 Flex Aut.</t>
  </si>
  <si>
    <t>001248-3</t>
  </si>
  <si>
    <t>Punto 1.4 Fire Flex 8V 5p</t>
  </si>
  <si>
    <t>PUNTO</t>
  </si>
  <si>
    <t>001313-7</t>
  </si>
  <si>
    <t>Punto ATTRACTIVE 1.4 Fire Flex 8V 5p</t>
  </si>
  <si>
    <t>001377-3</t>
  </si>
  <si>
    <t>Punto ATTRACTIVE ITALIA 1.4 F.Flex 8V 5p</t>
  </si>
  <si>
    <t>001249-1</t>
  </si>
  <si>
    <t>Punto ELX 1.4 Fire Flex 8V 5p</t>
  </si>
  <si>
    <t>001316-1</t>
  </si>
  <si>
    <t>Punto ESSENCE 1.6 Flex 16V 5p</t>
  </si>
  <si>
    <t>001317-0</t>
  </si>
  <si>
    <t>Punto ESSENCE 1.8 Flex 16V 5p</t>
  </si>
  <si>
    <t>001250-5</t>
  </si>
  <si>
    <t>Punto HLX 1.8 Flex 8V 5p</t>
  </si>
  <si>
    <t>017040-2</t>
  </si>
  <si>
    <t>Jeep</t>
  </si>
  <si>
    <t>Renegade 1.8 4x2 Flex 16V Mec.</t>
  </si>
  <si>
    <t>RENEGADE</t>
  </si>
  <si>
    <t>017043-7</t>
  </si>
  <si>
    <t>Renegade 75 Anos 1.8 4X2 Flex 16V Aut.</t>
  </si>
  <si>
    <t>017042-9</t>
  </si>
  <si>
    <t>Renegade 75 Anos 2.0 4X4 TB Diesel Aut.</t>
  </si>
  <si>
    <t>017054-2</t>
  </si>
  <si>
    <t>Renegade Custom 1.8 4x2 Flex 16V Mec.</t>
  </si>
  <si>
    <t>017057-7</t>
  </si>
  <si>
    <t>Renegade Custom 2.0 4x4 TB Diesel Aut.</t>
  </si>
  <si>
    <t>017041-0</t>
  </si>
  <si>
    <t>Renegade Lim. Edit. 1.8 4x2 Flex 16V Aut</t>
  </si>
  <si>
    <t>017053-4</t>
  </si>
  <si>
    <t>Renegade Limited 1.8 4x2 Flex 16V Aut.</t>
  </si>
  <si>
    <t>017052-6</t>
  </si>
  <si>
    <t>Renegade Limited 2.0 4x4 TB Diesel Aut.</t>
  </si>
  <si>
    <t>017088-7</t>
  </si>
  <si>
    <t>Renegade Long. T270 1.3 TB 4x2 Flex Aut.</t>
  </si>
  <si>
    <t>017035-6</t>
  </si>
  <si>
    <t>Renegade Longitude 1.8 4x2 Flex 16V Aut.</t>
  </si>
  <si>
    <t>017037-2</t>
  </si>
  <si>
    <t>Renegade Longitude 2.0 4x4 TB Diesel Aut</t>
  </si>
  <si>
    <t>017069-0</t>
  </si>
  <si>
    <t>Renegade Moab 2.0 4x4 TB Diesel Aut.</t>
  </si>
  <si>
    <t>017055-0</t>
  </si>
  <si>
    <t>Renegade Night Eagle 1.8 4x2 Flex Aut.</t>
  </si>
  <si>
    <t>017056-9</t>
  </si>
  <si>
    <t>Renegade Night Eagle 2.0 4x4 TB Die. Aut</t>
  </si>
  <si>
    <t>017087-9</t>
  </si>
  <si>
    <t>Renegade S T270 1.3 TB 4x4 Flex Aut.</t>
  </si>
  <si>
    <t>017034-8</t>
  </si>
  <si>
    <t>Renegade Sport 1.8 4x2 Flex 16V Aut.</t>
  </si>
  <si>
    <t>017033-0</t>
  </si>
  <si>
    <t>Renegade Sport 1.8 4x2 Flex 16V Mec.</t>
  </si>
  <si>
    <t>017036-4</t>
  </si>
  <si>
    <t>Renegade Sport 2.0 4x4 TB Diesel Aut.</t>
  </si>
  <si>
    <t>017085-2</t>
  </si>
  <si>
    <t>Renegade Sport T270 1.3 TB 4x2 Flex Aut.</t>
  </si>
  <si>
    <t>017067-4</t>
  </si>
  <si>
    <t>Renegade STD 1.8 4x2 Flex 16v Aut.</t>
  </si>
  <si>
    <t>017038-0</t>
  </si>
  <si>
    <t>Renegade Trailhawk 2.0 4x4 TB Diesel Aut</t>
  </si>
  <si>
    <t>017086-0</t>
  </si>
  <si>
    <t>Renegade Trailhawk T270 1.3 TB Flex Aut.</t>
  </si>
  <si>
    <t>017065-8</t>
  </si>
  <si>
    <t>Renegade Willys 2.0 4x4 TB Diesel Aut.</t>
  </si>
  <si>
    <t>017062-3</t>
  </si>
  <si>
    <t>Renegade1.8 4x2 Flex 16V Aut.</t>
  </si>
  <si>
    <t>025227-1</t>
  </si>
  <si>
    <t>SANDERO Auth. Plus Hi-Power 1.0 16V 5p</t>
  </si>
  <si>
    <t>SANDERO</t>
  </si>
  <si>
    <t>025243-3</t>
  </si>
  <si>
    <t>SANDERO Authentique Flex 1.0 12V 5p</t>
  </si>
  <si>
    <t>025141-0</t>
  </si>
  <si>
    <t>SANDERO Authentique Hi-Flex 1.0 16V 5p</t>
  </si>
  <si>
    <t>025142-9</t>
  </si>
  <si>
    <t>SANDERO Authentique Hi-Flex 1.6 8V 5p</t>
  </si>
  <si>
    <t>025216-6</t>
  </si>
  <si>
    <t>SANDERO Authentique Hi-Power 1.0 16V 5p</t>
  </si>
  <si>
    <t>025219-0</t>
  </si>
  <si>
    <t>SANDERO Dyna. EasyR Hi-Flex 1.6 8V</t>
  </si>
  <si>
    <t>025248-4</t>
  </si>
  <si>
    <t>SANDERO Dynamique Easy R Flex 1.6 16V 5p</t>
  </si>
  <si>
    <t>025254-9</t>
  </si>
  <si>
    <t>SANDERO Dynamique Flex 1.6 16V 5p</t>
  </si>
  <si>
    <t>025213-1</t>
  </si>
  <si>
    <t>SANDERO Dynamique Hi-Power 1.6 8V 5p</t>
  </si>
  <si>
    <t>025220-4</t>
  </si>
  <si>
    <t>SANDERO Expres EasyR Hi-Flex 1.6 8V</t>
  </si>
  <si>
    <t>025237-9</t>
  </si>
  <si>
    <t>SANDERO Expres. P.Avant. Hi.P. 1.6 8V 5p</t>
  </si>
  <si>
    <t>025251-4</t>
  </si>
  <si>
    <t>SANDERO Expression EasyR Flex 1.6 16V 5p</t>
  </si>
  <si>
    <t>025244-1</t>
  </si>
  <si>
    <t>SANDERO Expression Flex 1.0 12V 5p</t>
  </si>
  <si>
    <t>025250-6</t>
  </si>
  <si>
    <t>SANDERO Expression Flex 1.6 16V 5p</t>
  </si>
  <si>
    <t>025143-7</t>
  </si>
  <si>
    <t>SANDERO Expression Hi-Flex 1.0 16V 5p</t>
  </si>
  <si>
    <t>025144-5</t>
  </si>
  <si>
    <t>SANDERO Expression Hi-Flex 1.6 8V 5p</t>
  </si>
  <si>
    <t>025215-8</t>
  </si>
  <si>
    <t>SANDERO Expression Hi-Power 1.0 16V 5p</t>
  </si>
  <si>
    <t>025214-0</t>
  </si>
  <si>
    <t>SANDERO Expression Hi-Power 1.6 8V 5p</t>
  </si>
  <si>
    <t>025304-9</t>
  </si>
  <si>
    <t>SANDERO GT Line Flex/RLI 1.6.16V 5p Aut.</t>
  </si>
  <si>
    <t>025172-0</t>
  </si>
  <si>
    <t>SANDERO GT line Hi-Flex 1.6 16V 4p</t>
  </si>
  <si>
    <t>025190-9</t>
  </si>
  <si>
    <t>SANDERO GT line Hi-Flex 1.6 8V 5p</t>
  </si>
  <si>
    <t>025229-8</t>
  </si>
  <si>
    <t>SANDERO GT line Hi-Power 1.6 8V 5p</t>
  </si>
  <si>
    <t>025275-1</t>
  </si>
  <si>
    <t>SANDERO GT line/RLIN Flex 1.0 12v 5p</t>
  </si>
  <si>
    <t>025249-2</t>
  </si>
  <si>
    <t>SANDERO GT line/RLIN Flex 1.6 16V 5p</t>
  </si>
  <si>
    <t>025287-5</t>
  </si>
  <si>
    <t>SANDERO Intense Flex 1.6 16V 5p Aut.</t>
  </si>
  <si>
    <t>025284-0</t>
  </si>
  <si>
    <t>SANDERO Life Flex 1.0 12V 5p Mec.</t>
  </si>
  <si>
    <t>025152-6</t>
  </si>
  <si>
    <t>SANDERO NOKIA Hi-Flex 1.6 16V 5p</t>
  </si>
  <si>
    <t>025146-1</t>
  </si>
  <si>
    <t>SANDERO Privilège Hi-Flex 1.6 16V 5p</t>
  </si>
  <si>
    <t>025176-3</t>
  </si>
  <si>
    <t>SANDERO Privilège Hi-Flex 1.6 16V 5p Aut</t>
  </si>
  <si>
    <t>025145-3</t>
  </si>
  <si>
    <t>SANDERO Privilège Hi-Flex 1.6 8V 5p</t>
  </si>
  <si>
    <t>025260-3</t>
  </si>
  <si>
    <t>SANDERO RS Racing Spirit Flex 2.0 16V 5p</t>
  </si>
  <si>
    <t>025309-0</t>
  </si>
  <si>
    <t>SANDERO S Edition Flex 1.0 12V 5p Mec.</t>
  </si>
  <si>
    <t>025228-0</t>
  </si>
  <si>
    <t>SANDERO SPORT RS 2.0 Flex 16V 5p</t>
  </si>
  <si>
    <t>025272-7</t>
  </si>
  <si>
    <t>SANDERO STEP. Easy R Dyn. Flex 1.6 16V</t>
  </si>
  <si>
    <t>025222-0</t>
  </si>
  <si>
    <t>SANDERO STEP. Easy R H-Power 1.6 8V</t>
  </si>
  <si>
    <t>025236-0</t>
  </si>
  <si>
    <t>SANDERO STEP. Easy R R.CURL H.P. 1.6 5p</t>
  </si>
  <si>
    <t>025235-2</t>
  </si>
  <si>
    <t>SANDERO STEP. R. CURL Hi-Power 1.6 8V 5p</t>
  </si>
  <si>
    <t>025271-9</t>
  </si>
  <si>
    <t>SANDERO STEPWAY Dynamiq. Flex 1.6 16V 5p</t>
  </si>
  <si>
    <t>025247-6</t>
  </si>
  <si>
    <t>SANDERO STEPWAY Easy R Flex 1.6 16V 5p</t>
  </si>
  <si>
    <t>025270-0</t>
  </si>
  <si>
    <t>SANDERO STEPWAY EXP. Flex 1.6 16V 5p</t>
  </si>
  <si>
    <t>025246-8</t>
  </si>
  <si>
    <t>SANDERO STEPWAY Flex 1.6 16V 5p</t>
  </si>
  <si>
    <t>025188-7</t>
  </si>
  <si>
    <t>SANDERO STEPWAY Hi-F. R. CURL 1.6 16V 5p</t>
  </si>
  <si>
    <t>025156-9</t>
  </si>
  <si>
    <t>SANDERO STEPWAY Hi-Flex 1.6 16V 5p</t>
  </si>
  <si>
    <t>025187-9</t>
  </si>
  <si>
    <t>SANDERO STEPWAY Hi-Flex 1.6 16V 5p Aut.</t>
  </si>
  <si>
    <t>025189-5</t>
  </si>
  <si>
    <t>SANDERO STEPWAY Hi-Power 1.6 8V 5p</t>
  </si>
  <si>
    <t>025211-5</t>
  </si>
  <si>
    <t>SANDERO STEPWAY Tweed HFlex 1.6 16V Aut</t>
  </si>
  <si>
    <t>025210-7</t>
  </si>
  <si>
    <t>SANDERO STEPWAY Tweed HFlex 1.6 8V 5p</t>
  </si>
  <si>
    <t>025207-7</t>
  </si>
  <si>
    <t>SANDERO TechRun Hi-Flex 1.0 16V 5p</t>
  </si>
  <si>
    <t>025245-0</t>
  </si>
  <si>
    <t>SANDERO vibe Flex 1.0 12V 5p</t>
  </si>
  <si>
    <t>025168-2</t>
  </si>
  <si>
    <t>SANDERO vibe Hi-Flex 1.6 8V 5p</t>
  </si>
  <si>
    <t>025288-3</t>
  </si>
  <si>
    <t>SANDERO Zen Flex 1.0 12V 5p Mec.</t>
  </si>
  <si>
    <t>025286-7</t>
  </si>
  <si>
    <t>SANDERO Zen Flex 1.6 16V 5p Aut.</t>
  </si>
  <si>
    <t>025285-9</t>
  </si>
  <si>
    <t>SANDERO Zen Flex 1.6 16V 5p Mec.</t>
  </si>
  <si>
    <t>005298-1</t>
  </si>
  <si>
    <t>Saveiro 1.6 Mi Total Flex 8V CE</t>
  </si>
  <si>
    <t>005094-6</t>
  </si>
  <si>
    <t>Saveiro 1.6 Mi/ 1.6 Mi Total Flex 8V</t>
  </si>
  <si>
    <t>005193-4</t>
  </si>
  <si>
    <t>Saveiro 1.6 Mi/ 1.6Mi City Total Flex 8V</t>
  </si>
  <si>
    <t>005142-0</t>
  </si>
  <si>
    <t>Saveiro 1.8 Mi</t>
  </si>
  <si>
    <t>005140-3</t>
  </si>
  <si>
    <t>Saveiro 2.0 Mi</t>
  </si>
  <si>
    <t>005222-1</t>
  </si>
  <si>
    <t>Saveiro City 1.8 Mi Total Flex 8V</t>
  </si>
  <si>
    <t>005020-2</t>
  </si>
  <si>
    <t>Saveiro CL 1.6 Mi / CL/ C 1.6</t>
  </si>
  <si>
    <t>005315-5</t>
  </si>
  <si>
    <t>Saveiro CROSS 1.6 Mi Total Flex 8V CE</t>
  </si>
  <si>
    <t>005388-0</t>
  </si>
  <si>
    <t>Saveiro CROSS 1.6 T. Flex 16V CE</t>
  </si>
  <si>
    <t>005408-9</t>
  </si>
  <si>
    <t>Saveiro CROSS 1.6 T.Flex 16V CD</t>
  </si>
  <si>
    <t>005246-9</t>
  </si>
  <si>
    <t>Saveiro CROSSOVER 1.6 Mi Total Flex 8V</t>
  </si>
  <si>
    <t>005215-9</t>
  </si>
  <si>
    <t>Saveiro CROSSOVER 1.8 Mi 8V</t>
  </si>
  <si>
    <t>005224-8</t>
  </si>
  <si>
    <t>Saveiro CROSSOVER 1.8 Mi Total Flex 8V</t>
  </si>
  <si>
    <t>005161-6</t>
  </si>
  <si>
    <t>Saveiro FUN 1.8 99cv/ City e S.Surf 1.6</t>
  </si>
  <si>
    <t>005409-7</t>
  </si>
  <si>
    <t>Saveiro Highline 1.6 T. Flex 8V CD</t>
  </si>
  <si>
    <t>005475-5</t>
  </si>
  <si>
    <t>Saveiro Pepper 1.6 Flex 8V CD</t>
  </si>
  <si>
    <t>005474-7</t>
  </si>
  <si>
    <t>Saveiro Pepper 1.6 Flex 8V CE</t>
  </si>
  <si>
    <t>005459-3</t>
  </si>
  <si>
    <t>Saveiro Robust 1.6 Total Flex 8V</t>
  </si>
  <si>
    <t>005432-1</t>
  </si>
  <si>
    <t>Saveiro Rock in Rio 1.6 Total Flex 8V CD</t>
  </si>
  <si>
    <t>005247-7</t>
  </si>
  <si>
    <t>Saveiro SPORTLINE 1.6 Mi Total Flex 8V</t>
  </si>
  <si>
    <t>005233-7</t>
  </si>
  <si>
    <t>Saveiro SPORTLINE 1.8 Mi Total Flex 8V</t>
  </si>
  <si>
    <t>005385-6</t>
  </si>
  <si>
    <t>Saveiro Startline 1.6 T.Flex 8V</t>
  </si>
  <si>
    <t>005194-2</t>
  </si>
  <si>
    <t>Saveiro Super Surf 1.6 Mi Total Flex 8V</t>
  </si>
  <si>
    <t>005203-5</t>
  </si>
  <si>
    <t>Saveiro Super Surf 1.8 Mi 8V 99cv</t>
  </si>
  <si>
    <t>005223-0</t>
  </si>
  <si>
    <t>Saveiro Super Surf 1.8 Mi Total Flex 8V</t>
  </si>
  <si>
    <t>005268-0</t>
  </si>
  <si>
    <t>Saveiro SURF 1.6 Mi Total Flex 2p</t>
  </si>
  <si>
    <t>005269-8</t>
  </si>
  <si>
    <t>Saveiro SURF 1.8 Mi Total Flex 2p</t>
  </si>
  <si>
    <t>005267-1</t>
  </si>
  <si>
    <t>Saveiro TITAN 1.6 Mi Total Flex 2p</t>
  </si>
  <si>
    <t>005386-4</t>
  </si>
  <si>
    <t>Saveiro Trendline 1.6 T.Flex 8V</t>
  </si>
  <si>
    <t>005410-0</t>
  </si>
  <si>
    <t>Saveiro Trendline 1.6 T.Flex 8V CD</t>
  </si>
  <si>
    <t>005387-2</t>
  </si>
  <si>
    <t>Saveiro Trendline 1.6 T.Flex 8V CE</t>
  </si>
  <si>
    <t>005299-0</t>
  </si>
  <si>
    <t>Saveiro TROOPER 1.6 Mi Total Flex 8V</t>
  </si>
  <si>
    <t>005300-7</t>
  </si>
  <si>
    <t>Saveiro TROOPER 1.6 Mi Total Flex 8V CE</t>
  </si>
  <si>
    <t>023061-8</t>
  </si>
  <si>
    <t>Sentra 2.0/ 2.0 Flex Fuel 16V Aut.</t>
  </si>
  <si>
    <t>SENTRA</t>
  </si>
  <si>
    <t>023060-0</t>
  </si>
  <si>
    <t>Sentra 2.0/ 2.0 Flex Fuel 16V Mec.</t>
  </si>
  <si>
    <t>023135-5</t>
  </si>
  <si>
    <t>Sentra S 2.0 FlexStart 16V Aut.</t>
  </si>
  <si>
    <t>023063-4</t>
  </si>
  <si>
    <t>Sentra S 2.0/ 2.0 Flex Fuel 16V Aut.</t>
  </si>
  <si>
    <t>023062-6</t>
  </si>
  <si>
    <t>Sentra S 2.0/ 2.0 Flex Fuel 16V Mec.</t>
  </si>
  <si>
    <t>023115-0</t>
  </si>
  <si>
    <t>Sentra SE 2.0 Flex 16V Aut.</t>
  </si>
  <si>
    <t>023136-3</t>
  </si>
  <si>
    <t>Sentra SL 2.0 FlexStart 16V Aut.</t>
  </si>
  <si>
    <t>023064-2</t>
  </si>
  <si>
    <t>Sentra SL 2.0/ 2.0 Flex Fuel 16V Aut.</t>
  </si>
  <si>
    <t>023106-1</t>
  </si>
  <si>
    <t>Sentra SR 2.0 Flex Fuel 16V Aut.</t>
  </si>
  <si>
    <t>023107-0</t>
  </si>
  <si>
    <t>Sentra SR 2.0 Flex Fuel 16V Mec.</t>
  </si>
  <si>
    <t>023123-1</t>
  </si>
  <si>
    <t>Sentra SV 2.0 FlexStart 16V Aut.</t>
  </si>
  <si>
    <t>023103-7</t>
  </si>
  <si>
    <t>Sentra UNIQUE 2.0 Flex Fuel 16V Aut.</t>
  </si>
  <si>
    <t>001078-2</t>
  </si>
  <si>
    <t>Siena 1.0 mpi/ 500 1.0 mpi</t>
  </si>
  <si>
    <t>001175-4</t>
  </si>
  <si>
    <t>Siena 1.0/ EX 1.0 mpi Fire/ Fire Flex 8v</t>
  </si>
  <si>
    <t>001202-5</t>
  </si>
  <si>
    <t>Siena 1.5 mpi 8V 4p</t>
  </si>
  <si>
    <t>001320-0</t>
  </si>
  <si>
    <t>Siena ATTRACTIVE 1.0 Fire Flex 8V 4p</t>
  </si>
  <si>
    <t>001321-8</t>
  </si>
  <si>
    <t>Siena ATTRACTIVE 1.4 Fire Flex 8V 4p</t>
  </si>
  <si>
    <t>001239-4</t>
  </si>
  <si>
    <t>Siena Celebration 1.0 Fire Flex 8V 4p</t>
  </si>
  <si>
    <t>001076-6</t>
  </si>
  <si>
    <t>Siena City 4p</t>
  </si>
  <si>
    <t>001272-6</t>
  </si>
  <si>
    <t>Siena EL 1.0 mpi Fire Flex 8V 4p</t>
  </si>
  <si>
    <t>001331-5</t>
  </si>
  <si>
    <t>Siena EL 1.4 mpi Fire Flex 8V 4p</t>
  </si>
  <si>
    <t>001015-4</t>
  </si>
  <si>
    <t>Siena EL 1.6 mpi 16V</t>
  </si>
  <si>
    <t>001014-6</t>
  </si>
  <si>
    <t>Siena EL 1.6 spi</t>
  </si>
  <si>
    <t>001273-4</t>
  </si>
  <si>
    <t>Siena EL Celeb. 1.0 mpi Fire Flex 8V 4p</t>
  </si>
  <si>
    <t>001332-3</t>
  </si>
  <si>
    <t>Siena EL Celeb. 1.4 mpi Fire Flex 8V 4p</t>
  </si>
  <si>
    <t>001158-4</t>
  </si>
  <si>
    <t>Siena ELX 1.0 mpi Fire 16v 4p (25 anos)</t>
  </si>
  <si>
    <t>001211-4</t>
  </si>
  <si>
    <t>Siena ELX 1.0 mpi Fire/Fire Flex 8V 4p</t>
  </si>
  <si>
    <t>001141-0</t>
  </si>
  <si>
    <t>Siena ELX 1.3 mpi Fire 16V 4p</t>
  </si>
  <si>
    <t>001212-2</t>
  </si>
  <si>
    <t>Siena ELX 1.3 mpi Flex 8V 4p</t>
  </si>
  <si>
    <t>001224-6</t>
  </si>
  <si>
    <t>Siena ELX 1.4 mpi Fire Flex 8V 4p</t>
  </si>
  <si>
    <t>001112-6</t>
  </si>
  <si>
    <t>Siena ELX 1.5 mpi 4p</t>
  </si>
  <si>
    <t>001077-4</t>
  </si>
  <si>
    <t>Siena ELX 1.6 mpi 8V/16V 4p</t>
  </si>
  <si>
    <t>001199-1</t>
  </si>
  <si>
    <t>Siena ELX 1.8 mpi 8V 103cv 4p</t>
  </si>
  <si>
    <t>001322-6</t>
  </si>
  <si>
    <t>Siena ESSENCE 1.6 Flex 16V 4p</t>
  </si>
  <si>
    <t>001323-4</t>
  </si>
  <si>
    <t>Siena ESSENCE Dualogic 1.6 Flex 16V 4p</t>
  </si>
  <si>
    <t>001157-6</t>
  </si>
  <si>
    <t>Siena EX 1.0 mpi Fire 16v 4p</t>
  </si>
  <si>
    <t>001198-3</t>
  </si>
  <si>
    <t>Siena EX 1.3 mpi Fire 8V 67cv 4p</t>
  </si>
  <si>
    <t>001197-5</t>
  </si>
  <si>
    <t>Siena EX 1.8 mpi 8V 103cv 4p</t>
  </si>
  <si>
    <t>001016-2</t>
  </si>
  <si>
    <t>Siena HL 1.6 mpi 16V</t>
  </si>
  <si>
    <t>001213-0</t>
  </si>
  <si>
    <t>Siena HLX 1.8 mpi Flex 8V 4p</t>
  </si>
  <si>
    <t>001279-3</t>
  </si>
  <si>
    <t>Siena HLX Dualogic 1.8 mpi Flex 8V 4p</t>
  </si>
  <si>
    <t>001333-1</t>
  </si>
  <si>
    <t>Siena Sporting 1.6 Flex 16V 4p</t>
  </si>
  <si>
    <t>001334-0</t>
  </si>
  <si>
    <t>Siena Sporting Dualogic 1.6 Flex 16V 4p</t>
  </si>
  <si>
    <t>001017-0</t>
  </si>
  <si>
    <t>Siena Stile/Sport MTV 1.6 mpi 16V</t>
  </si>
  <si>
    <t>001241-6</t>
  </si>
  <si>
    <t>Siena TETRAFUEL 1.4 mpi Fire Flex 8v 4p</t>
  </si>
  <si>
    <t>004428-8</t>
  </si>
  <si>
    <t>SONIC HB LT 1.6 16V FlexPower 5p Aut.</t>
  </si>
  <si>
    <t>SONIC</t>
  </si>
  <si>
    <t>004402-4</t>
  </si>
  <si>
    <t>SONIC HB LT 1.6 16V FlexPower 5p Mec.</t>
  </si>
  <si>
    <t>004404-0</t>
  </si>
  <si>
    <t>SONIC HB LTZ 1.6 16V FlexPower 5p Aut.</t>
  </si>
  <si>
    <t>004403-2</t>
  </si>
  <si>
    <t>SONIC HB LTZ 1.6 16V FlexPower 5p Mec.</t>
  </si>
  <si>
    <t>004448-2</t>
  </si>
  <si>
    <t>SONIC HB LTZ EFFECT 1.6 16V FlexP 5p Aut</t>
  </si>
  <si>
    <t>004429-6</t>
  </si>
  <si>
    <t>SONIC Sed. LT 1.6 16V FlexPower 4p Aut.</t>
  </si>
  <si>
    <t>004405-9</t>
  </si>
  <si>
    <t>SONIC Sed. LT 1.6 16V FlexPower 4p Mec.</t>
  </si>
  <si>
    <t>004407-5</t>
  </si>
  <si>
    <t>SONIC Sed. LTZ 1.6 16V FlexPower 4p Aut.</t>
  </si>
  <si>
    <t>004406-7</t>
  </si>
  <si>
    <t>SONIC Sed. LTZ 1.6 16V FlexPower 4p Mec.</t>
  </si>
  <si>
    <t>005426-7</t>
  </si>
  <si>
    <t>SpaceCross 1.6 Mi Total Flex 16V</t>
  </si>
  <si>
    <t>SPACECROSS</t>
  </si>
  <si>
    <t>005334-1</t>
  </si>
  <si>
    <t>SpaceCross 1.6 Mi Total Flex 8V</t>
  </si>
  <si>
    <t>005427-5</t>
  </si>
  <si>
    <t>SpaceCross I MOTION 1.6 Mi T. Flex 16V</t>
  </si>
  <si>
    <t>005335-0</t>
  </si>
  <si>
    <t>SpaceCross I MOTION 1.6 Mi Total Flex 8V</t>
  </si>
  <si>
    <t>005442-9</t>
  </si>
  <si>
    <t>SPACEFOX 1.6 Trendline I MOT. T.Flex 8V</t>
  </si>
  <si>
    <t>SPACEFOX</t>
  </si>
  <si>
    <t>005441-0</t>
  </si>
  <si>
    <t>SPACEFOX 1.6 Trendline Total Flex 8v 5p</t>
  </si>
  <si>
    <t>005251-5</t>
  </si>
  <si>
    <t>SPACEFOX 1.6/ 1.6 Trend Total Flex 8V 5p</t>
  </si>
  <si>
    <t>005423-2</t>
  </si>
  <si>
    <t>SPACEFOX COMF. I MOTION 1.6 Flex 8V 5p</t>
  </si>
  <si>
    <t>005250-7</t>
  </si>
  <si>
    <t>SPACEFOX COMFORTLINE 1.6 Mi T.Flex 8V 5p</t>
  </si>
  <si>
    <t>005429-1</t>
  </si>
  <si>
    <t>SPACEFOX HIGHLINE 1.6 T.Flex 16V</t>
  </si>
  <si>
    <t>005428-3</t>
  </si>
  <si>
    <t>SPACEFOX HIGHLINE I MOT. 1.6 T.Flex 16V</t>
  </si>
  <si>
    <t>005286-8</t>
  </si>
  <si>
    <t>SPACEFOX Route 1.6 Mi T.Flex 5p</t>
  </si>
  <si>
    <t>005279-5</t>
  </si>
  <si>
    <t>SPACEFOX SPORTLINE/HIGHLINE 1.6 T.Flex</t>
  </si>
  <si>
    <t>005322-8</t>
  </si>
  <si>
    <t>SPACEFOX SPORTLINE/HIGHLINE I MOTION 1.6</t>
  </si>
  <si>
    <t>005321-0</t>
  </si>
  <si>
    <t>SPACEFOX TREND I MOTION 1.6 T. Flex 8V</t>
  </si>
  <si>
    <t>004458-0</t>
  </si>
  <si>
    <t>SPIN ACTIV 1.8 8V Econo. Flex 5p Aut.</t>
  </si>
  <si>
    <t>SPIN</t>
  </si>
  <si>
    <t>004459-8</t>
  </si>
  <si>
    <t>SPIN ACTIV 1.8 8V Econo. Flex 5p Mec.</t>
  </si>
  <si>
    <t>004490-3</t>
  </si>
  <si>
    <t>SPIN ACTIV7 1.8 8V Econo.Flex 5p Aut.</t>
  </si>
  <si>
    <t>004441-5</t>
  </si>
  <si>
    <t>SPIN ADVANTAGE 1.8 8V Econo.Flex 5p Aut.</t>
  </si>
  <si>
    <t>004440-7</t>
  </si>
  <si>
    <t>SPIN ADVANTAGE 1.8 8V Econo.Flex 5p Mec.</t>
  </si>
  <si>
    <t>004534-9</t>
  </si>
  <si>
    <t>SPIN LS 1.8 8V Econo.Flex 5p Aut.</t>
  </si>
  <si>
    <t>004435-0</t>
  </si>
  <si>
    <t>SPIN LS 1.8 8V Econo.Flex 5p Mec.</t>
  </si>
  <si>
    <t>004415-6</t>
  </si>
  <si>
    <t>SPIN LT 1.8 8V Econo.Flex 5p Aut.</t>
  </si>
  <si>
    <t>004414-8</t>
  </si>
  <si>
    <t>SPIN LT 1.8 8V Econo.Flex 5p Mec.</t>
  </si>
  <si>
    <t>004417-2</t>
  </si>
  <si>
    <t>SPIN LTZ 1.8 8V Econo.Flex 5p Aut.</t>
  </si>
  <si>
    <t>004416-4</t>
  </si>
  <si>
    <t>SPIN LTZ 1.8 8V Econo.Flex 5p Mec.</t>
  </si>
  <si>
    <t>004494-6</t>
  </si>
  <si>
    <t>SPIN PREMIER 1.8 8V Econo.Flex 5p Aut.</t>
  </si>
  <si>
    <t>004495-4</t>
  </si>
  <si>
    <t>SPIN PREMIER 1.8 8V Econo.Flex 5p Mec.</t>
  </si>
  <si>
    <t>025283-2</t>
  </si>
  <si>
    <t>STEPWAY Iconic Flex 1.6 16V Aut.</t>
  </si>
  <si>
    <t>025282-4</t>
  </si>
  <si>
    <t>STEPWAY Intense Flex 1.6 16V Aut.</t>
  </si>
  <si>
    <t>025281-6</t>
  </si>
  <si>
    <t>STEPWAY Zen Flex 1.6 16V Mec.</t>
  </si>
  <si>
    <t>001184-3</t>
  </si>
  <si>
    <t>Strada 1.3 mpi Fire 8V 67cv CE</t>
  </si>
  <si>
    <t>STRADA</t>
  </si>
  <si>
    <t>001183-5</t>
  </si>
  <si>
    <t>Strada 1.3 mpi Fire 8V 67cv CS</t>
  </si>
  <si>
    <t>001222-0</t>
  </si>
  <si>
    <t>Strada 1.4 mpi Fire Flex 8V CE</t>
  </si>
  <si>
    <t>001221-1</t>
  </si>
  <si>
    <t>Strada 1.4 mpi Fire Flex 8V CS</t>
  </si>
  <si>
    <t>001446-0</t>
  </si>
  <si>
    <t>Strada Adv. Ext. 1.8 LOCKER Dual.Flex CE</t>
  </si>
  <si>
    <t>001448-6</t>
  </si>
  <si>
    <t>Strada Adv. Ext./ Ext.1.8 LOCKER Flex CE</t>
  </si>
  <si>
    <t>001447-8</t>
  </si>
  <si>
    <t>Strada Adv. Extreme 1.8 Dual. Flex CE</t>
  </si>
  <si>
    <t>001404-4</t>
  </si>
  <si>
    <t>Strada Adv. M. March. 1.8 Flex 16V CD</t>
  </si>
  <si>
    <t>001405-2</t>
  </si>
  <si>
    <t>Strada Adv. M. March.1.8 Dual. Flex CD</t>
  </si>
  <si>
    <t>001363-3</t>
  </si>
  <si>
    <t>Strada Adv.1.8 16V Dualogic Flex CD</t>
  </si>
  <si>
    <t>001411-7</t>
  </si>
  <si>
    <t>Strada Adv.1.8 16V Dualogic Flex CE</t>
  </si>
  <si>
    <t>001412-5</t>
  </si>
  <si>
    <t>Strada Adv.1.8 16V LOCKER Dual. Flex CE</t>
  </si>
  <si>
    <t>001364-1</t>
  </si>
  <si>
    <t>Strada Adv.1.8 16V LOCKER Dualo. Flex CD</t>
  </si>
  <si>
    <t>001443-5</t>
  </si>
  <si>
    <t>Strada Adv.Ext. 1.8 LOCKER Dual. Flex CD</t>
  </si>
  <si>
    <t>001445-1</t>
  </si>
  <si>
    <t>Strada Adv.Ext./ Ext. 1.8 LOCKER Flex CD</t>
  </si>
  <si>
    <t>001219-0</t>
  </si>
  <si>
    <t>Strada Adv/Adv TRYON 1.8 mpi Flex 8V CE</t>
  </si>
  <si>
    <t>001163-0</t>
  </si>
  <si>
    <t>Strada Adventure 1.6 mpi 16V CE</t>
  </si>
  <si>
    <t>001189-4</t>
  </si>
  <si>
    <t>Strada Adventure 1.8 mpi 8V 103cv CE</t>
  </si>
  <si>
    <t>001257-2</t>
  </si>
  <si>
    <t>Strada Adventure 1.8/ 1.8 LOCKER Flex CE</t>
  </si>
  <si>
    <t>001444-3</t>
  </si>
  <si>
    <t>Strada Adventure Ext. 1.8 Dual. Flex CD</t>
  </si>
  <si>
    <t>001277-7</t>
  </si>
  <si>
    <t>Strada Adventure1.8/ 1.8 LOCKER Flex CD</t>
  </si>
  <si>
    <t>001312-9</t>
  </si>
  <si>
    <t>Strada Celeb. 1.4 mpi Fire Flex 8V CE</t>
  </si>
  <si>
    <t>001311-0</t>
  </si>
  <si>
    <t>Strada Celeb. 1.4 mpi Fire Flex 8V CS</t>
  </si>
  <si>
    <t>001529-6</t>
  </si>
  <si>
    <t>Strada Endurance 1.4 Flex 8V CD</t>
  </si>
  <si>
    <t>001526-1</t>
  </si>
  <si>
    <t>Strada Endurance 1.4 Flex 8V CS Plus</t>
  </si>
  <si>
    <t>001530-0</t>
  </si>
  <si>
    <t>Strada Freedom 1.3 Flex 8V CD</t>
  </si>
  <si>
    <t>001527-0</t>
  </si>
  <si>
    <t>Strada Freedom 1.3 Flex 8V CS Plus</t>
  </si>
  <si>
    <t>001515-6</t>
  </si>
  <si>
    <t>Strada Freedom 1.4 Flex 8V CD</t>
  </si>
  <si>
    <t>001518-0</t>
  </si>
  <si>
    <t>Strada Freedom 1.4 Flex 8V CS</t>
  </si>
  <si>
    <t>001113-4</t>
  </si>
  <si>
    <t>Strada LX 1.6 16V CE</t>
  </si>
  <si>
    <t>001091-0</t>
  </si>
  <si>
    <t>Strada LX 1.6 mpi 16V</t>
  </si>
  <si>
    <t>001535-0</t>
  </si>
  <si>
    <t>Strada Opening Edition 1.3 Flex 8V CD</t>
  </si>
  <si>
    <t>001548-2</t>
  </si>
  <si>
    <t>Strada Ranch 1.3 Flex 8V CD Aut.</t>
  </si>
  <si>
    <t>001335-8</t>
  </si>
  <si>
    <t>Strada Sporting 1.8 Flex 16V CE</t>
  </si>
  <si>
    <t>001406-0</t>
  </si>
  <si>
    <t>Strada Trek. M. March. 1.6 Flex 16V CE</t>
  </si>
  <si>
    <t>001233-5</t>
  </si>
  <si>
    <t>Strada Trekking 1.4 mpi Fire Flex 8V CE</t>
  </si>
  <si>
    <t>001232-7</t>
  </si>
  <si>
    <t>Strada Trekking 1.4 mpi Fire Flex 8V CS</t>
  </si>
  <si>
    <t>001388-9</t>
  </si>
  <si>
    <t>Strada Trekking 1.6 16V Flex CD</t>
  </si>
  <si>
    <t>001387-0</t>
  </si>
  <si>
    <t>Strada Trekking 1.6 16V Flex CE</t>
  </si>
  <si>
    <t>001386-2</t>
  </si>
  <si>
    <t>Strada Trekking 1.6 16V Flex CS</t>
  </si>
  <si>
    <t>001441-9</t>
  </si>
  <si>
    <t>Strada Trekking 1.6 16V LOCKER Flex CD</t>
  </si>
  <si>
    <t>001090-1</t>
  </si>
  <si>
    <t>Strada Trekking 1.6 mpi</t>
  </si>
  <si>
    <t>001218-1</t>
  </si>
  <si>
    <t>Strada Trekking 1.8 mpi Flex 8V CE</t>
  </si>
  <si>
    <t>001217-3</t>
  </si>
  <si>
    <t>Strada Trekking 1.8 mpi Flex 8V CS</t>
  </si>
  <si>
    <t>001528-8</t>
  </si>
  <si>
    <t>Strada Volcano 1.3 Flex 8V CD</t>
  </si>
  <si>
    <t>001549-0</t>
  </si>
  <si>
    <t>Strada Volcano 1.3 Flex 8V CD Aut.</t>
  </si>
  <si>
    <t>001293-9</t>
  </si>
  <si>
    <t>Strada Working 1.4 mpi Fire Flex 8V CD</t>
  </si>
  <si>
    <t>001292-0</t>
  </si>
  <si>
    <t>Strada Working 1.4 mpi Fire Flex 8V CE</t>
  </si>
  <si>
    <t>001291-2</t>
  </si>
  <si>
    <t>Strada Working 1.4 mpi Fire Flex 8V CS</t>
  </si>
  <si>
    <t>001148-7</t>
  </si>
  <si>
    <t>Strada Working 1.6 mpi 16V CE</t>
  </si>
  <si>
    <t>001164-9</t>
  </si>
  <si>
    <t>Strada Working 1.6 mpi 16V CS</t>
  </si>
  <si>
    <t>001188-6</t>
  </si>
  <si>
    <t>Strada Working 1.8 mpi 8v 103cv CE</t>
  </si>
  <si>
    <t>001187-8</t>
  </si>
  <si>
    <t>Strada Working 1.8 mpi 8V 103cv CS</t>
  </si>
  <si>
    <t>001391-9</t>
  </si>
  <si>
    <t>Strada Working Celeb.1.4 Fire Flex 8V CD</t>
  </si>
  <si>
    <t>001390-0</t>
  </si>
  <si>
    <t>Strada Working Celeb.1.4 Fire Flex 8V CE</t>
  </si>
  <si>
    <t>001389-7</t>
  </si>
  <si>
    <t>Strada Working Celeb.1.4 Fire Flex 8V CS</t>
  </si>
  <si>
    <t>001431-1</t>
  </si>
  <si>
    <t>Strada Working HARD 1.4 Fire Flex 8V CD</t>
  </si>
  <si>
    <t>001432-0</t>
  </si>
  <si>
    <t>Strada Working HARD 1.4 Fire Flex 8V CE</t>
  </si>
  <si>
    <t>001433-8</t>
  </si>
  <si>
    <t>Strada Working HARD 1.4 Fire Flex 8V CS</t>
  </si>
  <si>
    <t>001478-8</t>
  </si>
  <si>
    <t>Strada Working Plus 1.4 8V Flex CS</t>
  </si>
  <si>
    <t>001122-3</t>
  </si>
  <si>
    <t>Strada/ Strada Working 1.5 mpi 8V CE</t>
  </si>
  <si>
    <t>001089-8</t>
  </si>
  <si>
    <t>Strada/ Strada Working 1.5 mpi 8V CS</t>
  </si>
  <si>
    <t>025171-2</t>
  </si>
  <si>
    <t>SYMBOL CONNECTION Hi-Flex 1.6 8V 4p</t>
  </si>
  <si>
    <t>SYMBOL</t>
  </si>
  <si>
    <t>025160-7</t>
  </si>
  <si>
    <t>SYMBOL Expression Hi-Flex 1.6 16V 4p</t>
  </si>
  <si>
    <t>025167-4</t>
  </si>
  <si>
    <t>SYMBOL Expression Hi-Flex 1.6 8V 4p</t>
  </si>
  <si>
    <t>025159-3</t>
  </si>
  <si>
    <t>SYMBOL Privilège Hi-Flex 1.6 16V 4p</t>
  </si>
  <si>
    <t>004526-8</t>
  </si>
  <si>
    <t>TRACKER 1.0 Turbo 12V Flex Aut.</t>
  </si>
  <si>
    <t>TRACKER</t>
  </si>
  <si>
    <t>004521-7</t>
  </si>
  <si>
    <t>TRACKER 1.0 Turbo 12V Flex Mec.</t>
  </si>
  <si>
    <t>004524-1</t>
  </si>
  <si>
    <t>TRACKER 1.2 Turbo 12V Flex Aut.</t>
  </si>
  <si>
    <t>004522-5</t>
  </si>
  <si>
    <t>TRACKER LT 1.0 Turbo 12V Flex Aut.</t>
  </si>
  <si>
    <t>004476-8</t>
  </si>
  <si>
    <t>TRACKER LT 1.4 Turbo 16V Flex 4x2 Aut.</t>
  </si>
  <si>
    <t>004467-9</t>
  </si>
  <si>
    <t>TRACKER LT 1.8 16V Flex 4x2 Aut.</t>
  </si>
  <si>
    <t>004532-2</t>
  </si>
  <si>
    <t>TRACKER LTZ 1.0 Turbo 12V Flex Aut.</t>
  </si>
  <si>
    <t>004523-3</t>
  </si>
  <si>
    <t>TRACKER LTZ 1.2 Turbo 12V Flex Aut.</t>
  </si>
  <si>
    <t>004477-6</t>
  </si>
  <si>
    <t>TRACKER LTZ 1.4 Turbo 16V Flex 4x2 Aut.</t>
  </si>
  <si>
    <t>004444-0</t>
  </si>
  <si>
    <t>TRACKER LTZ 1.8 16V Flex 4x2 Aut.</t>
  </si>
  <si>
    <t>004491-1</t>
  </si>
  <si>
    <t>TRACKER Midnight 1.4 Turbo Flex Aut.</t>
  </si>
  <si>
    <t>004533-0</t>
  </si>
  <si>
    <t>TRACKER Premier 1.0 Turbo 12V Flex Aut.</t>
  </si>
  <si>
    <t>004525-0</t>
  </si>
  <si>
    <t>TRACKER Premier 1.2 Turbo 12V Flex Aut.</t>
  </si>
  <si>
    <t>004486-5</t>
  </si>
  <si>
    <t>TRACKER Premier 1.4 Turbo 16V Flex Aut</t>
  </si>
  <si>
    <t>025066-0</t>
  </si>
  <si>
    <t>Twingo Initiale 1.0 16V 70cv</t>
  </si>
  <si>
    <t>TWINGO</t>
  </si>
  <si>
    <t>001348-0</t>
  </si>
  <si>
    <t>UNO ATTRACTI. Celeb.1.4 EVO F.Flex 8V 2p</t>
  </si>
  <si>
    <t>UNO</t>
  </si>
  <si>
    <t>001308-0</t>
  </si>
  <si>
    <t>UNO ATTRACTI. Celeb.1.4 EVO F.Flex 8V 4p</t>
  </si>
  <si>
    <t>001424-9</t>
  </si>
  <si>
    <t>UNO ATTRACTIVE 1.0 Fire Flex 8V 5p</t>
  </si>
  <si>
    <t>001475-3</t>
  </si>
  <si>
    <t>UNO ATTRACTIVE 1.0 Flex 6V 5p</t>
  </si>
  <si>
    <t>001347-1</t>
  </si>
  <si>
    <t>UNO ATTRACTIVE 1.4 EVO Fire Flex 8V 2p</t>
  </si>
  <si>
    <t>001304-8</t>
  </si>
  <si>
    <t>UNO ATTRACTIVE 1.4 EVO Fire Flex 8V 4p</t>
  </si>
  <si>
    <t>001547-4</t>
  </si>
  <si>
    <t>UNO CIAO 1.0 Fire Flex 8V 5p</t>
  </si>
  <si>
    <t>001486-9</t>
  </si>
  <si>
    <t>UNO DRIVE 1.0 Flex 6V 5p</t>
  </si>
  <si>
    <t>001366-8</t>
  </si>
  <si>
    <t>UNO ECONOMY 1.4 EVO Fire Flex 8V 2p</t>
  </si>
  <si>
    <t>001367-6</t>
  </si>
  <si>
    <t>UNO ECONOMY 1.4 EVO Fire Flex 8V 4p</t>
  </si>
  <si>
    <t>001368-4</t>
  </si>
  <si>
    <t>UNO ECONOMY Celeb. 1.4 EVO F. Flex 8V 2p</t>
  </si>
  <si>
    <t>001369-2</t>
  </si>
  <si>
    <t>UNO ECONOMY Celeb. 1.4 EVO F. Flex 8V 4p</t>
  </si>
  <si>
    <t>001425-7</t>
  </si>
  <si>
    <t>UNO EVOLUTION 1.4 Fire Flex 8V 5p</t>
  </si>
  <si>
    <t>001430-3</t>
  </si>
  <si>
    <t>UNO Furgão 1.0 Fire Flex 8V 3p</t>
  </si>
  <si>
    <t>001161-4</t>
  </si>
  <si>
    <t>Uno Mille 1.0 Fire/ F.Flex/ ECONOMY 2p</t>
  </si>
  <si>
    <t>001162-2</t>
  </si>
  <si>
    <t>Uno Mille 1.0 Fire/ F.Flex/ ECONOMY 4p</t>
  </si>
  <si>
    <t>001264-5</t>
  </si>
  <si>
    <t>Uno Mille Celeb. WAY ECON. 1.0 F.Flex 2p</t>
  </si>
  <si>
    <t>001265-3</t>
  </si>
  <si>
    <t>Uno Mille Celeb. WAY ECON. 1.0 F.Flex 4p</t>
  </si>
  <si>
    <t>001245-9</t>
  </si>
  <si>
    <t>Uno Mille Celeb/Celeb.ECON 1.0 F.Flex 2p</t>
  </si>
  <si>
    <t>001246-7</t>
  </si>
  <si>
    <t>Uno Mille Celeb/Celeb.ECON 1.0 F.Flex 4p</t>
  </si>
  <si>
    <t>001064-2</t>
  </si>
  <si>
    <t>Uno Mille EP 2p e 4p</t>
  </si>
  <si>
    <t>001415-0</t>
  </si>
  <si>
    <t>Uno Mille Grazie 1.0 Fire Flex 8v 4p</t>
  </si>
  <si>
    <t>001393-5</t>
  </si>
  <si>
    <t>UNO MILLE WAY ECO.XINGU 1.0 F.Flex 8v 5p</t>
  </si>
  <si>
    <t>001262-9</t>
  </si>
  <si>
    <t>Uno Mille WAY ECONOMY 1.0 F.Flex 2p</t>
  </si>
  <si>
    <t>001263-7</t>
  </si>
  <si>
    <t>Uno Mille WAY ECONOMY 1.0 F.Flex 4p</t>
  </si>
  <si>
    <t>001018-9</t>
  </si>
  <si>
    <t>Uno Mille/ Mille EX/ Smart 2p</t>
  </si>
  <si>
    <t>001137-1</t>
  </si>
  <si>
    <t>Uno Mille/ Mille EX/ Smart 4p</t>
  </si>
  <si>
    <t>001469-9</t>
  </si>
  <si>
    <t>UNO SPORT. Dual. 1.4 B.Edit. Flex 8V 5p</t>
  </si>
  <si>
    <t>001396-0</t>
  </si>
  <si>
    <t>UNO SPORT.INTERLAGOS 1.4 EVO F.Flex 8v</t>
  </si>
  <si>
    <t>001471-0</t>
  </si>
  <si>
    <t>UNO SPORTING 1.3 Flex 8V 5p</t>
  </si>
  <si>
    <t>001470-2</t>
  </si>
  <si>
    <t>UNO SPORTING 1.4 B.Edit. Flex 8V 5p</t>
  </si>
  <si>
    <t>001351-0</t>
  </si>
  <si>
    <t>UNO SPORTING 1.4 EVO Fire Flex 8V 2p</t>
  </si>
  <si>
    <t>001341-2</t>
  </si>
  <si>
    <t>UNO SPORTING 1.4 EVO Fire Flex 8V 4p</t>
  </si>
  <si>
    <t>001472-9</t>
  </si>
  <si>
    <t>UNO SPORTING Dual./GSR 1.3 Flex 8V 5p</t>
  </si>
  <si>
    <t>001428-1</t>
  </si>
  <si>
    <t>UNO SPORTING Dualogic 1.4 EVO Flex 8V 4p</t>
  </si>
  <si>
    <t>001343-9</t>
  </si>
  <si>
    <t>UNO VIVACE 1.0 EVO Fire Flex 8V 3p</t>
  </si>
  <si>
    <t>001344-7</t>
  </si>
  <si>
    <t>UNO VIVACE Celeb. 1.0 EVO F. Flex 8V 3p</t>
  </si>
  <si>
    <t>001307-2</t>
  </si>
  <si>
    <t>UNO VIVACE Celeb. 1.0 EVO F.Flex 8V 5p</t>
  </si>
  <si>
    <t>001401-0</t>
  </si>
  <si>
    <t>UNO VIVACE College 1.0 EVO FireFlex 5p</t>
  </si>
  <si>
    <t>001436-2</t>
  </si>
  <si>
    <t>UNO VIVACE ITALIA 1.0 EVO F. Flex 8V 5p</t>
  </si>
  <si>
    <t>001303-0</t>
  </si>
  <si>
    <t>UNO VIVACE/RUA 1.0 EVO Fire Flex 8V 5p</t>
  </si>
  <si>
    <t>001345-5</t>
  </si>
  <si>
    <t>UNO WAY 1.0 EVO Fire Flex 8V 2p</t>
  </si>
  <si>
    <t>001305-6</t>
  </si>
  <si>
    <t>UNO WAY 1.0 EVO Fire Flex 8V 5p</t>
  </si>
  <si>
    <t>001474-5</t>
  </si>
  <si>
    <t>UNO WAY 1.0 Flex 6V 5p</t>
  </si>
  <si>
    <t>001473-7</t>
  </si>
  <si>
    <t>UNO WAY 1.3 Flex 8V 5p</t>
  </si>
  <si>
    <t>001427-3</t>
  </si>
  <si>
    <t>UNO WAY 1.4 EVO Dualogic Flex 8V 5p</t>
  </si>
  <si>
    <t>001349-8</t>
  </si>
  <si>
    <t>UNO WAY 1.4 EVO Fire Flex 8V 2p</t>
  </si>
  <si>
    <t>001306-4</t>
  </si>
  <si>
    <t>UNO WAY 1.4 EVO Fire Flex 8V 5p</t>
  </si>
  <si>
    <t>001346-3</t>
  </si>
  <si>
    <t>UNO WAY Celeb. 1.0 EVO Fire Flex 8V 2p</t>
  </si>
  <si>
    <t>001309-9</t>
  </si>
  <si>
    <t>UNO WAY Celeb. 1.0 EVO Fire Flex 8V 5p</t>
  </si>
  <si>
    <t>001350-1</t>
  </si>
  <si>
    <t>UNO WAY Celeb. 1.4 EVO Fire Flex 8V 2p</t>
  </si>
  <si>
    <t>001310-2</t>
  </si>
  <si>
    <t>UNO WAY Celeb. 1.4 EVO Fire Flex 8V 5p</t>
  </si>
  <si>
    <t>001476-1</t>
  </si>
  <si>
    <t>UNO WAY Dual./GSR 1.3 Flex 8V 5p</t>
  </si>
  <si>
    <t>001440-0</t>
  </si>
  <si>
    <t>UNO WAY RIO 450 1.0 EVO Flex 8V 5p</t>
  </si>
  <si>
    <t>001394-3</t>
  </si>
  <si>
    <t>UNO WAY XINGU 1.0 EVO F.Flex 8V 5P</t>
  </si>
  <si>
    <t>001395-1</t>
  </si>
  <si>
    <t>UNO WAY XINGU 1.4 EVO F.Flex 8V 5p</t>
  </si>
  <si>
    <t>005514-0</t>
  </si>
  <si>
    <t>up! 1.0 Total Flex 12V 5p</t>
  </si>
  <si>
    <t>UP</t>
  </si>
  <si>
    <t>005368-6</t>
  </si>
  <si>
    <t>up! black/white/red 1.0 T. Flex 12V 5p</t>
  </si>
  <si>
    <t>005438-0</t>
  </si>
  <si>
    <t>up! black/white/red 1.0 TSI TFlex 12V 5p</t>
  </si>
  <si>
    <t>005374-0</t>
  </si>
  <si>
    <t>up! black/white/red I MOTION 1.0 Flex 5p</t>
  </si>
  <si>
    <t>005515-8</t>
  </si>
  <si>
    <t>up! Connect 1.0 TSI Total Flex 12V 5p</t>
  </si>
  <si>
    <t>005416-0</t>
  </si>
  <si>
    <t>up! cross 1.0 T. Flex 12V 5p</t>
  </si>
  <si>
    <t>005436-4</t>
  </si>
  <si>
    <t>up! cross 1.0 TSI Total Flex 12V 5p</t>
  </si>
  <si>
    <t>005417-8</t>
  </si>
  <si>
    <t>up! cross I MOTION 1.0 T.Flex 12V 5p</t>
  </si>
  <si>
    <t>005367-8</t>
  </si>
  <si>
    <t>up! high 1.0 Total Flex 12V 5p</t>
  </si>
  <si>
    <t>005437-2</t>
  </si>
  <si>
    <t>up! high 1.0 TSI Total Flex 12V 5p</t>
  </si>
  <si>
    <t>005373-2</t>
  </si>
  <si>
    <t>up! high I MOTION 1.0 T. Flex 12V 5p</t>
  </si>
  <si>
    <t>005375-9</t>
  </si>
  <si>
    <t>up! move 1.0 T. Flex 12V 3p</t>
  </si>
  <si>
    <t>005366-0</t>
  </si>
  <si>
    <t>up! move 1.0 Total Flex 12V 5p</t>
  </si>
  <si>
    <t>005435-6</t>
  </si>
  <si>
    <t>up! move 1.0 TSI Total Flex 12V 5p</t>
  </si>
  <si>
    <t>005372-4</t>
  </si>
  <si>
    <t>up! move I MOTION 1.0 T. Flex 12V 3p</t>
  </si>
  <si>
    <t>005399-6</t>
  </si>
  <si>
    <t>up! move I MOTION 1.0 T. Flex 12V 5p</t>
  </si>
  <si>
    <t>005473-9</t>
  </si>
  <si>
    <t>up! Pepper 1.0 TSI T.Flex 12V 5p</t>
  </si>
  <si>
    <t>005460-7</t>
  </si>
  <si>
    <t>up! Run 1.0 Total Flex 12V 5p</t>
  </si>
  <si>
    <t>005463-1</t>
  </si>
  <si>
    <t>up! Run I MOTION 1.0 Total Flex 12V 5p</t>
  </si>
  <si>
    <t>005439-9</t>
  </si>
  <si>
    <t>up! SPEED 1.0 TSI T. Flex 12V 5p</t>
  </si>
  <si>
    <t>005376-7</t>
  </si>
  <si>
    <t>up! take 1.0 T. Flex 12V 3p</t>
  </si>
  <si>
    <t>005365-1</t>
  </si>
  <si>
    <t>up! take 1.0 Total Flex 12V 5p</t>
  </si>
  <si>
    <t>005468-2</t>
  </si>
  <si>
    <t>up! track 1.0 Total Flex 12V 5p</t>
  </si>
  <si>
    <t>005516-6</t>
  </si>
  <si>
    <t>up! Xtreme 1.0 TSI Total Flex 12V 5p</t>
  </si>
  <si>
    <t>023131-2</t>
  </si>
  <si>
    <t>VERSA 1.0 12V FlexStart 4p Mec.</t>
  </si>
  <si>
    <t>VERSA</t>
  </si>
  <si>
    <t>023175-4</t>
  </si>
  <si>
    <t>VERSA Advance 1.6 16V Flex Aut.</t>
  </si>
  <si>
    <t>023174-6</t>
  </si>
  <si>
    <t>VERSA Exclusive 1.6 16V Flex Aut.</t>
  </si>
  <si>
    <t>023132-0</t>
  </si>
  <si>
    <t>VERSA S 1.0 12V FlexStart 4p Mec.</t>
  </si>
  <si>
    <t>023111-8</t>
  </si>
  <si>
    <t>VERSA S 1.6 16V Flex Fuel 4p Mec.</t>
  </si>
  <si>
    <t>023142-8</t>
  </si>
  <si>
    <t>VERSA S 1.6 16V FlexStart 4p Mec.</t>
  </si>
  <si>
    <t>023176-2</t>
  </si>
  <si>
    <t>VERSA Sense 1.6 16V Flex Aut.</t>
  </si>
  <si>
    <t>023177-0</t>
  </si>
  <si>
    <t>VERSA Sense 1.6 16V Flex Mec.</t>
  </si>
  <si>
    <t>023113-4</t>
  </si>
  <si>
    <t>VERSA SL 1.6 16V Flex Fuel 4p Mec.</t>
  </si>
  <si>
    <t>023140-1</t>
  </si>
  <si>
    <t>VERSA SL 1.6 16V FlexStart 4p Aut.</t>
  </si>
  <si>
    <t>023138-0</t>
  </si>
  <si>
    <t>VERSA SL 1.6 16V FlexStart 4p Mec.</t>
  </si>
  <si>
    <t>023164-9</t>
  </si>
  <si>
    <t>VERSA SL Direct 1.6 16V Flex Aut.</t>
  </si>
  <si>
    <t>023167-3</t>
  </si>
  <si>
    <t>VERSA Special Ed. 1.6 16V FlexStart Aut.</t>
  </si>
  <si>
    <t>023112-6</t>
  </si>
  <si>
    <t>VERSA SV 1.6 16V Flex Fuel 4p Mec.</t>
  </si>
  <si>
    <t>023144-4</t>
  </si>
  <si>
    <t>VERSA SV 1.6 16V FlexStart 4p Aut.</t>
  </si>
  <si>
    <t>023137-1</t>
  </si>
  <si>
    <t>VERSA SV 1.6 16V FlexStart 4p Mec.</t>
  </si>
  <si>
    <t>023133-9</t>
  </si>
  <si>
    <t>VERSA UNIQUE 1.6 16V Flex 4p Mec.</t>
  </si>
  <si>
    <t>023141-0</t>
  </si>
  <si>
    <t>VERSA UNIQUE 1.6 16V FlexStart 4p Aut.</t>
  </si>
  <si>
    <t>023169-0</t>
  </si>
  <si>
    <t>VERSA V-DRIVE 1.0 12V Flex Mec.</t>
  </si>
  <si>
    <t>023170-3</t>
  </si>
  <si>
    <t>VERSA V-DRIVE 1.6 16V Flex Mec.</t>
  </si>
  <si>
    <t>023168-1</t>
  </si>
  <si>
    <t>VERSA V-DRIVE Esp.Ed. 1.6 16v Flex Aut.</t>
  </si>
  <si>
    <t>023171-1</t>
  </si>
  <si>
    <t>VERSA V-DRIVE PLUS 1.6 16V Flex Aut.</t>
  </si>
  <si>
    <t>023172-0</t>
  </si>
  <si>
    <t>VERSA V-DRIVE Premium 1.6 16v Flex Aut.</t>
  </si>
  <si>
    <t>005500-0</t>
  </si>
  <si>
    <t>VIRTUS 1.6 MSI Flex 16V 4p Aut.</t>
  </si>
  <si>
    <t>VIRTUS</t>
  </si>
  <si>
    <t>005486-0</t>
  </si>
  <si>
    <t>VIRTUS 1.6 MSI Flex 16V 5p Mec.</t>
  </si>
  <si>
    <t>005485-2</t>
  </si>
  <si>
    <t>VIRTUS Comfort. 200 TSI 1.0 Flex 12V Aut</t>
  </si>
  <si>
    <t>005522-0</t>
  </si>
  <si>
    <t>VIRTUS GTS 1.4 TSI 16V Flex 4p</t>
  </si>
  <si>
    <t>005484-4</t>
  </si>
  <si>
    <t>VIRTUS Highline 200 TSI 1.0 Flex 12V Aut</t>
  </si>
  <si>
    <t>005512-3</t>
  </si>
  <si>
    <t>VIRTUS Sense 1.6 Flex 16V 5p Aut.</t>
  </si>
  <si>
    <t>005492-5</t>
  </si>
  <si>
    <t>VOYAGE 1.0 Flex 12V 4p</t>
  </si>
  <si>
    <t>VOYAGE</t>
  </si>
  <si>
    <t>005283-3</t>
  </si>
  <si>
    <t>VOYAGE 1.0/1.0 City Mi Total Flex 8V 4p</t>
  </si>
  <si>
    <t>005501-8</t>
  </si>
  <si>
    <t>VOYAGE 1.6 MSI Flex 16V 4p Aut.</t>
  </si>
  <si>
    <t>005493-3</t>
  </si>
  <si>
    <t>VOYAGE 1.6 MSI Flex 8V 4p</t>
  </si>
  <si>
    <t>005282-5</t>
  </si>
  <si>
    <t>VOYAGE 1.6/1.6 City Mi Total Flex 8V 4p</t>
  </si>
  <si>
    <t>005280-9</t>
  </si>
  <si>
    <t>VOYAGE COMF/Highli. 1.6 T.Flex 8V 4p</t>
  </si>
  <si>
    <t>005458-5</t>
  </si>
  <si>
    <t>VOYAGE Comfortline 1.0 T.Flex 12V 4p</t>
  </si>
  <si>
    <t>005377-5</t>
  </si>
  <si>
    <t>VOYAGE Comfortline 1.0 T.Flex 8V 4p</t>
  </si>
  <si>
    <t>005378-3</t>
  </si>
  <si>
    <t>VOYAGE Evidence 1.6 Total Flex 8V 4p</t>
  </si>
  <si>
    <t>005068-7</t>
  </si>
  <si>
    <t>VOYAGE GL/ Special 1.6/ 1.8</t>
  </si>
  <si>
    <t>005311-2</t>
  </si>
  <si>
    <t>VOYAGE I MOTION 1.6 Mi Total Flex 8V</t>
  </si>
  <si>
    <t>005313-9</t>
  </si>
  <si>
    <t>VOYAGE I MOTION COMF/Hghli.1.6 T.Flex 8V</t>
  </si>
  <si>
    <t>005382-1</t>
  </si>
  <si>
    <t>VOYAGE I MOTION Evidence 1.6 T.Flex 8V</t>
  </si>
  <si>
    <t>005312-0</t>
  </si>
  <si>
    <t>VOYAGE I MOTION TREND 1.6 Mi T. Flex 8V</t>
  </si>
  <si>
    <t>005381-3</t>
  </si>
  <si>
    <t>VOYAGE I MOTION Trendline 1.6 T.Flex 8V</t>
  </si>
  <si>
    <t>005360-0</t>
  </si>
  <si>
    <t>VOYAGE SELEÇÃO 1.0 Mi Total Flex 8V 4p</t>
  </si>
  <si>
    <t>005362-7</t>
  </si>
  <si>
    <t>VOYAGE SELEÇÃO 1.6 I MOTION T.Flex 8V 4p</t>
  </si>
  <si>
    <t>005361-9</t>
  </si>
  <si>
    <t>VOYAGE SELEÇÃO 1.6 Total Flex 8V 4p</t>
  </si>
  <si>
    <t>005281-7</t>
  </si>
  <si>
    <t>VOYAGE TREND 1.6 Mi Total Flex 8V 4p</t>
  </si>
  <si>
    <t>005457-7</t>
  </si>
  <si>
    <t>VOYAGE Trendline 1.0 T.Flex 12V 4p</t>
  </si>
  <si>
    <t>005379-1</t>
  </si>
  <si>
    <t>VOYAGE Trendline 1.0 T.Flex 8V 4p</t>
  </si>
  <si>
    <t>005380-5</t>
  </si>
  <si>
    <t>VOYAGE Trendline 1.6 T.Flex 8V 4p</t>
  </si>
  <si>
    <t>005343-0</t>
  </si>
  <si>
    <t>Fox BlueMotion 1.6 Mi Total Flex 3p.</t>
  </si>
  <si>
    <t>005344-9</t>
  </si>
  <si>
    <t>Fox BlueMotion 1.6 Mi Total Flex 5p.</t>
  </si>
  <si>
    <t>005433-0</t>
  </si>
  <si>
    <t>Fox Comfortline 1.0 Flex 12V 5p</t>
  </si>
  <si>
    <t>005407-0</t>
  </si>
  <si>
    <t>Fox Comfortline 1.0 Flex 8V 5p</t>
  </si>
  <si>
    <t>005482-8</t>
  </si>
  <si>
    <t>Fox Connect I Motion 1.6 Flex 8V 5p</t>
  </si>
  <si>
    <t>005274-4</t>
  </si>
  <si>
    <t>Fox extreme 1.6 Mi Total Flex 8V 5p</t>
  </si>
  <si>
    <t>005402-0</t>
  </si>
  <si>
    <t>Fox Highline I MOTION 1.6 Flex 16V 5p</t>
  </si>
  <si>
    <t>005403-8</t>
  </si>
  <si>
    <t>Fox Highline1.6 Flex 16V 5p</t>
  </si>
  <si>
    <t>005422-4</t>
  </si>
  <si>
    <t>Fox PEPPER I MOTION 1.6 Flex 16V 5p</t>
  </si>
  <si>
    <t>005262-0</t>
  </si>
  <si>
    <t>Fox Route 1.0 Mi Total Flex 8V 3p</t>
  </si>
  <si>
    <t>005263-9</t>
  </si>
  <si>
    <t>Fox Route 1.0 Mi Total Flex 8V 5p</t>
  </si>
  <si>
    <t>005264-7</t>
  </si>
  <si>
    <t>Fox Route 1.6 Mi Total Flex 8V 3p</t>
  </si>
  <si>
    <t>005265-5</t>
  </si>
  <si>
    <t>Fox Route 1.6 Mi Total Flex 8V 5p</t>
  </si>
  <si>
    <t>005462-3</t>
  </si>
  <si>
    <t>Fox RUN 1.6 Flex 8V 5p</t>
  </si>
  <si>
    <t>005358-9</t>
  </si>
  <si>
    <t>Fox SELEÇÃO 1.0 Total Flex 8V 5p</t>
  </si>
  <si>
    <t>005359-7</t>
  </si>
  <si>
    <t>Fox SELEÇÃO 1.6 Total Flex 8V 5p</t>
  </si>
  <si>
    <t>005371-6</t>
  </si>
  <si>
    <t>Fox SELEÇÃO IMOTION 1.6 Mi T. Flex 8V 5p</t>
  </si>
  <si>
    <t>005212-4</t>
  </si>
  <si>
    <t>Fox Sportline/Sports 1.0 Tot.Flex 8V 4p</t>
  </si>
  <si>
    <t>005201-9</t>
  </si>
  <si>
    <t>Fox Sportline/Sports 1.0/1.0 Tot.Flex 3p</t>
  </si>
  <si>
    <t>005202-7</t>
  </si>
  <si>
    <t>Fox Sportline/Sports 1.6/1.6 Tot.Flex 3p</t>
  </si>
  <si>
    <t>005293-0</t>
  </si>
  <si>
    <t>Fox SUNRISE 1.0 Mi Total Flex 8V 5p</t>
  </si>
  <si>
    <t>005444-5</t>
  </si>
  <si>
    <t>Fox TRACK 1.0 Flex 12V 5p</t>
  </si>
  <si>
    <t>005434-8</t>
  </si>
  <si>
    <t>Fox Trendline 1.0 Flex 12V 5p</t>
  </si>
  <si>
    <t>005401-1</t>
  </si>
  <si>
    <t>Fox Trendline 1.0 Flex 8V 5p</t>
  </si>
  <si>
    <t>005406-2</t>
  </si>
  <si>
    <t>Fox Trendline 1.6 Flex 8V 5p</t>
  </si>
  <si>
    <t>005154-3</t>
  </si>
  <si>
    <t>Bora 2.0/ 2.0 Flex 8v Aut.</t>
  </si>
  <si>
    <t>FAIXA 02</t>
  </si>
  <si>
    <t>001339-0</t>
  </si>
  <si>
    <t>Bravo ABSOLUTE 1.8 Flex 16V 5p</t>
  </si>
  <si>
    <t>BRAVO</t>
  </si>
  <si>
    <t>001340-4</t>
  </si>
  <si>
    <t>Bravo ABSOLUTE Dualogic 1.8 Flex 16V 5p</t>
  </si>
  <si>
    <t>001435-4</t>
  </si>
  <si>
    <t>Bravo BlackMotion 1.8 Dualogic Flex 5p</t>
  </si>
  <si>
    <t>001434-6</t>
  </si>
  <si>
    <t>Bravo BlackMotion 1.8 Flex 16v 5p</t>
  </si>
  <si>
    <t>001337-4</t>
  </si>
  <si>
    <t>Bravo ESSENCE 1.8 Flex 16V 5p</t>
  </si>
  <si>
    <t>001338-2</t>
  </si>
  <si>
    <t>Bravo ESSENCE Dualogic 1.8 Flex 16V 5p</t>
  </si>
  <si>
    <t>001385-4</t>
  </si>
  <si>
    <t>Bravo SPORTING 1.8 Dualogic Flex 16V 5p</t>
  </si>
  <si>
    <t>001384-6</t>
  </si>
  <si>
    <t>Bravo SPORTING 1.8 Flex 16V 5p</t>
  </si>
  <si>
    <t>001403-6</t>
  </si>
  <si>
    <t>Bravo WOLVERINE 1.8 Dualogic Flex 16V 5p</t>
  </si>
  <si>
    <t>001402-8</t>
  </si>
  <si>
    <t>Bravo WOLVERINE 1.8 Flex 16V 5p</t>
  </si>
  <si>
    <t>011204-6</t>
  </si>
  <si>
    <t>C4 CACTUS 100 Anos 1.6 TB 16V Flex Aut.</t>
  </si>
  <si>
    <t>C4</t>
  </si>
  <si>
    <t>011212-7</t>
  </si>
  <si>
    <t>C4 CACTUS C-SERIES 1.6 16V Flex Aut.</t>
  </si>
  <si>
    <t>011198-8</t>
  </si>
  <si>
    <t>C4 CACTUS FEEL 1.6 16V Flex Aut.</t>
  </si>
  <si>
    <t>011199-6</t>
  </si>
  <si>
    <t>C4 CACTUS FEEL 1.6 16V Flex Mec.</t>
  </si>
  <si>
    <t>011201-1</t>
  </si>
  <si>
    <t>C4 CACTUS FEEL Bus. 1.6 Flex Aut.</t>
  </si>
  <si>
    <t>011197-0</t>
  </si>
  <si>
    <t>C4 CACTUS FEEL Pack 1.6 16V Flex Aut.</t>
  </si>
  <si>
    <t>011211-9</t>
  </si>
  <si>
    <t>C4 CACTUS LIVE 1.6 16V Flex Aut.</t>
  </si>
  <si>
    <t>011200-3</t>
  </si>
  <si>
    <t>C4 CACTUS LIVE 1.6 16V Flex Mec.</t>
  </si>
  <si>
    <t>011213-5</t>
  </si>
  <si>
    <t>C4 CACTUS Rip Curl 1.6 16V Flex Aut.</t>
  </si>
  <si>
    <t>011196-1</t>
  </si>
  <si>
    <t>C4 CACTUS SHINE 1.6 Turbo Flex Aut.</t>
  </si>
  <si>
    <t>011195-3</t>
  </si>
  <si>
    <t>C4 CACTUS SHINE Pack 1.6 Turbo Flex Aut.</t>
  </si>
  <si>
    <t>011215-1</t>
  </si>
  <si>
    <t>C4 CACTUS X-Series 1.6 16V Flex Aut.</t>
  </si>
  <si>
    <t>011097-3</t>
  </si>
  <si>
    <t>C4 Excl./Excl. Solar. 2.0 Flex 16V Mec.</t>
  </si>
  <si>
    <t>011095-7</t>
  </si>
  <si>
    <t>C4 Excl.2.0/2.0 Solaris Flex 16V 5p Aut.</t>
  </si>
  <si>
    <t>011093-0</t>
  </si>
  <si>
    <t>C4 GLX 1.6 Flex 16V 5p Mec.</t>
  </si>
  <si>
    <t>011094-9</t>
  </si>
  <si>
    <t>C4 GLX 2.0 Flex 16V 5p Aut.</t>
  </si>
  <si>
    <t>011206-2</t>
  </si>
  <si>
    <t>C4 LOUNGE 100 Anos 1.6 16V TB Flex Aut.</t>
  </si>
  <si>
    <t>011132-5</t>
  </si>
  <si>
    <t>C4 LOUNGE Exclusive 1.6 Turbo 4p Aut.</t>
  </si>
  <si>
    <t>011156-2</t>
  </si>
  <si>
    <t>C4 LOUNGE Exclusive 1.6 Turbo Flex Aut.</t>
  </si>
  <si>
    <t>011131-7</t>
  </si>
  <si>
    <t>C4 LOUNGE Exclusive 2.0 Flex 4p Aut.</t>
  </si>
  <si>
    <t>011188-0</t>
  </si>
  <si>
    <t>C4 LOUNGE Feel 1.6 Turbo Flex Aut.</t>
  </si>
  <si>
    <t>011203-8</t>
  </si>
  <si>
    <t>C4 LOUNGE Live 1.6 Turbo Flex Aut.</t>
  </si>
  <si>
    <t>011193-7</t>
  </si>
  <si>
    <t>C4 LOUNGE Live Bus. 1.6 Flex Aut.</t>
  </si>
  <si>
    <t>011172-4</t>
  </si>
  <si>
    <t>C4 LOUNGE Orig.Business 1.6 TB Flex Aut.</t>
  </si>
  <si>
    <t>011173-2</t>
  </si>
  <si>
    <t>C4 LOUNGE Origine 1.6 Turbo Flex Aut.</t>
  </si>
  <si>
    <t>011174-0</t>
  </si>
  <si>
    <t>C4 LOUNGE Origine 1.6 Turbo Flex Mec.</t>
  </si>
  <si>
    <t>011158-9</t>
  </si>
  <si>
    <t>C4 LOUNGE Origine 2.0 Flex 4p Aut.</t>
  </si>
  <si>
    <t>011128-7</t>
  </si>
  <si>
    <t>C4 LOUNGE Origine 2.0 Flex 4p Mec.</t>
  </si>
  <si>
    <t>011177-5</t>
  </si>
  <si>
    <t>C4 LOUNGE S 1.6 Turbo Flex Aut.</t>
  </si>
  <si>
    <t>011187-2</t>
  </si>
  <si>
    <t>C4 LOUNGE Shine 1.6 Turbo Flex Aut.</t>
  </si>
  <si>
    <t>011146-5</t>
  </si>
  <si>
    <t>C4 LOUNGE Tendance 1.6 Turbo 4p Aut</t>
  </si>
  <si>
    <t>011157-0</t>
  </si>
  <si>
    <t>C4 LOUNGE Tendance 1.6 Turbo Flex Aut.</t>
  </si>
  <si>
    <t>011130-9</t>
  </si>
  <si>
    <t>C4 LOUNGE Tendance 2.0 Flex 4p Aut.</t>
  </si>
  <si>
    <t>011129-5</t>
  </si>
  <si>
    <t>C4 LOUNGE Tendance 2.0 Flex 4p Mec.</t>
  </si>
  <si>
    <t>011088-4</t>
  </si>
  <si>
    <t>C4 PAL.Excl/Excl(Tech.) 2.0/2.0 Flex Aut</t>
  </si>
  <si>
    <t>011087-6</t>
  </si>
  <si>
    <t>C4 PALLAS Exclusive 2.0/2.0 Flex 16V Mec</t>
  </si>
  <si>
    <t>011086-8</t>
  </si>
  <si>
    <t>C4 PALLAS GLX 2.0/ 2.0 Flex Aut.</t>
  </si>
  <si>
    <t>011085-0</t>
  </si>
  <si>
    <t>C4 PALLAS GLX 2.0/2.0 Flex 16V Mec.</t>
  </si>
  <si>
    <t>011135-0</t>
  </si>
  <si>
    <t>C4 Tendance 1.6 Flex 16V 5p Mec.</t>
  </si>
  <si>
    <t>011136-8</t>
  </si>
  <si>
    <t>C4 Tendance 2.0 Flex 16V 5p Aut.</t>
  </si>
  <si>
    <t>025306-5</t>
  </si>
  <si>
    <t>CAPTUR Iconic 1.3 TB 16V Flex 5p Aut.</t>
  </si>
  <si>
    <t>CAPTUR</t>
  </si>
  <si>
    <t>025307-3</t>
  </si>
  <si>
    <t>CAPTUR Intense 1.3 TB 16V Flex 5p Aut.</t>
  </si>
  <si>
    <t>025262-0</t>
  </si>
  <si>
    <t>CAPTUR Intense 1.6 16V Flex 5p Aut.</t>
  </si>
  <si>
    <t>025258-1</t>
  </si>
  <si>
    <t>CAPTUR Intense 2.0 16V Flex 5p Aut.</t>
  </si>
  <si>
    <t>025298-0</t>
  </si>
  <si>
    <t>CAPTUR Intense Bose 1.6 16V Flex 5p Aut.</t>
  </si>
  <si>
    <t>025299-9</t>
  </si>
  <si>
    <t>CAPTUR Intense Bose 2.0 16V Flex 5p Aut.</t>
  </si>
  <si>
    <t>025273-5</t>
  </si>
  <si>
    <t>CAPTUR Life 1.6 16V Flex 5p Aut.</t>
  </si>
  <si>
    <t>025308-1</t>
  </si>
  <si>
    <t>CAPTUR Zen 1.3 TB 16V Flex 5p Aut.</t>
  </si>
  <si>
    <t>025261-1</t>
  </si>
  <si>
    <t>CAPTUR Zen 1.6 16V Flex 5p Aut.</t>
  </si>
  <si>
    <t>025257-3</t>
  </si>
  <si>
    <t>CAPTUR Zen 1.6 16V Flex 5p Mec.</t>
  </si>
  <si>
    <t>073013-0</t>
  </si>
  <si>
    <t>Chery</t>
  </si>
  <si>
    <t>Celer Sedan ACT 1.5 16V Flex 5p</t>
  </si>
  <si>
    <t>CELER</t>
  </si>
  <si>
    <t>COTA 06</t>
  </si>
  <si>
    <t>018064-5</t>
  </si>
  <si>
    <t>Cerato 1.6 16V Aut.</t>
  </si>
  <si>
    <t>CERATO</t>
  </si>
  <si>
    <t>018085-8</t>
  </si>
  <si>
    <t>Cerato 1.6 16V Flex Aut.</t>
  </si>
  <si>
    <t>018054-8</t>
  </si>
  <si>
    <t>Cerato 1.6 16V Mec.</t>
  </si>
  <si>
    <t>024138-5</t>
  </si>
  <si>
    <t>307 SW Feline 2.0 16V 5p Aut.</t>
  </si>
  <si>
    <t>Familiar médio</t>
  </si>
  <si>
    <t>024106-7</t>
  </si>
  <si>
    <t>307 Feline/Griff/Premi. 2.0 Flex 5p Aut.</t>
  </si>
  <si>
    <t>024090-7</t>
  </si>
  <si>
    <t>307 Soleil/ Presence 1.6/1.6 Flex 16V 5p</t>
  </si>
  <si>
    <t>024189-0</t>
  </si>
  <si>
    <t>308 Allure 2.0 Flex 16V 5p Aut.</t>
  </si>
  <si>
    <t>024187-3</t>
  </si>
  <si>
    <t>308 Allure 1.6 Flex 16V 5p Mec.</t>
  </si>
  <si>
    <t>024208-0</t>
  </si>
  <si>
    <t>308 QUIKSILVER 1.6 Flex 16V 5p Mec.</t>
  </si>
  <si>
    <t>024186-5</t>
  </si>
  <si>
    <t>308 Active 1.6 Flex 16V 5p mec.</t>
  </si>
  <si>
    <t>024188-1</t>
  </si>
  <si>
    <t>308 Allure 2.0 Flex 16V 5p Mec.</t>
  </si>
  <si>
    <t>024184-9</t>
  </si>
  <si>
    <t>308 Feline 2.0 Flex 16V 5p Aut.</t>
  </si>
  <si>
    <t>001362-5</t>
  </si>
  <si>
    <t>500 Cult 1.4 Flex 8V EVO Dualogic</t>
  </si>
  <si>
    <t>Hatch subcompacto</t>
  </si>
  <si>
    <t>024211-0</t>
  </si>
  <si>
    <t>2008 Allure 1.6 Flex 16V 5p Aut.</t>
  </si>
  <si>
    <t>024213-6</t>
  </si>
  <si>
    <t>2008 Griffe 1.6 Flex 16V 5p Aut.</t>
  </si>
  <si>
    <t>011163-5</t>
  </si>
  <si>
    <t>AIRCROSS Live 1.6 Flex 16V 5p Aut.</t>
  </si>
  <si>
    <t>AIRCROSS</t>
  </si>
  <si>
    <t>011143-0</t>
  </si>
  <si>
    <t>AIRCROSS TENDANCE 1.6 Flex 16V 5p Aut.</t>
  </si>
  <si>
    <t>011109-0</t>
  </si>
  <si>
    <t>AIRCROSS Exclusive 1.6 Flex 16V 5p Aut.</t>
  </si>
  <si>
    <t>011103-1</t>
  </si>
  <si>
    <t>AIRCROSS Exclusive 1.6 Flex 16V 5p Mec.</t>
  </si>
  <si>
    <t>011102-3</t>
  </si>
  <si>
    <t>AIRCROSS GLX 1.6 Flex 16V 5p Mec.</t>
  </si>
  <si>
    <t>004328-1</t>
  </si>
  <si>
    <t>Astra Advantage 2.0 MPFI 8V FlexPower 5p</t>
  </si>
  <si>
    <t>ASTRA</t>
  </si>
  <si>
    <t>004330-3</t>
  </si>
  <si>
    <t>Astra Advant. 2.0 MPFI 8V FlexP. 5p Aut.</t>
  </si>
  <si>
    <t>004259-5</t>
  </si>
  <si>
    <t>Astra Sed.Eleg.2.0 MPFI FlexPower 8V 4p</t>
  </si>
  <si>
    <t>014019-8</t>
  </si>
  <si>
    <t>Civic Coupe EX/ EXS 1.6 16V 2p</t>
  </si>
  <si>
    <t>CIVIC</t>
  </si>
  <si>
    <t>014099-6</t>
  </si>
  <si>
    <t>Civic Coupe Si 1.5 TB 16V 208cv Mec. 2p</t>
  </si>
  <si>
    <t>ESPORTIVOS</t>
  </si>
  <si>
    <t>ESPORTIVO COMPACTO</t>
  </si>
  <si>
    <t>Esportivo compacto</t>
  </si>
  <si>
    <t>014084-8</t>
  </si>
  <si>
    <t>Civic Coupe Si 2.4 16V 206cv Mec. 2p</t>
  </si>
  <si>
    <t>014051-1</t>
  </si>
  <si>
    <t>Civic Sed LX 1.8 Aut 4p</t>
  </si>
  <si>
    <t>014065-1</t>
  </si>
  <si>
    <t>Civic Sed. LXL/ LXL SE 1.8 Flex 16V Aut.</t>
  </si>
  <si>
    <t>014064-3</t>
  </si>
  <si>
    <t>Civic Sed. LXL/LXL SE 1.8 Flex 16V Mec.</t>
  </si>
  <si>
    <t>014030-9</t>
  </si>
  <si>
    <t>Civic Sedan EX 1.6 16V Aut. 4p (nacion.)</t>
  </si>
  <si>
    <t>014029-5</t>
  </si>
  <si>
    <t>Civic Sedan EX 1.6 16V Mec. 4p (nacion.)</t>
  </si>
  <si>
    <t>014033-3</t>
  </si>
  <si>
    <t>Civic Sedan EX 1.7 16V 130cv Aut. 4p</t>
  </si>
  <si>
    <t>014034-1</t>
  </si>
  <si>
    <t>Civic Sedan EX 1.7 16v 130cv Mec. 4p</t>
  </si>
  <si>
    <t>014091-0</t>
  </si>
  <si>
    <t>Civic Sedan EX 2.0 Flex 16V Aut.4p</t>
  </si>
  <si>
    <t>014090-2</t>
  </si>
  <si>
    <t>Civic Sedan EXL 2.0 Flex 16V Aut.4p</t>
  </si>
  <si>
    <t>014075-9</t>
  </si>
  <si>
    <t>Civic Sedan EXR 2.0 Flexone 16V Aut. 4p</t>
  </si>
  <si>
    <t>014050-3</t>
  </si>
  <si>
    <t>Civic Sedan EXS 1.8/1.8 Flex 16V Aut. 4p</t>
  </si>
  <si>
    <t>014028-7</t>
  </si>
  <si>
    <t>Civic Sedan LX 1.6 16V Aut. 4p</t>
  </si>
  <si>
    <t>014017-1</t>
  </si>
  <si>
    <t>Civic Sedan LX 1.6 16V Mec. 4p</t>
  </si>
  <si>
    <t>014103-8</t>
  </si>
  <si>
    <t>Civic Sedan LX 2.0 Flex 16V Aut. 4p</t>
  </si>
  <si>
    <t>014016-3</t>
  </si>
  <si>
    <t>Civic Sedan LXB 1.6 16V 4p</t>
  </si>
  <si>
    <t>014037-6</t>
  </si>
  <si>
    <t>Civic Sedan LXB 1.7 16V 115cv</t>
  </si>
  <si>
    <t>014074-0</t>
  </si>
  <si>
    <t>Civic Sedan LXR 2.0 Flexone 16V Aut. 4p</t>
  </si>
  <si>
    <t>014049-0</t>
  </si>
  <si>
    <t>Civic Sedan LXS 1.8/1.8 Flex 16V Aut. 4p</t>
  </si>
  <si>
    <t>014048-1</t>
  </si>
  <si>
    <t>Civic Sedan LXS 1.8/1.8 Flex 16V Mec. 4p</t>
  </si>
  <si>
    <t>014052-0</t>
  </si>
  <si>
    <t>Civic Sedan Si 2.0 16V 192cv 4p</t>
  </si>
  <si>
    <t>014092-9</t>
  </si>
  <si>
    <t>Civic Sedan SPORT 2.0 Flex 16V Aut.4p</t>
  </si>
  <si>
    <t>014093-7</t>
  </si>
  <si>
    <t>Civic Sedan SPORT 2.0 Flex 16V Mec.4p</t>
  </si>
  <si>
    <t>014089-9</t>
  </si>
  <si>
    <t>Civic Sedan TOURING 1.5 Turbo 16V Aut.4p</t>
  </si>
  <si>
    <t>002112-1</t>
  </si>
  <si>
    <t>Corolla ALTIS/A.Premiu. 2.0 Flex 16V Aut</t>
  </si>
  <si>
    <t>002202-0</t>
  </si>
  <si>
    <t>Corolla Cross SE 1.8 16V Aut. (Híbrido)</t>
  </si>
  <si>
    <t>SUV MEDIO</t>
  </si>
  <si>
    <t>SUV médio</t>
  </si>
  <si>
    <t>002201-2</t>
  </si>
  <si>
    <t>Corolla Cross XR 2.0 16V Flex Aut.</t>
  </si>
  <si>
    <t>002203-9</t>
  </si>
  <si>
    <t>Corolla Cross XRE 2.0 16V Flex Aut.</t>
  </si>
  <si>
    <t>002200-4</t>
  </si>
  <si>
    <t>Corolla Cross XRV 1.8 16V Aut.(Híbrido)</t>
  </si>
  <si>
    <t>002204-7</t>
  </si>
  <si>
    <t>Corolla Cross XRX 1.8 16V Aut.(Híbrido)</t>
  </si>
  <si>
    <t>002158-0</t>
  </si>
  <si>
    <t>Corolla Dynamic 2.0 Flex 16V Aut.</t>
  </si>
  <si>
    <t>002109-1</t>
  </si>
  <si>
    <t>Corolla GLi 1.8 Flex 16V Aut.</t>
  </si>
  <si>
    <t>002108-3</t>
  </si>
  <si>
    <t>Corolla GLi 1.8 Flex 16V Mec.</t>
  </si>
  <si>
    <t>024137-7</t>
  </si>
  <si>
    <t>307 SW Allure 2.0 16V 5p Aut.</t>
  </si>
  <si>
    <t>024136-9</t>
  </si>
  <si>
    <t>307 SW Allure 2.0 16V 5p Mec.</t>
  </si>
  <si>
    <t>024109-1</t>
  </si>
  <si>
    <t>307 SW 2.0 16V 5p Aut.</t>
  </si>
  <si>
    <t>024097-4</t>
  </si>
  <si>
    <t>307 SW 2.0 16V 138cv 5p Mec.</t>
  </si>
  <si>
    <t>024160-1</t>
  </si>
  <si>
    <t>307 Presence 2.0 Flex 16V 5p Aut.</t>
  </si>
  <si>
    <t>024174-1</t>
  </si>
  <si>
    <t>307 MILLESIM200 1.6 Flex 16V 5p</t>
  </si>
  <si>
    <t>024105-9</t>
  </si>
  <si>
    <t>307 Feline 2.0/2.0 Flex 16V 5p Mec.</t>
  </si>
  <si>
    <t>024098-2</t>
  </si>
  <si>
    <t>307 Rallye 2.0 16V 138cv 5p</t>
  </si>
  <si>
    <t>024107-5</t>
  </si>
  <si>
    <t>307 Rallye 2.0 16V 138cv 5p Aut.</t>
  </si>
  <si>
    <t>024091-5</t>
  </si>
  <si>
    <t>307 Passion 1.6 16V 110cv 5p</t>
  </si>
  <si>
    <t>024125-3</t>
  </si>
  <si>
    <t>307 Passion 2.0 16V 138cv 5p</t>
  </si>
  <si>
    <t>024092-3</t>
  </si>
  <si>
    <t>307 Rallye 1.6 16V 110cv 5p</t>
  </si>
  <si>
    <t>024126-1</t>
  </si>
  <si>
    <t>307 Sed. Presence 1.6 Flex 16V 4p</t>
  </si>
  <si>
    <t>024161-0</t>
  </si>
  <si>
    <t>307 Sed. Presence 2.0 Flex 16V 5p Aut.</t>
  </si>
  <si>
    <t>024128-8</t>
  </si>
  <si>
    <t>307 Sed.Feline/Griff 2.0/2.0 Flex 4p Aut</t>
  </si>
  <si>
    <t>024127-0</t>
  </si>
  <si>
    <t>307 Sed. Feline 2.0/2.0 Flex 16V 4p Mec.</t>
  </si>
  <si>
    <t>001361-7</t>
  </si>
  <si>
    <t>500 Cult 1.4 Flex 8V EVO Mec.</t>
  </si>
  <si>
    <t>024257-8</t>
  </si>
  <si>
    <t>2008 Allure Essencial 1.6 Flex 16V Aut.</t>
  </si>
  <si>
    <t>024252-7</t>
  </si>
  <si>
    <t>2008 SKYWALKER 1.6 Turbo Flex 16V Aut.</t>
  </si>
  <si>
    <t>024245-4</t>
  </si>
  <si>
    <t>2008 Allure Pack 1.6 Flex 16V Aut.</t>
  </si>
  <si>
    <t>024246-2</t>
  </si>
  <si>
    <t>2008 Griffe 1.6 Turbo Flex 16V 5p Aut.</t>
  </si>
  <si>
    <t>024248-9</t>
  </si>
  <si>
    <t>2008 Allure Pack Bus. 1.6 Flex Aut.</t>
  </si>
  <si>
    <t>024240-3</t>
  </si>
  <si>
    <t>2008 Allure Bus. 1.6 Flex 5p Aut.</t>
  </si>
  <si>
    <t>024227-6</t>
  </si>
  <si>
    <t>2008 Crossway 1.6 Flex 16V 5p Aut.</t>
  </si>
  <si>
    <t>024210-1</t>
  </si>
  <si>
    <t>2008 Allure 1.6 Flex 16V 5p Mec.</t>
  </si>
  <si>
    <t>024214-4</t>
  </si>
  <si>
    <t>2008 Griffe 1.6 Turbo Flex 16V 5p Mec.</t>
  </si>
  <si>
    <t>024242-0</t>
  </si>
  <si>
    <t>2008 Style 1.6 Flex 16V 5p Aut.</t>
  </si>
  <si>
    <t>024212-8</t>
  </si>
  <si>
    <t>2008 Griffe 1.6 Flex 16V 5p Mec.</t>
  </si>
  <si>
    <t>011205-4</t>
  </si>
  <si>
    <t>AIRCROSS 100 Anos 1.6 Flex 16V Aut.</t>
  </si>
  <si>
    <t>011191-0</t>
  </si>
  <si>
    <t>AIRCROSS Live Bus. 1.6 Flex 5p Aut.</t>
  </si>
  <si>
    <t>011180-5</t>
  </si>
  <si>
    <t>AIRCROSS Live 1.6 Flex 16V 5p Mec.</t>
  </si>
  <si>
    <t>011182-1</t>
  </si>
  <si>
    <t>AIRCROSS Start 1.6 Flex 16V 5p Mec.</t>
  </si>
  <si>
    <t>011166-0</t>
  </si>
  <si>
    <t>AIRCROSS Shine 1.6 Flex 16V 5p Aut.</t>
  </si>
  <si>
    <t>011164-3</t>
  </si>
  <si>
    <t>AIRCROSS Feel 1.6 Flex 16V 5p Aut.</t>
  </si>
  <si>
    <t>011165-1</t>
  </si>
  <si>
    <t>AIRCROSS Feel 1.6 Flex 16V 5p Mec.</t>
  </si>
  <si>
    <t>011162-7</t>
  </si>
  <si>
    <t>AIRCROSS Live 1.5 Flex 8V 5p Mec.</t>
  </si>
  <si>
    <t>011184-8</t>
  </si>
  <si>
    <t>AIRCROSS BUSINESS 1.6 Flex 16V 5p Mec.</t>
  </si>
  <si>
    <t>011179-1</t>
  </si>
  <si>
    <t>AIRCROSS SALOMON 1.5 Flex 8V 5p Mec.</t>
  </si>
  <si>
    <t>011178-3</t>
  </si>
  <si>
    <t>AIRCROSS SALOMON 1.6 Flex 16V 5p Aut.</t>
  </si>
  <si>
    <t>011161-9</t>
  </si>
  <si>
    <t>AIRCROSS Start 1.5 Flex 8V 5p Mec.</t>
  </si>
  <si>
    <t>011153-8</t>
  </si>
  <si>
    <t>AIRCROSS SALOMON EXCLUSIVE 1.6 Flex Aut.</t>
  </si>
  <si>
    <t>011152-0</t>
  </si>
  <si>
    <t>AIRCROSS SALOMON EXCLUSIVE 1.6 Flex Mec.</t>
  </si>
  <si>
    <t>011150-3</t>
  </si>
  <si>
    <t>AIRCROSS SALOMON TENDANCE 1.6 Flex Aut.</t>
  </si>
  <si>
    <t>011151-1</t>
  </si>
  <si>
    <t>AIRCROSS SALOMON TENDANCE 1.6 Flex Mec.</t>
  </si>
  <si>
    <t>011144-9</t>
  </si>
  <si>
    <t>AIRCROSS TENDANCE 1.6 Flex 16V 5p Mec.</t>
  </si>
  <si>
    <t>011126-0</t>
  </si>
  <si>
    <t>AIRCROSS Exc. ATACA. 1.6 Flex 16V 5p Aut</t>
  </si>
  <si>
    <t>011122-8</t>
  </si>
  <si>
    <t>AIRCROSS Exc. ATACA. 1.6 Flex 16V 5p Mec</t>
  </si>
  <si>
    <t>011124-4</t>
  </si>
  <si>
    <t>AIRCROSS GLX ATACAMA 1.6 Flex 16V 5p Aut</t>
  </si>
  <si>
    <t>011123-6</t>
  </si>
  <si>
    <t>AIRCROSS GLX ATACAMA 1.6 Flex 16V 5p Mec</t>
  </si>
  <si>
    <t>011108-2</t>
  </si>
  <si>
    <t>AIRCROSS GLX 1.6 Flex 16V 5p Aut.</t>
  </si>
  <si>
    <t>011101-5</t>
  </si>
  <si>
    <t>AIRCROSS GL 1.6 Flex 16V 5p Mec.</t>
  </si>
  <si>
    <t>004256-0</t>
  </si>
  <si>
    <t>Astra Eleg. 2.0 MPFI FlexPower 8V 5p Aut</t>
  </si>
  <si>
    <t>004312-5</t>
  </si>
  <si>
    <t>Astra Advantage 2.0 MPFI FlexPower 8V 3p</t>
  </si>
  <si>
    <t>004254-4</t>
  </si>
  <si>
    <t>Astra Comfort 2.0 MPFI FlexPower 8V 5p</t>
  </si>
  <si>
    <t>004310-9</t>
  </si>
  <si>
    <t>Astra Elite 2.0 MPFI Flex Pow. 8V 5p Aut</t>
  </si>
  <si>
    <t>004257-9</t>
  </si>
  <si>
    <t>Astra Elite 2.0 MPFI FlexPower 8V 5p Mec</t>
  </si>
  <si>
    <t>004253-6</t>
  </si>
  <si>
    <t>Astra Elegance 2.0 MPFI FlexPower 8V 3p</t>
  </si>
  <si>
    <t>004255-2</t>
  </si>
  <si>
    <t>Astra Elegance 2.0 MPFI FlexPower 8V 5p</t>
  </si>
  <si>
    <t>004252-8</t>
  </si>
  <si>
    <t>Astra Comfort 2.0 MPFI FlexPower 8V 3p</t>
  </si>
  <si>
    <t>004230-7</t>
  </si>
  <si>
    <t>Astra GSi 2.0 16V 136cv Hatchback 5p</t>
  </si>
  <si>
    <t>004232-3</t>
  </si>
  <si>
    <t>Astra 2.0 8V/ CD 2.0 8V Hatchback 5p Aut</t>
  </si>
  <si>
    <t>004231-5</t>
  </si>
  <si>
    <t>Astra 2.0 8V/ CD 2.0 8V Hatchback 5p Mec</t>
  </si>
  <si>
    <t>004223-4</t>
  </si>
  <si>
    <t>Astra 2.0/ CD 2.0 8V 3p Aut.</t>
  </si>
  <si>
    <t>004082-7</t>
  </si>
  <si>
    <t>Astra 2.0/ CD/ Sunny/ GLS 2.0 8V 3p</t>
  </si>
  <si>
    <t>004169-6</t>
  </si>
  <si>
    <t>Astra 2.0/ CD/ GLS 2.0 MPFI 16V 3p</t>
  </si>
  <si>
    <t>004120-3</t>
  </si>
  <si>
    <t>Astra GL Milenium 1.8 MPFI 4p</t>
  </si>
  <si>
    <t>004081-9</t>
  </si>
  <si>
    <t>Astra GL 1.8 MPFI 3p</t>
  </si>
  <si>
    <t>004194-7</t>
  </si>
  <si>
    <t>Astra 500 Sedan 2.0 MPFI 16V 4p</t>
  </si>
  <si>
    <t>004329-0</t>
  </si>
  <si>
    <t>Astra Sed. Advant. 2.0 8V MPFI FlexP. 4p</t>
  </si>
  <si>
    <t>004331-1</t>
  </si>
  <si>
    <t>Astra Sed.Advan. 2.0 8V MPFI FlexP. Aut.</t>
  </si>
  <si>
    <t>004260-9</t>
  </si>
  <si>
    <t>Astra Sed.Eleg. 2.0 MPFI FlexP.8V Aut.</t>
  </si>
  <si>
    <t>004195-5</t>
  </si>
  <si>
    <t>Astra S.Sport 2.0 F.Pow. 5p/Sport 2.0 3p</t>
  </si>
  <si>
    <t>004258-7</t>
  </si>
  <si>
    <t>Astra Sed.Comf. 2.0 MPFI FlexPower 8V 4p</t>
  </si>
  <si>
    <t>004313-3</t>
  </si>
  <si>
    <t>Astra Sed.Comf.2.0 MPFI MultiPower 8V 4p</t>
  </si>
  <si>
    <t>004314-1</t>
  </si>
  <si>
    <t>Astra Sed.Eleg.2.0 MPFI MultiPower 8V 4p</t>
  </si>
  <si>
    <t>004262-5</t>
  </si>
  <si>
    <t>Astra Sed.Elite 2.0 MPFI FlexP.8V Aut.</t>
  </si>
  <si>
    <t>004261-7</t>
  </si>
  <si>
    <t>Astra Sed.Elite 2.0 MPFI FlexPower 8V 4p</t>
  </si>
  <si>
    <t>004263-3</t>
  </si>
  <si>
    <t>Astra Sedan Comfort 1.8 MPFI 8V 4p</t>
  </si>
  <si>
    <t>004168-8</t>
  </si>
  <si>
    <t>Astra Sedan 2.0/CD/ Expres.GLS 2.0 8V 4p</t>
  </si>
  <si>
    <t>004215-3</t>
  </si>
  <si>
    <t>Astra Sedan 2.0/ CD 2.0 MPFI 8V 4p Aut.</t>
  </si>
  <si>
    <t>004084-3</t>
  </si>
  <si>
    <t>Astra Sedan GL 1.8 MPFI 4p</t>
  </si>
  <si>
    <t>004083-5</t>
  </si>
  <si>
    <t>Astra Sedan 2.0/CD/ GLS/ Adv. 2.0 16V 4p</t>
  </si>
  <si>
    <t>004498-9</t>
  </si>
  <si>
    <t>TRAILBLAZER PREMIER 2.8 TB Diesel Aut.</t>
  </si>
  <si>
    <t>SUV GRANDE</t>
  </si>
  <si>
    <t>SUV grande</t>
  </si>
  <si>
    <t>BLAZER</t>
  </si>
  <si>
    <t>004497-0</t>
  </si>
  <si>
    <t>TRAILBLAZER PREMIER 3.6 V6 Aut.</t>
  </si>
  <si>
    <t>002181-4</t>
  </si>
  <si>
    <t>Corolla GLi 2.0 16V Flex Aut.</t>
  </si>
  <si>
    <t>002139-3</t>
  </si>
  <si>
    <t>Corolla GLi Upper 1.8 Flex 16V Aut.</t>
  </si>
  <si>
    <t>002155-5</t>
  </si>
  <si>
    <t>Corolla GLi Upper Black P. 1.8 Flex Aut.</t>
  </si>
  <si>
    <t>002199-7</t>
  </si>
  <si>
    <t>Corolla GR-Sport 2.0 Flex 16V Aut.</t>
  </si>
  <si>
    <t>002100-8</t>
  </si>
  <si>
    <t>Corolla S 1.8 16V 136cv Aut</t>
  </si>
  <si>
    <t>002099-0</t>
  </si>
  <si>
    <t>Corolla S 1.8 16V 136cv Mec</t>
  </si>
  <si>
    <t>002061-3</t>
  </si>
  <si>
    <t>Corolla XEi 1.8/1.8 Flex 16V Aut.</t>
  </si>
  <si>
    <t>002111-3</t>
  </si>
  <si>
    <t>Corolla XEi 2.0 Flex 16V Aut.</t>
  </si>
  <si>
    <t>002080-0</t>
  </si>
  <si>
    <t>Corolla XLi 1.6 16V 110cv Aut.</t>
  </si>
  <si>
    <t>002079-6</t>
  </si>
  <si>
    <t>Corolla XLi 1.6 16V 110cv Mec.</t>
  </si>
  <si>
    <t>002062-1</t>
  </si>
  <si>
    <t>Corolla XLi 1.8/1.8 Flex 16V Aut.</t>
  </si>
  <si>
    <t>002027-3</t>
  </si>
  <si>
    <t>Corolla XLi 1.8/1.8 Flex 16V Mec.</t>
  </si>
  <si>
    <t>002115-6</t>
  </si>
  <si>
    <t>Corolla XRS 2.0 Flex 16V Aut.</t>
  </si>
  <si>
    <t>003312-0</t>
  </si>
  <si>
    <t>Courier Van 1.6/ 1.6 Flex 8V (Carga)</t>
  </si>
  <si>
    <t>COURIER</t>
  </si>
  <si>
    <t>003140-2</t>
  </si>
  <si>
    <t>Courier XL/XL-RS 1.6/ XL 1.6 Flex</t>
  </si>
  <si>
    <t>015159-9</t>
  </si>
  <si>
    <t>Creta 1 Million 1.6 16V Flex Aut.</t>
  </si>
  <si>
    <t>CRETA</t>
  </si>
  <si>
    <t>015190-4</t>
  </si>
  <si>
    <t>Creta Action 1.6 16V Flex Aut.</t>
  </si>
  <si>
    <t>015157-2</t>
  </si>
  <si>
    <t>Creta Attitude 1.6 16V Flex Aut.</t>
  </si>
  <si>
    <t>015142-4</t>
  </si>
  <si>
    <t>Creta Attitude 1.6 16V Flex Mec.</t>
  </si>
  <si>
    <t>015181-5</t>
  </si>
  <si>
    <t>Creta Attitude Plus 1.6 16V Flex Aut.</t>
  </si>
  <si>
    <t>015200-5</t>
  </si>
  <si>
    <t>Creta Comfort 1.0 TB 12V Flex Aut.</t>
  </si>
  <si>
    <t>015163-7</t>
  </si>
  <si>
    <t>Creta Launch Edition 1.6 16V Flex Aut.</t>
  </si>
  <si>
    <t>015203-0</t>
  </si>
  <si>
    <t>Creta Limited 1.0 TB 12V Flex Aut.</t>
  </si>
  <si>
    <t>015189-0</t>
  </si>
  <si>
    <t>Creta Limited Edition 1.6 16V Flex Aut.</t>
  </si>
  <si>
    <t>015202-1</t>
  </si>
  <si>
    <t>Creta Platinum 1.0 TB 12V Flex Aut.</t>
  </si>
  <si>
    <t>015144-0</t>
  </si>
  <si>
    <t>Creta Prestige 2.0 16V Flex Aut.</t>
  </si>
  <si>
    <t>015141-6</t>
  </si>
  <si>
    <t>Creta Pulse 1.6 16V Flex Aut.</t>
  </si>
  <si>
    <t>015140-8</t>
  </si>
  <si>
    <t>Creta Pulse 1.6 16V Flex Mec.</t>
  </si>
  <si>
    <t>015143-2</t>
  </si>
  <si>
    <t>Creta Pulse 2.0 16V Flex Aut.</t>
  </si>
  <si>
    <t>015151-3</t>
  </si>
  <si>
    <t>Creta Pulse Plus 1.6 16V Flex Aut.</t>
  </si>
  <si>
    <t>015162-9</t>
  </si>
  <si>
    <t>Creta Smart 1.6 16V Flex Aut.</t>
  </si>
  <si>
    <t>015188-2</t>
  </si>
  <si>
    <t>Creta Smart Plus 1.6 16V Flex Aut.</t>
  </si>
  <si>
    <t>015153-0</t>
  </si>
  <si>
    <t>Creta Sport 2.0 16V Flex Aut.</t>
  </si>
  <si>
    <t>015201-3</t>
  </si>
  <si>
    <t>Creta Ultimate 2.0 16V Flex Aut.</t>
  </si>
  <si>
    <t>014053-8</t>
  </si>
  <si>
    <t>CR-V EXL 2.0 16V 4WD/2.0 Flexone Aut.</t>
  </si>
  <si>
    <t>CR-V</t>
  </si>
  <si>
    <t>014076-7</t>
  </si>
  <si>
    <t>CR-V EXL 2.0 Flexone 16V 2WD Aut.</t>
  </si>
  <si>
    <t>014071-6</t>
  </si>
  <si>
    <t>CR-V LX 2.0 16V 2WD Mec.</t>
  </si>
  <si>
    <t>014054-6</t>
  </si>
  <si>
    <t>CR-V LX 2.0 16V 2WD/2.0 Flexone Aut.</t>
  </si>
  <si>
    <t>014100-3</t>
  </si>
  <si>
    <t>CR-V Touring 1.5 16V 4WD 5p Aut.</t>
  </si>
  <si>
    <t>001300-5</t>
  </si>
  <si>
    <t>Doblo 1.4 mpi Fire Flex 8V 4p</t>
  </si>
  <si>
    <t>Van média</t>
  </si>
  <si>
    <t>DOBLO</t>
  </si>
  <si>
    <t>001382-0</t>
  </si>
  <si>
    <t>Doblo Adv. XINGU 1.8 Flex 16V 5p</t>
  </si>
  <si>
    <t>001383-8</t>
  </si>
  <si>
    <t>Doblo Adv. XINGU LOCKER 1.8 Flex 16V 5p</t>
  </si>
  <si>
    <t>001456-7</t>
  </si>
  <si>
    <t>Doblo Adv.Ext./Adv.Ext.Loc. 1.8 16V Flex</t>
  </si>
  <si>
    <t>001234-3</t>
  </si>
  <si>
    <t>Doblo Adv/Adv TRYON/LOCKER 1.8 Flex</t>
  </si>
  <si>
    <t>001204-1</t>
  </si>
  <si>
    <t>Doblo Adventure/ Adv.ER 1.8 mpi 8V 103cv</t>
  </si>
  <si>
    <t>001353-6</t>
  </si>
  <si>
    <t>Doblo ATTRACTIVE 1.4 Fire Flex 8V 5p</t>
  </si>
  <si>
    <t>001170-3</t>
  </si>
  <si>
    <t>Doblo Cargo 1.3 Fire 16V 4/5p</t>
  </si>
  <si>
    <t>001302-1</t>
  </si>
  <si>
    <t>Doblo Cargo 1.4 mpi Fire Flex 8V 3p</t>
  </si>
  <si>
    <t>001169-0</t>
  </si>
  <si>
    <t>Doblo Cargo 1.6 16V 4/5p</t>
  </si>
  <si>
    <t>001206-8</t>
  </si>
  <si>
    <t>Doblo Cargo 1.8 mpi 8V 103cv</t>
  </si>
  <si>
    <t>001235-1</t>
  </si>
  <si>
    <t>Doblo Cargo 1.8 mpi Fire Flex 8V/16V 4p</t>
  </si>
  <si>
    <t>001301-3</t>
  </si>
  <si>
    <t>Doblo ELX 1.4 mpi Fire Flex 8V 4p</t>
  </si>
  <si>
    <t>001168-1</t>
  </si>
  <si>
    <t>Doblo ELX 1.6 16V 4/5p</t>
  </si>
  <si>
    <t>001205-0</t>
  </si>
  <si>
    <t>Doblo ELX 1.8 mpi 8V 103cv</t>
  </si>
  <si>
    <t>001236-0</t>
  </si>
  <si>
    <t>Doblo ELX 1.8 mpi 8V Flex</t>
  </si>
  <si>
    <t>001352-8</t>
  </si>
  <si>
    <t>Doblo ESSENCE 1.8 Flex 16V 5p</t>
  </si>
  <si>
    <t>001167-3</t>
  </si>
  <si>
    <t>Doblo EX 1.3 Fire 16V 80cv 4/5p</t>
  </si>
  <si>
    <t>001240-8</t>
  </si>
  <si>
    <t>Doblo HLX 1.8 mpi Flex 5p</t>
  </si>
  <si>
    <t>011113-9</t>
  </si>
  <si>
    <t>DS3 1.6 Turbo 16V 3p Mec.</t>
  </si>
  <si>
    <t>DS3</t>
  </si>
  <si>
    <t>025181-0</t>
  </si>
  <si>
    <t>DUSTER 1.6 Hi-Flex 16V Mec.</t>
  </si>
  <si>
    <t>025274-3</t>
  </si>
  <si>
    <t>DUSTER Authent. 1.6 Flex 16V Aut.</t>
  </si>
  <si>
    <t>025233-6</t>
  </si>
  <si>
    <t>DUSTER DAKAR 4x2 1.6 Hi-Flex 16V Mec.</t>
  </si>
  <si>
    <t>025259-0</t>
  </si>
  <si>
    <t>DUSTER DAKAR 4x2 2.0 Hi-Flex 16V Aut.</t>
  </si>
  <si>
    <t>025234-4</t>
  </si>
  <si>
    <t>DUSTER DAKAR 4x4 2.0 Hi-Flex 16V Mec.</t>
  </si>
  <si>
    <t>025264-6</t>
  </si>
  <si>
    <t>DUSTER Dynamique 1.6 Flex 16V Aut.</t>
  </si>
  <si>
    <t>025183-6</t>
  </si>
  <si>
    <t>DUSTER Dynamique 1.6 Flex 16V Mec.</t>
  </si>
  <si>
    <t>025185-2</t>
  </si>
  <si>
    <t>DUSTER Dynamique 2.0 Flex 16V Aut.</t>
  </si>
  <si>
    <t>025184-4</t>
  </si>
  <si>
    <t>DUSTER Dynamique 2.0 Hi-Flex 16V Mec.</t>
  </si>
  <si>
    <t>025186-0</t>
  </si>
  <si>
    <t>DUSTER Dynamique 4x4 2.0 Hi-Flex 16V Mec</t>
  </si>
  <si>
    <t>025182-8</t>
  </si>
  <si>
    <t>DUSTER Expression 1.6 Hi-Flex 16V Mec.</t>
  </si>
  <si>
    <t>025296-4</t>
  </si>
  <si>
    <t>DUSTER GoPro 1.6 16V Flex Aut.</t>
  </si>
  <si>
    <t>025295-6</t>
  </si>
  <si>
    <t>DUSTER GoPro 4x4 2.0 Hi-Flex 16V Mec.</t>
  </si>
  <si>
    <t>025310-3</t>
  </si>
  <si>
    <t>DUSTER Iconic 1.3 TB 16V Flex Aut.</t>
  </si>
  <si>
    <t>025300-6</t>
  </si>
  <si>
    <t>DUSTER Iconic 1.6 16V Flex Aut.</t>
  </si>
  <si>
    <t>025301-4</t>
  </si>
  <si>
    <t>DUSTER Intense 1.6 16V Flex Aut.</t>
  </si>
  <si>
    <t>025231-0</t>
  </si>
  <si>
    <t>DUSTER OROCH Dyna. 1.6 Flex 16V Mec.</t>
  </si>
  <si>
    <t>PICAPES MEDIAS</t>
  </si>
  <si>
    <t>Picape média</t>
  </si>
  <si>
    <t>025240-9</t>
  </si>
  <si>
    <t>DUSTER OROCH Dyna. 2.0 Flex 16V Aut.</t>
  </si>
  <si>
    <t>025232-8</t>
  </si>
  <si>
    <t>DUSTER OROCH Dyna. 2.0 Flex 16V Mec.</t>
  </si>
  <si>
    <t>025278-6</t>
  </si>
  <si>
    <t>DUSTER OROCH Express 1.6 Flex 16V Mec.</t>
  </si>
  <si>
    <t>025230-1</t>
  </si>
  <si>
    <t>DUSTER OROCH Expression 1.6 Flex 16V Mec</t>
  </si>
  <si>
    <t>025221-2</t>
  </si>
  <si>
    <t>DUSTER OUTDOOR 1.6 Hi-Flex 16V Mec.</t>
  </si>
  <si>
    <t>025191-7</t>
  </si>
  <si>
    <t>DUSTER TECHROAD 1.6 Hi-Flex 16V Mec.</t>
  </si>
  <si>
    <t>025193-3</t>
  </si>
  <si>
    <t>DUSTER TECHROAD 2.0 Hi-Flex 16V Aut.</t>
  </si>
  <si>
    <t>025192-5</t>
  </si>
  <si>
    <t>DUSTER TECHROAD 2.0 Hi-Flex 16V Mec.</t>
  </si>
  <si>
    <t>025209-3</t>
  </si>
  <si>
    <t>DUSTER TECHROAD 4X4 2.0 16V Mec.</t>
  </si>
  <si>
    <t>025302-2</t>
  </si>
  <si>
    <t>DUSTER Zen 1.6 16V Flex Aut.</t>
  </si>
  <si>
    <t>025303-0</t>
  </si>
  <si>
    <t>DUSTER Zen 1.6 16V Flex Mec.</t>
  </si>
  <si>
    <t>003472-0</t>
  </si>
  <si>
    <t>EcoSport 100 Anos 1.5 Flex 5p Aut.</t>
  </si>
  <si>
    <t>ECOSPORT</t>
  </si>
  <si>
    <t>003285-9</t>
  </si>
  <si>
    <t>EcoSport 4WD 2.0/ 2.0 Flex 16V 5p</t>
  </si>
  <si>
    <t>003438-0</t>
  </si>
  <si>
    <t>EcoSport FREESTYLE 1.5 12V Flex 5p Aut.</t>
  </si>
  <si>
    <t>003439-8</t>
  </si>
  <si>
    <t>EcoSport FREESTYLE 1.5 12V Flex 5p Mec.</t>
  </si>
  <si>
    <t>003367-7</t>
  </si>
  <si>
    <t>EcoSport FREESTYLE 1.6 16V Flex 5p</t>
  </si>
  <si>
    <t>003420-7</t>
  </si>
  <si>
    <t>EcoSport FREESTYLE 1.6 16V Flex 5p Aut.</t>
  </si>
  <si>
    <t>003391-0</t>
  </si>
  <si>
    <t>EcoSport FREESTYLE 2.0 16V 4WD Flex 5p</t>
  </si>
  <si>
    <t>003369-3</t>
  </si>
  <si>
    <t>EcoSport FREESTYLE 2.0 16V Flex 5p</t>
  </si>
  <si>
    <t>003407-0</t>
  </si>
  <si>
    <t>EcoSport FREESTYLE 2.0 16V Flex 5p Aut.</t>
  </si>
  <si>
    <t>003452-5</t>
  </si>
  <si>
    <t>EcoSport FREESTYLE PLUS 1.5 Flex 5p Aut.</t>
  </si>
  <si>
    <t>003365-0</t>
  </si>
  <si>
    <t>EcoSport S 1.6 16V Flex 5p</t>
  </si>
  <si>
    <t>003440-1</t>
  </si>
  <si>
    <t>EcoSport SE 1.5 12V Flex 5p Aut.</t>
  </si>
  <si>
    <t>003441-0</t>
  </si>
  <si>
    <t>EcoSport SE 1.5 12V Flex 5p Mec.</t>
  </si>
  <si>
    <t>003419-3</t>
  </si>
  <si>
    <t>EcoSport SE 1.6 16V Flex 5p Aut.</t>
  </si>
  <si>
    <t>003366-9</t>
  </si>
  <si>
    <t>EcoSport SE 1.6 16V Flex 5p Mec.</t>
  </si>
  <si>
    <t>003373-1</t>
  </si>
  <si>
    <t>EcoSport SE 2.0 16V Flex 5p Aut.</t>
  </si>
  <si>
    <t>003455-0</t>
  </si>
  <si>
    <t>EcoSport SE Direct 1.5 Flex 5p Aut.</t>
  </si>
  <si>
    <t>003427-4</t>
  </si>
  <si>
    <t>EcoSport SE Direct 1.6 16V Flex 5p Aut.</t>
  </si>
  <si>
    <t>003451-7</t>
  </si>
  <si>
    <t>EcoSport STORM 2.0 4WD 16V Flex 5p Aut.</t>
  </si>
  <si>
    <t>003470-3</t>
  </si>
  <si>
    <t>EcoSport TITANIUM 1.5 12V Flex 5p Aut.</t>
  </si>
  <si>
    <t>003368-5</t>
  </si>
  <si>
    <t>EcoSport TITANIUM 1.6 16V Flex 5p</t>
  </si>
  <si>
    <t>003370-7</t>
  </si>
  <si>
    <t>EcoSport TITANIUM 2.0 16V Flex 5p</t>
  </si>
  <si>
    <t>003374-0</t>
  </si>
  <si>
    <t>EcoSport TITANIUM 2.0 16V Flex 5p Aut.</t>
  </si>
  <si>
    <t>003268-9</t>
  </si>
  <si>
    <t>EcoSport XL 1.6/ 1.6 Flex 8V 5p</t>
  </si>
  <si>
    <t>003267-0</t>
  </si>
  <si>
    <t>EcoSport XL Supercharger 1.0 8V 95cv 5p</t>
  </si>
  <si>
    <t>003269-7</t>
  </si>
  <si>
    <t>EcoSport XLS 1.6/ 1.6 Flex 8V 5p</t>
  </si>
  <si>
    <t>003319-7</t>
  </si>
  <si>
    <t>EcoSport XLS 2.0/2.0 Flex 16V 5p Aut.</t>
  </si>
  <si>
    <t>003303-0</t>
  </si>
  <si>
    <t>EcoSport XLS FREESTYLE 1.6 Flex 8V 5p</t>
  </si>
  <si>
    <t>003270-0</t>
  </si>
  <si>
    <t>EcoSport XLT 1.6/ 1.6 Flex 8V 5p</t>
  </si>
  <si>
    <t>003320-0</t>
  </si>
  <si>
    <t>EcoSport XLT 2.0/ 2.0 Flex 16V 5p Aut.</t>
  </si>
  <si>
    <t>003271-9</t>
  </si>
  <si>
    <t>EcoSport XLT 2.0/ 2.0 Flex 16V 5p Mec.</t>
  </si>
  <si>
    <t>003318-9</t>
  </si>
  <si>
    <t>EcoSport XLT FREESTYLE 1.6 Flex 8V 5p</t>
  </si>
  <si>
    <t>003330-8</t>
  </si>
  <si>
    <t>EcoSport XLT FREESTYLE 2.0 Flex 16V 5p</t>
  </si>
  <si>
    <t>003035-0</t>
  </si>
  <si>
    <t>Escort Ghia 1.8i / 1.8 / 1.6</t>
  </si>
  <si>
    <t>ESCORT</t>
  </si>
  <si>
    <t>003036-8</t>
  </si>
  <si>
    <t>Escort Ghia 2.0i / 2.0</t>
  </si>
  <si>
    <t>003207-7</t>
  </si>
  <si>
    <t>Escort GL 1.6 MPI</t>
  </si>
  <si>
    <t>003030-9</t>
  </si>
  <si>
    <t>Escort GL 1.6i / 1.6</t>
  </si>
  <si>
    <t>003031-7</t>
  </si>
  <si>
    <t>Escort GL 1.8i / 1.8</t>
  </si>
  <si>
    <t>003004-0</t>
  </si>
  <si>
    <t>Escort GL 1.8i 16V 3p</t>
  </si>
  <si>
    <t>003005-8</t>
  </si>
  <si>
    <t>Escort GL 1.8i 16V 4p</t>
  </si>
  <si>
    <t>003032-5</t>
  </si>
  <si>
    <t>Escort GLX 1.6i</t>
  </si>
  <si>
    <t>003007-4</t>
  </si>
  <si>
    <t>Escort GLX 1.8i 16V 4p</t>
  </si>
  <si>
    <t>003033-3</t>
  </si>
  <si>
    <t>Escort GLX 1.8i 8v</t>
  </si>
  <si>
    <t>003034-1</t>
  </si>
  <si>
    <t>Escort Guarujá 1.8 4p</t>
  </si>
  <si>
    <t>003026-0</t>
  </si>
  <si>
    <t>Escort Hobby 1.0</t>
  </si>
  <si>
    <t>003027-9</t>
  </si>
  <si>
    <t>Escort Hobby 1.6</t>
  </si>
  <si>
    <t>003029-5</t>
  </si>
  <si>
    <t>Escort L 1.8i / 1.8</t>
  </si>
  <si>
    <t>003028-7</t>
  </si>
  <si>
    <t>Escort L/LX 1.6</t>
  </si>
  <si>
    <t>003123-2</t>
  </si>
  <si>
    <t>Escort Racer 2.0i</t>
  </si>
  <si>
    <t>003095-3</t>
  </si>
  <si>
    <t>Escort RS 1.8i 16V</t>
  </si>
  <si>
    <t>003006-6</t>
  </si>
  <si>
    <t>Escort S.W GL 1.8i 16V</t>
  </si>
  <si>
    <t>003008-2</t>
  </si>
  <si>
    <t>Escort S.W. GLX 1.8i 16V</t>
  </si>
  <si>
    <t>003230-1</t>
  </si>
  <si>
    <t>Escort SW 1.9 16v</t>
  </si>
  <si>
    <t>003208-5</t>
  </si>
  <si>
    <t>Escort SW GL 1.6 MPI</t>
  </si>
  <si>
    <t>001531-8</t>
  </si>
  <si>
    <t>Fiorino Endurance EVO 1.4 Flex 8V 2p</t>
  </si>
  <si>
    <t>FIORINO</t>
  </si>
  <si>
    <t>001414-1</t>
  </si>
  <si>
    <t>Fiorino Furgão Celeb. EVO 1.4 Flex 8V 2p</t>
  </si>
  <si>
    <t>001413-3</t>
  </si>
  <si>
    <t>Fiorino Furgão EVO 1.4 Flex 8V 2p</t>
  </si>
  <si>
    <t>001477-0</t>
  </si>
  <si>
    <t>Fiorino Furgão Work. HARD 1.4 Flex 8V 2p</t>
  </si>
  <si>
    <t>001534-2</t>
  </si>
  <si>
    <t>Fiorino Working 1.4 Flex 8V 2p</t>
  </si>
  <si>
    <t>003404-5</t>
  </si>
  <si>
    <t>Focus 1.6 S/1.6 SE Flex 16v 5p Aut</t>
  </si>
  <si>
    <t>FOCUS</t>
  </si>
  <si>
    <t>003281-6</t>
  </si>
  <si>
    <t>Focus 1.6 S/SE/SE Plus Flex 8V/16V 5p</t>
  </si>
  <si>
    <t>003224-7</t>
  </si>
  <si>
    <t>Focus 1.8 16V 5p</t>
  </si>
  <si>
    <t>003283-2</t>
  </si>
  <si>
    <t>Focus 2.0 16V/SE/SE Plus Flex 5p Aut.</t>
  </si>
  <si>
    <t>003418-5</t>
  </si>
  <si>
    <t>Focus Fastback TIT./T.PLUS 2.0 Flex Aut.</t>
  </si>
  <si>
    <t>003266-2</t>
  </si>
  <si>
    <t>Focus Ghia 2.0 16V/ 2.0 16V Flex 5p Aut</t>
  </si>
  <si>
    <t>003226-3</t>
  </si>
  <si>
    <t>Focus Ghia Sed. 2.0 16V/ 2.0 16V Flex 4p</t>
  </si>
  <si>
    <t>003262-0</t>
  </si>
  <si>
    <t>Focus Ghia Sed. 2.0 16V/2.0 16V Flex Aut</t>
  </si>
  <si>
    <t>003348-0</t>
  </si>
  <si>
    <t>Focus Sed. TI./TI.Plus 2.0 16V Flex Aut</t>
  </si>
  <si>
    <t>003265-4</t>
  </si>
  <si>
    <t>Focus Sedan 1.8 16V 115cv 4p</t>
  </si>
  <si>
    <t>003282-4</t>
  </si>
  <si>
    <t>Focus Sedan 2.0 16V/2.0 16V Flex 4p Aut.</t>
  </si>
  <si>
    <t>003346-4</t>
  </si>
  <si>
    <t>Focus TITANIUM 2.0 16V Flex 5p Mec.</t>
  </si>
  <si>
    <t>005037-7</t>
  </si>
  <si>
    <t>Gol TSi 1.8/ 1.8Mi</t>
  </si>
  <si>
    <t>005252-3</t>
  </si>
  <si>
    <t>Golf 1.6 Mi Total Flex 8V 4p</t>
  </si>
  <si>
    <t>GOLF</t>
  </si>
  <si>
    <t>005209-4</t>
  </si>
  <si>
    <t>Golf 1.8 Mi Sport 150cv Turbo Mec/Aut.</t>
  </si>
  <si>
    <t>005129-2</t>
  </si>
  <si>
    <t>Golf 2.0/ 2.0 Mi Flex Aut/Tiptronic.</t>
  </si>
  <si>
    <t>005130-6</t>
  </si>
  <si>
    <t>Golf 2.0/ 2.0 Mi Flex Comfortline Aut.</t>
  </si>
  <si>
    <t>005106-3</t>
  </si>
  <si>
    <t>Golf 2.0/ 2.0 Mi Flex Comfortline/ Sport</t>
  </si>
  <si>
    <t>005141-1</t>
  </si>
  <si>
    <t>Golf 2.0/2.0 T. Flex Mec.(Black &amp; Silv)</t>
  </si>
  <si>
    <t>005314-7</t>
  </si>
  <si>
    <t>Golf BLACK EDITON 2.0 Mi T. Flex 8V Tip</t>
  </si>
  <si>
    <t>005494-1</t>
  </si>
  <si>
    <t>Golf Comfort. 200 TSI 1.0 Flex 12V Aut.</t>
  </si>
  <si>
    <t>005466-6</t>
  </si>
  <si>
    <t>Golf Comfortline 1.0 TSI Total Flex Mec.</t>
  </si>
  <si>
    <t>005370-8</t>
  </si>
  <si>
    <t>Golf Comfortline 1.4 TSI 140cv Aut.</t>
  </si>
  <si>
    <t>005369-4</t>
  </si>
  <si>
    <t>Golf Comfortline 1.4 TSI 140cv Mec.</t>
  </si>
  <si>
    <t>005449-6</t>
  </si>
  <si>
    <t>Golf Comfortline 1.6 MSI Total Flex Aut.</t>
  </si>
  <si>
    <t>005448-8</t>
  </si>
  <si>
    <t>Golf Comfortline 1.6 MSI Total Flex Mec.</t>
  </si>
  <si>
    <t>005236-1</t>
  </si>
  <si>
    <t>Golf Flash 1.6 Mi/1.6 Mi Tot. Flex 8V 4p</t>
  </si>
  <si>
    <t>005285-0</t>
  </si>
  <si>
    <t>Golf GT 2.0 Mi T. Flex 8V 4p Tiptronic</t>
  </si>
  <si>
    <t>005278-7</t>
  </si>
  <si>
    <t>Golf GT 2.0 Mi Total Flex 8V 4p</t>
  </si>
  <si>
    <t>005355-4</t>
  </si>
  <si>
    <t>Golf Highline 1.4 TSI 140cv Aut.</t>
  </si>
  <si>
    <t>005354-6</t>
  </si>
  <si>
    <t>Golf Highline 1.4 TSI 140cv Mec.</t>
  </si>
  <si>
    <t>005451-8</t>
  </si>
  <si>
    <t>Golf Highline 1.4 TSI Total Flex Aut.</t>
  </si>
  <si>
    <t>005450-0</t>
  </si>
  <si>
    <t>Golf Highline 1.4 TSI Total Flex Mec.</t>
  </si>
  <si>
    <t>005495-0</t>
  </si>
  <si>
    <t>Golf Highline 250 TSI 1.4 Flex 16V Aut.</t>
  </si>
  <si>
    <t>005302-3</t>
  </si>
  <si>
    <t>Golf SILVER EDIT. 2.0 Mi T.Flex 8v Mec.</t>
  </si>
  <si>
    <t>005301-5</t>
  </si>
  <si>
    <t>Golf SILVER EDIT. 2.0 Mi T.Flex 8V Tip.</t>
  </si>
  <si>
    <t>005259-0</t>
  </si>
  <si>
    <t>Golf Sportline 1.6 Mi Total Flex 8V 4p</t>
  </si>
  <si>
    <t>005319-8</t>
  </si>
  <si>
    <t>Golf Sportline 2.0 Mi Total F. 8V Tip.</t>
  </si>
  <si>
    <t>005273-6</t>
  </si>
  <si>
    <t>Golf TECH 1.6 Mi Total Flex 8V 4p</t>
  </si>
  <si>
    <t>005497-6</t>
  </si>
  <si>
    <t>Golf Variant Comf. 250 1.4 TSI Flex Aut.</t>
  </si>
  <si>
    <t>005467-4</t>
  </si>
  <si>
    <t>Golf Variant Comfort. 1.4 TSI T.Flex Aut</t>
  </si>
  <si>
    <t>005431-3</t>
  </si>
  <si>
    <t>Golf Variant Comfortline 1.4 TSI Aut.</t>
  </si>
  <si>
    <t>005445-3</t>
  </si>
  <si>
    <t>Golf Variant Comfortline 1.4 TSI Mec.</t>
  </si>
  <si>
    <t>005498-4</t>
  </si>
  <si>
    <t>Golf Variant High. 250 1.4 TSI Flex Aut.</t>
  </si>
  <si>
    <t>005465-8</t>
  </si>
  <si>
    <t>Golf Variant Highli. 1.4 TSI T.Flex Aut</t>
  </si>
  <si>
    <t>005430-5</t>
  </si>
  <si>
    <t>Golf Variant Highline 1.4 TSI Aut.</t>
  </si>
  <si>
    <t>024205-5</t>
  </si>
  <si>
    <t>HOGGAR Active 1.4 Flex 8V 2p</t>
  </si>
  <si>
    <t>HOGGAR</t>
  </si>
  <si>
    <t>024206-3</t>
  </si>
  <si>
    <t>HOGGAR Allure 1.4 Flex 8V 2p</t>
  </si>
  <si>
    <t>024171-7</t>
  </si>
  <si>
    <t>HOGGAR ESCAPADE 1.6 Flex 16V 2p</t>
  </si>
  <si>
    <t>024169-5</t>
  </si>
  <si>
    <t>HOGGAR X-Line 1.4 Flex 8V 2p</t>
  </si>
  <si>
    <t>024170-9</t>
  </si>
  <si>
    <t>HOGGAR XR 1.4 Flex 8V 2p</t>
  </si>
  <si>
    <t>014087-2</t>
  </si>
  <si>
    <t>HR-V EX 1.8 Flexone 16V 5p Aut.</t>
  </si>
  <si>
    <t>HR-V</t>
  </si>
  <si>
    <t>014088-0</t>
  </si>
  <si>
    <t>HR-V EXL 1.8 Flexone 16V 5p Aut.</t>
  </si>
  <si>
    <t>014086-4</t>
  </si>
  <si>
    <t>HR-V LX 1.8 Flexone 16V 5p Aut.</t>
  </si>
  <si>
    <t>014085-6</t>
  </si>
  <si>
    <t>HR-V LX 1.8 Flexone 16V 5p Mec.</t>
  </si>
  <si>
    <t>014102-0</t>
  </si>
  <si>
    <t>HR-V Touring 1.5 TB 16V 5p Aut.</t>
  </si>
  <si>
    <t>014096-1</t>
  </si>
  <si>
    <t>HR-V Touring 1.8 Flexone 16V 5p Aut.</t>
  </si>
  <si>
    <t>015098-3</t>
  </si>
  <si>
    <t>i30 1.6 16V Flex 5p Aut.</t>
  </si>
  <si>
    <t>I30</t>
  </si>
  <si>
    <t>015106-8</t>
  </si>
  <si>
    <t>i30 1.8 16V Aut. 5p</t>
  </si>
  <si>
    <t>015071-1</t>
  </si>
  <si>
    <t>i30 2.0 16V 145cv 5p Aut.</t>
  </si>
  <si>
    <t>015072-0</t>
  </si>
  <si>
    <t>i30 2.0 16V 145cv 5p Mec.</t>
  </si>
  <si>
    <t>015077-0</t>
  </si>
  <si>
    <t>i30cw 2.0 16V 145cv Aut. 5p</t>
  </si>
  <si>
    <t>015076-2</t>
  </si>
  <si>
    <t>i30cw 2.0 16V 145cv Mec. 5p</t>
  </si>
  <si>
    <t>005507-7</t>
  </si>
  <si>
    <t>JETTA 250 TSI 1.4 flex 16v Aut.</t>
  </si>
  <si>
    <t>JETTA</t>
  </si>
  <si>
    <t>005504-2</t>
  </si>
  <si>
    <t>JETTA Comfort. 250 TSI 1.4 Flex 16v Aut.</t>
  </si>
  <si>
    <t>005454-2</t>
  </si>
  <si>
    <t>JETTA Comfortline 1.4 TSI 16V 4p Aut.</t>
  </si>
  <si>
    <t>005326-0</t>
  </si>
  <si>
    <t>JETTA Comfortline 2.0 T.Flex 8V 4p Mec.</t>
  </si>
  <si>
    <t>005327-9</t>
  </si>
  <si>
    <t>JETTA Comfortline 2.0 T.Flex 8V 4p Tipt.</t>
  </si>
  <si>
    <t>005503-4</t>
  </si>
  <si>
    <t>JETTA R-Line 250 TSI 1.4 Flex 16V Aut.</t>
  </si>
  <si>
    <t>005452-6</t>
  </si>
  <si>
    <t>JETTA Trendline 1.4 TSI 16V 4p Aut.</t>
  </si>
  <si>
    <t>005453-4</t>
  </si>
  <si>
    <t>JETTA Trendline 1.4 TSI 16V 4p Mec.</t>
  </si>
  <si>
    <t>005425-9</t>
  </si>
  <si>
    <t>JETTA Trendline 2.0 T.Flex 8V 4p Tip.</t>
  </si>
  <si>
    <t>005241-8</t>
  </si>
  <si>
    <t>Kombi Escolar/50 anos 1.4 Mi Total Flex</t>
  </si>
  <si>
    <t>UTILITARIOS LEVES</t>
  </si>
  <si>
    <t>Furgão leves</t>
  </si>
  <si>
    <t>KOMBI</t>
  </si>
  <si>
    <t>005239-6</t>
  </si>
  <si>
    <t>Kombi Furgão 1.4 Mi Total Flex 8V</t>
  </si>
  <si>
    <t>005240-0</t>
  </si>
  <si>
    <t>Kombi Lotação 1.4 Mi Total Flex 8V</t>
  </si>
  <si>
    <t>005136-5</t>
  </si>
  <si>
    <t>Kombi Lotação 1.6 MPi</t>
  </si>
  <si>
    <t>005238-8</t>
  </si>
  <si>
    <t>Kombi Standard 1.4 Mi Total Flex 8V</t>
  </si>
  <si>
    <t>025280-8</t>
  </si>
  <si>
    <t>Kwid ConnecTV 1.0 Flex 12V Mec.</t>
  </si>
  <si>
    <t>022123-6</t>
  </si>
  <si>
    <t>Mitsubishi</t>
  </si>
  <si>
    <t>Lancer 2.0 16V 160cv Aut.</t>
  </si>
  <si>
    <t>LANCER</t>
  </si>
  <si>
    <t>022124-4</t>
  </si>
  <si>
    <t>Lancer 2.0 16V 160cv Mec.</t>
  </si>
  <si>
    <t>022120-1</t>
  </si>
  <si>
    <t>Lancer GT 2.0 16V 160cv Aut.</t>
  </si>
  <si>
    <t>001258-0</t>
  </si>
  <si>
    <t>LINEA 1.9/ HLX 1.9/ 1.8 Flex 16V 4p</t>
  </si>
  <si>
    <t>LINEA</t>
  </si>
  <si>
    <t>001259-9</t>
  </si>
  <si>
    <t>LINEA 1.9/ HLX 1.9/1.8 Flex Dualogic 4p</t>
  </si>
  <si>
    <t>001260-2</t>
  </si>
  <si>
    <t>LINEA ABSOLUTE 1.9/1.8 Flex Dualogic 4p</t>
  </si>
  <si>
    <t>001409-5</t>
  </si>
  <si>
    <t>LINEA ESSEN.SUBLIME 1.8 Flex 16V 4p</t>
  </si>
  <si>
    <t>001410-9</t>
  </si>
  <si>
    <t>LINEA ESSEN.SUBLIME Dual.1.8 Flex 16V 4p</t>
  </si>
  <si>
    <t>001354-4</t>
  </si>
  <si>
    <t>LINEA ESSENCE 1.8 Flex 16V 4p</t>
  </si>
  <si>
    <t>001355-2</t>
  </si>
  <si>
    <t>LINEA ESSENCE Dualogic 1.8 Flex 16V 4p</t>
  </si>
  <si>
    <t>001274-2</t>
  </si>
  <si>
    <t>LINEA LX 1.9/ 1.8 Flex 16V 4p</t>
  </si>
  <si>
    <t>001275-0</t>
  </si>
  <si>
    <t>LINEA LX 1.9/ 1.8 Flex 16V Dualogic 4p</t>
  </si>
  <si>
    <t>023082-0</t>
  </si>
  <si>
    <t>LIVINA 1.6 16V Flex Fuel 5p</t>
  </si>
  <si>
    <t>LIVINA</t>
  </si>
  <si>
    <t>023084-7</t>
  </si>
  <si>
    <t>LIVINA 1.8 16V Flex Fuel Aut.</t>
  </si>
  <si>
    <t>023087-1</t>
  </si>
  <si>
    <t>LIVINA GRAND 1.8 16V Flex Fuel Aut.</t>
  </si>
  <si>
    <t>023086-3</t>
  </si>
  <si>
    <t>LIVINA GRAND 1.8 16V Flex Fuel Mec.</t>
  </si>
  <si>
    <t>023096-0</t>
  </si>
  <si>
    <t>LIVINA GRAND S 1.8 16V Flex Fuel Aut.</t>
  </si>
  <si>
    <t>023097-9</t>
  </si>
  <si>
    <t>LIVINA GRAND S 1.8 16V Flex Fuel Mec.</t>
  </si>
  <si>
    <t>023089-8</t>
  </si>
  <si>
    <t>LIVINA GRAND SL 1.8 16V Flex Fuel Aut.</t>
  </si>
  <si>
    <t>023088-0</t>
  </si>
  <si>
    <t>LIVINA GRAND SL 1.8 16V Flex Fuel Mec</t>
  </si>
  <si>
    <t>023099-5</t>
  </si>
  <si>
    <t>LIVINA NIGHT&amp;DAY 1.6 16V Flex Fuel Mec.</t>
  </si>
  <si>
    <t>023093-6</t>
  </si>
  <si>
    <t>LIVINA S 1.6 16V Flex Fuel Mec.</t>
  </si>
  <si>
    <t>023094-4</t>
  </si>
  <si>
    <t>LIVINA S 1.8 16V Flex Fuel Aut.</t>
  </si>
  <si>
    <t>023083-9</t>
  </si>
  <si>
    <t>LIVINA SL 1.6 16V Flex Fuel 5p</t>
  </si>
  <si>
    <t>023085-5</t>
  </si>
  <si>
    <t>LIVINA SL 1.8 16V Flex Fuel Aut.</t>
  </si>
  <si>
    <t>023090-1</t>
  </si>
  <si>
    <t>LIVINA X-GEAR 1.6 16V Flex Fuel Mec.</t>
  </si>
  <si>
    <t>023095-2</t>
  </si>
  <si>
    <t>LIVINA X-GEAR S 1.6 16V Flex Fuel</t>
  </si>
  <si>
    <t>023091-0</t>
  </si>
  <si>
    <t>LIVINA X-GEAR SL 1.6 16V Flex Fuel Mec.</t>
  </si>
  <si>
    <t>023092-8</t>
  </si>
  <si>
    <t>LIVINA X-GEAR SL/X-GEAR 1.8 Flex F. Aut.</t>
  </si>
  <si>
    <t>004338-9</t>
  </si>
  <si>
    <t>MONTANA 1.4 8V Conquest ECONOFLEX 2p</t>
  </si>
  <si>
    <t>004239-0</t>
  </si>
  <si>
    <t>MONTANA 1.8/ 1.8 Conquest FlexPower 8V</t>
  </si>
  <si>
    <t>004364-8</t>
  </si>
  <si>
    <t>MONTANA ARENA 1.4 ECONOFLEX 8V 2p</t>
  </si>
  <si>
    <t>004361-3</t>
  </si>
  <si>
    <t>MONTANA COMBO 1.4 8V ECONOFLEX</t>
  </si>
  <si>
    <t>004241-2</t>
  </si>
  <si>
    <t>MONTANA Off Road 1.8 MPFI FlexPower 8V</t>
  </si>
  <si>
    <t>004240-4</t>
  </si>
  <si>
    <t>MONTANA Sport 1.8 MPFI FlexPower 8V</t>
  </si>
  <si>
    <t>001407-9</t>
  </si>
  <si>
    <t>Punto BLACKMOTION 1.8 Flex 16V 5p.</t>
  </si>
  <si>
    <t>001408-7</t>
  </si>
  <si>
    <t>Punto BLACKMOTION Dual. 1.8 Flex 16v 5p</t>
  </si>
  <si>
    <t>073010-6</t>
  </si>
  <si>
    <t>QQ 1.0 ACT 12V 69cv 5p</t>
  </si>
  <si>
    <t>QQ</t>
  </si>
  <si>
    <t>073014-9</t>
  </si>
  <si>
    <t>QQ 1.0 ACT FL 12V/1.0 12V Flex 5p</t>
  </si>
  <si>
    <t>073011-4</t>
  </si>
  <si>
    <t>QQ 1.0 Look FL 12V/1.0 12V Flex 5p</t>
  </si>
  <si>
    <t>073015-7</t>
  </si>
  <si>
    <t>QQ 1.0 SMILE 12V Flex 5p</t>
  </si>
  <si>
    <t>073005-0</t>
  </si>
  <si>
    <t>QQ 1.1/1.0 12V 69cv 5p</t>
  </si>
  <si>
    <t>003300-6</t>
  </si>
  <si>
    <t>Ranger XL 3.0 PSE 163cv 4x4 CD TB Diesel</t>
  </si>
  <si>
    <t>RANGER</t>
  </si>
  <si>
    <t>018070-0</t>
  </si>
  <si>
    <t>SOUL 1.6/ 1.6 16V FLEX Aut.</t>
  </si>
  <si>
    <t>SOUL</t>
  </si>
  <si>
    <t>018071-8</t>
  </si>
  <si>
    <t>SOUL 1.6/ 1.6 16V FLEX Mec.</t>
  </si>
  <si>
    <t>018049-1</t>
  </si>
  <si>
    <t>Sportage LX 2.0 16V 142cv 5p</t>
  </si>
  <si>
    <t>SPORTAGE</t>
  </si>
  <si>
    <t>018077-7</t>
  </si>
  <si>
    <t>Sportage LX 2.0 16V/ 2.0 16V Flex Aut.</t>
  </si>
  <si>
    <t>018078-5</t>
  </si>
  <si>
    <t>Sportage LX 2.0 16V/ 2.0 16V Flex Mec.</t>
  </si>
  <si>
    <t>028052-6</t>
  </si>
  <si>
    <t>Suzuki</t>
  </si>
  <si>
    <t>Swift Sport 1.6 16V 5p Mec.</t>
  </si>
  <si>
    <t>SWIFT</t>
  </si>
  <si>
    <t>FAIXA 03</t>
  </si>
  <si>
    <t>028053-4</t>
  </si>
  <si>
    <t>Swift Sport R 1.6 16V 5p Mec.</t>
  </si>
  <si>
    <t>005510-7</t>
  </si>
  <si>
    <t>T-Cross 1.0 TSI Flex 12V 5p Aut.</t>
  </si>
  <si>
    <t>T-CROSS</t>
  </si>
  <si>
    <t>005511-5</t>
  </si>
  <si>
    <t>T-Cross 1.0 TSI Flex 12V 5p Mec.</t>
  </si>
  <si>
    <t>005509-3</t>
  </si>
  <si>
    <t>T-Cross Comfortline 1.0 TSI Flex 5p Aut.</t>
  </si>
  <si>
    <t>005508-5</t>
  </si>
  <si>
    <t>T-Cross Highline 1.4 TSI Flex 16V 5p Aut</t>
  </si>
  <si>
    <t>005520-4</t>
  </si>
  <si>
    <t>T-Cross Sense 1.0 TSI Flex 5p Aut.</t>
  </si>
  <si>
    <t>093005-9</t>
  </si>
  <si>
    <t>Tiggo 5X PRO 1.5 Turbo Flex Aut.</t>
  </si>
  <si>
    <t>TIGGO</t>
  </si>
  <si>
    <t>073023-8</t>
  </si>
  <si>
    <t>Tiggo 5X T 1.5 16V Turbo Flex Aut.</t>
  </si>
  <si>
    <t>073022-0</t>
  </si>
  <si>
    <t>Tiggo 5X TXS 1.5 16V Turbo Flex Aut.</t>
  </si>
  <si>
    <t>093004-0</t>
  </si>
  <si>
    <t>Tiggo 7 Pro 1.6 Turbo 16V Aut.</t>
  </si>
  <si>
    <t>073024-6</t>
  </si>
  <si>
    <t>Tiggo 7 T 1.5 16V Turbo Flex Aut.</t>
  </si>
  <si>
    <t>073025-4</t>
  </si>
  <si>
    <t>Tiggo 7 TXS 1.5 16V Turbo Flex Aut.</t>
  </si>
  <si>
    <t>073029-7</t>
  </si>
  <si>
    <t>Tiggo 8 TXS 1.6 16V TGDi Aut.</t>
  </si>
  <si>
    <t>023066-9</t>
  </si>
  <si>
    <t>TIIDA S 1.8/1.8 Flex 16V Aut.</t>
  </si>
  <si>
    <t>TIIDA</t>
  </si>
  <si>
    <t>023065-0</t>
  </si>
  <si>
    <t>TIIDA S 1.8/1.8 Flex 16V Mec.</t>
  </si>
  <si>
    <t>023098-7</t>
  </si>
  <si>
    <t>TIIDA Sedan 1.8 16V Flex Fuel 4p</t>
  </si>
  <si>
    <t>023114-2</t>
  </si>
  <si>
    <t>TIIDA Sedan 1.8 16V Flex Fuel 4p Aut.</t>
  </si>
  <si>
    <t>023068-5</t>
  </si>
  <si>
    <t>TIIDA SL 1.8/1.8 Flex 16V Aut.</t>
  </si>
  <si>
    <t>023067-7</t>
  </si>
  <si>
    <t>TIIDA SL 1.8/1.8 Flex 16V Mec.</t>
  </si>
  <si>
    <t>015064-9</t>
  </si>
  <si>
    <t>Tucson 2.0 16V Aut.</t>
  </si>
  <si>
    <t>TUCSON</t>
  </si>
  <si>
    <t>015093-2</t>
  </si>
  <si>
    <t>Tucson 2.0 16V Flex Aut.</t>
  </si>
  <si>
    <t>015107-6</t>
  </si>
  <si>
    <t>Tucson 2.0 16V Flex Mec.</t>
  </si>
  <si>
    <t>015063-0</t>
  </si>
  <si>
    <t>Tucson 2.0 16V Mec.</t>
  </si>
  <si>
    <t>015139-4</t>
  </si>
  <si>
    <t>Tucson Ed. Especial 1.6 Turbo 16V Aut.</t>
  </si>
  <si>
    <t>015137-8</t>
  </si>
  <si>
    <t>Tucson GL 1.6 Turbo 16V Aut.</t>
  </si>
  <si>
    <t>015138-6</t>
  </si>
  <si>
    <t>Tucson GLS 1.6 Turbo 16V Aut.</t>
  </si>
  <si>
    <t>015152-1</t>
  </si>
  <si>
    <t>Tucson Limited 1.6 Turbo 16V Aut.</t>
  </si>
  <si>
    <t>004067-3</t>
  </si>
  <si>
    <t>Vectra CD 2.2 16V / 2.0 16V Mec./Aut.</t>
  </si>
  <si>
    <t>VECTRA</t>
  </si>
  <si>
    <t>004378-8</t>
  </si>
  <si>
    <t>Vectra COLLECTION 2.0 FlexPower 8V Aut.</t>
  </si>
  <si>
    <t>004295-1</t>
  </si>
  <si>
    <t>Vectra Comfort 2.0 MPFI</t>
  </si>
  <si>
    <t>004324-9</t>
  </si>
  <si>
    <t>Vectra Elegan. 2.0 MPFI 8V FlexPower Aut</t>
  </si>
  <si>
    <t>004323-0</t>
  </si>
  <si>
    <t>Vectra Elegan. 2.0 MPFI 8V FlexPower Mec</t>
  </si>
  <si>
    <t>004296-0</t>
  </si>
  <si>
    <t>Vectra Elegance 2.0 MPFI</t>
  </si>
  <si>
    <t>004298-6</t>
  </si>
  <si>
    <t>Vectra Elegance 2.2 MPFI 16V Aut.</t>
  </si>
  <si>
    <t>004297-8</t>
  </si>
  <si>
    <t>Vectra Elite 2.0 MPFI</t>
  </si>
  <si>
    <t>004348-6</t>
  </si>
  <si>
    <t>Vectra Elite 2.0 MPFI 8V FlexPower Aut.</t>
  </si>
  <si>
    <t>004299-4</t>
  </si>
  <si>
    <t>Vectra Elite 2.2 MPFI 16V Aut.</t>
  </si>
  <si>
    <t>004325-7</t>
  </si>
  <si>
    <t>Vectra Elite 2.4 MPFI 16V FlexPower Aut.</t>
  </si>
  <si>
    <t>004337-0</t>
  </si>
  <si>
    <t>Vectra EXPRESSION 2.0 MPFI FlexPower Aut</t>
  </si>
  <si>
    <t>004336-2</t>
  </si>
  <si>
    <t>Vectra EXPRESSION 2.0 MPFI FlexPower Mec</t>
  </si>
  <si>
    <t>004344-3</t>
  </si>
  <si>
    <t>Vectra GT 2.0 MPFI 8V FlexPower Aut.</t>
  </si>
  <si>
    <t>004343-5</t>
  </si>
  <si>
    <t>Vectra GT 2.0 MPFI 8V FlexPower Mec.</t>
  </si>
  <si>
    <t>004346-0</t>
  </si>
  <si>
    <t>Vectra GT-X 2.0 MPFI 8V FlexPower Aut.</t>
  </si>
  <si>
    <t>004345-1</t>
  </si>
  <si>
    <t>Vectra GT-X 2.0 MPFI 8V FlexPower Mec.</t>
  </si>
  <si>
    <t>015079-7</t>
  </si>
  <si>
    <t>Veloster 1.6 16V 140cv Aut.</t>
  </si>
  <si>
    <t>VELOSTER</t>
  </si>
  <si>
    <t>028064-0</t>
  </si>
  <si>
    <t>Vitara 4ALL 1.6 16V Aut.</t>
  </si>
  <si>
    <t>VITARA</t>
  </si>
  <si>
    <t>028063-1</t>
  </si>
  <si>
    <t>Vitara 4ALL 1.6 16V Mec.</t>
  </si>
  <si>
    <t>028067-4</t>
  </si>
  <si>
    <t>Vitara 4SPORT 1.4 TB 16V Aut.</t>
  </si>
  <si>
    <t>028068-2</t>
  </si>
  <si>
    <t>Vitara 4SPORT ALLGRIP 1.4 TB 16V Aut.</t>
  </si>
  <si>
    <t>028076-3</t>
  </si>
  <si>
    <t>Vitara 4STYLE ALLGRIP 1.4 TB 16V Aut.</t>
  </si>
  <si>
    <t>028065-8</t>
  </si>
  <si>
    <t>Vitara 4YOU 1.6 16V Aut.</t>
  </si>
  <si>
    <t>028066-6</t>
  </si>
  <si>
    <t>Vitara 4YOU ALLGRIP 1.6 16V Aut.</t>
  </si>
  <si>
    <t>002198-9</t>
  </si>
  <si>
    <t>YARIS S 1.5 Flex 16V 5p Aut.</t>
  </si>
  <si>
    <t>YARIS</t>
  </si>
  <si>
    <t>002172-5</t>
  </si>
  <si>
    <t>YARIS XL 1.3 Flex 16V 5p Aut.</t>
  </si>
  <si>
    <t>002171-7</t>
  </si>
  <si>
    <t>YARIS XL 1.3 Flex 16V 5p Mec.</t>
  </si>
  <si>
    <t>002207-1</t>
  </si>
  <si>
    <t>YARIS XL 1.5 Flex 16V 5p Aut.</t>
  </si>
  <si>
    <t>002184-9</t>
  </si>
  <si>
    <t>YARIS XL Live 1.3 Flex 16V 5p Aut.</t>
  </si>
  <si>
    <t>002185-7</t>
  </si>
  <si>
    <t>YARIS XL Live 1.3 Flex 16V 5p Mec.</t>
  </si>
  <si>
    <t>002186-5</t>
  </si>
  <si>
    <t>YARIS XL Live Sedan 1.5 Flex 16V 4p Aut.</t>
  </si>
  <si>
    <t>002187-3</t>
  </si>
  <si>
    <t>YARIS XL Live Sedan 1.5 Flex 16V 4p Mec.</t>
  </si>
  <si>
    <t>002188-1</t>
  </si>
  <si>
    <t>YARIS XL Plus Con. 1.5 Flex 16V 5p Aut.</t>
  </si>
  <si>
    <t>002189-0</t>
  </si>
  <si>
    <t>YARIS XL Plus Con. Sed. 1.5 Flex 16V Aut</t>
  </si>
  <si>
    <t>002176-8</t>
  </si>
  <si>
    <t>YARIS XL Plus T. Sed. 1.5 Flex 16V Aut.</t>
  </si>
  <si>
    <t>002175-0</t>
  </si>
  <si>
    <t>YARIS XL Plus Tech 1.3 Flex 16V Aut.</t>
  </si>
  <si>
    <t>002168-7</t>
  </si>
  <si>
    <t>YARIS XL Sedan 1.5 Flex 16V 4p Aut.</t>
  </si>
  <si>
    <t>002167-9</t>
  </si>
  <si>
    <t>YARIS XL Sedan 1.5 Flex 16V 4p Mec.</t>
  </si>
  <si>
    <t>002174-1</t>
  </si>
  <si>
    <t>YARIS XLS 1.5 Flex 16V 5p Aut.</t>
  </si>
  <si>
    <t>002193-8</t>
  </si>
  <si>
    <t>YARIS XLS Connect 1.5 Flex 16V 5p Aut.</t>
  </si>
  <si>
    <t>002194-6</t>
  </si>
  <si>
    <t>YARIS XLS Connect Sed. 1.5 Flex 16V Aut.</t>
  </si>
  <si>
    <t>002170-9</t>
  </si>
  <si>
    <t>YARIS XLS Sedan 1.5 Flex 16V 4p Aut.</t>
  </si>
  <si>
    <t>002173-3</t>
  </si>
  <si>
    <t>YARIS XS 1.5 Flex 16V 5p Aut.</t>
  </si>
  <si>
    <t>002190-3</t>
  </si>
  <si>
    <t>YARIS XS Connect 1.5 Flex 16V 5p Aut.</t>
  </si>
  <si>
    <t>002191-1</t>
  </si>
  <si>
    <t>YARIS XS Connect Sedan 1.5 Flex 16V Aut.</t>
  </si>
  <si>
    <t>002169-5</t>
  </si>
  <si>
    <t>YARIS XS Sedan 1.5 Flex 16V 4p Aut.</t>
  </si>
  <si>
    <t>002178-4</t>
  </si>
  <si>
    <t>YARIS X-WAY 1.5 Flex 16V 5p Aut.</t>
  </si>
  <si>
    <t>002192-0</t>
  </si>
  <si>
    <t>YARIS X-WAY Connect 1.5 Flex 16V 5p Aut.</t>
  </si>
  <si>
    <t>004212-9</t>
  </si>
  <si>
    <t>Zafira 2.0/ CD 2.0 16V MPFI 5p</t>
  </si>
  <si>
    <t>ZAFIRA</t>
  </si>
  <si>
    <t>004222-6</t>
  </si>
  <si>
    <t>Zafira 2.0/ CD 2.0 8V MPFI 5p Aut.</t>
  </si>
  <si>
    <t>004211-0</t>
  </si>
  <si>
    <t>Zafira 2.0/ CD 2.0 8V MPFI 5p Mec.</t>
  </si>
  <si>
    <t>004409-1</t>
  </si>
  <si>
    <t>Zafira COLLECTION 2.0 FlexPower 8V Aut.</t>
  </si>
  <si>
    <t>004245-5</t>
  </si>
  <si>
    <t>Zafira Comfort 2.0 MPFI FlexPower 8V 5p</t>
  </si>
  <si>
    <t>004247-1</t>
  </si>
  <si>
    <t>Zafira Eleg.2.0 MPFI FlexPower 8V 5p Aut</t>
  </si>
  <si>
    <t>004250-1</t>
  </si>
  <si>
    <t>Zafira Elegance 2.0 MPFI 16v 136cv 5p</t>
  </si>
  <si>
    <t>004246-3</t>
  </si>
  <si>
    <t>Zafira Elegance 2.0 MPFI FlexPower 8V 5p</t>
  </si>
  <si>
    <t>004251-0</t>
  </si>
  <si>
    <t>Zafira Elite 2.0 MPFI 16v 136cv 5p</t>
  </si>
  <si>
    <t>004248-0</t>
  </si>
  <si>
    <t>Zafira Elite 2.0 MPFI FlexPower 8V 5p</t>
  </si>
  <si>
    <t>004249-8</t>
  </si>
  <si>
    <t>Zafira Elite 2.0 MPFI FlexPower 8V Aut</t>
  </si>
  <si>
    <t>004335-4</t>
  </si>
  <si>
    <t>Zafira Expres. 2.0 MPFI FlexPower 5p Aut</t>
  </si>
  <si>
    <t>003228-0</t>
  </si>
  <si>
    <t>Focus 2.0 16V/ 2.0 16V Flex 5p</t>
  </si>
  <si>
    <t>003417-7</t>
  </si>
  <si>
    <t>Focus Fastback SE/SE PLUS 2.0 Flex Aut.</t>
  </si>
  <si>
    <t>003227-1</t>
  </si>
  <si>
    <t>Focus Ghia/ XR 2.0 /Ghia 2.0 16V Flex 5p</t>
  </si>
  <si>
    <t>003425-8</t>
  </si>
  <si>
    <t>Focus Sedan 1.6 16V Flex 4p Aut.</t>
  </si>
  <si>
    <t>003284-0</t>
  </si>
  <si>
    <t>Focus Sedan 1.6/1.6 Flex 8V/16V 4p Mec.</t>
  </si>
  <si>
    <t>003225-5</t>
  </si>
  <si>
    <t>Focus Sedan 2.0 16V/2.0 16V Flex 4p</t>
  </si>
  <si>
    <t>003347-2</t>
  </si>
  <si>
    <t>Focus TITA/TITA Plus 2.0 Flex 5p Aut.</t>
  </si>
  <si>
    <t>018065-3</t>
  </si>
  <si>
    <t>Bongo K-2500 2.5 4x2 TB Diesel</t>
  </si>
  <si>
    <t>UTILITARIOS GRANDES</t>
  </si>
  <si>
    <t>Caminhão Urbano</t>
  </si>
  <si>
    <t>BONGO</t>
  </si>
  <si>
    <t>018028-9</t>
  </si>
  <si>
    <t>Bongo K-2700 2.7 4x2/4x4 Diesel</t>
  </si>
  <si>
    <t>018058-0</t>
  </si>
  <si>
    <t>Bongo K-2700 2.7 4x4 Basculante Diesel</t>
  </si>
  <si>
    <t>018048-3</t>
  </si>
  <si>
    <t>Bongo K-2700 2.7 4x4 CD Diesel</t>
  </si>
  <si>
    <t>001356-0</t>
  </si>
  <si>
    <t>Bravo T-JET 1.4 16V Turbo 5p</t>
  </si>
  <si>
    <t>011076-0</t>
  </si>
  <si>
    <t>C3 Ocimar Versolato 1.6 16V 110cv 5p</t>
  </si>
  <si>
    <t>018093-9</t>
  </si>
  <si>
    <t>Cerato EX 2.0 16V Flex Aut.</t>
  </si>
  <si>
    <t>022113-9</t>
  </si>
  <si>
    <t>ASX 2.0 16V 160cv Aut.</t>
  </si>
  <si>
    <t>ASX</t>
  </si>
  <si>
    <t>022115-5</t>
  </si>
  <si>
    <t>ASX 2.0 16V 4x4 160cv Aut.</t>
  </si>
  <si>
    <t>024177-6</t>
  </si>
  <si>
    <t>408 Sedan Allure 2.0 Flex 16V 4p Aut.</t>
  </si>
  <si>
    <t>SEDAN GRANDE</t>
  </si>
  <si>
    <t>Sedã grande</t>
  </si>
  <si>
    <t>024178-4</t>
  </si>
  <si>
    <t>408 Sedan Allure 2.0 Flex 16V 4p Mec.</t>
  </si>
  <si>
    <t>024180-6</t>
  </si>
  <si>
    <t>408 Sedan Griffe 2.0 Flex 16V 4p Aut.</t>
  </si>
  <si>
    <t>024234-9</t>
  </si>
  <si>
    <t>3008 Griffe Pack 1.6 Turbo 16V 5p Aut.</t>
  </si>
  <si>
    <t>024175-0</t>
  </si>
  <si>
    <t>3008 Allure 1.6 Turbo 16V 5p Aut.</t>
  </si>
  <si>
    <t>024176-8</t>
  </si>
  <si>
    <t>3008 Griffe 1.6 Turbo 16V 5p Aut.</t>
  </si>
  <si>
    <t>005325-2</t>
  </si>
  <si>
    <t>AMAROK SE CD 2.0 16V TDI 4x4 Diesel</t>
  </si>
  <si>
    <t>AMAROK</t>
  </si>
  <si>
    <t>005330-9</t>
  </si>
  <si>
    <t>AMAROK CD2.0 16V/S CD2.0 16V TDI 4x4 Die</t>
  </si>
  <si>
    <t>005320-1</t>
  </si>
  <si>
    <t>AMAROK Highline CD 2.0 16V TDI 4x4 Dies.</t>
  </si>
  <si>
    <t>015083-5</t>
  </si>
  <si>
    <t>AZERA 3.0 V6 24V 4p Aut.</t>
  </si>
  <si>
    <t>AZERA</t>
  </si>
  <si>
    <t>004357-5</t>
  </si>
  <si>
    <t>CAPTIVA SPORT FWD 2.4 16V 171/185cv</t>
  </si>
  <si>
    <t>004377-0</t>
  </si>
  <si>
    <t>CAPTIVA SPORT AWD 3.0 V6 24V 268cv</t>
  </si>
  <si>
    <t>004308-7</t>
  </si>
  <si>
    <t>S10 Blazer Advant. 2.4/2.4 MPFI F.Power</t>
  </si>
  <si>
    <t>017081-0</t>
  </si>
  <si>
    <t>Commander Limited T270 1.3 TB Flex Aut.</t>
  </si>
  <si>
    <t>COMMANDER</t>
  </si>
  <si>
    <t>017080-1</t>
  </si>
  <si>
    <t>Commander Limited TD380 2.0 4x4 Die.Aut.</t>
  </si>
  <si>
    <t>017083-6</t>
  </si>
  <si>
    <t>Commander Overl. TD380 2.0 4x4 Die. Aut.</t>
  </si>
  <si>
    <t>017082-8</t>
  </si>
  <si>
    <t>Commander Overland T270 1.3 TB Flex Aut.</t>
  </si>
  <si>
    <t>017047-0</t>
  </si>
  <si>
    <t>COMPASS LIMITED 2.0 4x2 Flex 16V Aut.</t>
  </si>
  <si>
    <t>COMPASS</t>
  </si>
  <si>
    <t>017051-8</t>
  </si>
  <si>
    <t>COMPASS LIMITED 2.0 4x4 Diesel 16V Aut.</t>
  </si>
  <si>
    <t>017070-4</t>
  </si>
  <si>
    <t>COMPASS LIMITED T270 1.3 TB 4x2 Flex Aut</t>
  </si>
  <si>
    <t>017077-1</t>
  </si>
  <si>
    <t>COMPASS LIMITED TD 350 2.0 4x4 Die. Aut.</t>
  </si>
  <si>
    <t>017071-2</t>
  </si>
  <si>
    <t>COMPASS LONG. T270 1.3 TB 4x2 Flex Aut.</t>
  </si>
  <si>
    <t>017075-5</t>
  </si>
  <si>
    <t>COMPASS LONG. TD 350 2.0 4x4 Diesel Aut.</t>
  </si>
  <si>
    <t>017046-1</t>
  </si>
  <si>
    <t>COMPASS LONGITUDE 2.0 4x2 Flex 16V Aut.</t>
  </si>
  <si>
    <t>017045-3</t>
  </si>
  <si>
    <t>COMPASS LONGITUDE 2.0 4x4 Dies. 16V Aut.</t>
  </si>
  <si>
    <t>017059-3</t>
  </si>
  <si>
    <t>COMPASS Night Eagle 2.0 4x2 Flex 16V Aut</t>
  </si>
  <si>
    <t>017060-7</t>
  </si>
  <si>
    <t>COMPASS Night Eagle 2.0 4x4 TB Dies. Aut</t>
  </si>
  <si>
    <t>017066-6</t>
  </si>
  <si>
    <t>COMPASS S 2.0 4x4 TB 16V Diesel Aut.</t>
  </si>
  <si>
    <t>017074-7</t>
  </si>
  <si>
    <t>COMPASS S T270 1.3 TB 4x2 Flex Aut.</t>
  </si>
  <si>
    <t>017028-3</t>
  </si>
  <si>
    <t>COMPASS SPORT 2.0 16V 156cv 5p</t>
  </si>
  <si>
    <t>017048-8</t>
  </si>
  <si>
    <t>COMPASS SPORT 2.0 4x2 Flex 16V Aut.</t>
  </si>
  <si>
    <t>017058-5</t>
  </si>
  <si>
    <t>COMPASS SPORT 2.0 4x4 flex 16V Aut.</t>
  </si>
  <si>
    <t>017072-0</t>
  </si>
  <si>
    <t>COMPASS SPORT T270 1.3 TB 4x2 Flex Aut.</t>
  </si>
  <si>
    <t>017073-9</t>
  </si>
  <si>
    <t>COMPASS T270 80 Anos 1.3 TB 4x2 Flex Aut</t>
  </si>
  <si>
    <t>017076-3</t>
  </si>
  <si>
    <t>COMPASS TD 350 80 Anos 2.0 4x4 Die. Aut.</t>
  </si>
  <si>
    <t>017044-5</t>
  </si>
  <si>
    <t>COMPASS TRAILHAWK 2.0 4x4 Dies. 16V Aut.</t>
  </si>
  <si>
    <t>017078-0</t>
  </si>
  <si>
    <t>COMPASS TRAILHAWK TD350 2.0 4x4 Die. Aut</t>
  </si>
  <si>
    <t>024223-3</t>
  </si>
  <si>
    <t>208 GT 1.6 THP Flex 16V 5p Mec.</t>
  </si>
  <si>
    <t>024239-0</t>
  </si>
  <si>
    <t>308 Bus. Pro 1.6 TB Flex 5p Aut.</t>
  </si>
  <si>
    <t>024230-6</t>
  </si>
  <si>
    <t>308 Business 1.6 Turbo Flex 16V 5p Aut.</t>
  </si>
  <si>
    <t>024229-2</t>
  </si>
  <si>
    <t>308 Roland Garros 1.6 TB Flex 16V 5p Aut</t>
  </si>
  <si>
    <t>024225-0</t>
  </si>
  <si>
    <t>308 Allure 1.6 Turbo Flex 16V 5p Aut.</t>
  </si>
  <si>
    <t>024216-0</t>
  </si>
  <si>
    <t>308 Griffe 1.6 Turbo Flex 16V 5p Aut.</t>
  </si>
  <si>
    <t>024193-8</t>
  </si>
  <si>
    <t>308 Feline/Griffe 1.6 Turbo 16V 5p Aut.</t>
  </si>
  <si>
    <t>024199-7</t>
  </si>
  <si>
    <t>308 Roland Garros 1.6 Turbo 16V 5P</t>
  </si>
  <si>
    <t>024241-1</t>
  </si>
  <si>
    <t>408 Sed. Bus. Pro 1.6 TB Flex Aut.</t>
  </si>
  <si>
    <t>024224-1</t>
  </si>
  <si>
    <t>408 Sedan Griffe 1.6 TB Flex 16V 4p Aut.</t>
  </si>
  <si>
    <t>024185-7</t>
  </si>
  <si>
    <t>408 Sedan Griffe 1.6 Turbo 16V 4p Aut.</t>
  </si>
  <si>
    <t>024226-8</t>
  </si>
  <si>
    <t>408 Sed. Bus./Allure 1.6 TB Flex 16V Aut</t>
  </si>
  <si>
    <t>024228-4</t>
  </si>
  <si>
    <t>408 Sed. R.Garros 1.6 TB Flex 16V 4p Aut</t>
  </si>
  <si>
    <t>024179-2</t>
  </si>
  <si>
    <t>408 Sedan Feline 2.0 Flex 16V 4p Aut.</t>
  </si>
  <si>
    <t>024209-8</t>
  </si>
  <si>
    <t>408 Sedan Limited 2.0 Flex 16V 4p Aut.</t>
  </si>
  <si>
    <t>024253-5</t>
  </si>
  <si>
    <t>3008 GT Pack 1.6 Turbo 16V 5p Aut.</t>
  </si>
  <si>
    <t>024200-4</t>
  </si>
  <si>
    <t>3008 Roland Garros 1.6 Turbo 16V 5p</t>
  </si>
  <si>
    <t>005505-0</t>
  </si>
  <si>
    <t>AMAROK Comfor. CD 2.0 TDI 4x4 Dies. Aut.</t>
  </si>
  <si>
    <t>005506-9</t>
  </si>
  <si>
    <t>AMAROK Extreme CD 3.0 4x4 TB Dies. Aut.</t>
  </si>
  <si>
    <t>005483-6</t>
  </si>
  <si>
    <t>AMAROK Highline CD 3.0 4x4 TB Dies. Aut.</t>
  </si>
  <si>
    <t>005338-4</t>
  </si>
  <si>
    <t>AMAROK CS2.0 16V/S2.0 16V TDI 4x4 Diesel</t>
  </si>
  <si>
    <t>005340-6</t>
  </si>
  <si>
    <t>AMAROK High.CD 2.0 16V TDI 4x4 Dies. Aut</t>
  </si>
  <si>
    <t>005470-4</t>
  </si>
  <si>
    <t>AMAROK Hig. Extreme CD 2.0 4x4 Dies. Aut</t>
  </si>
  <si>
    <t>005349-0</t>
  </si>
  <si>
    <t>AMAROK Trendline CD 2.0 TDI 4X4 Dies Aut</t>
  </si>
  <si>
    <t>005323-6</t>
  </si>
  <si>
    <t>AMAROK Trendline CD 2.0 16V TDI 4x4 Dies</t>
  </si>
  <si>
    <t>005464-0</t>
  </si>
  <si>
    <t>AMAROK Hig.ULTIMATE CD 2.0 4x4 Dies. Aut</t>
  </si>
  <si>
    <t>005443-7</t>
  </si>
  <si>
    <t>AMAROK T. Dark Label CD 2.0 4x4 Dies Aut</t>
  </si>
  <si>
    <t>005337-6</t>
  </si>
  <si>
    <t>AMAROK CS2.0 16V/S2.0 16V TDI 4x2 Diesel</t>
  </si>
  <si>
    <t>005329-5</t>
  </si>
  <si>
    <t>AMAROK CD2.0 16V/S CD2.0 16V TDI 4x2 Die</t>
  </si>
  <si>
    <t>093003-2</t>
  </si>
  <si>
    <t>ARRIZO 6 PRO 1.5 Turbo Flex Aut.</t>
  </si>
  <si>
    <t>ARRIZO</t>
  </si>
  <si>
    <t>073026-2</t>
  </si>
  <si>
    <t>ARRIZO 5 RT 1.5 Turbo Flex Aut.</t>
  </si>
  <si>
    <t>073027-0</t>
  </si>
  <si>
    <t>ARRIZO 5 RTS 1.5 Turbo Flex Aut.</t>
  </si>
  <si>
    <t>073031-9</t>
  </si>
  <si>
    <t>ARRIZO 5 RXS 1.5 Turbo Flex Aut.</t>
  </si>
  <si>
    <t>073028-9</t>
  </si>
  <si>
    <t>ARRIZO 6 GSX 1.5 Turbo Flex Aut.</t>
  </si>
  <si>
    <t>073020-3</t>
  </si>
  <si>
    <t>ARRIZO 5 RX 1.5 16V Turbo Flex Aut.</t>
  </si>
  <si>
    <t>073021-1</t>
  </si>
  <si>
    <t>ARRIZO 5 RXT 1.5 16V Turbo Flex Aut.</t>
  </si>
  <si>
    <t>022177-5</t>
  </si>
  <si>
    <t>ASX GLS FWD 2.0 16V Flex Aut.</t>
  </si>
  <si>
    <t>022175-9</t>
  </si>
  <si>
    <t>ASX HPE AWD 2.0 16V Flex Aut.</t>
  </si>
  <si>
    <t>022176-7</t>
  </si>
  <si>
    <t>ASX HPE FWD 2.0 16V Flex Aut.</t>
  </si>
  <si>
    <t>022174-0</t>
  </si>
  <si>
    <t>ASX HPE-S AWD Flex 2.0 16V Aut.</t>
  </si>
  <si>
    <t>022162-7</t>
  </si>
  <si>
    <t>ASX 2.0 16V 4x2 Flex Aut.</t>
  </si>
  <si>
    <t>022163-5</t>
  </si>
  <si>
    <t>ASX 2.0 16V 4x4 Flex Aut.</t>
  </si>
  <si>
    <t>022114-7</t>
  </si>
  <si>
    <t>ASX 2.0 16V 160cv Mec.</t>
  </si>
  <si>
    <t>022146-5</t>
  </si>
  <si>
    <t>ASX O NEILL 2.0 16V 160cv Aut.</t>
  </si>
  <si>
    <t>022155-4</t>
  </si>
  <si>
    <t>ASX OUTDOOR 2.0 4x2 16V 160cv Aut.</t>
  </si>
  <si>
    <t>022149-0</t>
  </si>
  <si>
    <t>ASX OUTDOOR 2.0 4X4 16V 160 cv Mec.</t>
  </si>
  <si>
    <t>022156-2</t>
  </si>
  <si>
    <t>ASX-S 2.0 16V 160cv Aut.</t>
  </si>
  <si>
    <t>004431-8</t>
  </si>
  <si>
    <t>TRAILBLAZER LTZ 2.8 CTDI Diesel Aut.</t>
  </si>
  <si>
    <t>004430-0</t>
  </si>
  <si>
    <t>TRAILBLAZER LTZ 3.6 V6 Aut.</t>
  </si>
  <si>
    <t>004376-1</t>
  </si>
  <si>
    <t>CAPTIVA SPORT FWD 3.0 V6 24V 268cv 4x2</t>
  </si>
  <si>
    <t>004352-4</t>
  </si>
  <si>
    <t>CAPTIVA SPORT AWD 3.6 V6 24V 261cv 4x4</t>
  </si>
  <si>
    <t>004351-6</t>
  </si>
  <si>
    <t>CAPTIVA SPORT FWD 3.6 V6 24V 261cv 4x2</t>
  </si>
  <si>
    <t>004309-5</t>
  </si>
  <si>
    <t>S10 Blazer Colina 2.8 TDI 4x4 Diesel</t>
  </si>
  <si>
    <t>004244-7</t>
  </si>
  <si>
    <t>S10 Blazer Executive 2.8 4x4 TDI Diesel</t>
  </si>
  <si>
    <t>004306-0</t>
  </si>
  <si>
    <t>S10 Blazer Colina 2.4/2.4 MPFI F.Power</t>
  </si>
  <si>
    <t>004307-9</t>
  </si>
  <si>
    <t>S10 Blazer Tornado 2.4 MPFI 8V 128cv</t>
  </si>
  <si>
    <t>001497-4</t>
  </si>
  <si>
    <t>Ducato Cargo Curto 2.3 16V Diesel</t>
  </si>
  <si>
    <t>DUCATO</t>
  </si>
  <si>
    <t>001282-3</t>
  </si>
  <si>
    <t>Ducato Cargo Curto 2.3 ME Diesel</t>
  </si>
  <si>
    <t>001283-1</t>
  </si>
  <si>
    <t>Ducato Cargo Longo 2.3 ME Diesel</t>
  </si>
  <si>
    <t>001498-2</t>
  </si>
  <si>
    <t>Ducato Cargo Médio 2.3 16V Diesel</t>
  </si>
  <si>
    <t>001496-6</t>
  </si>
  <si>
    <t>Ducato Chassi 2.3 16V Diesel</t>
  </si>
  <si>
    <t>001284-0</t>
  </si>
  <si>
    <t>Ducato Combinato 2.3 ME Diesel</t>
  </si>
  <si>
    <t>001512-1</t>
  </si>
  <si>
    <t>Ducato Executivo 2.3 16V Diesel</t>
  </si>
  <si>
    <t>001288-2</t>
  </si>
  <si>
    <t>Ducato Maxi. Curta 2.3 T.Alto ME Diesel</t>
  </si>
  <si>
    <t>001289-0</t>
  </si>
  <si>
    <t>Ducato Maxi. Long. 2.3 T.Alto ME Diesel</t>
  </si>
  <si>
    <t>001500-8</t>
  </si>
  <si>
    <t>Ducato MaxiCargo 2.3 16V Diesel</t>
  </si>
  <si>
    <t>001501-6</t>
  </si>
  <si>
    <t>Ducato MaxiMulti 2.3 16V Diesel</t>
  </si>
  <si>
    <t>001513-0</t>
  </si>
  <si>
    <t>Ducato Minibus 2.3 16V Diesel</t>
  </si>
  <si>
    <t>001285-8</t>
  </si>
  <si>
    <t>Ducato Minibus 2.3 ME Diesel</t>
  </si>
  <si>
    <t>001286-6</t>
  </si>
  <si>
    <t>Ducato Minibus 2.3 T.Alto ME Diesel</t>
  </si>
  <si>
    <t>001514-8</t>
  </si>
  <si>
    <t>Ducato Minibus Comfort 2.3 16v Diesel</t>
  </si>
  <si>
    <t>001499-0</t>
  </si>
  <si>
    <t>Ducato Multi 2.3 16V Diesel</t>
  </si>
  <si>
    <t>001287-4</t>
  </si>
  <si>
    <t>Ducato Multi Long. 2.3 T.Alto ME Diesel</t>
  </si>
  <si>
    <t>001511-3</t>
  </si>
  <si>
    <t>Ducato Vip Bus 2.3 16V Diesel</t>
  </si>
  <si>
    <t>015081-9</t>
  </si>
  <si>
    <t>Elantra GLS 1.8 16V Aut.</t>
  </si>
  <si>
    <t>ELANTRA</t>
  </si>
  <si>
    <t>015080-0</t>
  </si>
  <si>
    <t>Elantra GLS 1.8 16V Mec.</t>
  </si>
  <si>
    <t>004527-6</t>
  </si>
  <si>
    <t>EQUINOX LT 1.5 Turbo 172cv Aut.</t>
  </si>
  <si>
    <t>EQUINOX</t>
  </si>
  <si>
    <t>004487-3</t>
  </si>
  <si>
    <t>EQUINOX LT 2.0 Turbo 262cv Aut.</t>
  </si>
  <si>
    <t>004528-4</t>
  </si>
  <si>
    <t>EQUINOX Midnight 1.5 Turbo 172cv Aut.</t>
  </si>
  <si>
    <t>004529-2</t>
  </si>
  <si>
    <t>EQUINOX Premier 1.5 Turbo 172cv Aut.</t>
  </si>
  <si>
    <t>004484-9</t>
  </si>
  <si>
    <t>EQUINOX Premier 2.0 Turbo AWD 262cv Aut.</t>
  </si>
  <si>
    <t>024233-0</t>
  </si>
  <si>
    <t>Expert Business 1.6 Turbo Diesel</t>
  </si>
  <si>
    <t>EXPERT</t>
  </si>
  <si>
    <t>024232-2</t>
  </si>
  <si>
    <t>Expert Business Pack 1.6 Turbo Diesel</t>
  </si>
  <si>
    <t>024243-8</t>
  </si>
  <si>
    <t>Expert Minibus 1.6 Turbo Diesel</t>
  </si>
  <si>
    <t>024250-0</t>
  </si>
  <si>
    <t>Expert VITRÉ 1.6 Turbo Diesel</t>
  </si>
  <si>
    <t>003143-7</t>
  </si>
  <si>
    <t>Fiesta GL 1.0 3p</t>
  </si>
  <si>
    <t>003192-5</t>
  </si>
  <si>
    <t>Fiesta GL 1.0 5p</t>
  </si>
  <si>
    <t>003096-1</t>
  </si>
  <si>
    <t>Fiesta GL Class 1.0i 5p</t>
  </si>
  <si>
    <t>003144-5</t>
  </si>
  <si>
    <t>Fiesta GLX 1.6 8V 3p</t>
  </si>
  <si>
    <t>001365-0</t>
  </si>
  <si>
    <t>FREEMONT EMOT./PRECISION 2.4 16V 5p Aut.</t>
  </si>
  <si>
    <t>FREEMONT</t>
  </si>
  <si>
    <t>023153-3</t>
  </si>
  <si>
    <t>Frontier LE CD 4x4 2.3 Bi-TB Diesel Aut.</t>
  </si>
  <si>
    <t>FRONTIER</t>
  </si>
  <si>
    <t>023080-4</t>
  </si>
  <si>
    <t>Frontier LE CD 4x4 2.5 TB Diesel Aut.</t>
  </si>
  <si>
    <t>023121-5</t>
  </si>
  <si>
    <t>Frontier S CD 4x2 2.5 TB Diesel</t>
  </si>
  <si>
    <t>023100-2</t>
  </si>
  <si>
    <t>Frontier SE ATTACK CD 4x2 2.5 TB Diesel</t>
  </si>
  <si>
    <t>023052-9</t>
  </si>
  <si>
    <t>Frontier SE Serrana CD 4x4 2.8 TB Dies</t>
  </si>
  <si>
    <t>023046-4</t>
  </si>
  <si>
    <t>Frontier SE/ SE ONE CD 4x2 2.8 TDI Dies</t>
  </si>
  <si>
    <t>023117-7</t>
  </si>
  <si>
    <t>Frontier SV AT.CD 4x4 2.5 TB Diesel Mec.</t>
  </si>
  <si>
    <t>023076-6</t>
  </si>
  <si>
    <t>Frontier XE CD 4x2 2.5 TB Diesel</t>
  </si>
  <si>
    <t>023081-2</t>
  </si>
  <si>
    <t>Frontier XE CD 4x4 2.5 TB Diesel</t>
  </si>
  <si>
    <t>003378-2</t>
  </si>
  <si>
    <t>Fusion 2.5L I-VCT Flex Aut.</t>
  </si>
  <si>
    <t>FUSION</t>
  </si>
  <si>
    <t>003376-6</t>
  </si>
  <si>
    <t>Fusion Titanium 2.0 GTDI Eco. Awd Aut.</t>
  </si>
  <si>
    <t>003377-4</t>
  </si>
  <si>
    <t>Fusion Titanium 2.0 GTDI Eco. Fwd Aut.</t>
  </si>
  <si>
    <t>COTA 05</t>
  </si>
  <si>
    <t>005085-7</t>
  </si>
  <si>
    <t>Golf 1.6Mi/ 1.6Mi Gener./Black &amp; Silver</t>
  </si>
  <si>
    <t>005356-2</t>
  </si>
  <si>
    <t>Golf GTi 2.0 TSI 220cv Aut.</t>
  </si>
  <si>
    <t>002128-8</t>
  </si>
  <si>
    <t>Hilux CD 4x4 2.7 16V Flex Mec.</t>
  </si>
  <si>
    <t>HILUX</t>
  </si>
  <si>
    <t>002015-0</t>
  </si>
  <si>
    <t>Hilux CD 4x4 2.8 Diesel Mec.</t>
  </si>
  <si>
    <t>002087-7</t>
  </si>
  <si>
    <t>Hilux CD D4-D 4x2 2.5 16V 102cv TB Dies.</t>
  </si>
  <si>
    <t>002088-5</t>
  </si>
  <si>
    <t>Hilux CD D4-D 4x4 2.5 16V 102cv TB Dies.</t>
  </si>
  <si>
    <t>002119-9</t>
  </si>
  <si>
    <t>Hilux CD D4-D 4x4 3.0 TDI Dies. Mec.</t>
  </si>
  <si>
    <t>002177-6</t>
  </si>
  <si>
    <t>Hilux CD GR-S 4x4 2.8 TDI Dies. Aut.</t>
  </si>
  <si>
    <t>002195-4</t>
  </si>
  <si>
    <t>Hilux CD GR-S 4x4 4.0 V6 234cv Aut.</t>
  </si>
  <si>
    <t>002137-7</t>
  </si>
  <si>
    <t>Hilux CD Limited 4x4 3.0 TDI Diesel Aut.</t>
  </si>
  <si>
    <t>002110-5</t>
  </si>
  <si>
    <t>Hilux CD SR 4x2 2.7 16V/2.7 Flex Aut.</t>
  </si>
  <si>
    <t>002104-0</t>
  </si>
  <si>
    <t>Hilux CD SR 4x2 2.7 16V/2.7 Flex Mec.</t>
  </si>
  <si>
    <t>002142-3</t>
  </si>
  <si>
    <t>Hilux CD SR 4x4 2.8 TDI Diesel Aut.</t>
  </si>
  <si>
    <t>002161-0</t>
  </si>
  <si>
    <t>Hilux CD SR CHALL. 4x4 2.8 TDI Dies Aut.</t>
  </si>
  <si>
    <t>002089-3</t>
  </si>
  <si>
    <t>Hilux CD SR D4-D 4x2 3.0 163cv TDI Dies.</t>
  </si>
  <si>
    <t>002116-4</t>
  </si>
  <si>
    <t>Hilux CD SR D4-D 4x4 3.0 TDI Dies Aut.</t>
  </si>
  <si>
    <t>002090-7</t>
  </si>
  <si>
    <t>Hilux CD SR D4-D 4x4 3.0 TDI Dies.</t>
  </si>
  <si>
    <t>002136-9</t>
  </si>
  <si>
    <t>Hilux CD SRV 4x2 2.7 Flex 16V Aut.</t>
  </si>
  <si>
    <t>002114-8</t>
  </si>
  <si>
    <t>Hilux CD SRV 4x4 2.7 Flex 16V Aut.</t>
  </si>
  <si>
    <t>002143-1</t>
  </si>
  <si>
    <t>Hilux CD SRV 4x4 2.8 TDI Diesel Aut.</t>
  </si>
  <si>
    <t>002091-5</t>
  </si>
  <si>
    <t>Hilux CD SRV D4-D 4x2 3.0 163cv TDI Dies</t>
  </si>
  <si>
    <t>002092-3</t>
  </si>
  <si>
    <t>Hilux CD SRV D4-D 4x4 3.0 TDI Dies</t>
  </si>
  <si>
    <t>002093-1</t>
  </si>
  <si>
    <t>Hilux CD SRV D4-D 4x4 3.0 TDI Diesel Aut</t>
  </si>
  <si>
    <t>002141-5</t>
  </si>
  <si>
    <t>Hilux CD SRX 4x4 2.8 TDI 16V Diesel Aut.</t>
  </si>
  <si>
    <t>002145-8</t>
  </si>
  <si>
    <t>Hilux Chassi 4x4 2.8 TDI Diesel Mec.</t>
  </si>
  <si>
    <t>002094-0</t>
  </si>
  <si>
    <t>Hilux Chassi D4-D 4x4 2.5 102cv TB Dies.</t>
  </si>
  <si>
    <t>002118-0</t>
  </si>
  <si>
    <t>Hilux Chassi D4-D 4x4 3.0 TDI Dies. Mec.</t>
  </si>
  <si>
    <t>002144-0</t>
  </si>
  <si>
    <t>Hilux CS 4x4 2.8 TDI Diesel Mec.</t>
  </si>
  <si>
    <t>002085-0</t>
  </si>
  <si>
    <t>Hilux CS D4-D 4x2 2.5 16V 102cv TB Dies.</t>
  </si>
  <si>
    <t>002086-9</t>
  </si>
  <si>
    <t>Hilux CS D4-D 4x4 2.5 16V 102cv TB Dies.</t>
  </si>
  <si>
    <t>002117-2</t>
  </si>
  <si>
    <t>Hilux CS D4-D 4x4 3.0 TDI Dies. Mec.</t>
  </si>
  <si>
    <t>002205-5</t>
  </si>
  <si>
    <t>Hilux SW4 Diamond 2.8 TB 4x4 Die. Aut.</t>
  </si>
  <si>
    <t>002206-3</t>
  </si>
  <si>
    <t>Hilux SW4 GRS 2.8 TB 4x4 Diesel Aut.</t>
  </si>
  <si>
    <t>002107-5</t>
  </si>
  <si>
    <t>Hilux SW4 SR 4x2 2.7/ 2.7 Flex 16V Aut.</t>
  </si>
  <si>
    <t>002106-7</t>
  </si>
  <si>
    <t>Hilux SW4 SR 4x2 2.7/2.7 Flex 16V Mec.</t>
  </si>
  <si>
    <t>002120-2</t>
  </si>
  <si>
    <t>Hilux SW4 SR D4-D 4x4 3.0 TDI Dies. Aut</t>
  </si>
  <si>
    <t>002160-1</t>
  </si>
  <si>
    <t>Hilux SW4 SRV 4x2 2.7 Flex 16V Aut.</t>
  </si>
  <si>
    <t>002105-9</t>
  </si>
  <si>
    <t>Hilux SW4 SRV 4x4 4.0 V6 24V Aut.</t>
  </si>
  <si>
    <t>002096-6</t>
  </si>
  <si>
    <t>Hilux SW4 SRV D4-D 4x4 3.0 TDI Dies. Aut</t>
  </si>
  <si>
    <t>002095-8</t>
  </si>
  <si>
    <t>Hilux SW4 SRV D4-D 4x4 3.0 TDI Dies. Mec</t>
  </si>
  <si>
    <t>002146-6</t>
  </si>
  <si>
    <t>Hilux SW4 SRX 4x4 2.8 TDI 16V Dies. Aut.</t>
  </si>
  <si>
    <t>002147-4</t>
  </si>
  <si>
    <t>Hilux SW4 SRX 4x4 4.0 V6 24V Aut.</t>
  </si>
  <si>
    <t>002166-0</t>
  </si>
  <si>
    <t>Hilux SW4 SRX Diamo. 4x4 2.8 TB Die Aut.</t>
  </si>
  <si>
    <t>015065-7</t>
  </si>
  <si>
    <t>HR 2.5 TCI Diesel (RS/RD)</t>
  </si>
  <si>
    <t>HR</t>
  </si>
  <si>
    <t>015074-6</t>
  </si>
  <si>
    <t>ix35 2.0 16V 170cv 2WD/4WD Aut.</t>
  </si>
  <si>
    <t>IX35</t>
  </si>
  <si>
    <t>015075-4</t>
  </si>
  <si>
    <t>ix35 2.0 16V 170cv 2WD/4WD Mec.</t>
  </si>
  <si>
    <t>015146-7</t>
  </si>
  <si>
    <t>ix35 2.0 16V 2WD Flex Aut.</t>
  </si>
  <si>
    <t>015085-1</t>
  </si>
  <si>
    <t>ix35 2.0 16V 2WD Flex Mec.</t>
  </si>
  <si>
    <t>015123-8</t>
  </si>
  <si>
    <t>ix35 2.0 Launching Edition 16V Flex Aut.</t>
  </si>
  <si>
    <t>015145-9</t>
  </si>
  <si>
    <t>ix35 GL 2.0 16V 2WD Flex Aut.</t>
  </si>
  <si>
    <t>015086-0</t>
  </si>
  <si>
    <t>ix35 GLS 2.0 16V 2WD Flex Aut.</t>
  </si>
  <si>
    <t>080007-4</t>
  </si>
  <si>
    <t>Jac</t>
  </si>
  <si>
    <t>J2 1.4 16V 5p Mec.</t>
  </si>
  <si>
    <t>J2</t>
  </si>
  <si>
    <t>080012-0</t>
  </si>
  <si>
    <t>J2 1.4 JET Flex 16V 5p Mec</t>
  </si>
  <si>
    <t>080001-5</t>
  </si>
  <si>
    <t>J3 1.4 16V 5p Mec.</t>
  </si>
  <si>
    <t>080004-0</t>
  </si>
  <si>
    <t>J3 Brasil 1.4 16V 5p Mec.</t>
  </si>
  <si>
    <t>080008-2</t>
  </si>
  <si>
    <t>J3 S 1.5 JET Flex 16V VVT 5p</t>
  </si>
  <si>
    <t>080011-2</t>
  </si>
  <si>
    <t>J3 S turin 1.5 JET Flex 16V 4p Mec.</t>
  </si>
  <si>
    <t>080002-3</t>
  </si>
  <si>
    <t>J3 turin Sedan 1.4 16V 4p Mec.</t>
  </si>
  <si>
    <t>080005-8</t>
  </si>
  <si>
    <t>J3 turin Sedan Brasil 1.4 16V 4p Mec.</t>
  </si>
  <si>
    <t>080006-6</t>
  </si>
  <si>
    <t>J5 Sedan 1.5 16V 4p Mec.</t>
  </si>
  <si>
    <t>J5</t>
  </si>
  <si>
    <t>080003-1</t>
  </si>
  <si>
    <t>J6 2.0 16V 5p Mec.</t>
  </si>
  <si>
    <t>J6</t>
  </si>
  <si>
    <t>080014-7</t>
  </si>
  <si>
    <t>J6 2.0 JET Flex 5p Mec.</t>
  </si>
  <si>
    <t>005255-8</t>
  </si>
  <si>
    <t>JETTA 2.5 20V 150/170cv Tiptronic</t>
  </si>
  <si>
    <t>005328-7</t>
  </si>
  <si>
    <t>JETTA Highline 2.0 TSI 16V 4p Tiptronic</t>
  </si>
  <si>
    <t>005272-8</t>
  </si>
  <si>
    <t>JETTA Variant 2.5 20V 170cv Tiptronic</t>
  </si>
  <si>
    <t>022028-0</t>
  </si>
  <si>
    <t>L200 GL 2.5 4X4 CD Diesel</t>
  </si>
  <si>
    <t>L200</t>
  </si>
  <si>
    <t>022071-0</t>
  </si>
  <si>
    <t>L200 HPE 2.5 8V 95cv/118cv TB-IC Diesel</t>
  </si>
  <si>
    <t>022060-4</t>
  </si>
  <si>
    <t>L200 L 2.5 4X4 CD Turbo Diesel</t>
  </si>
  <si>
    <t>022092-2</t>
  </si>
  <si>
    <t>L200 OUTDOOR GLS 2.5 4X4 CD TDI Diesel</t>
  </si>
  <si>
    <t>022094-9</t>
  </si>
  <si>
    <t>L200 OUTDOOR HPE 2.5 4x4 CD T.Dies. Aut.</t>
  </si>
  <si>
    <t>022093-0</t>
  </si>
  <si>
    <t>L200 OUTDOOR HPE 2.5 4x4 CD T.Dies. Mec.</t>
  </si>
  <si>
    <t>022081-7</t>
  </si>
  <si>
    <t>L200 Savana 2.5 4x4 121cv CD DTI Dies.</t>
  </si>
  <si>
    <t>022078-7</t>
  </si>
  <si>
    <t>L200 Sport HPE 2.5 4x4 CD DTI Dies. Aut.</t>
  </si>
  <si>
    <t>022079-5</t>
  </si>
  <si>
    <t>L200 Sport HPE 2.5 4x4 CD DTI Dies. Mec.</t>
  </si>
  <si>
    <t>022084-1</t>
  </si>
  <si>
    <t>L200 Sport RS 2.5 CD DTI (passeio) Dies.</t>
  </si>
  <si>
    <t>022153-8</t>
  </si>
  <si>
    <t>L200 T. OUTDOOR 3.2 CD TB Int.Dies. Mec.</t>
  </si>
  <si>
    <t>022152-0</t>
  </si>
  <si>
    <t>L200 T.OUTDOOR 3.2 CD TB Int. Dies. Aut.</t>
  </si>
  <si>
    <t>022187-2</t>
  </si>
  <si>
    <t>L200 Tri. Out. HPE-S 2-4 CD 4X4 Die. Aut</t>
  </si>
  <si>
    <t>022189-9</t>
  </si>
  <si>
    <t>L200 Tri. Outd. GLX 2.4 CD 4x4 Die. Mec.</t>
  </si>
  <si>
    <t>022186-4</t>
  </si>
  <si>
    <t>L200 Tri. Outd. HPE 2.4 CD 4x4 Die. Aut.</t>
  </si>
  <si>
    <t>022188-0</t>
  </si>
  <si>
    <t>L200 Tri. Outdo. GLS 2.4 CD 4x4 Die. Aut</t>
  </si>
  <si>
    <t>022180-5</t>
  </si>
  <si>
    <t>L200 Tri. Sport Outd. GLX 2.4 4x4 Diesel</t>
  </si>
  <si>
    <t>022183-0</t>
  </si>
  <si>
    <t>L200 Tri. Sport Outdoor 2.4 CD 4x4 Dies.</t>
  </si>
  <si>
    <t>022141-4</t>
  </si>
  <si>
    <t>L200 Tri.HLS Chrome Ed. 2.4 CD Flex Mec.</t>
  </si>
  <si>
    <t>022168-6</t>
  </si>
  <si>
    <t>L200 Triton GL 3.2 CD TB Int. Dies. Mec.</t>
  </si>
  <si>
    <t>022126-0</t>
  </si>
  <si>
    <t>L200 Triton GLS 3.2 CD TB Int.Diesel Mec</t>
  </si>
  <si>
    <t>022125-2</t>
  </si>
  <si>
    <t>L200 Triton GLX 3.2 CD TB Int.Diesel Mec</t>
  </si>
  <si>
    <t>022130-9</t>
  </si>
  <si>
    <t>L200 Triton HLS 2.4 Flex 16V CD Mec.</t>
  </si>
  <si>
    <t>022103-1</t>
  </si>
  <si>
    <t>L200 Triton HPE 3.2 CD TB Int.Diesel Aut</t>
  </si>
  <si>
    <t>022104-0</t>
  </si>
  <si>
    <t>L200 Triton HPE 3.2 CD TB Int.Diesel Mec</t>
  </si>
  <si>
    <t>022102-3</t>
  </si>
  <si>
    <t>L200 Triton HPE 3.5 CD V6 24V Flex Aut.</t>
  </si>
  <si>
    <t>022154-6</t>
  </si>
  <si>
    <t>L200 Triton KTM 3.2 CD TB Int.Dies. Mec.</t>
  </si>
  <si>
    <t>022184-8</t>
  </si>
  <si>
    <t>L200 Triton MotorSports HPE 2.4 Dies.</t>
  </si>
  <si>
    <t>022151-1</t>
  </si>
  <si>
    <t>L200 Triton OUTDOOR 2.4 Flex 16V CD Mec.</t>
  </si>
  <si>
    <t>022159-7</t>
  </si>
  <si>
    <t>L200 Triton S. HPE FTP 2.4 CD Dies. Aut.</t>
  </si>
  <si>
    <t>022150-3</t>
  </si>
  <si>
    <t>L200 Triton Savana 3.2 CD TBI Dies. Aut.</t>
  </si>
  <si>
    <t>022128-7</t>
  </si>
  <si>
    <t>L200 Triton Savana 3.2 CD TBI Dies. Mec.</t>
  </si>
  <si>
    <t>022195-3</t>
  </si>
  <si>
    <t>L200 Triton Savana GLS 2.4 4x4 Die. Aut.</t>
  </si>
  <si>
    <t>022135-0</t>
  </si>
  <si>
    <t>L200 Triton Savanaoff 3.2 CD TBI Die.Mec</t>
  </si>
  <si>
    <t>022164-3</t>
  </si>
  <si>
    <t>L200 Triton Sport GLS 2.4 CD Diesel Aut.</t>
  </si>
  <si>
    <t>022160-0</t>
  </si>
  <si>
    <t>L200 Triton Sport GLS 2.4 CD Diesel Mec.</t>
  </si>
  <si>
    <t>022166-0</t>
  </si>
  <si>
    <t>L200 Triton Sport GLX 2.4 CD Diesel Mec.</t>
  </si>
  <si>
    <t>022158-9</t>
  </si>
  <si>
    <t>L200 Triton Sport HPE 2.4 CD Diesel Aut.</t>
  </si>
  <si>
    <t>022167-8</t>
  </si>
  <si>
    <t>L200 Triton Sport HPE-S 2.4 CD Dies. Aut</t>
  </si>
  <si>
    <t>022117-1</t>
  </si>
  <si>
    <t>L200 Triton XB 3.2 CD TB Int.Diesel Mec.</t>
  </si>
  <si>
    <t>004315-0</t>
  </si>
  <si>
    <t>Omega CD/ FITTIPALDI 3.6 V6 24V 4p</t>
  </si>
  <si>
    <t>OMEGA</t>
  </si>
  <si>
    <t>022116-3</t>
  </si>
  <si>
    <t>OUTLANDER 2.0 16V 160cv Aut.</t>
  </si>
  <si>
    <t>OUTLANDER</t>
  </si>
  <si>
    <t>022139-2</t>
  </si>
  <si>
    <t>OUTLANDER 2.2 165cv Diesel Aut.</t>
  </si>
  <si>
    <t>022108-2</t>
  </si>
  <si>
    <t>OUTLANDER 2.4 16V 170cv Aut.</t>
  </si>
  <si>
    <t>022101-5</t>
  </si>
  <si>
    <t>OUTLANDER 3.0/ GT 3.0 V6 Aut.</t>
  </si>
  <si>
    <t>022161-9</t>
  </si>
  <si>
    <t>OUTLANDER COMFORT 2.0 16V Aut.</t>
  </si>
  <si>
    <t>022179-1</t>
  </si>
  <si>
    <t>OUTLANDER GLS 2.0 16V 5p Aut.</t>
  </si>
  <si>
    <t>022171-6</t>
  </si>
  <si>
    <t>OUTLANDER HPE 2.0 16V 5p Aut.</t>
  </si>
  <si>
    <t>022173-2</t>
  </si>
  <si>
    <t>OUTLANDER HPE-S 2.2 Diesel 4x4 Aut.</t>
  </si>
  <si>
    <t>022172-4</t>
  </si>
  <si>
    <t>OUTLANDER HPE-S 3.0 V6 4x4 5p Aut.</t>
  </si>
  <si>
    <t>022200-3</t>
  </si>
  <si>
    <t>OUTLANDER HPE-S BLACK ED. 3.0 4x4 Aut.</t>
  </si>
  <si>
    <t>022136-8</t>
  </si>
  <si>
    <t>OUTLANDER PHEV Hybrid 2.0 16V 4x4 Aut.</t>
  </si>
  <si>
    <t>022199-6</t>
  </si>
  <si>
    <t>OUTLANDER SP. HPE BL.ED 4x2 2.0 Flex Aut</t>
  </si>
  <si>
    <t>022198-8</t>
  </si>
  <si>
    <t>OUTLANDER Sp. HPE BL.ED 4x4 2.0 Flex Aut</t>
  </si>
  <si>
    <t>022190-2</t>
  </si>
  <si>
    <t>OUTLANDER Sport GLS 2.0 16V Flex Aut.</t>
  </si>
  <si>
    <t>022192-9</t>
  </si>
  <si>
    <t>OUTLANDER Sport HPE 2.0 16V Flex Aut.</t>
  </si>
  <si>
    <t>022191-0</t>
  </si>
  <si>
    <t>OUTLANDER Sport HPE 4x4 2.0 16V Flex Aut</t>
  </si>
  <si>
    <t>022132-5</t>
  </si>
  <si>
    <t>Pajero 3.2 4x4 T.I. Dies. 5p Aut</t>
  </si>
  <si>
    <t>PAJERO</t>
  </si>
  <si>
    <t>022110-4</t>
  </si>
  <si>
    <t>Pajero DAKAR 3.2 4x4 T.I. Dies. 5p Aut.</t>
  </si>
  <si>
    <t>022111-2</t>
  </si>
  <si>
    <t>Pajero DAKAR 3.2 4x4 T.I. Dies. 5p Mec.</t>
  </si>
  <si>
    <t>022127-9</t>
  </si>
  <si>
    <t>Pajero DAKAR HPE 3.2 4x4 T.I Dies 5p Aut</t>
  </si>
  <si>
    <t>022118-0</t>
  </si>
  <si>
    <t>Pajero DAKAR/HPE 3.5 4x4 Flex 5p Aut.</t>
  </si>
  <si>
    <t>022196-1</t>
  </si>
  <si>
    <t>Pajero Full Legend Ed.3.2 T.I. Die. Aut.</t>
  </si>
  <si>
    <t>022015-9</t>
  </si>
  <si>
    <t>Pajero GLX 3.0 V6 4p Mec</t>
  </si>
  <si>
    <t>022049-3</t>
  </si>
  <si>
    <t>Pajero GLZ 2.8 4x4 Turbo Diesel</t>
  </si>
  <si>
    <t>022165-1</t>
  </si>
  <si>
    <t>Pajero HD-S 3.2 4x4 T.I. Diesel 5p Mec.</t>
  </si>
  <si>
    <t>022133-3</t>
  </si>
  <si>
    <t>Pajero HPE 3.2 4x4 T.I. Dies. 5p Aut.</t>
  </si>
  <si>
    <t>022134-1</t>
  </si>
  <si>
    <t>Pajero HPE 3.5 4x4 Flex 5p Aut.</t>
  </si>
  <si>
    <t>022107-4</t>
  </si>
  <si>
    <t>Pajero HPE Full 3.2 4x4 T.I.Dies. 5p Aut</t>
  </si>
  <si>
    <t>022088-4</t>
  </si>
  <si>
    <t>Pajero HPE Full 3.2 4x4 T.I.Dies.3p Aut.</t>
  </si>
  <si>
    <t>022099-0</t>
  </si>
  <si>
    <t>Pajero HPE Full 3.8 V6 250cv 3p Aut.</t>
  </si>
  <si>
    <t>022100-7</t>
  </si>
  <si>
    <t>Pajero HPE Full 3.8 V6 250cv 5p Aut.</t>
  </si>
  <si>
    <t>022147-3</t>
  </si>
  <si>
    <t>Pajero HPE-S 3.2 4x4 T.I.Diesel 5p Aut.</t>
  </si>
  <si>
    <t>022122-8</t>
  </si>
  <si>
    <t>Pajero TR4 2.0 Flex 16V 4X2 Aut.</t>
  </si>
  <si>
    <t>022121-0</t>
  </si>
  <si>
    <t>Pajero TR4 2.0 Flex 16V 4X2 Mec.</t>
  </si>
  <si>
    <t>022075-2</t>
  </si>
  <si>
    <t>Pajero TR4 2.0/ 2.0 Flex 16V 4x4 Aut.</t>
  </si>
  <si>
    <t>022074-4</t>
  </si>
  <si>
    <t>Pajero TR4 2.0/ 2.0 Flex 16V 4x4 Mec.</t>
  </si>
  <si>
    <t>022105-8</t>
  </si>
  <si>
    <t>Pajero TR4 GLS 2.0 Flex 16V 4x4 Mec.</t>
  </si>
  <si>
    <t>003479-7</t>
  </si>
  <si>
    <t>Ranger Black 2.2 4x2 CD Diesel Aut.</t>
  </si>
  <si>
    <t>003337-5</t>
  </si>
  <si>
    <t>Ranger Limited 2.3 150cv CD</t>
  </si>
  <si>
    <t>003359-6</t>
  </si>
  <si>
    <t>Ranger Limited 2.5 16V 4x2 CD Flex</t>
  </si>
  <si>
    <t>003296-4</t>
  </si>
  <si>
    <t>Ranger Limited 3.0 PSE 4x4 CD TB Diesel</t>
  </si>
  <si>
    <t>003364-2</t>
  </si>
  <si>
    <t>Ranger Limited 3.2 20V 4x4 CD Aut. Dies.</t>
  </si>
  <si>
    <t>003406-1</t>
  </si>
  <si>
    <t>Ranger SPORT 2.5 Flex 16V 4x2 CS</t>
  </si>
  <si>
    <t>003445-2</t>
  </si>
  <si>
    <t>Ranger SPORTRAC 2.2 16V 4x4 CD Dies Aut.</t>
  </si>
  <si>
    <t>003476-2</t>
  </si>
  <si>
    <t>Ranger Storm 3.2 20V 4x4 CD Diesel Aut.</t>
  </si>
  <si>
    <t>003396-0</t>
  </si>
  <si>
    <t>Ranger TROPICAB 2.5 16V 4X2 Flex</t>
  </si>
  <si>
    <t>003395-2</t>
  </si>
  <si>
    <t>Ranger TROPICAB 3.2 20V 4X4 TB Diesel</t>
  </si>
  <si>
    <t>003394-4</t>
  </si>
  <si>
    <t>Ranger TROPIVAN 2.5 16V 4X2 Flex</t>
  </si>
  <si>
    <t>003393-6</t>
  </si>
  <si>
    <t>Ranger TROPIVAN 3.2 20V 4X4 TB Dies.Aut.</t>
  </si>
  <si>
    <t>003392-8</t>
  </si>
  <si>
    <t>Ranger TROPIVAN 3.2 20V 4X4 TB Diesel</t>
  </si>
  <si>
    <t>003341-3</t>
  </si>
  <si>
    <t>Ranger TROPIVAN XLT 2.3 16V 150cv</t>
  </si>
  <si>
    <t>003342-1</t>
  </si>
  <si>
    <t>Ranger TROPIVAN XLT 3.0 PSE 4x2 TB Dies.</t>
  </si>
  <si>
    <t>003343-0</t>
  </si>
  <si>
    <t>Ranger TROPIVAN XLT 3.0 PSE 4x4 TB Dies.</t>
  </si>
  <si>
    <t>003426-6</t>
  </si>
  <si>
    <t>Ranger XL 2.2 4x4 CD Diesel Mec.</t>
  </si>
  <si>
    <t>003433-9</t>
  </si>
  <si>
    <t>Ranger XL 2.2 4x4 CS Diesel Mec.</t>
  </si>
  <si>
    <t>003237-9</t>
  </si>
  <si>
    <t>Ranger XL 2.3 16v 137cv 4x2 CD Repower.</t>
  </si>
  <si>
    <t>003236-0</t>
  </si>
  <si>
    <t>Ranger XL 2.3 16v 137cv 4x2 CE Repower.</t>
  </si>
  <si>
    <t>003254-9</t>
  </si>
  <si>
    <t>Ranger XL 2.8 8v 135cv 4x2 CD TB Diesel</t>
  </si>
  <si>
    <t>003249-2</t>
  </si>
  <si>
    <t>Ranger XL 2.8 8v 135cv 4x2 CE TB Diesel</t>
  </si>
  <si>
    <t>003247-6</t>
  </si>
  <si>
    <t>Ranger XL 2.8 8v 135cv 4x2 CS TB Diesel</t>
  </si>
  <si>
    <t>003255-7</t>
  </si>
  <si>
    <t>Ranger XL 2.8 8v 135cv 4x4 CD TB Diesel</t>
  </si>
  <si>
    <t>003250-6</t>
  </si>
  <si>
    <t>Ranger XL 2.8 8v 135cv 4x4 CE TB Diesel</t>
  </si>
  <si>
    <t>003248-4</t>
  </si>
  <si>
    <t>Ranger XL 2.8 8v 135cv 4x4 CS TB Diesel</t>
  </si>
  <si>
    <t>003298-0</t>
  </si>
  <si>
    <t>Ranger XL 3.0 PSE 163cv 4x2 CD TB Diesel</t>
  </si>
  <si>
    <t>003299-9</t>
  </si>
  <si>
    <t>Ranger XL 3.0 PSE 163cv 4x2 CS TB Diesel</t>
  </si>
  <si>
    <t>003297-2</t>
  </si>
  <si>
    <t>Ranger XL 3.0 PSE 163cv 4x4 CS TB Diesel</t>
  </si>
  <si>
    <t>003238-7</t>
  </si>
  <si>
    <t>Ranger XL 4.0 12v V6 210cv 4x2 CS Repow.</t>
  </si>
  <si>
    <t>003454-1</t>
  </si>
  <si>
    <t>Ranger XLS 2.2 4x2 CD Diesel Aut.</t>
  </si>
  <si>
    <t>003442-8</t>
  </si>
  <si>
    <t>Ranger XLS 2.2 4x2 CD Diesel Mec.</t>
  </si>
  <si>
    <t>003421-5</t>
  </si>
  <si>
    <t>Ranger XLS 2.2 4x4 CD Diesel Aut.</t>
  </si>
  <si>
    <t>003405-3</t>
  </si>
  <si>
    <t>Ranger XLS 2.2 4x4 CD Diesel Mec.</t>
  </si>
  <si>
    <t>003276-0</t>
  </si>
  <si>
    <t>Ranger XLS 2.3 16V 145cv/150cv 4x2 CD</t>
  </si>
  <si>
    <t>003275-1</t>
  </si>
  <si>
    <t>Ranger XLS 2.3 16V 145cv/150cv 4x2 CS</t>
  </si>
  <si>
    <t>003357-0</t>
  </si>
  <si>
    <t>Ranger XLS 2.5 16V 4x2 CD Flex</t>
  </si>
  <si>
    <t>003356-1</t>
  </si>
  <si>
    <t>Ranger XLS 2.5 16V 4x2 CS Flex</t>
  </si>
  <si>
    <t>003278-6</t>
  </si>
  <si>
    <t>Ranger XLS 2.8 8V 135cv 4x2 CD TB Diesel</t>
  </si>
  <si>
    <t>003277-8</t>
  </si>
  <si>
    <t>Ranger XLS 2.8 8V 135cv 4x2 CS TB Diesel</t>
  </si>
  <si>
    <t>003273-5</t>
  </si>
  <si>
    <t>Ranger XLS 2.8 8V 135cv 4x4 CS TB Diesel</t>
  </si>
  <si>
    <t>003274-3</t>
  </si>
  <si>
    <t>Ranger XLS 2.8/2.8 Storm 4x4 CD TB Dies</t>
  </si>
  <si>
    <t>003291-3</t>
  </si>
  <si>
    <t>Ranger XLS 3.0 PSE 163cv 4x2 CD TB Dies.</t>
  </si>
  <si>
    <t>003292-1</t>
  </si>
  <si>
    <t>Ranger XLS 3.0 PSE 163cv 4x2 CS TB Dies.</t>
  </si>
  <si>
    <t>003293-0</t>
  </si>
  <si>
    <t>Ranger XLS 3.0 PSE 163cv 4x4 CD TB Dies.</t>
  </si>
  <si>
    <t>003334-0</t>
  </si>
  <si>
    <t>Ranger XLS 3.0 PSE Storm 4x4 CD TB Dies.</t>
  </si>
  <si>
    <t>003401-0</t>
  </si>
  <si>
    <t>Ranger XLS 3.2 20V 4x4 CD Diesel Aut.</t>
  </si>
  <si>
    <t>003361-8</t>
  </si>
  <si>
    <t>Ranger XLS 3.2 20V 4x4 CD Diesel Mec.</t>
  </si>
  <si>
    <t>003360-0</t>
  </si>
  <si>
    <t>Ranger XLS 3.2 20V 4x4 CS Diesel</t>
  </si>
  <si>
    <t>003324-3</t>
  </si>
  <si>
    <t>Ranger XLS SPORT 2.3 16V 150cv CS</t>
  </si>
  <si>
    <t>003321-9</t>
  </si>
  <si>
    <t>Ranger XLT 2.3 16V 150cv CD Repower.</t>
  </si>
  <si>
    <t>003358-8</t>
  </si>
  <si>
    <t>Ranger XLT 2.5 16V 4x2 CD Flex</t>
  </si>
  <si>
    <t>003252-2</t>
  </si>
  <si>
    <t>Ranger XLT 2.8 8v 135cv 4x2 CD TB Diesel</t>
  </si>
  <si>
    <t>003253-0</t>
  </si>
  <si>
    <t>Ranger XLT 2.8 8v 135cv 4x4 CD TB Diesel</t>
  </si>
  <si>
    <t>003251-4</t>
  </si>
  <si>
    <t>Ranger XLT 2.8 8v 135cv 4x4 CE TB Diesel</t>
  </si>
  <si>
    <t>003294-8</t>
  </si>
  <si>
    <t>Ranger XLT 3.0 PSE 163cv 4x2 CD TB Dies.</t>
  </si>
  <si>
    <t>003295-6</t>
  </si>
  <si>
    <t>Ranger XLT 3.0 PSE 163cv 4x4 CD TB Dies.</t>
  </si>
  <si>
    <t>003362-6</t>
  </si>
  <si>
    <t>Ranger XLT 3.2 20V 4x4 CD Diesel</t>
  </si>
  <si>
    <t>003363-4</t>
  </si>
  <si>
    <t>Ranger XLT 3.2 20V 4x4 CD Diesel Aut.</t>
  </si>
  <si>
    <t>003240-9</t>
  </si>
  <si>
    <t>Ranger XLT 4.0 12v V6 210cv 4x4 CD Repow</t>
  </si>
  <si>
    <t>003239-5</t>
  </si>
  <si>
    <t>Ranger XLT 4.0 12v V6 210cv 4x4 CE Repow</t>
  </si>
  <si>
    <t>003263-8</t>
  </si>
  <si>
    <t>Ranger XLT Limit./L.Cent. 2.8 CD TB Dies</t>
  </si>
  <si>
    <t>004485-7</t>
  </si>
  <si>
    <t>S10 P.Up 100YEARS 2.8 4x4 CD Dies. Aut.</t>
  </si>
  <si>
    <t>S10</t>
  </si>
  <si>
    <t>004206-4</t>
  </si>
  <si>
    <t>S10 Pick-Up 2.4 MPFI 8v 128cv CD 4p</t>
  </si>
  <si>
    <t>004205-6</t>
  </si>
  <si>
    <t>S10 Pick-Up 2.4 MPFI 8v 128cv/ Rodeio</t>
  </si>
  <si>
    <t>004174-2</t>
  </si>
  <si>
    <t>S10 Pick-Up 2.8 4x2 Turbo Interc. Dies.</t>
  </si>
  <si>
    <t>004474-1</t>
  </si>
  <si>
    <t>S10 Pick-Up Advantage 2.5 Flex 4x2 CD</t>
  </si>
  <si>
    <t>004201-3</t>
  </si>
  <si>
    <t>S10 Pick-Up Barretos 2.2 MPFI 2p</t>
  </si>
  <si>
    <t>004238-2</t>
  </si>
  <si>
    <t>S10 Pick-Up DLX 2.4 MPFI 128cv CD 4p</t>
  </si>
  <si>
    <t>004300-1</t>
  </si>
  <si>
    <t>S10 Pick-Up Exec. 2.8 4x2 CD TB Int.Dies</t>
  </si>
  <si>
    <t>004217-0</t>
  </si>
  <si>
    <t>S10 Pick-Up Exec. 2.8 4x4 CD TB Int.Dies</t>
  </si>
  <si>
    <t>004146-7</t>
  </si>
  <si>
    <t>S10 Pick-Up Executive CD 4.3</t>
  </si>
  <si>
    <t>004147-5</t>
  </si>
  <si>
    <t>S10 Pick-Up Executive CD 4.3 4x4</t>
  </si>
  <si>
    <t>004388-5</t>
  </si>
  <si>
    <t>S10 Pick-Up LS 2.4 F.Power 4x2 CD</t>
  </si>
  <si>
    <t>004386-9</t>
  </si>
  <si>
    <t>S10 Pick-Up LS 2.4 F.Power 4x2 CS</t>
  </si>
  <si>
    <t>004412-1</t>
  </si>
  <si>
    <t>S10 Pick-Up LS 2.8 TDI 4x2 CD Dies. Mec.</t>
  </si>
  <si>
    <t>004411-3</t>
  </si>
  <si>
    <t>S10 Pick-Up LS 2.8 TDI 4x2 CS Dies. Mec.</t>
  </si>
  <si>
    <t>004413-0</t>
  </si>
  <si>
    <t>S10 Pick-Up LS 2.8 TDI 4x4 CD Dies. Mec.</t>
  </si>
  <si>
    <t>004391-5</t>
  </si>
  <si>
    <t>S10 Pick-Up LS 2.8 TDI 4x4 CS Diesel</t>
  </si>
  <si>
    <t>004389-3</t>
  </si>
  <si>
    <t>S10 Pick-Up LT 2.4 F.Power 4x2 CD</t>
  </si>
  <si>
    <t>004387-7</t>
  </si>
  <si>
    <t>S10 Pick-Up LT 2.4 F.Power 4x2 CS</t>
  </si>
  <si>
    <t>004455-5</t>
  </si>
  <si>
    <t>S10 Pick-Up LT 2.5 Flex 4x2 CD</t>
  </si>
  <si>
    <t>004482-2</t>
  </si>
  <si>
    <t>S10 Pick-Up LT 2.5 Flex 4x2 CD Aut.</t>
  </si>
  <si>
    <t>004456-3</t>
  </si>
  <si>
    <t>S10 Pick-Up LT 2.5 Flex 4x4 CD</t>
  </si>
  <si>
    <t>004483-0</t>
  </si>
  <si>
    <t>S10 Pick-Up LT 2.5 Flex 4x4 CD Aut.</t>
  </si>
  <si>
    <t>004392-3</t>
  </si>
  <si>
    <t>S10 Pick-Up LT 2.8 TDI 4x2 CD Diesel</t>
  </si>
  <si>
    <t>004393-1</t>
  </si>
  <si>
    <t>S10 Pick-Up LT 2.8 TDI 4x2 CD Diesel Aut</t>
  </si>
  <si>
    <t>004394-0</t>
  </si>
  <si>
    <t>S10 Pick-Up LT 2.8 TDI 4x4 CD Diesel</t>
  </si>
  <si>
    <t>004395-8</t>
  </si>
  <si>
    <t>S10 Pick-Up LT 2.8 TDI 4x4 CD Diesel Aut</t>
  </si>
  <si>
    <t>004390-7</t>
  </si>
  <si>
    <t>S10 Pick-Up LTZ 2.4 F.Power 4x2 CD</t>
  </si>
  <si>
    <t>004454-7</t>
  </si>
  <si>
    <t>S10 Pick-Up LTZ 2.5 Flex 4x2 CD</t>
  </si>
  <si>
    <t>004480-6</t>
  </si>
  <si>
    <t>S10 Pick-Up LTZ 2.5 Flex 4x2 CD Aut.</t>
  </si>
  <si>
    <t>004457-1</t>
  </si>
  <si>
    <t>S10 Pick-Up LTZ 2.5 Flex 4x4 CD</t>
  </si>
  <si>
    <t>004481-4</t>
  </si>
  <si>
    <t>S10 Pick-Up LTZ 2.5 Flex 4x4 CD Aut.</t>
  </si>
  <si>
    <t>004410-5</t>
  </si>
  <si>
    <t>S10 Pick-Up LTZ 2.8 TDI 4x2 CD Dies. Mec</t>
  </si>
  <si>
    <t>004396-6</t>
  </si>
  <si>
    <t>S10 Pick-Up LTZ 2.8 TDI 4x2 CD Dies.Aut</t>
  </si>
  <si>
    <t>004397-4</t>
  </si>
  <si>
    <t>S10 Pick-Up LTZ 2.8 TDI 4x4 CD Dies.Aut</t>
  </si>
  <si>
    <t>004056-8</t>
  </si>
  <si>
    <t>S10 Pick-Up Luxe 2.2 EFI CD</t>
  </si>
  <si>
    <t>004013-4</t>
  </si>
  <si>
    <t>S10 Pick-Up Luxe 2.2 MPFI / EFI</t>
  </si>
  <si>
    <t>004015-0</t>
  </si>
  <si>
    <t>S10 Pick-Up Luxe 2.2 MPFI/EFI CE</t>
  </si>
  <si>
    <t>004059-2</t>
  </si>
  <si>
    <t>S10 Pick-Up Luxe 2.5 CE TB Diesel</t>
  </si>
  <si>
    <t>004058-4</t>
  </si>
  <si>
    <t>S10 Pick-Up Luxe 2.5 Diesel Turbo</t>
  </si>
  <si>
    <t>004176-9</t>
  </si>
  <si>
    <t>S10 Pick-Up Luxe 2.8 4x2 CD TB Int.Dies.</t>
  </si>
  <si>
    <t>004014-2</t>
  </si>
  <si>
    <t>S10 Pick-Up Luxe 4.3 V6</t>
  </si>
  <si>
    <t>004017-7</t>
  </si>
  <si>
    <t>S10 Pick-Up Luxe 4.3 V6 CD</t>
  </si>
  <si>
    <t>004016-9</t>
  </si>
  <si>
    <t>S10 Pick-Up Luxe 4.3 V6 CE</t>
  </si>
  <si>
    <t>004489-0</t>
  </si>
  <si>
    <t>S10 Pick-Up Midnight 2.8 4x4 CD Dies Aut</t>
  </si>
  <si>
    <t>004367-2</t>
  </si>
  <si>
    <t>S10 Pick-Up RODEIO 2.4 MPFI F.Power CD</t>
  </si>
  <si>
    <t>004368-0</t>
  </si>
  <si>
    <t>S10 Pick-Up RODEIO 2.8 TDI 4x2 CD Dies.</t>
  </si>
  <si>
    <t>004369-9</t>
  </si>
  <si>
    <t>S10 Pick-Up RODEIO 2.8 TDI 4x4 CD Dies.</t>
  </si>
  <si>
    <t>004178-5</t>
  </si>
  <si>
    <t>S10 Pick-Up Std 2.8 4x2 CD TB Int.Dies.</t>
  </si>
  <si>
    <t>004179-3</t>
  </si>
  <si>
    <t>S10 Pick-Up Std 2.8 4x4 CD TB Int.Dies.</t>
  </si>
  <si>
    <t>004012-6</t>
  </si>
  <si>
    <t>S10 Pick-Up Std. 2.2 MPFI / EFI</t>
  </si>
  <si>
    <t>004092-4</t>
  </si>
  <si>
    <t>S10 Pick-Up Std. 2.2 MPFI CD</t>
  </si>
  <si>
    <t>004057-6</t>
  </si>
  <si>
    <t>S10 Pick-Up Std. 2.5 Diesel Turbo</t>
  </si>
  <si>
    <t>004303-6</t>
  </si>
  <si>
    <t>S10 Pick-Up Tornado 2.4 MPFI 128cv CD 4p</t>
  </si>
  <si>
    <t>004535-7</t>
  </si>
  <si>
    <t>S10 Pick-Up Z71 2.8 TDI 4x4 CD Dies. Aut</t>
  </si>
  <si>
    <t>004175-0</t>
  </si>
  <si>
    <t>S10 P-Up 2.8/Sert. 2.8 4x4 TB Int. Dies.</t>
  </si>
  <si>
    <t>004322-2</t>
  </si>
  <si>
    <t>S10 P-Up Advant. 2.4/2.4 MPFI F.Power CD</t>
  </si>
  <si>
    <t>004349-4</t>
  </si>
  <si>
    <t>S10 P-Up Advantage 2.4 MPFI F.Power CS</t>
  </si>
  <si>
    <t>004302-8</t>
  </si>
  <si>
    <t>S10 P-Up Colina 2.4 MPFI 128cv CD 4p</t>
  </si>
  <si>
    <t>004311-7</t>
  </si>
  <si>
    <t>S10 P-Up Colina 2.4/2.4 MPFI F.Power CS</t>
  </si>
  <si>
    <t>004304-4</t>
  </si>
  <si>
    <t>S10 P-Up Colina 2.8 TDI 4x2/4x4 CD Dies.</t>
  </si>
  <si>
    <t>004301-0</t>
  </si>
  <si>
    <t>S10 P-Up Colina 2.8 TDI 4x2/4x4 CS Dies.</t>
  </si>
  <si>
    <t>004350-8</t>
  </si>
  <si>
    <t>S10 P-Up Executive 2.4 MPFI F.Power CD</t>
  </si>
  <si>
    <t>004465-2</t>
  </si>
  <si>
    <t>S10 P-Up Freeride 2.5 Flex 4x2 CD Mec.</t>
  </si>
  <si>
    <t>004464-4</t>
  </si>
  <si>
    <t>S10 P-Up H.Country 2.8 4x4 CD Dies.Aut.</t>
  </si>
  <si>
    <t>004060-6</t>
  </si>
  <si>
    <t>S10 P-Up Luxe 2.5 4x2 CD TB Max HST Dies</t>
  </si>
  <si>
    <t>004145-9</t>
  </si>
  <si>
    <t>S10 P-Up Luxe 2.5 4x4 CD TB Max HST Dies</t>
  </si>
  <si>
    <t>004177-7</t>
  </si>
  <si>
    <t>S10 P-Up Lx/Sert/Rod 2.8 4x4 CD TDI Dies</t>
  </si>
  <si>
    <t>004305-2</t>
  </si>
  <si>
    <t>S10 P-Up Tornado 2.8 TDI 4x2/4x4 CD Dies</t>
  </si>
  <si>
    <t>015082-7</t>
  </si>
  <si>
    <t>Santa Fe GLS 2.4 Tiptronic</t>
  </si>
  <si>
    <t>SANTA FE</t>
  </si>
  <si>
    <t>015051-7</t>
  </si>
  <si>
    <t>Santa Fe GLS 2.7 V6 4x4TipTronic</t>
  </si>
  <si>
    <t>015073-8</t>
  </si>
  <si>
    <t>Santa Fe GLS 3.5 V6 4x4 Tiptronic</t>
  </si>
  <si>
    <t>018073-4</t>
  </si>
  <si>
    <t>Sorento 2.4 16V 4x2 Aut.</t>
  </si>
  <si>
    <t>SORENTO</t>
  </si>
  <si>
    <t>018074-2</t>
  </si>
  <si>
    <t>Sorento 2.4 16V 4x4 Aut.</t>
  </si>
  <si>
    <t>018088-2</t>
  </si>
  <si>
    <t>Sorento 3.3 V6 24V 270cv 4x2 Aut.</t>
  </si>
  <si>
    <t>018075-0</t>
  </si>
  <si>
    <t>Sorento 3.5 V6 24V 4x2 Aut.</t>
  </si>
  <si>
    <t>018076-9</t>
  </si>
  <si>
    <t>Sorento 3.5 V6 24V 4x4 Aut.</t>
  </si>
  <si>
    <t>018047-5</t>
  </si>
  <si>
    <t>Sorento EX 2.5 140/170cv 4x4 Aut.Diesel</t>
  </si>
  <si>
    <t>028046-1</t>
  </si>
  <si>
    <t>SX4 2.0 16V 145cv 4WD 5p Aut.</t>
  </si>
  <si>
    <t>SX4</t>
  </si>
  <si>
    <t>028045-3</t>
  </si>
  <si>
    <t>SX4 2.0 16V 145cv 4WD 5p Mec.</t>
  </si>
  <si>
    <t>028056-9</t>
  </si>
  <si>
    <t>SX4 S-CROSS ALLGRIP GLS 1.6 16V Aut.</t>
  </si>
  <si>
    <t>028058-5</t>
  </si>
  <si>
    <t>SX4 S-CROSS ALLGRIP GLX 1.6 16V Aut.</t>
  </si>
  <si>
    <t>028055-0</t>
  </si>
  <si>
    <t>SX4 S-CROSS GL 1.6 16V Mec.</t>
  </si>
  <si>
    <t>028057-7</t>
  </si>
  <si>
    <t>SX4 S-CROSS GLX 1.6 16V Aut.</t>
  </si>
  <si>
    <t>005527-1</t>
  </si>
  <si>
    <t>TAOS Comfortline 1.4 250 TSI Flex Aut.</t>
  </si>
  <si>
    <t>TAOS</t>
  </si>
  <si>
    <t>005528-0</t>
  </si>
  <si>
    <t>TAOS Highline 1.4 250 TSI Flex Aut.</t>
  </si>
  <si>
    <t>005529-8</t>
  </si>
  <si>
    <t>TAOS Launching Ed. 1.4 250 TSI Flex Aut.</t>
  </si>
  <si>
    <t>005471-2</t>
  </si>
  <si>
    <t>TIGUAN 1.4 TSI 16V 150cv 5p</t>
  </si>
  <si>
    <t>TIGUAN</t>
  </si>
  <si>
    <t>005291-4</t>
  </si>
  <si>
    <t>TIGUAN 2.0 TSI 16V 200cv Tiptronic 5p</t>
  </si>
  <si>
    <t>005488-7</t>
  </si>
  <si>
    <t>TIGUAN Allspac 250 TSI 1.4 Flex</t>
  </si>
  <si>
    <t>005487-9</t>
  </si>
  <si>
    <t>TIGUAN Allspac Comf 250 TSI 1.4 Flex</t>
  </si>
  <si>
    <t>005489-5</t>
  </si>
  <si>
    <t>TIGUAN Allspac R-Line 350 TSI 2.0 4x4</t>
  </si>
  <si>
    <t>001495-8</t>
  </si>
  <si>
    <t>Toro Blackjack 2.4 16V flex Aut</t>
  </si>
  <si>
    <t>TORO</t>
  </si>
  <si>
    <t>001537-7</t>
  </si>
  <si>
    <t>Toro Endurance 1.3 T270 4x2 Flex Aut.</t>
  </si>
  <si>
    <t>001508-3</t>
  </si>
  <si>
    <t>Toro Endurance 1.8 16V Flex Aut.</t>
  </si>
  <si>
    <t>001521-0</t>
  </si>
  <si>
    <t>Toro Endurance 1.8 16V Flex Mec.</t>
  </si>
  <si>
    <t>001520-2</t>
  </si>
  <si>
    <t>Toro Endurance 2.0 16V 4x4 Diesel Aut.</t>
  </si>
  <si>
    <t>001538-5</t>
  </si>
  <si>
    <t>Toro Freedom 1.3 T270 4x2 Flex Aut.</t>
  </si>
  <si>
    <t>001449-4</t>
  </si>
  <si>
    <t>Toro Freedom 1.8 16V Flex Aut.</t>
  </si>
  <si>
    <t>001451-6</t>
  </si>
  <si>
    <t>Toro Freedom 2.0 16V 4x2 TB Diesel Mec.</t>
  </si>
  <si>
    <t>001487-7</t>
  </si>
  <si>
    <t>Toro Freedom 2.0 16V 4x4 Diesel Aut.</t>
  </si>
  <si>
    <t>001452-4</t>
  </si>
  <si>
    <t>Toro Freedom 2.0 16V 4x4 TB Diesel Mec.</t>
  </si>
  <si>
    <t>001479-6</t>
  </si>
  <si>
    <t>Toro Freedom 2.4 16V Flex Aut.</t>
  </si>
  <si>
    <t>001484-2</t>
  </si>
  <si>
    <t>Toro Freedom Road 1.8 16V Flex Aut.</t>
  </si>
  <si>
    <t>001485-0</t>
  </si>
  <si>
    <t>Toro Freedom Road 2.4 16V Flex Aut.</t>
  </si>
  <si>
    <t>001483-4</t>
  </si>
  <si>
    <t>Toro Opening Ed. Plus 1.8 16V Flex Aut.</t>
  </si>
  <si>
    <t>001450-8</t>
  </si>
  <si>
    <t>Toro Opening Edition 1.8 16V Flex Aut.</t>
  </si>
  <si>
    <t>001516-4</t>
  </si>
  <si>
    <t>Toro Ranch 2.0 16V 4x4 Diesel Aut.</t>
  </si>
  <si>
    <t>001525-3</t>
  </si>
  <si>
    <t>Toro Ultra 2.0 16V 4x4 Diesel Aut.</t>
  </si>
  <si>
    <t>001539-3</t>
  </si>
  <si>
    <t>Toro Volcano 1.3 T270 4x2 Flex Aut.</t>
  </si>
  <si>
    <t>001453-2</t>
  </si>
  <si>
    <t>Toro Volcano 2.0 16V 4x4 TB Diesel Aut.</t>
  </si>
  <si>
    <t>001507-5</t>
  </si>
  <si>
    <t>Toro Volcano 2.4 16V Flex Aut.</t>
  </si>
  <si>
    <t>004334-6</t>
  </si>
  <si>
    <t>TRACKER 2.0 16v 128cv MPFI 4x4 5p</t>
  </si>
  <si>
    <t>004210-2</t>
  </si>
  <si>
    <t>TRACKER 2.0 TB Int. Diesel 4x4 4p</t>
  </si>
  <si>
    <t>004449-0</t>
  </si>
  <si>
    <t>TRACKER Freeride 1.8 16V Flex 4x2 Mec.</t>
  </si>
  <si>
    <t>003339-1</t>
  </si>
  <si>
    <t>TRANSIT Chassi 2.4 TDCI Diesel</t>
  </si>
  <si>
    <t>TRANSIT</t>
  </si>
  <si>
    <t>015068-1</t>
  </si>
  <si>
    <t>VERACRUZ GLS 3.8 4WD Aut.</t>
  </si>
  <si>
    <t>VERACRUZ</t>
  </si>
  <si>
    <t xml:space="preserve"> </t>
  </si>
  <si>
    <t>WR-V EX 1.5 Flexone 16V 5p Aut.</t>
  </si>
  <si>
    <t>014095-3</t>
  </si>
  <si>
    <t>WR-V EXL 1.5 Flexone 16V 5p Aut.</t>
  </si>
  <si>
    <t>014104-6</t>
  </si>
  <si>
    <t>WR-V LX 1.5 Flexone 16V 5p Aut.</t>
  </si>
  <si>
    <t>023160-6</t>
  </si>
  <si>
    <t>Frontier ATTAC.CD 4x4 2.3 Bi-TB Die. Aut</t>
  </si>
  <si>
    <t>023102-9</t>
  </si>
  <si>
    <t>Frontier LE ATTACK CD 4x4 2.5 TB Die.Aut</t>
  </si>
  <si>
    <t>023059-6</t>
  </si>
  <si>
    <t>Frontier LE CD 4x4 2.5 TB dies.(Import.)</t>
  </si>
  <si>
    <t>023079-0</t>
  </si>
  <si>
    <t>Frontier LE CD 4x4 2.5 TB Diesel Mec.</t>
  </si>
  <si>
    <t>023125-8</t>
  </si>
  <si>
    <t>Frontier PLATINUM CD 4x4 2.5 TB Diesel</t>
  </si>
  <si>
    <t>023161-4</t>
  </si>
  <si>
    <t>Frontier S CD 4x4 2.3 TB Diesel Mec.</t>
  </si>
  <si>
    <t>023122-3</t>
  </si>
  <si>
    <t>Frontier S CD 4x4 2.5 TB Diesel</t>
  </si>
  <si>
    <t>023101-0</t>
  </si>
  <si>
    <t>Frontier SE ATTACK CD 4x4 2.5 TB Diesel</t>
  </si>
  <si>
    <t>023157-6</t>
  </si>
  <si>
    <t>Frontier SE CD 4x4 2.3 Bi-TB Diesel Aut.</t>
  </si>
  <si>
    <t>023069-3</t>
  </si>
  <si>
    <t>Frontier SE Vibe CD 2.8 TDI Dies.</t>
  </si>
  <si>
    <t>023077-4</t>
  </si>
  <si>
    <t>Frontier SE/SE Strik CD 4x2 2.5 TB Dies.</t>
  </si>
  <si>
    <t>023078-2</t>
  </si>
  <si>
    <t>Frontier SE/SE Strik CD 4x4 2.5 TB Dies.</t>
  </si>
  <si>
    <t>023047-2</t>
  </si>
  <si>
    <t>Frontier SE/SE Strik/ONE CD 4x4 2.8 Dies</t>
  </si>
  <si>
    <t>023070-7</t>
  </si>
  <si>
    <t>Frontier SEL CD 4x4 2.5 TB Diesel</t>
  </si>
  <si>
    <t>023071-5</t>
  </si>
  <si>
    <t>Frontier SEL CD 4x4 2.5 TB Diesel Aut.</t>
  </si>
  <si>
    <t>023118-5</t>
  </si>
  <si>
    <t>Frontier SL CD 4x4 2.5TB Diesel Aut</t>
  </si>
  <si>
    <t>023128-2</t>
  </si>
  <si>
    <t>Frontier SV AT. CD 4x4 2.5 TB Dies. Aut.</t>
  </si>
  <si>
    <t>023116-9</t>
  </si>
  <si>
    <t>Frontier SV ATTACK CD 4x2 2.5 TB Diesel</t>
  </si>
  <si>
    <t>023056-1</t>
  </si>
  <si>
    <t>Frontier XE ATTACK CD 2.8 TDI Diesel</t>
  </si>
  <si>
    <t>023159-2</t>
  </si>
  <si>
    <t>Frontier XE CD 4x4 2.3 Bi-TB Diesel Aut.</t>
  </si>
  <si>
    <t>023048-0</t>
  </si>
  <si>
    <t>Frontier XE CS 4x2 2.8 TB Interc. Dies.</t>
  </si>
  <si>
    <t>023044-8</t>
  </si>
  <si>
    <t>Frontier XE/ XE TIT. CD 4x2 2.8 TDI Dies</t>
  </si>
  <si>
    <t>023045-6</t>
  </si>
  <si>
    <t>Frontier XE/ XE TIT. CD 4x4 2.8 TDI Dies</t>
  </si>
  <si>
    <t>023183-5</t>
  </si>
  <si>
    <t>Frontier X-GEAR CD 4x4 2.3 Bi-TB Die.Aut</t>
  </si>
  <si>
    <t>003432-0</t>
  </si>
  <si>
    <t>Fusion SE 2.5 I-VCT Flex 16V Aut.</t>
  </si>
  <si>
    <t>003429-0</t>
  </si>
  <si>
    <t>Fusion SEL 2.0 Ecobo. 16V 248cv Aut.</t>
  </si>
  <si>
    <t>003402-9</t>
  </si>
  <si>
    <t>Fusion Titanium Hybrid 2.0 145cv Aut.</t>
  </si>
  <si>
    <t>003335-9</t>
  </si>
  <si>
    <t>Fusion SEL 2.5 16V 173cv Aut.</t>
  </si>
  <si>
    <t>FAIXA 04</t>
  </si>
  <si>
    <t>003336-7</t>
  </si>
  <si>
    <t>Fusion SEL 3.0 V6 AWD 24V 243cv Aut.</t>
  </si>
  <si>
    <t>009106-5</t>
  </si>
  <si>
    <t>BMW</t>
  </si>
  <si>
    <t>120i 2.0 16V 150cv/ 156cv 5p</t>
  </si>
  <si>
    <t>Serie 1</t>
  </si>
  <si>
    <t>009105-7</t>
  </si>
  <si>
    <t>120iA 2.0 16V 150cv/ 156cv 5p</t>
  </si>
  <si>
    <t>009164-2</t>
  </si>
  <si>
    <t>320iA 2.0 Turbo/ActiveFlex 16V/GP 4p</t>
  </si>
  <si>
    <t>SEDAN PREMIUM</t>
  </si>
  <si>
    <t>Serie 3</t>
  </si>
  <si>
    <t>005156-0</t>
  </si>
  <si>
    <t>Bora 2.0 8v Comfortline Aut.</t>
  </si>
  <si>
    <t>005155-1</t>
  </si>
  <si>
    <t>Bora 2.0 8v Comfortline Mec.</t>
  </si>
  <si>
    <t>024021-4</t>
  </si>
  <si>
    <t>Boxer 2.5 Diesel</t>
  </si>
  <si>
    <t>024054-0</t>
  </si>
  <si>
    <t>Boxer 2.8 10Lug. Diesel</t>
  </si>
  <si>
    <t>021239-3</t>
  </si>
  <si>
    <t>Mercedez-benz</t>
  </si>
  <si>
    <t>C-180 CGI Classic 1.8 16V 156cv Aut.</t>
  </si>
  <si>
    <t>C-180</t>
  </si>
  <si>
    <t>021309-8</t>
  </si>
  <si>
    <t>C-250 Sport 2.0 16V 211cv Aut.</t>
  </si>
  <si>
    <t>C-250</t>
  </si>
  <si>
    <t>011066-3</t>
  </si>
  <si>
    <t>C5 Exclusive 2.0 16V 4p Aut.</t>
  </si>
  <si>
    <t>C5</t>
  </si>
  <si>
    <t>AUDI</t>
  </si>
  <si>
    <t>HATCH PREMIUM</t>
  </si>
  <si>
    <t>A3</t>
  </si>
  <si>
    <t>A5</t>
  </si>
  <si>
    <t>024255-1</t>
  </si>
  <si>
    <t>e-208 GT 5p Aut. (Elétrico)</t>
  </si>
  <si>
    <t>001421-4</t>
  </si>
  <si>
    <t>500 Cabrio Flex 1.4 8V Mec.</t>
  </si>
  <si>
    <t>001420-6</t>
  </si>
  <si>
    <t>500 Cabrio Dualogic Flex 1.4 8V</t>
  </si>
  <si>
    <t>001392-7</t>
  </si>
  <si>
    <t>500 Cabrio/500 Coupe Gucci/Flex 1.4 Aut.</t>
  </si>
  <si>
    <t>001360-9</t>
  </si>
  <si>
    <t>500 Lounge Air 1.4/ 1.4 Flex 16V Aut.</t>
  </si>
  <si>
    <t>001359-5</t>
  </si>
  <si>
    <t>500 Sport Air 1.4 16V/1.4 Flex 16V Aut.</t>
  </si>
  <si>
    <t>001358-7</t>
  </si>
  <si>
    <t>500 Sport Air 1.4 16V/1.4 Flex Mec.</t>
  </si>
  <si>
    <t>001297-1</t>
  </si>
  <si>
    <t>500 LOUNGE 1.4 16V 100cv Dualogic</t>
  </si>
  <si>
    <t>001296-3</t>
  </si>
  <si>
    <t>500 LOUNGE 1.4 16V 100cv Mec.</t>
  </si>
  <si>
    <t>001295-5</t>
  </si>
  <si>
    <t>500 SPORT 1.4 16V 100cv Dualogic</t>
  </si>
  <si>
    <t>001290-4</t>
  </si>
  <si>
    <t>500 SPORT 1.4 16V 100cv Mec.</t>
  </si>
  <si>
    <t>021408-6</t>
  </si>
  <si>
    <t>A 200 1.3 TB Advance Aut.</t>
  </si>
  <si>
    <t>A 200</t>
  </si>
  <si>
    <t>021407-8</t>
  </si>
  <si>
    <t>A 200 1.3 TB Style Aut.</t>
  </si>
  <si>
    <t>021417-5</t>
  </si>
  <si>
    <t>A 200 1.3 TB Hatch Aut.</t>
  </si>
  <si>
    <t>021458-2</t>
  </si>
  <si>
    <t>A 250 2.0 TB Hatch</t>
  </si>
  <si>
    <t>A 250</t>
  </si>
  <si>
    <t>021402-7</t>
  </si>
  <si>
    <t>A 250 2.0 TB Hatch Vision</t>
  </si>
  <si>
    <t>021401-9</t>
  </si>
  <si>
    <t>A 250 2.0 TB Launch Edition</t>
  </si>
  <si>
    <t>A1</t>
  </si>
  <si>
    <t>A3 Sed. Perform. Black 2.0 TFSI S-tronic</t>
  </si>
  <si>
    <t>A3 Sportb. Perf. Black 2.0 TFSI S-tronic</t>
  </si>
  <si>
    <t>A4</t>
  </si>
  <si>
    <t>Familiar grande</t>
  </si>
  <si>
    <t>ESPORTIVO GRANDE</t>
  </si>
  <si>
    <t>Conversível grande</t>
  </si>
  <si>
    <t>014105-4</t>
  </si>
  <si>
    <t>Accord Sedan 2.0 TB 16V Aut. (Híbrido)</t>
  </si>
  <si>
    <t>ACORD</t>
  </si>
  <si>
    <t>014101-1</t>
  </si>
  <si>
    <t>Accord Sedan Touring 2.0 TB 16V Aut.</t>
  </si>
  <si>
    <t>014055-4</t>
  </si>
  <si>
    <t>Accord Sedan EX 3.5 V6 24V</t>
  </si>
  <si>
    <t>003329-4</t>
  </si>
  <si>
    <t>EDGE SEL 3.5 V6 24V AWD Aut.</t>
  </si>
  <si>
    <t>EDGE</t>
  </si>
  <si>
    <t>003115-1</t>
  </si>
  <si>
    <t>F-250 XL 3.9 4x2 Diesel</t>
  </si>
  <si>
    <t>PICAPES GRANDES</t>
  </si>
  <si>
    <t>Picape grande</t>
  </si>
  <si>
    <t>F-250</t>
  </si>
  <si>
    <t>003305-7</t>
  </si>
  <si>
    <t>F-250 XL 3.9 4x4 TB Diesel</t>
  </si>
  <si>
    <t>003306-5</t>
  </si>
  <si>
    <t>F-250 XL 3.9 CD TB Diesel</t>
  </si>
  <si>
    <t>003279-4</t>
  </si>
  <si>
    <t>F-250 XL 4.2 180cv CD TB Diesel</t>
  </si>
  <si>
    <t>003198-4</t>
  </si>
  <si>
    <t>F-250 XL 4.2 Turbo Diesel</t>
  </si>
  <si>
    <t>003114-3</t>
  </si>
  <si>
    <t>F-250 XL 4.2 V6</t>
  </si>
  <si>
    <t>003142-9</t>
  </si>
  <si>
    <t>F-250 XL Super Duty 3.9 Diesel</t>
  </si>
  <si>
    <t>003272-7</t>
  </si>
  <si>
    <t>F-250 XL Super Duty 4.2 TB Diesel</t>
  </si>
  <si>
    <t>003141-0</t>
  </si>
  <si>
    <t>F-250 XL Super Duty 4.2 V6</t>
  </si>
  <si>
    <t>003308-1</t>
  </si>
  <si>
    <t>F-250 XLT 3.9 4x2 CD TB Diesel</t>
  </si>
  <si>
    <t>003117-8</t>
  </si>
  <si>
    <t>F-250 XLT 3.9 4x2 Diesel TB</t>
  </si>
  <si>
    <t>003309-0</t>
  </si>
  <si>
    <t>F-250 XLT 3.9 4x4 CD TB Diesel</t>
  </si>
  <si>
    <t>003307-3</t>
  </si>
  <si>
    <t>F-250 XLT 3.9 4x4 TB Diesel</t>
  </si>
  <si>
    <t>003280-8</t>
  </si>
  <si>
    <t>F-250 XLT 4.2 180cv CD TB Diesel</t>
  </si>
  <si>
    <t>003206-9</t>
  </si>
  <si>
    <t>F-250 XLT 4.2 TB Diesel</t>
  </si>
  <si>
    <t>003116-0</t>
  </si>
  <si>
    <t>F-250 XLT 4.2 V6</t>
  </si>
  <si>
    <t>073002-5</t>
  </si>
  <si>
    <t>Face 1.3 16V/1.3 16V Flex.Mec.</t>
  </si>
  <si>
    <t>FACE</t>
  </si>
  <si>
    <t>021146-0</t>
  </si>
  <si>
    <t>Sprinter 311 Chassi 2.2 Diesel</t>
  </si>
  <si>
    <t>Sprinter</t>
  </si>
  <si>
    <t>021133-8</t>
  </si>
  <si>
    <t>Sprinter 311 Furgão Curto 2.2 Dies</t>
  </si>
  <si>
    <t>021147-8</t>
  </si>
  <si>
    <t>Sprinter 313 Furgão Longo T. Alto Diesel</t>
  </si>
  <si>
    <t>021271-7</t>
  </si>
  <si>
    <t>Sprinter 415 VAN Standard T.A. 2.2 Dies.</t>
  </si>
  <si>
    <t>073018-1</t>
  </si>
  <si>
    <t>Tiggo 2 ACT 1.5 16V Flex Aut.5p</t>
  </si>
  <si>
    <t>Aventureiro Compacto</t>
  </si>
  <si>
    <t>073016-5</t>
  </si>
  <si>
    <t>Tiggo 2 ACT 1.5 16V Flex Mec. 5p</t>
  </si>
  <si>
    <t>073030-0</t>
  </si>
  <si>
    <t>Tiggo 2 EX 1.5 16V Flex Aut. 5p</t>
  </si>
  <si>
    <t>073019-0</t>
  </si>
  <si>
    <t>Tiggo 2 Look 1.5 16V Flex Aut.5p</t>
  </si>
  <si>
    <t>073017-3</t>
  </si>
  <si>
    <t>Tiggo 2 Look 1.5 16V Flex Mec. 5p</t>
  </si>
  <si>
    <t>073033-5</t>
  </si>
  <si>
    <t>Tiggo 2 SMILE 1.5 16V Flex Aut.</t>
  </si>
  <si>
    <t>073009-2</t>
  </si>
  <si>
    <t>Tiggo 2.0 16V Aut. 5p</t>
  </si>
  <si>
    <t>073001-7</t>
  </si>
  <si>
    <t>Tiggo 2.0 16V Mec. 5p</t>
  </si>
  <si>
    <t>093001-6</t>
  </si>
  <si>
    <t>Tiggo 3X Plus 1.0 Turbo Flex Aut.</t>
  </si>
  <si>
    <t>093002-4</t>
  </si>
  <si>
    <t>Tiggo 3X Pro 1.0 Turbo Flex Aut.</t>
  </si>
  <si>
    <t>003345-6</t>
  </si>
  <si>
    <t>Fusion Hybrid 2.5 16V 193cv Aut.</t>
  </si>
  <si>
    <t>003304-9</t>
  </si>
  <si>
    <t>Fusion SEL 2.3 16V 162cv Aut.</t>
  </si>
  <si>
    <t>003349-9</t>
  </si>
  <si>
    <t>Fusion SEL 3.0 V6 24V 243cv Aut.</t>
  </si>
  <si>
    <t>011050-7</t>
  </si>
  <si>
    <t>Jumper 2.8 16Lug. Diesel</t>
  </si>
  <si>
    <t>005025-3</t>
  </si>
  <si>
    <t>Apolo GL 1.8</t>
  </si>
  <si>
    <t>APOLO</t>
  </si>
  <si>
    <t>NÃO COBRE</t>
  </si>
  <si>
    <t>009171-5</t>
  </si>
  <si>
    <t>116iA 1.6 TB 16V 136cv 5p</t>
  </si>
  <si>
    <t>009258-4</t>
  </si>
  <si>
    <t>118i Sport 1.5 TB 12V Aut. 5p</t>
  </si>
  <si>
    <t>009152-9</t>
  </si>
  <si>
    <t>118iA 2.0 16V 136cv 3p</t>
  </si>
  <si>
    <t>009136-7</t>
  </si>
  <si>
    <t>118iA 2.0 16V 136cv 5p</t>
  </si>
  <si>
    <t>009169-3</t>
  </si>
  <si>
    <t>118iA Full 1.6 TB 16V 170cv 5p</t>
  </si>
  <si>
    <t>009159-6</t>
  </si>
  <si>
    <t>118iA/ Urban/Sport 1.6 TB 16V 170cv 5p</t>
  </si>
  <si>
    <t>009129-4</t>
  </si>
  <si>
    <t>120iA 2.0 16V 156cv 3p</t>
  </si>
  <si>
    <t>009130-8</t>
  </si>
  <si>
    <t>120iA Cabrio 2.0 16V 156cv 2p</t>
  </si>
  <si>
    <t>009212-6</t>
  </si>
  <si>
    <t>120iA Sport 2.0/ActiveFlex 16V Aut.</t>
  </si>
  <si>
    <t>009176-6</t>
  </si>
  <si>
    <t>125i M Sport/Active Flex 2.0 TB Aut. 5p</t>
  </si>
  <si>
    <t>009109-0</t>
  </si>
  <si>
    <t>130i 3.0 24V 265cv 5p</t>
  </si>
  <si>
    <t>009126-0</t>
  </si>
  <si>
    <t>130iA 3.0 24V 265cv 3p</t>
  </si>
  <si>
    <t>009117-0</t>
  </si>
  <si>
    <t>130iA 3.0 24V 265cv 5p</t>
  </si>
  <si>
    <t>009135-9</t>
  </si>
  <si>
    <t>135iA Coupé 3.0 24V 306cv</t>
  </si>
  <si>
    <t>009264-9</t>
  </si>
  <si>
    <t>218i Gran Coupe Sport GP 1.5 Bi-Turbo</t>
  </si>
  <si>
    <t>Serie 2</t>
  </si>
  <si>
    <t>009217-7</t>
  </si>
  <si>
    <t>220i Tourer Active Flex 2.0 TB Aut.</t>
  </si>
  <si>
    <t>009208-8</t>
  </si>
  <si>
    <t>225i Active Tourer Sport 2.0 TB Aut.</t>
  </si>
  <si>
    <t>009059-0</t>
  </si>
  <si>
    <t>316 (todas)</t>
  </si>
  <si>
    <t>009189-8</t>
  </si>
  <si>
    <t>316i 1.6 TB 16V 136cv 4p</t>
  </si>
  <si>
    <t>009062-0</t>
  </si>
  <si>
    <t>318i Cabrio 1.8 16V</t>
  </si>
  <si>
    <t>009001-8</t>
  </si>
  <si>
    <t>318i/iA 1.8 16V</t>
  </si>
  <si>
    <t>009061-1</t>
  </si>
  <si>
    <t>318i/iA Compact 1.8 16V</t>
  </si>
  <si>
    <t>009155-3</t>
  </si>
  <si>
    <t>318iA 2.0 16V 136cv 5p</t>
  </si>
  <si>
    <t>009002-6</t>
  </si>
  <si>
    <t>318iS/ISA 1.9 16V</t>
  </si>
  <si>
    <t>009003-4</t>
  </si>
  <si>
    <t>318Ti Compact Mec</t>
  </si>
  <si>
    <t>009060-3</t>
  </si>
  <si>
    <t>318Ti/TiA Compact 1.9 16V</t>
  </si>
  <si>
    <t>009038-7</t>
  </si>
  <si>
    <t>320i</t>
  </si>
  <si>
    <t>009039-5</t>
  </si>
  <si>
    <t>320iA</t>
  </si>
  <si>
    <t>009213-4</t>
  </si>
  <si>
    <t>320iA 2.0 TB M Sport A.Flex/M.Sport 4p</t>
  </si>
  <si>
    <t>009185-5</t>
  </si>
  <si>
    <t>320iA GT Sport 2.0 Turbo 16V 184cv 5p</t>
  </si>
  <si>
    <t>009165-0</t>
  </si>
  <si>
    <t>320iA Modern/Sport TB 2.0/A.Flex/GP 4p</t>
  </si>
  <si>
    <t>009057-3</t>
  </si>
  <si>
    <t>323Ci Coupê</t>
  </si>
  <si>
    <t>009058-1</t>
  </si>
  <si>
    <t>323CiA Coupê</t>
  </si>
  <si>
    <t>009063-8</t>
  </si>
  <si>
    <t>323i 2.5 24V</t>
  </si>
  <si>
    <t>009040-9</t>
  </si>
  <si>
    <t>323i Confort</t>
  </si>
  <si>
    <t>009083-2</t>
  </si>
  <si>
    <t>323i Sport</t>
  </si>
  <si>
    <t>009030-1</t>
  </si>
  <si>
    <t>323i Touring</t>
  </si>
  <si>
    <t>009042-5</t>
  </si>
  <si>
    <t>323i/iA Exclusive</t>
  </si>
  <si>
    <t>009064-6</t>
  </si>
  <si>
    <t>323iA 2.5 24V</t>
  </si>
  <si>
    <t>009041-7</t>
  </si>
  <si>
    <t>323iA Confort</t>
  </si>
  <si>
    <t>009054-9</t>
  </si>
  <si>
    <t>323iA Entry Sedan</t>
  </si>
  <si>
    <t>009043-3</t>
  </si>
  <si>
    <t>323iA Sport</t>
  </si>
  <si>
    <t>009056-5</t>
  </si>
  <si>
    <t>323iA Top Sedan</t>
  </si>
  <si>
    <t>009044-1</t>
  </si>
  <si>
    <t>323iA Touring</t>
  </si>
  <si>
    <t>009031-0</t>
  </si>
  <si>
    <t>323Ti Compact</t>
  </si>
  <si>
    <t>009032-8</t>
  </si>
  <si>
    <t>323Ti Compact Sport</t>
  </si>
  <si>
    <t>009033-6</t>
  </si>
  <si>
    <t>323TiA Compact Top</t>
  </si>
  <si>
    <t>009004-2</t>
  </si>
  <si>
    <t>325i</t>
  </si>
  <si>
    <t>009005-0</t>
  </si>
  <si>
    <t>325i/iA Cabrio</t>
  </si>
  <si>
    <t>009036-0</t>
  </si>
  <si>
    <t>325iA</t>
  </si>
  <si>
    <t>009094-8</t>
  </si>
  <si>
    <t>325iA 2.5 24V Protection</t>
  </si>
  <si>
    <t>009091-3</t>
  </si>
  <si>
    <t>325iA Coupé 2.5 24V 2p</t>
  </si>
  <si>
    <t>009112-0</t>
  </si>
  <si>
    <t>325iA Touring</t>
  </si>
  <si>
    <t>009066-2</t>
  </si>
  <si>
    <t>328i Exclusive 2.8 24V</t>
  </si>
  <si>
    <t>009034-4</t>
  </si>
  <si>
    <t>328i Touring/Sport</t>
  </si>
  <si>
    <t>009006-9</t>
  </si>
  <si>
    <t>328i/iA (modelo antigo)</t>
  </si>
  <si>
    <t>009086-7</t>
  </si>
  <si>
    <t>328i/iA (novo modelo)</t>
  </si>
  <si>
    <t>009022-0</t>
  </si>
  <si>
    <t>328i/iA Cabrio</t>
  </si>
  <si>
    <t>009160-0</t>
  </si>
  <si>
    <t>328iA 2.0 TB/2.0 TB Flex 16V 4p</t>
  </si>
  <si>
    <t>009067-0</t>
  </si>
  <si>
    <t>328iA Exclusive 2.8 24V</t>
  </si>
  <si>
    <t>009187-1</t>
  </si>
  <si>
    <t>328iA GT M Sport 2.0 Turbo 16V 245cv 5p</t>
  </si>
  <si>
    <t>009161-8</t>
  </si>
  <si>
    <t>328iA Luxury/Modern 2.0 TB 16V 4p</t>
  </si>
  <si>
    <t>009215-0</t>
  </si>
  <si>
    <t>328iA M Sport 2.0 16V Flex 4p</t>
  </si>
  <si>
    <t>009163-4</t>
  </si>
  <si>
    <t>328iA Plus 2.0 TB 16V 245cv 4p</t>
  </si>
  <si>
    <t>009162-6</t>
  </si>
  <si>
    <t>328iA Sport 2.0 16V/2.0 16V Flex 4p</t>
  </si>
  <si>
    <t>009065-4</t>
  </si>
  <si>
    <t>328iA Touring/Sport</t>
  </si>
  <si>
    <t>009093-0</t>
  </si>
  <si>
    <t>330Ci Cabriolet</t>
  </si>
  <si>
    <t>009087-5</t>
  </si>
  <si>
    <t>330CiA Cabriolet</t>
  </si>
  <si>
    <t>009266-5</t>
  </si>
  <si>
    <t>330e M Sport 2.0 Turbo Híbrido Aut.</t>
  </si>
  <si>
    <t>009240-1</t>
  </si>
  <si>
    <t>330i M Sport 2.0 TB 16V 4p</t>
  </si>
  <si>
    <t>009092-1</t>
  </si>
  <si>
    <t>330i MotorSport 3.0 24V 4p</t>
  </si>
  <si>
    <t>009244-4</t>
  </si>
  <si>
    <t>330i Sport 2.0 TB 16V 4p</t>
  </si>
  <si>
    <t>009113-8</t>
  </si>
  <si>
    <t>330iA Exclusive 3.0 24V 4p</t>
  </si>
  <si>
    <t>009088-3</t>
  </si>
  <si>
    <t>330iA MotorSport 4p</t>
  </si>
  <si>
    <t>009089-1</t>
  </si>
  <si>
    <t>330iA Top 4p</t>
  </si>
  <si>
    <t>009182-0</t>
  </si>
  <si>
    <t>335i 3.0 ActiveHybrid 3</t>
  </si>
  <si>
    <t>009122-7</t>
  </si>
  <si>
    <t>335iA 3.0 24V 306cv</t>
  </si>
  <si>
    <t>009124-3</t>
  </si>
  <si>
    <t>335iA Cabriolet 3.0 24V 306cv</t>
  </si>
  <si>
    <t>009184-7</t>
  </si>
  <si>
    <t>335iA M Sport 3.0 24V 306cv 4p</t>
  </si>
  <si>
    <t>009170-7</t>
  </si>
  <si>
    <t>335iA Sport 3.0 24V 306cv 4p</t>
  </si>
  <si>
    <t>009203-7</t>
  </si>
  <si>
    <t>420i Cabriolet Sport 2.0 TB 184cv 2p</t>
  </si>
  <si>
    <t>Serie 4</t>
  </si>
  <si>
    <t>009194-4</t>
  </si>
  <si>
    <t>428i Cabriolet Sport 2.0 TB 245cv 2p</t>
  </si>
  <si>
    <t>009201-0</t>
  </si>
  <si>
    <t>428i Gran Coupe M Sport 2.0 TB 245cv</t>
  </si>
  <si>
    <t>009202-9</t>
  </si>
  <si>
    <t>428i Gran Coupe Sport 2.0 TB 245cv</t>
  </si>
  <si>
    <t>009220-7</t>
  </si>
  <si>
    <t>430i Cab. Sport Limited Ed.2.0 TB 2p</t>
  </si>
  <si>
    <t>009278-9</t>
  </si>
  <si>
    <t>430i Cabriolet M Sport 2.0 TB 258cv 2p</t>
  </si>
  <si>
    <t>009224-0</t>
  </si>
  <si>
    <t>430i Cabriolet Sport 2.0 TB 252cv 2p</t>
  </si>
  <si>
    <t>009221-5</t>
  </si>
  <si>
    <t>430i Gran Coupé M Sport TB 5p</t>
  </si>
  <si>
    <t>009190-1</t>
  </si>
  <si>
    <t>435iA M Sport Coupe 3.0 24V 306cv 2p</t>
  </si>
  <si>
    <t>009047-6</t>
  </si>
  <si>
    <t>520i 2.0 16V</t>
  </si>
  <si>
    <t>Serie 5</t>
  </si>
  <si>
    <t>009007-7</t>
  </si>
  <si>
    <t>525i/iA</t>
  </si>
  <si>
    <t>009068-9</t>
  </si>
  <si>
    <t>525i/iA Touring</t>
  </si>
  <si>
    <t>009008-5</t>
  </si>
  <si>
    <t>528i/iA</t>
  </si>
  <si>
    <t>009168-5</t>
  </si>
  <si>
    <t>528iA 2.0 Turbo 16V 245cv 4p</t>
  </si>
  <si>
    <t>009023-9</t>
  </si>
  <si>
    <t>528iA High</t>
  </si>
  <si>
    <t>009183-9</t>
  </si>
  <si>
    <t>528iA M Sport 2.0 Turbo 16V 245cv 4p</t>
  </si>
  <si>
    <t>009024-7</t>
  </si>
  <si>
    <t>528iA Touring</t>
  </si>
  <si>
    <t>009238-0</t>
  </si>
  <si>
    <t>530e M Sport 2.0 Turbo Híbrido Aut.</t>
  </si>
  <si>
    <t>009226-6</t>
  </si>
  <si>
    <t>530i M Sport 2.0 Turbo 252cv Aut.</t>
  </si>
  <si>
    <t>009251-7</t>
  </si>
  <si>
    <t>530i Security</t>
  </si>
  <si>
    <t>009009-3</t>
  </si>
  <si>
    <t>530i/iA</t>
  </si>
  <si>
    <t>009069-7</t>
  </si>
  <si>
    <t>530i/iA Touring</t>
  </si>
  <si>
    <t>009037-9</t>
  </si>
  <si>
    <t>535i/iA 3.5 24V</t>
  </si>
  <si>
    <t>009146-4</t>
  </si>
  <si>
    <t>535iA 3.0 24V 306cv Bi-Turbo</t>
  </si>
  <si>
    <t>009148-0</t>
  </si>
  <si>
    <t>535iA GT 3.0 306cv Bi-Turbo</t>
  </si>
  <si>
    <t>009179-0</t>
  </si>
  <si>
    <t>535iA M Sport 3.0 24V 306cv Bi-Turbo</t>
  </si>
  <si>
    <t>009010-7</t>
  </si>
  <si>
    <t>540i</t>
  </si>
  <si>
    <t>009225-8</t>
  </si>
  <si>
    <t>540i M Sport 3.0 Turbo 340cv Aut.</t>
  </si>
  <si>
    <t>009017-4</t>
  </si>
  <si>
    <t>540i/iA Touring</t>
  </si>
  <si>
    <t>009025-5</t>
  </si>
  <si>
    <t>540iA</t>
  </si>
  <si>
    <t>009084-0</t>
  </si>
  <si>
    <t>540iA MotorSport</t>
  </si>
  <si>
    <t>009026-3</t>
  </si>
  <si>
    <t>540iA Protection</t>
  </si>
  <si>
    <t>009052-2</t>
  </si>
  <si>
    <t>540iTA</t>
  </si>
  <si>
    <t>009102-2</t>
  </si>
  <si>
    <t>545iA 4.4 32V V8 333cv</t>
  </si>
  <si>
    <t>009147-2</t>
  </si>
  <si>
    <t>550iA 4.4 32V 407cv Bi-Turbo</t>
  </si>
  <si>
    <t>009110-3</t>
  </si>
  <si>
    <t>550iA 4.8 32V</t>
  </si>
  <si>
    <t>009137-5</t>
  </si>
  <si>
    <t>550iA Limited Sport Edition 4.8 32V</t>
  </si>
  <si>
    <t>009125-1</t>
  </si>
  <si>
    <t>550iA Security 4.8 32V</t>
  </si>
  <si>
    <t>009177-4</t>
  </si>
  <si>
    <t>640i Gran Coupe 3.0 320cv 4p</t>
  </si>
  <si>
    <t>Serie 6</t>
  </si>
  <si>
    <t>009111-1</t>
  </si>
  <si>
    <t>645Ci Cabriolet 4.4 V8 32V 333cv</t>
  </si>
  <si>
    <t>009103-0</t>
  </si>
  <si>
    <t>645iA 4.4 V8 32V 333cv</t>
  </si>
  <si>
    <t>009158-8</t>
  </si>
  <si>
    <t>650Ci Cabriolet 4.4 407cv Bi-Turbo</t>
  </si>
  <si>
    <t>009115-4</t>
  </si>
  <si>
    <t>650Ci Cabriolet 4.8 V8 32V 360cv</t>
  </si>
  <si>
    <t>009188-0</t>
  </si>
  <si>
    <t>650i Gran Coupe 4.4 V8 450cv 4p</t>
  </si>
  <si>
    <t>009166-9</t>
  </si>
  <si>
    <t>650iA 4.4 407cv Bi-Turbo</t>
  </si>
  <si>
    <t>009114-6</t>
  </si>
  <si>
    <t>650iA 4.8 V8 32V 360cv</t>
  </si>
  <si>
    <t>009141-3</t>
  </si>
  <si>
    <t>650iA Limited Sport Edition 4.8 32V</t>
  </si>
  <si>
    <t>009048-4</t>
  </si>
  <si>
    <t>730i 3.0 32V</t>
  </si>
  <si>
    <t>Serie 7</t>
  </si>
  <si>
    <t>009049-2</t>
  </si>
  <si>
    <t>730iA 3.0 32V</t>
  </si>
  <si>
    <t>009070-0</t>
  </si>
  <si>
    <t>735i/iA 3.5 32V</t>
  </si>
  <si>
    <t>009011-5</t>
  </si>
  <si>
    <t>740i</t>
  </si>
  <si>
    <t>009027-1</t>
  </si>
  <si>
    <t>740iA</t>
  </si>
  <si>
    <t>009072-7</t>
  </si>
  <si>
    <t>740iL/iLA Highline 4.4 32V</t>
  </si>
  <si>
    <t>009053-0</t>
  </si>
  <si>
    <t>740iLA Protection</t>
  </si>
  <si>
    <t>009096-4</t>
  </si>
  <si>
    <t>745iA 4.4 V8 32V 333cv</t>
  </si>
  <si>
    <t>009257-6</t>
  </si>
  <si>
    <t>745Le M Sport Sedan 3.0 V6 Híbrido Aut.</t>
  </si>
  <si>
    <t>009012-3</t>
  </si>
  <si>
    <t>750i</t>
  </si>
  <si>
    <t>009211-8</t>
  </si>
  <si>
    <t>750i M Sport Sedan 4.4 V8 450cv Aut.</t>
  </si>
  <si>
    <t>009028-0</t>
  </si>
  <si>
    <t>750iA</t>
  </si>
  <si>
    <t>009071-9</t>
  </si>
  <si>
    <t>750iL Highline 5.4 24V</t>
  </si>
  <si>
    <t>009219-3</t>
  </si>
  <si>
    <t>750iL M Sport Sedan 4.4 V8 450cv Aut.</t>
  </si>
  <si>
    <t>009243-6</t>
  </si>
  <si>
    <t>750iL Pure Excellence Sedan 4.4 V8 Aut.</t>
  </si>
  <si>
    <t>009154-5</t>
  </si>
  <si>
    <t>750iLA 4.4 ActiveHybrid 7</t>
  </si>
  <si>
    <t>009099-9</t>
  </si>
  <si>
    <t>760iL 6.0 V12 445cv/544cv</t>
  </si>
  <si>
    <t>009050-6</t>
  </si>
  <si>
    <t>840Ci</t>
  </si>
  <si>
    <t>Serie 8</t>
  </si>
  <si>
    <t>009051-4</t>
  </si>
  <si>
    <t>840CiA</t>
  </si>
  <si>
    <t>009077-8</t>
  </si>
  <si>
    <t>850Ci/CiA 5.0 24V</t>
  </si>
  <si>
    <t>009078-6</t>
  </si>
  <si>
    <t>850Ci/CiA 5.4 24V</t>
  </si>
  <si>
    <t>009076-0</t>
  </si>
  <si>
    <t>850CSi 5.6 24V</t>
  </si>
  <si>
    <t>009013-1</t>
  </si>
  <si>
    <t>850i 5.0 24V</t>
  </si>
  <si>
    <t>RS</t>
  </si>
  <si>
    <t>002050-8</t>
  </si>
  <si>
    <t>Band. Jipe 4x4 Sport 3.7 Diesel</t>
  </si>
  <si>
    <t>JIPE</t>
  </si>
  <si>
    <t>002002-8</t>
  </si>
  <si>
    <t>Band.Jipe Cap.de Aço Chas. Curto Diesel</t>
  </si>
  <si>
    <t>002003-6</t>
  </si>
  <si>
    <t>Band.Jipe Cap.de Aço Chas. Longo Diesel</t>
  </si>
  <si>
    <t>002001-0</t>
  </si>
  <si>
    <t>Band.Jipe Capota de Lona Diesel</t>
  </si>
  <si>
    <t>002006-0</t>
  </si>
  <si>
    <t>Band.Picape CD 2p Chassi Longo Diesel</t>
  </si>
  <si>
    <t>002059-1</t>
  </si>
  <si>
    <t>Band.Picape CD 4p Chassi Longo Diesel</t>
  </si>
  <si>
    <t>002005-2</t>
  </si>
  <si>
    <t>Band.Picape Chassi Curto Diesel</t>
  </si>
  <si>
    <t>002008-7</t>
  </si>
  <si>
    <t>Band.Picape Chassi Longo Diesel</t>
  </si>
  <si>
    <t>004026-6</t>
  </si>
  <si>
    <t>Bonanza S / Luxe 4.0 Diesel Turbo</t>
  </si>
  <si>
    <t>BONANZA</t>
  </si>
  <si>
    <t>004025-8</t>
  </si>
  <si>
    <t>Bonanza S / Luxe 4.1</t>
  </si>
  <si>
    <t>018027-0</t>
  </si>
  <si>
    <t>Bongo K-2400 2.4 Diesel</t>
  </si>
  <si>
    <t>018029-7</t>
  </si>
  <si>
    <t>Bongo K-3500/K-3600/110 3.6 Diesel</t>
  </si>
  <si>
    <t>001110-0</t>
  </si>
  <si>
    <t>Brava ELX 1.6 16V 4p</t>
  </si>
  <si>
    <t>001140-1</t>
  </si>
  <si>
    <t>Brava HGT 1.8 mpi 16V 4p</t>
  </si>
  <si>
    <t>001109-6</t>
  </si>
  <si>
    <t>Brava SX 1.6 16V 4p</t>
  </si>
  <si>
    <t>001127-4</t>
  </si>
  <si>
    <t>Bravo SX 1.6</t>
  </si>
  <si>
    <t>011002-7</t>
  </si>
  <si>
    <t>BX 1.6S 16V</t>
  </si>
  <si>
    <t>BX</t>
  </si>
  <si>
    <t>011039-6</t>
  </si>
  <si>
    <t>BX GTi 1.9</t>
  </si>
  <si>
    <t>004115-7</t>
  </si>
  <si>
    <t>C-10 2.5/4.1</t>
  </si>
  <si>
    <t>C-10</t>
  </si>
  <si>
    <t>004127-0</t>
  </si>
  <si>
    <t>C-10 CD 2.5/ 4.1</t>
  </si>
  <si>
    <t>004116-5</t>
  </si>
  <si>
    <t>C-10 De Luxe 2.5/4.1</t>
  </si>
  <si>
    <t>004128-9</t>
  </si>
  <si>
    <t>C-10 De Luxe CD 2.5/ 4.1</t>
  </si>
  <si>
    <t>021331-4</t>
  </si>
  <si>
    <t>C-180 1.6 Turbo 16V/Flex 16V Aut.</t>
  </si>
  <si>
    <t>021308-0</t>
  </si>
  <si>
    <t>C-180 CGI Avant. 1.6/1.6 FlexTB 16V Aut.</t>
  </si>
  <si>
    <t>021246-6</t>
  </si>
  <si>
    <t>C-180 CGI Coupe 1.8 16V 156cv Aut.</t>
  </si>
  <si>
    <t>021377-2</t>
  </si>
  <si>
    <t>C-180 CGI Coupe Avant. 1.6 TB 16V Aut.</t>
  </si>
  <si>
    <t>021436-1</t>
  </si>
  <si>
    <t>C-180 CGI Coupe Sport 1.5 TB 16V Aut.</t>
  </si>
  <si>
    <t>021281-4</t>
  </si>
  <si>
    <t>C-180 CGI Coupe Sport 1.6 TB 16V Aut.</t>
  </si>
  <si>
    <t>021320-9</t>
  </si>
  <si>
    <t>C-180 CGI Estate Avant. 1.6 TB 16V Aut.</t>
  </si>
  <si>
    <t>021307-1</t>
  </si>
  <si>
    <t>C-180 CGI Exc. 1.6/1.6 Flex TB 16V Aut.</t>
  </si>
  <si>
    <t>021280-6</t>
  </si>
  <si>
    <t>C-180 CGI Sport 1.6 TB 16V 156cv Aut.</t>
  </si>
  <si>
    <t>021255-5</t>
  </si>
  <si>
    <t>C-180 CGI Touring 1.8 16V Aut.</t>
  </si>
  <si>
    <t>021282-2</t>
  </si>
  <si>
    <t>C-180 CGI Touring Sport 1.6 TB Aut.</t>
  </si>
  <si>
    <t>021001-3</t>
  </si>
  <si>
    <t>C-180 Classic/Classic Plus/Elegance</t>
  </si>
  <si>
    <t>021230-0</t>
  </si>
  <si>
    <t>C-180 Kompressor Classic 1.6 16V Aut.</t>
  </si>
  <si>
    <t>021151-6</t>
  </si>
  <si>
    <t>C-180 Kompressor Classic 1.8 16V 143cv</t>
  </si>
  <si>
    <t>004129-7</t>
  </si>
  <si>
    <t>C-20 Custom De Luxe 4.1</t>
  </si>
  <si>
    <t>004131-9</t>
  </si>
  <si>
    <t>C-20 Custom De Luxe CD 4.1</t>
  </si>
  <si>
    <t>004130-0</t>
  </si>
  <si>
    <t>C-20 Custom Std. 4.1</t>
  </si>
  <si>
    <t>004132-7</t>
  </si>
  <si>
    <t>C-20 Custom Std. CD 4.1</t>
  </si>
  <si>
    <t>021468-0</t>
  </si>
  <si>
    <t>C-200 AMG Line EQ Boost 1.5 TB Aut.</t>
  </si>
  <si>
    <t>C-200</t>
  </si>
  <si>
    <t>021310-1</t>
  </si>
  <si>
    <t>C-200 Avantgarde 2.0 TB 16V 184cv Aut.</t>
  </si>
  <si>
    <t>021233-4</t>
  </si>
  <si>
    <t>C-200 CGI Avantgarde 1.8 16V 184cv Aut.</t>
  </si>
  <si>
    <t>021234-2</t>
  </si>
  <si>
    <t>C-200 CGI Sport 1.8 TB 16V 184cv Aut.</t>
  </si>
  <si>
    <t>021237-7</t>
  </si>
  <si>
    <t>C-200 CGI Touring Avantgarde 1.8 16V Aut</t>
  </si>
  <si>
    <t>021076-5</t>
  </si>
  <si>
    <t>C-200 Classic/Sport</t>
  </si>
  <si>
    <t>021399-3</t>
  </si>
  <si>
    <t>C-200 EQ Boost 1.5 TB 16V 183cv Aut.</t>
  </si>
  <si>
    <t>021123-0</t>
  </si>
  <si>
    <t>C-200 Kompressor 2.0 V6 16v 4p Aut.</t>
  </si>
  <si>
    <t>021193-1</t>
  </si>
  <si>
    <t>C-200 Kompressor Avant.1.8 16V Aut</t>
  </si>
  <si>
    <t>021202-4</t>
  </si>
  <si>
    <t>C-200 Kompressor Classic 1.8 16V Aut.</t>
  </si>
  <si>
    <t>021143-5</t>
  </si>
  <si>
    <t>C-200 Sportcoupé Komp. 2.0 16V 163cv Aut</t>
  </si>
  <si>
    <t>021142-7</t>
  </si>
  <si>
    <t>C-200 Touring Komp. 2.0 16V 163cv 5p Aut</t>
  </si>
  <si>
    <t>021210-5</t>
  </si>
  <si>
    <t>C-200 Touring Komp. Avant. 1.8 16V Aut.</t>
  </si>
  <si>
    <t>021002-1</t>
  </si>
  <si>
    <t>C-220 Classic/Elegance/Sport</t>
  </si>
  <si>
    <t>C-220</t>
  </si>
  <si>
    <t>021181-8</t>
  </si>
  <si>
    <t>C-230 Avantgarde 2.5 V6 24V 204cv Aut</t>
  </si>
  <si>
    <t>C-230</t>
  </si>
  <si>
    <t>021132-0</t>
  </si>
  <si>
    <t>C-230 Komp. Sportcoupé 2.3 16V 197cv Aut</t>
  </si>
  <si>
    <t>021003-0</t>
  </si>
  <si>
    <t>C-230 Kompressor Avantgarde</t>
  </si>
  <si>
    <t>021077-3</t>
  </si>
  <si>
    <t>C-230 Sport/ Eleg./Touring Eleg.Plus 2.3</t>
  </si>
  <si>
    <t>021192-3</t>
  </si>
  <si>
    <t>C-230 Touring Avant. 2.5 24V 204cv Aut.</t>
  </si>
  <si>
    <t>021022-6</t>
  </si>
  <si>
    <t>C-230 Touring Kompressor</t>
  </si>
  <si>
    <t>021119-2</t>
  </si>
  <si>
    <t>C-240 AvantGarde 2.4/ 2.6 4p</t>
  </si>
  <si>
    <t>C-240</t>
  </si>
  <si>
    <t>021050-1</t>
  </si>
  <si>
    <t>C-240 Classic</t>
  </si>
  <si>
    <t>021040-4</t>
  </si>
  <si>
    <t>C-240 Elegance 2.4</t>
  </si>
  <si>
    <t>021120-6</t>
  </si>
  <si>
    <t>C-240 Elegance 2.4 V6 24v 4p Aut.</t>
  </si>
  <si>
    <t>021381-0</t>
  </si>
  <si>
    <t>C-250 Avantgarde 2.0 TB 211cv Aut.</t>
  </si>
  <si>
    <t>021242-3</t>
  </si>
  <si>
    <t>C-250 CGI Sport 1.8 16V Aut.</t>
  </si>
  <si>
    <t>021286-5</t>
  </si>
  <si>
    <t>C-250 CGI Sport Coupe 1.8 16V TB Aut.</t>
  </si>
  <si>
    <t>021350-0</t>
  </si>
  <si>
    <t>C-250 Sport Coupe 2.0 16V 211cv Aut.</t>
  </si>
  <si>
    <t>021203-2</t>
  </si>
  <si>
    <t>C-280 Avantgarde 3.0 V6 231cv Aut.</t>
  </si>
  <si>
    <t>C-280</t>
  </si>
  <si>
    <t>021005-6</t>
  </si>
  <si>
    <t>C-280 Classic/Sport</t>
  </si>
  <si>
    <t>021004-8</t>
  </si>
  <si>
    <t>C-280 Elegance</t>
  </si>
  <si>
    <t>021041-2</t>
  </si>
  <si>
    <t>C-280 Touring</t>
  </si>
  <si>
    <t>011111-2</t>
  </si>
  <si>
    <t>C3 Picasso Excl. 1.6 Flex 16V 5p Aut.</t>
  </si>
  <si>
    <t>011107-4</t>
  </si>
  <si>
    <t>C3 Picasso Exclusive 1.6 Flex 16V 5p Mec</t>
  </si>
  <si>
    <t>011114-7</t>
  </si>
  <si>
    <t>C3 Picasso GL 1.5 Flex 8V Mec.</t>
  </si>
  <si>
    <t>011105-8</t>
  </si>
  <si>
    <t>C3 Picasso GL 1.6 Flex 16V 5p Mec.</t>
  </si>
  <si>
    <t>011115-5</t>
  </si>
  <si>
    <t>C3 Picasso GLX 1.5 Flex 8V 5p Mec.</t>
  </si>
  <si>
    <t>011110-4</t>
  </si>
  <si>
    <t>C3 Picasso GLX 1.6 Flex 16V 5p Aut.</t>
  </si>
  <si>
    <t>011106-6</t>
  </si>
  <si>
    <t>C3 Picasso GLX 1.6 Flex 16V 5p Mec.</t>
  </si>
  <si>
    <t>011141-4</t>
  </si>
  <si>
    <t>C3 Picasso Origine 1.5 Flex 8V Mec.</t>
  </si>
  <si>
    <t>011140-6</t>
  </si>
  <si>
    <t>C3 Picasso Tendance 1.5 Flex 8V 5p Mec.</t>
  </si>
  <si>
    <t>011139-2</t>
  </si>
  <si>
    <t>C3 Picasso Tendance 1.6 Flex 16V 5p Aut.</t>
  </si>
  <si>
    <t>021467-1</t>
  </si>
  <si>
    <t>C-300 AMG Line EQ Boost 2.0 TB Aut.</t>
  </si>
  <si>
    <t>C-300</t>
  </si>
  <si>
    <t>021365-9</t>
  </si>
  <si>
    <t>C-300 Anniversary Lim. Edit. 2.0 Aut.</t>
  </si>
  <si>
    <t>021222-9</t>
  </si>
  <si>
    <t>C-300 Avantgarde 3.0 V6 24V 231cv Aut.</t>
  </si>
  <si>
    <t>021368-3</t>
  </si>
  <si>
    <t>C-300 Cabriolet 2.0 245/258cv Aut.</t>
  </si>
  <si>
    <t>021409-4</t>
  </si>
  <si>
    <t>C-300 Coupé Sport 2.0 16V Aut.</t>
  </si>
  <si>
    <t>021380-2</t>
  </si>
  <si>
    <t>C-300 Estate Avantgarde 2.0 245cv Aut.</t>
  </si>
  <si>
    <t>021379-9</t>
  </si>
  <si>
    <t>C-300 Sport 2.0 16V Aut.</t>
  </si>
  <si>
    <t>021236-9</t>
  </si>
  <si>
    <t>C-300 Sport 3.0 V6 231cv Aut.</t>
  </si>
  <si>
    <t>021121-4</t>
  </si>
  <si>
    <t>C-320 AvantGarde 3.2 V6 24v 4p Aut.</t>
  </si>
  <si>
    <t>C-320</t>
  </si>
  <si>
    <t>021122-2</t>
  </si>
  <si>
    <t>C-320 Elegance 3.2 V6 24v 4p Aut.</t>
  </si>
  <si>
    <t>021131-1</t>
  </si>
  <si>
    <t>C-320 Touring 3.2 V6 18v 4p Aut.</t>
  </si>
  <si>
    <t>021179-6</t>
  </si>
  <si>
    <t>C-350 Avantgarde/ Elegance 3.5 V6 272cv</t>
  </si>
  <si>
    <t>C-350</t>
  </si>
  <si>
    <t>021249-0</t>
  </si>
  <si>
    <t>C-350 CGI Sport 3.5 306cv Aut.</t>
  </si>
  <si>
    <t>021215-6</t>
  </si>
  <si>
    <t>C-350 Sport 3.5 V6 272cv</t>
  </si>
  <si>
    <t>021185-0</t>
  </si>
  <si>
    <t>C-350 Sportcoupé 3.5 24V 272cv</t>
  </si>
  <si>
    <t>021186-9</t>
  </si>
  <si>
    <t>C-350 Touring AvantGarde 3.5 24V 272cv</t>
  </si>
  <si>
    <t>021006-4</t>
  </si>
  <si>
    <t>C-36 AMG</t>
  </si>
  <si>
    <t>C-36</t>
  </si>
  <si>
    <t>011133-3</t>
  </si>
  <si>
    <t>C4 Competition 1.6 Flex 16V 5p Mec.</t>
  </si>
  <si>
    <t>011127-9</t>
  </si>
  <si>
    <t>C4 Competition 2.0 Flex 16V 5p Aut.</t>
  </si>
  <si>
    <t>011096-5</t>
  </si>
  <si>
    <t>C4 GLX 2.0 Flex 16V 5p Mec.</t>
  </si>
  <si>
    <t>011089-2</t>
  </si>
  <si>
    <t>C4 Picasso Grand 2.0 16V 143cv Aut</t>
  </si>
  <si>
    <t>011160-0</t>
  </si>
  <si>
    <t>C4 Picasso Intensive 1.6 Turbo 16V Aut.</t>
  </si>
  <si>
    <t>011159-7</t>
  </si>
  <si>
    <t>C4 Picasso Seduction 1.6 Turbo 16V Aut.</t>
  </si>
  <si>
    <t>011092-2</t>
  </si>
  <si>
    <t>C4 Picasso/Pic. La Luna 2.0 16V Aut.</t>
  </si>
  <si>
    <t>011134-1</t>
  </si>
  <si>
    <t>C4 Rock You 1.6 Flex 16V 5p Mec.</t>
  </si>
  <si>
    <t>011081-7</t>
  </si>
  <si>
    <t>C4 VTR 2.0 16V 143cv</t>
  </si>
  <si>
    <t>021023-4</t>
  </si>
  <si>
    <t>C-43 AMG</t>
  </si>
  <si>
    <t>C-43</t>
  </si>
  <si>
    <t>021361-6</t>
  </si>
  <si>
    <t>C-43 AMG 3.0 V6 Bi-Turbo 367cv Aut</t>
  </si>
  <si>
    <t>021357-8</t>
  </si>
  <si>
    <t>C-43 Coupe AMG 3.0 V6 Bi-Turbo Aut.</t>
  </si>
  <si>
    <t>021333-0</t>
  </si>
  <si>
    <t>C-450 AMG Sport 3.0 TB 362cv Aut.</t>
  </si>
  <si>
    <t>C-450</t>
  </si>
  <si>
    <t>011067-1</t>
  </si>
  <si>
    <t>C5 3.0 24V 210cv 4p Aut.</t>
  </si>
  <si>
    <t>011065-5</t>
  </si>
  <si>
    <t>C5 Exclusive 2.0 16V 138cv 4p Mec.</t>
  </si>
  <si>
    <t>011068-0</t>
  </si>
  <si>
    <t>C5 Exclusive Break 2.0 16V 138cv 5p Mec.</t>
  </si>
  <si>
    <t>011069-8</t>
  </si>
  <si>
    <t>C5 Exclusive Break 2.0 16V Aut.</t>
  </si>
  <si>
    <t>011098-1</t>
  </si>
  <si>
    <t>C5 Tourer Exclusive 2.0 16V 5p Aut.</t>
  </si>
  <si>
    <t>021183-4</t>
  </si>
  <si>
    <t>C-55 AMG 24V 367cv Aut.</t>
  </si>
  <si>
    <t>C-55</t>
  </si>
  <si>
    <t>021184-2</t>
  </si>
  <si>
    <t>C-55 Touring AMG 24V 367cv Aut.</t>
  </si>
  <si>
    <t xml:space="preserve">C-55 </t>
  </si>
  <si>
    <t>011084-1</t>
  </si>
  <si>
    <t>C6 Exclusive 3.0 V6 24V 215cv Aut.</t>
  </si>
  <si>
    <t>C6</t>
  </si>
  <si>
    <t>021349-7</t>
  </si>
  <si>
    <t>C-63 AMG 4.0 V8 Bi-Turbo Aut.</t>
  </si>
  <si>
    <t>C-63</t>
  </si>
  <si>
    <t>021209-1</t>
  </si>
  <si>
    <t>C-63 AMG 6.2 V8 Aut.</t>
  </si>
  <si>
    <t>021251-2</t>
  </si>
  <si>
    <t>C-63 Coupe AMG 6.2 V8 Aut.</t>
  </si>
  <si>
    <t>021279-2</t>
  </si>
  <si>
    <t>C-63 Coupe AMG Black Series 6.3 V8 Aut.</t>
  </si>
  <si>
    <t>021330-6</t>
  </si>
  <si>
    <t>C-63 S AMG 4.0 V8 Bi-Turbo Aut.</t>
  </si>
  <si>
    <t>021370-5</t>
  </si>
  <si>
    <t>C-63 S Coupe AMG 4.0 V8 Bi-Turbo Aut.</t>
  </si>
  <si>
    <t>021224-5</t>
  </si>
  <si>
    <t>C-63 Touring AMG 6.2 V8 Aut.</t>
  </si>
  <si>
    <t>011073-6</t>
  </si>
  <si>
    <t>C8 Exclusive 2.0 16V 138cv 5p Aut.</t>
  </si>
  <si>
    <t>C8</t>
  </si>
  <si>
    <t>018080-7</t>
  </si>
  <si>
    <t>CADENZA EX 3.5 V6 24V Aut.</t>
  </si>
  <si>
    <t>CADENZA</t>
  </si>
  <si>
    <t>004074-6</t>
  </si>
  <si>
    <t>Calibra 16V</t>
  </si>
  <si>
    <t>CALIBRA</t>
  </si>
  <si>
    <t>004475-0</t>
  </si>
  <si>
    <t>CAMARO FIFTY 6.2 V8 16V 461cv</t>
  </si>
  <si>
    <t>CAMARO</t>
  </si>
  <si>
    <t>004155-6</t>
  </si>
  <si>
    <t>Camaro RS 5.0 V8</t>
  </si>
  <si>
    <t>004156-4</t>
  </si>
  <si>
    <t>Camaro Sport 5.0 Conv.</t>
  </si>
  <si>
    <t>004371-0</t>
  </si>
  <si>
    <t>Camaro SS 6.2 V8 16V</t>
  </si>
  <si>
    <t>004453-9</t>
  </si>
  <si>
    <t>Camaro SS Conversível 6.2 V8 16V</t>
  </si>
  <si>
    <t>004111-4</t>
  </si>
  <si>
    <t>Camaro Z-28 Targa/Conv. 5.7</t>
  </si>
  <si>
    <t>002009-5</t>
  </si>
  <si>
    <t>Camry LE</t>
  </si>
  <si>
    <t>CAMRY</t>
  </si>
  <si>
    <t>002042-7</t>
  </si>
  <si>
    <t>Camry SW LE 2.2 16V</t>
  </si>
  <si>
    <t>002043-5</t>
  </si>
  <si>
    <t>Camry SW XLE 3.0 24V</t>
  </si>
  <si>
    <t>002010-9</t>
  </si>
  <si>
    <t>Camry XLE 3.0 24V 186cv</t>
  </si>
  <si>
    <t>002098-2</t>
  </si>
  <si>
    <t>Camry XLE 3.5 24V Aut.</t>
  </si>
  <si>
    <t>004133-5</t>
  </si>
  <si>
    <t>Caprice 4.3 V8</t>
  </si>
  <si>
    <t>CAPRICE</t>
  </si>
  <si>
    <t>004134-3</t>
  </si>
  <si>
    <t>Caprice SW 4.3 V8</t>
  </si>
  <si>
    <t>004135-1</t>
  </si>
  <si>
    <t>Caprice Victoria</t>
  </si>
  <si>
    <t>004027-4</t>
  </si>
  <si>
    <t>Caravan Comodoro 4.1/2.5</t>
  </si>
  <si>
    <t>CARAVAN</t>
  </si>
  <si>
    <t>004028-2</t>
  </si>
  <si>
    <t>Caravan Diplomata 4.1/2.5</t>
  </si>
  <si>
    <t>004137-8</t>
  </si>
  <si>
    <t>Caravan L/SL/S/SS 2.5/4.1/4.2</t>
  </si>
  <si>
    <t>005083-0</t>
  </si>
  <si>
    <t>Caravelle 2.4 Diesel</t>
  </si>
  <si>
    <t>CARAVELLE</t>
  </si>
  <si>
    <t>018067-0</t>
  </si>
  <si>
    <t>Carens EX 2.0 16V Aut.</t>
  </si>
  <si>
    <t>CARENS</t>
  </si>
  <si>
    <t>018045-9</t>
  </si>
  <si>
    <t>Carens LS 1.8 16V 130cv Aut.</t>
  </si>
  <si>
    <t>018044-0</t>
  </si>
  <si>
    <t>Carens LS 1.8 16V 130cv Mec.</t>
  </si>
  <si>
    <t>018016-5</t>
  </si>
  <si>
    <t>Carnival 2.5 V6</t>
  </si>
  <si>
    <t>CARNIVAL</t>
  </si>
  <si>
    <t>018081-5</t>
  </si>
  <si>
    <t>Carnival EX 3.5 V6 24V 276cv Aut.</t>
  </si>
  <si>
    <t>018057-2</t>
  </si>
  <si>
    <t>Carnival EX 3.8 V6 24V 242cv Aut.</t>
  </si>
  <si>
    <t>018043-2</t>
  </si>
  <si>
    <t>Carnival GS 2.9 TDI 16V 125cv Diesel</t>
  </si>
  <si>
    <t>004138-6</t>
  </si>
  <si>
    <t>Cavalier 3.1 Conv.</t>
  </si>
  <si>
    <t>CAVALIER</t>
  </si>
  <si>
    <t>004139-4</t>
  </si>
  <si>
    <t>Cavalier L 2.0</t>
  </si>
  <si>
    <t>073007-6</t>
  </si>
  <si>
    <t>Celer Hatch 1.5 16V Flex 5p</t>
  </si>
  <si>
    <t>073012-2</t>
  </si>
  <si>
    <t>Celer Hatch ACT 1.5 16V Flex 5p</t>
  </si>
  <si>
    <t>073008-4</t>
  </si>
  <si>
    <t>Celer Sedan 1.5 16V Flex 5p</t>
  </si>
  <si>
    <t>002044-3</t>
  </si>
  <si>
    <t>Celica GT 2.2 16V</t>
  </si>
  <si>
    <t>CELICA</t>
  </si>
  <si>
    <t>002036-2</t>
  </si>
  <si>
    <t>Celica ST 1.8</t>
  </si>
  <si>
    <t>018084-0</t>
  </si>
  <si>
    <t>Cerato 1.6 16 V Flex Mec.</t>
  </si>
  <si>
    <t>018055-6</t>
  </si>
  <si>
    <t>Cerato 2.0 16V Aut.</t>
  </si>
  <si>
    <t>018082-3</t>
  </si>
  <si>
    <t>Cerato KOUP 2.0 16V Aut.</t>
  </si>
  <si>
    <t>018092-0</t>
  </si>
  <si>
    <t>Cerato SX 2.0 16V Flex Aut.</t>
  </si>
  <si>
    <t>018022-0</t>
  </si>
  <si>
    <t>Ceres Pick-Up 2.2 Diesel</t>
  </si>
  <si>
    <t>ceres</t>
  </si>
  <si>
    <t>017009-7</t>
  </si>
  <si>
    <t>Cherokee Country 4.0 V6 4x4</t>
  </si>
  <si>
    <t>CHEROKEE</t>
  </si>
  <si>
    <t>017031-3</t>
  </si>
  <si>
    <t>Cherokee Limited 3.2 4x4 V6 Aut.</t>
  </si>
  <si>
    <t>017022-4</t>
  </si>
  <si>
    <t>Cherokee Limited 3.7 4x4 V6 12V Aut.</t>
  </si>
  <si>
    <t>017032-1</t>
  </si>
  <si>
    <t>Cherokee Longitude 3.2 4x4 V6 Aut.</t>
  </si>
  <si>
    <t>017010-0</t>
  </si>
  <si>
    <t>Cherokee Rubicon 4.0 V6 4x4</t>
  </si>
  <si>
    <t>017012-7</t>
  </si>
  <si>
    <t>Cherokee Sport 2.5 4x4 Diesel</t>
  </si>
  <si>
    <t>017015-1</t>
  </si>
  <si>
    <t>Cherokee Sport 3.7 4x4 V6 12V Aut.</t>
  </si>
  <si>
    <t>017004-6</t>
  </si>
  <si>
    <t>Cherokee Sport 4.0 Mec./Aut.</t>
  </si>
  <si>
    <t>017039-9</t>
  </si>
  <si>
    <t>Cherokee Trailhawk 3.2 4x4 V6 Aut.</t>
  </si>
  <si>
    <t>004029-0</t>
  </si>
  <si>
    <t>Chevette Junior 1.0</t>
  </si>
  <si>
    <t>CHEVETTE</t>
  </si>
  <si>
    <t>004030-4</t>
  </si>
  <si>
    <t>Chevette L / SL / SL/e / DL / SE 1.6</t>
  </si>
  <si>
    <t>004031-2</t>
  </si>
  <si>
    <t>Chevy 500 DL / SL / SE/ Furgão 1.6</t>
  </si>
  <si>
    <t>CHEVY</t>
  </si>
  <si>
    <t>004161-0</t>
  </si>
  <si>
    <t>Cheynne 4.3 V6</t>
  </si>
  <si>
    <t>CHEYNNE</t>
  </si>
  <si>
    <t>073003-3</t>
  </si>
  <si>
    <t>CIELO 1.6 16V 119cv 5p</t>
  </si>
  <si>
    <t>CIELO</t>
  </si>
  <si>
    <t>073004-1</t>
  </si>
  <si>
    <t>CIELO Sedan 1.6 16V 119cv 4p</t>
  </si>
  <si>
    <t>014004-0</t>
  </si>
  <si>
    <t>Civic CRX/ Targa VTi</t>
  </si>
  <si>
    <t>014005-8</t>
  </si>
  <si>
    <t>Civic Hatch DX</t>
  </si>
  <si>
    <t>014008-2</t>
  </si>
  <si>
    <t>Civic Hatch LSi</t>
  </si>
  <si>
    <t>014006-6</t>
  </si>
  <si>
    <t>Civic Hatch LX Aut.</t>
  </si>
  <si>
    <t>014011-2</t>
  </si>
  <si>
    <t>Civic Hatch Si</t>
  </si>
  <si>
    <t>014007-4</t>
  </si>
  <si>
    <t>Civic Hatch VTi</t>
  </si>
  <si>
    <t>014009-0</t>
  </si>
  <si>
    <t>Civic Sedan EX/ EXS 1.6 Mec. 4p</t>
  </si>
  <si>
    <t>014003-1</t>
  </si>
  <si>
    <t>Civic Sedan EX/ EXS Aut. 4p/ Del-Sol 2p</t>
  </si>
  <si>
    <t>014010-4</t>
  </si>
  <si>
    <t>Civic Sedan LX 1.5/1.6</t>
  </si>
  <si>
    <t>014036-8</t>
  </si>
  <si>
    <t>Civic Sedan LX 1.7 16V 115cv Mec. 4p</t>
  </si>
  <si>
    <t>014035-0</t>
  </si>
  <si>
    <t>Civic Sedan LX/LXL 1.7 16V 115cv Aut. 4p</t>
  </si>
  <si>
    <t>014044-9</t>
  </si>
  <si>
    <t>Civic Sedan LXL 1.7 16V 130cv Aut 4p</t>
  </si>
  <si>
    <t>014043-0</t>
  </si>
  <si>
    <t>Civic Sedan LXL 1.7 16V 130cv Mec 4p</t>
  </si>
  <si>
    <t>021046-3</t>
  </si>
  <si>
    <t>CL-500 5.0/ 5.5</t>
  </si>
  <si>
    <t>CL-500</t>
  </si>
  <si>
    <t>021078-1</t>
  </si>
  <si>
    <t>CL-600 6.0/ 5.5</t>
  </si>
  <si>
    <t>CL-600</t>
  </si>
  <si>
    <t>021206-7</t>
  </si>
  <si>
    <t>CL-63 AMG 6.2 V8 32V 525cv</t>
  </si>
  <si>
    <t>CL-63</t>
  </si>
  <si>
    <t>021225-3</t>
  </si>
  <si>
    <t>CL-65 AMG 6.0 V12 Aut.</t>
  </si>
  <si>
    <t>CL-65</t>
  </si>
  <si>
    <t>021391-8</t>
  </si>
  <si>
    <t>CLA-180 1.6 16V 122cv Aut.</t>
  </si>
  <si>
    <t>CLA-180</t>
  </si>
  <si>
    <t>021378-0</t>
  </si>
  <si>
    <t>CLA-200 1.6 TB 16V Flex Aut.</t>
  </si>
  <si>
    <t>CLA-200</t>
  </si>
  <si>
    <t>021301-2</t>
  </si>
  <si>
    <t>CLA-200 First Edition 1.6 TB 16V Aut.</t>
  </si>
  <si>
    <t>021312-8</t>
  </si>
  <si>
    <t>CLA-200 Urban 1.6 TB 16V/Flex Aut.</t>
  </si>
  <si>
    <t>021316-0</t>
  </si>
  <si>
    <t>CLA-200 Vision 1.6 TB 16V Flex Aut.</t>
  </si>
  <si>
    <t>021413-2</t>
  </si>
  <si>
    <t>CLA-250 2.0 16V TB Aut.</t>
  </si>
  <si>
    <t>CLA-250</t>
  </si>
  <si>
    <t>021311-0</t>
  </si>
  <si>
    <t>CLA-250 Sport 4MATIC 2.0 16V 211cv Aut.</t>
  </si>
  <si>
    <t>021450-7</t>
  </si>
  <si>
    <t>CLA-35 AMG 4MATIC 2.0 TB Aut.</t>
  </si>
  <si>
    <t>CLA-35</t>
  </si>
  <si>
    <t>021441-8</t>
  </si>
  <si>
    <t>CLA-35 AMG Launch Edition 4MATIC 2.0 TB</t>
  </si>
  <si>
    <t>021306-3</t>
  </si>
  <si>
    <t>CLA-45 AMG 4MATIC CGI 2.0 TB Aut.</t>
  </si>
  <si>
    <t>CLA-45</t>
  </si>
  <si>
    <t>021451-5</t>
  </si>
  <si>
    <t>CLA-45 S AMG 4MATIC CGI 2.0 TB Aut.</t>
  </si>
  <si>
    <t>018030-0</t>
  </si>
  <si>
    <t>Clarus GLX 2.0 16V Aut.</t>
  </si>
  <si>
    <t>CLARUS</t>
  </si>
  <si>
    <t>018010-6</t>
  </si>
  <si>
    <t>Clarus GLX 2.0 16V Mec</t>
  </si>
  <si>
    <t>018031-9</t>
  </si>
  <si>
    <t>Clarus Wagon GLX 2.0 16V Aut.</t>
  </si>
  <si>
    <t>018017-3</t>
  </si>
  <si>
    <t>Clarus Wagon GLX 2.0 16V Mec.</t>
  </si>
  <si>
    <t>021051-0</t>
  </si>
  <si>
    <t>Classe A 160 Classic Semi-Aut.</t>
  </si>
  <si>
    <t>Classe A</t>
  </si>
  <si>
    <t>021048-0</t>
  </si>
  <si>
    <t>Classe A 160 Classic/ Spirit Mec.</t>
  </si>
  <si>
    <t>021049-8</t>
  </si>
  <si>
    <t>Classe A 160 Elegance Mec.</t>
  </si>
  <si>
    <t>021098-6</t>
  </si>
  <si>
    <t>Classe A 160 Elegance Semi-Aut.</t>
  </si>
  <si>
    <t>021161-3</t>
  </si>
  <si>
    <t>Classe A 190 AvantGarde 1.9 8V 125cv Aut</t>
  </si>
  <si>
    <t>021141-9</t>
  </si>
  <si>
    <t>Classe A 190 AvantGarde 1.9 8V 125cv Mec</t>
  </si>
  <si>
    <t>021113-3</t>
  </si>
  <si>
    <t>Classe A 190 Classic 1.9 Semi-Aut.</t>
  </si>
  <si>
    <t>021112-5</t>
  </si>
  <si>
    <t>Classe A 190 Classic/ Spirit 1.9 Mec.</t>
  </si>
  <si>
    <t>021129-0</t>
  </si>
  <si>
    <t>Classe A 190 Elegance 1.9 Aut.</t>
  </si>
  <si>
    <t>021114-1</t>
  </si>
  <si>
    <t>Classe A 190 Elegance 1.9 Mec.</t>
  </si>
  <si>
    <t>021115-0</t>
  </si>
  <si>
    <t>Classe A 190 Elegance 1.9 Semi-Aut.</t>
  </si>
  <si>
    <t>021288-1</t>
  </si>
  <si>
    <t>Classe A 200 1.6 TB 16V Style 156cv Aut.</t>
  </si>
  <si>
    <t>021289-0</t>
  </si>
  <si>
    <t>Classe A 200 1.6 TB 16V Urban 156cv Aut.</t>
  </si>
  <si>
    <t>021327-6</t>
  </si>
  <si>
    <t>Classe A 200 1.6 TB/Flex Aut.</t>
  </si>
  <si>
    <t>021182-6</t>
  </si>
  <si>
    <t>Classe A 200 Elegance 2.0 136cv Aut.</t>
  </si>
  <si>
    <t>021304-7</t>
  </si>
  <si>
    <t>Classe A 250 2.0 TB Sport Aut.</t>
  </si>
  <si>
    <t>021300-4</t>
  </si>
  <si>
    <t>Classe A45 AMG 4MATIC 2.0 Turbo Aut.</t>
  </si>
  <si>
    <t>021218-0</t>
  </si>
  <si>
    <t>Classe B 170 1.7 116cv Aut.</t>
  </si>
  <si>
    <t>Classe B</t>
  </si>
  <si>
    <t>021220-2</t>
  </si>
  <si>
    <t>Classe B 180 1.7 116cv Aut.</t>
  </si>
  <si>
    <t>021194-0</t>
  </si>
  <si>
    <t>Classe B 200 2.0 136cv Aut.</t>
  </si>
  <si>
    <t>021197-4</t>
  </si>
  <si>
    <t>Classe B 200 2.0 Turbo 193cv Aut.</t>
  </si>
  <si>
    <t>021278-4</t>
  </si>
  <si>
    <t>Classe B 200 CGI 1.6 TB Sport 156cv Aut</t>
  </si>
  <si>
    <t>021277-6</t>
  </si>
  <si>
    <t>Classe B 200 CGI 1.6 TB/Flex Aut.</t>
  </si>
  <si>
    <t>021195-8</t>
  </si>
  <si>
    <t>Classe R 500 5.0 V8 306cv Aut.</t>
  </si>
  <si>
    <t>Classe R</t>
  </si>
  <si>
    <t>021226-1</t>
  </si>
  <si>
    <t>Classe R 500 L 5.5 V8 388cv Aut.</t>
  </si>
  <si>
    <t>021082-0</t>
  </si>
  <si>
    <t>Classic 6.0</t>
  </si>
  <si>
    <t>Classic</t>
  </si>
  <si>
    <t>021219-9</t>
  </si>
  <si>
    <t>CLC 200 Kompressor 1.8 184cv Aut.</t>
  </si>
  <si>
    <t>CLC 200</t>
  </si>
  <si>
    <t>025061-9</t>
  </si>
  <si>
    <t>Clio RL/ JP/Auth.1.0/1.0 Hi-Power 16V 5p</t>
  </si>
  <si>
    <t>025021-0</t>
  </si>
  <si>
    <t>Clio RN 1.6 3p (importado)</t>
  </si>
  <si>
    <t>015069-0</t>
  </si>
  <si>
    <t>AZERA GLS 3.3 V6 24V 4p Aut.</t>
  </si>
  <si>
    <t>021099-4</t>
  </si>
  <si>
    <t>CLK-230 Cabriolet Kompressor</t>
  </si>
  <si>
    <t>CLK-230</t>
  </si>
  <si>
    <t>021024-2</t>
  </si>
  <si>
    <t>CLK-230 Kompressor</t>
  </si>
  <si>
    <t>021053-6</t>
  </si>
  <si>
    <t>CLK-320 AvantGarde</t>
  </si>
  <si>
    <t>CLK-320</t>
  </si>
  <si>
    <t>021116-8</t>
  </si>
  <si>
    <t>CLK-320 AvantGarde Cabriolet</t>
  </si>
  <si>
    <t>021025-0</t>
  </si>
  <si>
    <t>CLK-320 Elegance</t>
  </si>
  <si>
    <t>021052-8</t>
  </si>
  <si>
    <t>CLK-320 Elegance Cabriolet</t>
  </si>
  <si>
    <t>021026-9</t>
  </si>
  <si>
    <t>CLK-320 Sport</t>
  </si>
  <si>
    <t>021054-4</t>
  </si>
  <si>
    <t>CLK-320 Sport Cabriolet</t>
  </si>
  <si>
    <t>021188-5</t>
  </si>
  <si>
    <t>CLK-350 Avant./ Elegance 3.5 24V 272cv</t>
  </si>
  <si>
    <t>CLK-350</t>
  </si>
  <si>
    <t>021190-7</t>
  </si>
  <si>
    <t>CLK-350 Avant./Eleg. Cabriolet 3.5 272cv</t>
  </si>
  <si>
    <t>021126-5</t>
  </si>
  <si>
    <t>CLK-430 Avantgard Cabriolet 4.3 V8 24v</t>
  </si>
  <si>
    <t>CLK-430</t>
  </si>
  <si>
    <t>021118-4</t>
  </si>
  <si>
    <t>CLK-430 AvantGarde 4.3</t>
  </si>
  <si>
    <t>021027-7</t>
  </si>
  <si>
    <t>CLK-430 Elegance</t>
  </si>
  <si>
    <t>021127-3</t>
  </si>
  <si>
    <t>CLK-430 Elegance Cabriolet 4.3 V8 24v</t>
  </si>
  <si>
    <t>021028-5</t>
  </si>
  <si>
    <t>CLK-430 Sport 4.3</t>
  </si>
  <si>
    <t>021163-0</t>
  </si>
  <si>
    <t>CLK-500 Cabriolet V8 24V 306cv</t>
  </si>
  <si>
    <t>CLK-500</t>
  </si>
  <si>
    <t>021145-1</t>
  </si>
  <si>
    <t>CLK-500 Elegance/ Avant. 5.0 V8 24V Aut</t>
  </si>
  <si>
    <t>021156-7</t>
  </si>
  <si>
    <t>CLK-55 AMG Cabriolet V8 24v 367cv</t>
  </si>
  <si>
    <t xml:space="preserve">CLK-55 </t>
  </si>
  <si>
    <t>021153-2</t>
  </si>
  <si>
    <t>CLK-55 AMG V8 24V 367cv</t>
  </si>
  <si>
    <t>021250-4</t>
  </si>
  <si>
    <t>CLS-350 CGI 3.5 306cv Aut.</t>
  </si>
  <si>
    <t>CLS-350</t>
  </si>
  <si>
    <t>021189-3</t>
  </si>
  <si>
    <t>CLS-350 V6 24V 272cv</t>
  </si>
  <si>
    <t>021321-7</t>
  </si>
  <si>
    <t>CLS-400 3.5 V6 Bi-Turbo 333cv Aut.</t>
  </si>
  <si>
    <t>CLS-400</t>
  </si>
  <si>
    <t>021418-3</t>
  </si>
  <si>
    <t>CLS-450 EQ Boost 3.0 TB 4MATIC</t>
  </si>
  <si>
    <t>CLS-450</t>
  </si>
  <si>
    <t>021412-4</t>
  </si>
  <si>
    <t>CLS-450 EQ Boost 3.0 TB 4MATIC SPORT</t>
  </si>
  <si>
    <t>021175-3</t>
  </si>
  <si>
    <t>CLS-500 V8 24V</t>
  </si>
  <si>
    <t>CLS-500</t>
  </si>
  <si>
    <t>021405-1</t>
  </si>
  <si>
    <t>CLS-53 AMG 3.0 TB 4MATIC+ Hybrido</t>
  </si>
  <si>
    <t>CLS-53</t>
  </si>
  <si>
    <t>021180-0</t>
  </si>
  <si>
    <t>CLS-55 Kompressor AMG 5.5 V8 24V 476cv</t>
  </si>
  <si>
    <t>CLS-55</t>
  </si>
  <si>
    <t>021245-8</t>
  </si>
  <si>
    <t>CLS-63 AMG 5.5 V8 557cv Aut.</t>
  </si>
  <si>
    <t>CLS-63</t>
  </si>
  <si>
    <t>021196-6</t>
  </si>
  <si>
    <t>CLS-63 AMG 6.2 V8 32V 514cv</t>
  </si>
  <si>
    <t>022002-7</t>
  </si>
  <si>
    <t>Colt GLXi</t>
  </si>
  <si>
    <t>COLT</t>
  </si>
  <si>
    <t>022003-5</t>
  </si>
  <si>
    <t>Colt GTi Mec</t>
  </si>
  <si>
    <t>017017-8</t>
  </si>
  <si>
    <t>Commander Limited 5.7 326cv 5p</t>
  </si>
  <si>
    <t>002182-2</t>
  </si>
  <si>
    <t>Corolla Altis Hybrid 1.8 16V Flex Aut.</t>
  </si>
  <si>
    <t>002183-0</t>
  </si>
  <si>
    <t>Corolla Altis Prem. Hybrid 1.8 Flex Aut</t>
  </si>
  <si>
    <t>A6</t>
  </si>
  <si>
    <t>002011-7</t>
  </si>
  <si>
    <t>Corolla DX/ SW DX 1.6 16V</t>
  </si>
  <si>
    <t>002084-2</t>
  </si>
  <si>
    <t>Corolla Fielder SW 1.8/1.8 XEi Flex Aut.</t>
  </si>
  <si>
    <t>002083-4</t>
  </si>
  <si>
    <t>Corolla Fielder SW 1.8/1.8 XEi Flex Mec</t>
  </si>
  <si>
    <t>002102-4</t>
  </si>
  <si>
    <t>Corolla Fielder SW S 1.8 16V 136cv Aut</t>
  </si>
  <si>
    <t>002101-6</t>
  </si>
  <si>
    <t>Corolla Fielder SW S 1.8 16V 136cv Mec</t>
  </si>
  <si>
    <t>002103-2</t>
  </si>
  <si>
    <t>Corolla Fielder SW SE-G 1.8 Flex 16V Aut</t>
  </si>
  <si>
    <t>002046-0</t>
  </si>
  <si>
    <t>Corolla GLi 1.6 16V</t>
  </si>
  <si>
    <t>025003-1</t>
  </si>
  <si>
    <t>19 RT 1.8/ 1.8i</t>
  </si>
  <si>
    <t>025002-3</t>
  </si>
  <si>
    <t>19 RN</t>
  </si>
  <si>
    <t>025001-5</t>
  </si>
  <si>
    <t>19 16S/ RT 16V</t>
  </si>
  <si>
    <t>025031-7</t>
  </si>
  <si>
    <t>19 RT 1.8/ 1.8i Conv.</t>
  </si>
  <si>
    <t>025020-1</t>
  </si>
  <si>
    <t>21 GTX 2.0</t>
  </si>
  <si>
    <t>025033-3</t>
  </si>
  <si>
    <t>21 Nevada GTX 2.2</t>
  </si>
  <si>
    <t>025008-2</t>
  </si>
  <si>
    <t>21 Nevada TXE 2.2</t>
  </si>
  <si>
    <t>025034-1</t>
  </si>
  <si>
    <t>21 TXE/ TXi 2.2</t>
  </si>
  <si>
    <t>024078-8</t>
  </si>
  <si>
    <t>106 Quiksilver 1.0 3p</t>
  </si>
  <si>
    <t>024028-1</t>
  </si>
  <si>
    <t>106 Passion 1.0 3p</t>
  </si>
  <si>
    <t>024066-4</t>
  </si>
  <si>
    <t>106 Passion 1.0 5p</t>
  </si>
  <si>
    <t>024026-5</t>
  </si>
  <si>
    <t>106 Selection 1.0 3p</t>
  </si>
  <si>
    <t>024067-2</t>
  </si>
  <si>
    <t>106 Selection 1.0 5p</t>
  </si>
  <si>
    <t>024027-3</t>
  </si>
  <si>
    <t>106 Soleil 1.0 3p</t>
  </si>
  <si>
    <t>024068-0</t>
  </si>
  <si>
    <t>106 Soleil 1.0 5p</t>
  </si>
  <si>
    <t>024001-0</t>
  </si>
  <si>
    <t>106 XN 3p e 5p</t>
  </si>
  <si>
    <t>024042-7</t>
  </si>
  <si>
    <t>106 KID 1.0</t>
  </si>
  <si>
    <t>024002-8</t>
  </si>
  <si>
    <t>106 XT</t>
  </si>
  <si>
    <t>001124-0</t>
  </si>
  <si>
    <t>147 C/ CL</t>
  </si>
  <si>
    <t>001123-1</t>
  </si>
  <si>
    <t>147 Pick-Up (todas)</t>
  </si>
  <si>
    <t>001138-0</t>
  </si>
  <si>
    <t>147 Furgão (todos)</t>
  </si>
  <si>
    <t>024003-6</t>
  </si>
  <si>
    <t>205 XSi/ Junior 1.4 3p</t>
  </si>
  <si>
    <t>024064-8</t>
  </si>
  <si>
    <t>205 CJ Cabriolet</t>
  </si>
  <si>
    <t>024055-9</t>
  </si>
  <si>
    <t>205 GTi 1.4</t>
  </si>
  <si>
    <t>024065-6</t>
  </si>
  <si>
    <t>205 CTi Cabriolet 1.4</t>
  </si>
  <si>
    <t>024077-0</t>
  </si>
  <si>
    <t>306 Soleil Break 1.8 16V 5p</t>
  </si>
  <si>
    <t>024076-1</t>
  </si>
  <si>
    <t>306 Soleil Hatch 1.8 16V 5p</t>
  </si>
  <si>
    <t>024057-5</t>
  </si>
  <si>
    <t>306 Soleil 1.8 16V 2p</t>
  </si>
  <si>
    <t>024058-3</t>
  </si>
  <si>
    <t>306 Soleil 1.8 16V 4p</t>
  </si>
  <si>
    <t>024032-0</t>
  </si>
  <si>
    <t>306 Break Passion 1.8 16V</t>
  </si>
  <si>
    <t>024040-0</t>
  </si>
  <si>
    <t>306 Passion 1.8 16V</t>
  </si>
  <si>
    <t>024046-0</t>
  </si>
  <si>
    <t>306 Passion Sedan 1.8 16V</t>
  </si>
  <si>
    <t>024043-5</t>
  </si>
  <si>
    <t>306 Rallye 1.8 16V</t>
  </si>
  <si>
    <t>024033-8</t>
  </si>
  <si>
    <t>306 GTi 2.0 16V</t>
  </si>
  <si>
    <t>024038-9</t>
  </si>
  <si>
    <t>306 Selection Hatch 1.8 16V</t>
  </si>
  <si>
    <t>024039-7</t>
  </si>
  <si>
    <t>306 Selection Sedan 1.8 16V</t>
  </si>
  <si>
    <t>024005-2</t>
  </si>
  <si>
    <t>306 Cabriolet 2.0</t>
  </si>
  <si>
    <t>024044-3</t>
  </si>
  <si>
    <t>306 Si/ SL 1.8</t>
  </si>
  <si>
    <t>024041-9</t>
  </si>
  <si>
    <t>306 XN 1.8</t>
  </si>
  <si>
    <t>024047-8</t>
  </si>
  <si>
    <t>306 XR 1.8 / XR Break 1.8 16V</t>
  </si>
  <si>
    <t>024004-4</t>
  </si>
  <si>
    <t>306 Cabriolet 1.8/ Mi 16V</t>
  </si>
  <si>
    <t>024045-1</t>
  </si>
  <si>
    <t>306 SR</t>
  </si>
  <si>
    <t>024007-9</t>
  </si>
  <si>
    <t>306 XS 1.6 3p/ ST 1.8i 4p</t>
  </si>
  <si>
    <t>024008-7</t>
  </si>
  <si>
    <t>306 XSi 2.0 3/5p</t>
  </si>
  <si>
    <t>024006-0</t>
  </si>
  <si>
    <t>306 S16 2.0 3p</t>
  </si>
  <si>
    <t>024111-3</t>
  </si>
  <si>
    <t>307 CC 2.0 16V 2p Aut.</t>
  </si>
  <si>
    <t xml:space="preserve">CONVERSÍVEL </t>
  </si>
  <si>
    <t>024110-5</t>
  </si>
  <si>
    <t>307 CC 2.0 16V 138cv 2p Mec.</t>
  </si>
  <si>
    <t>024191-1</t>
  </si>
  <si>
    <t>308 CC 1.6 Turbo 16V 2p Aut.</t>
  </si>
  <si>
    <t>024201-2</t>
  </si>
  <si>
    <t>308 CC Roland Garros 1.6 Turbo16V 2p Aut</t>
  </si>
  <si>
    <t>077001-9</t>
  </si>
  <si>
    <t>Lifan</t>
  </si>
  <si>
    <t>320 ELITE 1.3 16V 88cv 5p</t>
  </si>
  <si>
    <t>024012-5</t>
  </si>
  <si>
    <t>405 SRi 2.0</t>
  </si>
  <si>
    <t>024010-9</t>
  </si>
  <si>
    <t>405 GRi 1.8</t>
  </si>
  <si>
    <t>024011-7</t>
  </si>
  <si>
    <t>405 SRi 1.8</t>
  </si>
  <si>
    <t>024009-5</t>
  </si>
  <si>
    <t>405 GLi/ GL 1.6</t>
  </si>
  <si>
    <t>024048-6</t>
  </si>
  <si>
    <t>405 Mi 2.0 16V</t>
  </si>
  <si>
    <t>024014-1</t>
  </si>
  <si>
    <t>405 STi</t>
  </si>
  <si>
    <t>024013-3</t>
  </si>
  <si>
    <t>405 SRi Break</t>
  </si>
  <si>
    <t>024075-3</t>
  </si>
  <si>
    <t>406 Sedan 3.0 V6 24V</t>
  </si>
  <si>
    <t>024070-2</t>
  </si>
  <si>
    <t>406 Cupê 3.0 24V Aut.</t>
  </si>
  <si>
    <t>024023-0</t>
  </si>
  <si>
    <t>406 Cupê 3.0 24V Mec.</t>
  </si>
  <si>
    <t>024052-4</t>
  </si>
  <si>
    <t>406 Familiale 2.0 16V Mec.</t>
  </si>
  <si>
    <t>024051-6</t>
  </si>
  <si>
    <t>406 Sedan 2.0 Mec.</t>
  </si>
  <si>
    <t>024071-0</t>
  </si>
  <si>
    <t>406 Familiale 2.0 16V Aut.</t>
  </si>
  <si>
    <t>024072-9</t>
  </si>
  <si>
    <t>406 Sedan 2.0 Aut.</t>
  </si>
  <si>
    <t>024035-4</t>
  </si>
  <si>
    <t>406 ST 2.0 16V Mec</t>
  </si>
  <si>
    <t>024020-6</t>
  </si>
  <si>
    <t>406 ST/ SVA 2.0 16V Aut</t>
  </si>
  <si>
    <t>024060-5</t>
  </si>
  <si>
    <t>406 SVA 3.0 24V</t>
  </si>
  <si>
    <t>024037-0</t>
  </si>
  <si>
    <t>406 SV 2.0 16V</t>
  </si>
  <si>
    <t>024036-2</t>
  </si>
  <si>
    <t>406 Break 2.0 16V</t>
  </si>
  <si>
    <t>024059-1</t>
  </si>
  <si>
    <t>406 Break 3.0 V6 24V</t>
  </si>
  <si>
    <t>024074-5</t>
  </si>
  <si>
    <t>406 Break ST 2.0</t>
  </si>
  <si>
    <t>024025-7</t>
  </si>
  <si>
    <t>406 SVE 3.0 24V</t>
  </si>
  <si>
    <t>024142-3</t>
  </si>
  <si>
    <t>407 SW Allure 2.0 16V 5p Aut.</t>
  </si>
  <si>
    <t>024143-1</t>
  </si>
  <si>
    <t>407 SW Feline 3.0 V6 211cv 5p Aut.</t>
  </si>
  <si>
    <t>024117-2</t>
  </si>
  <si>
    <t>407 SW 2.0 16V 5p Aut.</t>
  </si>
  <si>
    <t>024118-0</t>
  </si>
  <si>
    <t>407 SW 3.0 V6 211cv 5p Aut.</t>
  </si>
  <si>
    <t>024139-3</t>
  </si>
  <si>
    <t>407 Sed. Allure 2.0 16V 4p Aut.</t>
  </si>
  <si>
    <t>024140-7</t>
  </si>
  <si>
    <t>407 Sed. Feline 3.0 V6 211cv 4p Aut.</t>
  </si>
  <si>
    <t>024141-5</t>
  </si>
  <si>
    <t>407 Sed. Griffe 3.0 V6 211cv 4p Aut.</t>
  </si>
  <si>
    <t>024115-6</t>
  </si>
  <si>
    <t>407 Sedan 2.0 16V 138cv 4p Aut.</t>
  </si>
  <si>
    <t>024116-4</t>
  </si>
  <si>
    <t>407 Sedan 3.0 V6 211cv 4p Aut.</t>
  </si>
  <si>
    <t>001541-5</t>
  </si>
  <si>
    <t>500e ICON (Elétrico)</t>
  </si>
  <si>
    <t>001429-0</t>
  </si>
  <si>
    <t>500 ABARTH MULTIAIR 1.4 TB 16V 3p</t>
  </si>
  <si>
    <t>001128-2</t>
  </si>
  <si>
    <t>Cinquecento 0.7</t>
  </si>
  <si>
    <t>024050-8</t>
  </si>
  <si>
    <t>504 GRD 2.3 Diesel</t>
  </si>
  <si>
    <t>024049-4</t>
  </si>
  <si>
    <t>504 GD 2.3 Diesel</t>
  </si>
  <si>
    <t>024061-3</t>
  </si>
  <si>
    <t>505 SR/ SRi/ SRX</t>
  </si>
  <si>
    <t>024190-3</t>
  </si>
  <si>
    <t>508 THP 1.6 Turbo 16V 4p Aut.</t>
  </si>
  <si>
    <t>077005-1</t>
  </si>
  <si>
    <t>530 1.5 16V 103cv 4p</t>
  </si>
  <si>
    <t>077006-0</t>
  </si>
  <si>
    <t>530 TALENT 1.5 16V 103cv 4p</t>
  </si>
  <si>
    <t>024053-2</t>
  </si>
  <si>
    <t>605 SV-3 3.0 V6 24V</t>
  </si>
  <si>
    <t>024015-0</t>
  </si>
  <si>
    <t>605 SRi/ SLi 2.0</t>
  </si>
  <si>
    <t>024062-1</t>
  </si>
  <si>
    <t>605 SRi 3.0</t>
  </si>
  <si>
    <t>024016-8</t>
  </si>
  <si>
    <t>605 SV 3.0 Aut.</t>
  </si>
  <si>
    <t>024079-6</t>
  </si>
  <si>
    <t>607 Sedan 3.0 V6</t>
  </si>
  <si>
    <t>077002-7</t>
  </si>
  <si>
    <t>620 TALENT 1.6 16V 106cv 4p</t>
  </si>
  <si>
    <t>024108-3</t>
  </si>
  <si>
    <t>807 2.0 16V 138cv 5p Aut.</t>
  </si>
  <si>
    <t>024022-2</t>
  </si>
  <si>
    <t>806 ST Turbo</t>
  </si>
  <si>
    <t>024017-6</t>
  </si>
  <si>
    <t>806 SV 2.0 Turbo</t>
  </si>
  <si>
    <t>022001-9</t>
  </si>
  <si>
    <t>3000 GT VR-4</t>
  </si>
  <si>
    <t>022041-8</t>
  </si>
  <si>
    <t>3000 GT SL 3.0</t>
  </si>
  <si>
    <t>024236-5</t>
  </si>
  <si>
    <t>5008 Griffe Pack 1.6 Turbo 16V 5p Aut.</t>
  </si>
  <si>
    <t>024235-7</t>
  </si>
  <si>
    <t>5008 Griffe 1.6 Turbo 16V 5p Aut.</t>
  </si>
  <si>
    <t>021060-9</t>
  </si>
  <si>
    <t>180-D Pick-Up/Furgão 2.4 Diesel</t>
  </si>
  <si>
    <t>180</t>
  </si>
  <si>
    <t>021061-7</t>
  </si>
  <si>
    <t>180-D Van 2.4 Diesel</t>
  </si>
  <si>
    <t>021062-5</t>
  </si>
  <si>
    <t>190-E 2.3</t>
  </si>
  <si>
    <t>190</t>
  </si>
  <si>
    <t>021063-3</t>
  </si>
  <si>
    <t>230-E 2.3</t>
  </si>
  <si>
    <t>230</t>
  </si>
  <si>
    <t>021067-6</t>
  </si>
  <si>
    <t>260-E 2.6</t>
  </si>
  <si>
    <t>260</t>
  </si>
  <si>
    <t>021071-4</t>
  </si>
  <si>
    <t>300-TE Wagon 3.0</t>
  </si>
  <si>
    <t>300</t>
  </si>
  <si>
    <t>021069-2</t>
  </si>
  <si>
    <t>300-E 3.0</t>
  </si>
  <si>
    <t>021045-5</t>
  </si>
  <si>
    <t>300-SE 3.0/3.2</t>
  </si>
  <si>
    <t>021070-6</t>
  </si>
  <si>
    <t>300-SL 3.0</t>
  </si>
  <si>
    <t>021068-4</t>
  </si>
  <si>
    <t>300-D 3.0 Diesel</t>
  </si>
  <si>
    <t>023051-0</t>
  </si>
  <si>
    <t>350Z 3.5 V6 280cv/ 312cv 2p</t>
  </si>
  <si>
    <t>350Z</t>
  </si>
  <si>
    <t>021074-9</t>
  </si>
  <si>
    <t>500-SEL 5.0/ 5.6</t>
  </si>
  <si>
    <t>500</t>
  </si>
  <si>
    <t>021047-1</t>
  </si>
  <si>
    <t>500-SEC/ SL</t>
  </si>
  <si>
    <t>021072-2</t>
  </si>
  <si>
    <t>500-E 5.0</t>
  </si>
  <si>
    <t>021075-7</t>
  </si>
  <si>
    <t>560-SEL 5.6</t>
  </si>
  <si>
    <t>560</t>
  </si>
  <si>
    <t>80</t>
  </si>
  <si>
    <t>004126-2</t>
  </si>
  <si>
    <t>A-20 Custom Std. CD/ De Luxe CD</t>
  </si>
  <si>
    <t>A-10</t>
  </si>
  <si>
    <t>004024-0</t>
  </si>
  <si>
    <t>A-20 Custom/ C-20 Luxe 4.1</t>
  </si>
  <si>
    <t>004023-1</t>
  </si>
  <si>
    <t>A-20 Custom/ C-20 S 4.1</t>
  </si>
  <si>
    <t>004113-0</t>
  </si>
  <si>
    <t>A-10 2.5/4.1</t>
  </si>
  <si>
    <t>004114-9</t>
  </si>
  <si>
    <t>A-10 De Luxe 2.5/4.1</t>
  </si>
  <si>
    <t>A3 Sedan S-Line 2.0 TFSI S-Tronic</t>
  </si>
  <si>
    <t>A3 Sportback S-Line 2.0 TFSI S-Tronic</t>
  </si>
  <si>
    <t>021447-7</t>
  </si>
  <si>
    <t>A-35 AMG 4MATIC 2.0 TB Aut.</t>
  </si>
  <si>
    <t>A-35</t>
  </si>
  <si>
    <t>021448-5</t>
  </si>
  <si>
    <t>A-35 AMG Sedan 4MATIC 2.0 TB Aut.</t>
  </si>
  <si>
    <t>021414-0</t>
  </si>
  <si>
    <t>A35 AMG Laun. Edition 4MATIC 2.0 TB Aut</t>
  </si>
  <si>
    <t xml:space="preserve">A35 </t>
  </si>
  <si>
    <t>A4 Prestige 2.0 TFSI 190cv S-tronic</t>
  </si>
  <si>
    <t>021452-3</t>
  </si>
  <si>
    <t>A-45 S AMG 4MATIC CGI 2.0 TB Aut.</t>
  </si>
  <si>
    <t>A-45</t>
  </si>
  <si>
    <t>A7</t>
  </si>
  <si>
    <t>A8</t>
  </si>
  <si>
    <t>015032-0</t>
  </si>
  <si>
    <t>Accent GLS 1.5 12V/16V Aut.</t>
  </si>
  <si>
    <t>ACCENT</t>
  </si>
  <si>
    <t>015001-0</t>
  </si>
  <si>
    <t>Accent GLS 1.5 12V/16V Mec.</t>
  </si>
  <si>
    <t>015002-9</t>
  </si>
  <si>
    <t>Accent GS 3p Mec.</t>
  </si>
  <si>
    <t>015003-7</t>
  </si>
  <si>
    <t>Accent L/ LR 1.5 2/4p</t>
  </si>
  <si>
    <t>015004-5</t>
  </si>
  <si>
    <t>Accent LS 4p</t>
  </si>
  <si>
    <t>014014-7</t>
  </si>
  <si>
    <t>Accord Sedan EX 2.4/2.3/ 2.2 16V</t>
  </si>
  <si>
    <t>014066-0</t>
  </si>
  <si>
    <t>Accord Sedan EX 2.0 16V 156cv Aut.</t>
  </si>
  <si>
    <t>014047-3</t>
  </si>
  <si>
    <t>Accord Sedan LX 2.0 16V 150/156cv Aut.</t>
  </si>
  <si>
    <t>014023-6</t>
  </si>
  <si>
    <t>Accord Sedan EX 2.7/3.0 24V</t>
  </si>
  <si>
    <t>014002-3</t>
  </si>
  <si>
    <t>Accord Sedan LX 2.2/2.4 16V</t>
  </si>
  <si>
    <t>014015-5</t>
  </si>
  <si>
    <t>Accord Sedan EXR</t>
  </si>
  <si>
    <t>014001-5</t>
  </si>
  <si>
    <t>Accord Coupe EX</t>
  </si>
  <si>
    <t>014021-0</t>
  </si>
  <si>
    <t>Accord SW LX</t>
  </si>
  <si>
    <t>014020-1</t>
  </si>
  <si>
    <t>Accord SW EX</t>
  </si>
  <si>
    <t>022077-9</t>
  </si>
  <si>
    <t>Airtrek 2.4 16V 163cv/ 136cv 4x4 5p Aut.</t>
  </si>
  <si>
    <t>AIRTREK</t>
  </si>
  <si>
    <t>022097-3</t>
  </si>
  <si>
    <t>Airtrek 2.0 16V TB-IC 202cv 4x4 5p</t>
  </si>
  <si>
    <t>Allroad</t>
  </si>
  <si>
    <t>023124-0</t>
  </si>
  <si>
    <t>ALTIMA SL 2.5 16V 4p Aut.</t>
  </si>
  <si>
    <t>ALTIMA</t>
  </si>
  <si>
    <t>023021-9</t>
  </si>
  <si>
    <t>Altima SE 2.4 16V</t>
  </si>
  <si>
    <t>023020-0</t>
  </si>
  <si>
    <t>Altima GXE 2.4 16V</t>
  </si>
  <si>
    <t>005026-1</t>
  </si>
  <si>
    <t>Apolo GLS/ Vip 1.8</t>
  </si>
  <si>
    <t>073032-7</t>
  </si>
  <si>
    <t>ARRIZO 5e (Elétrico)</t>
  </si>
  <si>
    <t>004072-0</t>
  </si>
  <si>
    <t>Astra GLS 2.0 MPFI</t>
  </si>
  <si>
    <t>004073-8</t>
  </si>
  <si>
    <t>Astra GLS 2.0 MPFI SW</t>
  </si>
  <si>
    <t>022142-2</t>
  </si>
  <si>
    <t>ASX 2.0 16V 4x2 Aut.(By Amura-Blind.)</t>
  </si>
  <si>
    <t>022140-6</t>
  </si>
  <si>
    <t>ASX 2.0 16V 4x4 Aut.(By Armura-Blind.)</t>
  </si>
  <si>
    <t>015035-5</t>
  </si>
  <si>
    <t>Atos Prime GLS 1.0 Aut.</t>
  </si>
  <si>
    <t>ATOS</t>
  </si>
  <si>
    <t>015033-9</t>
  </si>
  <si>
    <t>Atos Prime GLS 1.0 Mec.</t>
  </si>
  <si>
    <t>015048-7</t>
  </si>
  <si>
    <t>Atos Prime GL 1.0 Mec.</t>
  </si>
  <si>
    <t>015034-7</t>
  </si>
  <si>
    <t>Atos Prime GLS 1.0 Semi-Aut.</t>
  </si>
  <si>
    <t>002038-9</t>
  </si>
  <si>
    <t>Avalon XLS 3.0</t>
  </si>
  <si>
    <t>AVALON</t>
  </si>
  <si>
    <t>011001-9</t>
  </si>
  <si>
    <t>AX GTi</t>
  </si>
  <si>
    <t>AX</t>
  </si>
  <si>
    <t>023022-7</t>
  </si>
  <si>
    <t>AX 6.5D Turbo Diesel</t>
  </si>
  <si>
    <t>028010-0</t>
  </si>
  <si>
    <t>Baleno Wagon 1.6 16V Aut.</t>
  </si>
  <si>
    <t>BALENO</t>
  </si>
  <si>
    <t>028009-7</t>
  </si>
  <si>
    <t>Baleno 1.6 16V Mec.</t>
  </si>
  <si>
    <t>028023-2</t>
  </si>
  <si>
    <t>Baleno 1.6 16V Aut.</t>
  </si>
  <si>
    <t>011078-7</t>
  </si>
  <si>
    <t>Berlingo MultSpace GLX 1.6 16V 110cv 4p</t>
  </si>
  <si>
    <t>011033-7</t>
  </si>
  <si>
    <t>Berlingo MultSpace GLX 1.8i 4p</t>
  </si>
  <si>
    <t>011026-4</t>
  </si>
  <si>
    <t>Berlingo MultSpace GLX 1.8i 3p</t>
  </si>
  <si>
    <t>018042-4</t>
  </si>
  <si>
    <t>Besta Furgão Grand 3.0 Diesel</t>
  </si>
  <si>
    <t>BESTA</t>
  </si>
  <si>
    <t>018035-1</t>
  </si>
  <si>
    <t>Besta GS Grand 3.0 8V 16L Diesel</t>
  </si>
  <si>
    <t>018014-9</t>
  </si>
  <si>
    <t>Besta GS 2.7 8V 12L Diesel</t>
  </si>
  <si>
    <t>018013-0</t>
  </si>
  <si>
    <t>Besta Furgão 2.7 Diesel</t>
  </si>
  <si>
    <t>018015-7</t>
  </si>
  <si>
    <t>Besta GS Full 2.7 Diesel</t>
  </si>
  <si>
    <t>018002-5</t>
  </si>
  <si>
    <t>Besta EST 2.7 Diesel (10/12lug.)</t>
  </si>
  <si>
    <t>018003-3</t>
  </si>
  <si>
    <t>Besta EST Full 2.7 Diesel (10/12lug.)</t>
  </si>
  <si>
    <t>018004-1</t>
  </si>
  <si>
    <t>Besta Furgão 2.2 Diesel</t>
  </si>
  <si>
    <t>018001-7</t>
  </si>
  <si>
    <t>Besta ST 2.2 Diesel (12lug.)</t>
  </si>
  <si>
    <t>004193-9</t>
  </si>
  <si>
    <t>S10 Blazer DLX 2.8 4x4 TB Interc. Diesel</t>
  </si>
  <si>
    <t>004237-4</t>
  </si>
  <si>
    <t>S10 Blazer DLX 2.4 MPFI 128cv 4p</t>
  </si>
  <si>
    <t>004204-8</t>
  </si>
  <si>
    <t>S10 Blazer 2.4 MPFI 8V 128cv 4p</t>
  </si>
  <si>
    <t>004091-6</t>
  </si>
  <si>
    <t>S10 Blazer Executive 4.3 V6</t>
  </si>
  <si>
    <t>004190-4</t>
  </si>
  <si>
    <t>S10 Blazer 4.3 V6</t>
  </si>
  <si>
    <t>004226-9</t>
  </si>
  <si>
    <t>S10 Blazer DTi 2.8 4x2 Turbo Diesel</t>
  </si>
  <si>
    <t>004021-5</t>
  </si>
  <si>
    <t>S10 Blazer Std. 2.5 Diesel Turbo</t>
  </si>
  <si>
    <t>004022-3</t>
  </si>
  <si>
    <t>S10 Blazer DLX 2.5 Diesel Turbo</t>
  </si>
  <si>
    <t>004018-5</t>
  </si>
  <si>
    <t>S10 Blazer Std. 2.2 MPFI / EFI</t>
  </si>
  <si>
    <t>004019-3</t>
  </si>
  <si>
    <t>S10 Blazer DLX 2.2 MPFI / EFI</t>
  </si>
  <si>
    <t>004160-2</t>
  </si>
  <si>
    <t>Blazer SS-10 4.3 V6</t>
  </si>
  <si>
    <t>004159-9</t>
  </si>
  <si>
    <t>Blazer S-10 4.3 V6</t>
  </si>
  <si>
    <t>004020-7</t>
  </si>
  <si>
    <t>S10 Blazer DLX 4.3 V6</t>
  </si>
  <si>
    <t>004158-0</t>
  </si>
  <si>
    <t>Blazer Jimmy 4.3 V6</t>
  </si>
  <si>
    <t>004183-1</t>
  </si>
  <si>
    <t>Brasinca Blazer CD 4.0 Diesel</t>
  </si>
  <si>
    <t>004117-3</t>
  </si>
  <si>
    <t>Brasinca Blazer CD 4.1</t>
  </si>
  <si>
    <t>004520-9</t>
  </si>
  <si>
    <t>BOLT EV Premier 203cv (Elétrico)</t>
  </si>
  <si>
    <t>BOLT</t>
  </si>
  <si>
    <t>002012-5</t>
  </si>
  <si>
    <t>Corolla LE 1.8</t>
  </si>
  <si>
    <t>002045-1</t>
  </si>
  <si>
    <t>Corolla LE 2.2 16V</t>
  </si>
  <si>
    <t>002029-0</t>
  </si>
  <si>
    <t>Corolla SE-G 1.8 16V Mec.</t>
  </si>
  <si>
    <t>002060-5</t>
  </si>
  <si>
    <t>Corolla SE-G 1.8/1.8 Flex 16V Aut.</t>
  </si>
  <si>
    <t>002037-0</t>
  </si>
  <si>
    <t>Corolla SW LE 1.8/ XLi 1.6 16V</t>
  </si>
  <si>
    <t>002013-3</t>
  </si>
  <si>
    <t>Corolla WG</t>
  </si>
  <si>
    <t>002063-0</t>
  </si>
  <si>
    <t>Corona Aut.</t>
  </si>
  <si>
    <t>CORONA</t>
  </si>
  <si>
    <t>002024-9</t>
  </si>
  <si>
    <t>Corona GLi Mec</t>
  </si>
  <si>
    <t>002039-7</t>
  </si>
  <si>
    <t>Corona Mec.</t>
  </si>
  <si>
    <t>005118-7</t>
  </si>
  <si>
    <t>Corrado 2.0 Turbo</t>
  </si>
  <si>
    <t>CORRADO</t>
  </si>
  <si>
    <t>005117-9</t>
  </si>
  <si>
    <t>Corrado G-60 2.8</t>
  </si>
  <si>
    <t>004140-8</t>
  </si>
  <si>
    <t>Corvette 5.7/ 6.0, 6.2 Conv./Stingray</t>
  </si>
  <si>
    <t>CORVETTE</t>
  </si>
  <si>
    <t>004141-6</t>
  </si>
  <si>
    <t>Corvette 5.7/ 6.0, 6.2 Targa/Stingray</t>
  </si>
  <si>
    <t>001057-0</t>
  </si>
  <si>
    <t>Coupe 16V</t>
  </si>
  <si>
    <t>COUPE</t>
  </si>
  <si>
    <t>015037-1</t>
  </si>
  <si>
    <t>Coupe FX 2.0 Aut.</t>
  </si>
  <si>
    <t>015036-3</t>
  </si>
  <si>
    <t>Coupe FX 2.0 Mec.</t>
  </si>
  <si>
    <t>015054-1</t>
  </si>
  <si>
    <t>Coupe FX 2.7 V6 24V 180cv Aut.</t>
  </si>
  <si>
    <t>015053-3</t>
  </si>
  <si>
    <t>Coupe FX 2.7 V6 24V 180cv Mec.</t>
  </si>
  <si>
    <t>001522-9</t>
  </si>
  <si>
    <t>CRONOS HGT 1.8 16V Flex Aut.</t>
  </si>
  <si>
    <t>003153-4</t>
  </si>
  <si>
    <t>Crown Victoria LX 4.6</t>
  </si>
  <si>
    <t>CROWN</t>
  </si>
  <si>
    <t>014032-5</t>
  </si>
  <si>
    <t>CR-V 2.0 16V Aut.</t>
  </si>
  <si>
    <t>014031-7</t>
  </si>
  <si>
    <t>CR-V 2.0 16V Mec.</t>
  </si>
  <si>
    <t>014038-4</t>
  </si>
  <si>
    <t>CR-V 2.4 16V 156cv Aut. 4p</t>
  </si>
  <si>
    <t>015015-0</t>
  </si>
  <si>
    <t>Cupê 2.0</t>
  </si>
  <si>
    <t>CUPE</t>
  </si>
  <si>
    <t>004184-0</t>
  </si>
  <si>
    <t>D-10 CD Diesel</t>
  </si>
  <si>
    <t>D-10</t>
  </si>
  <si>
    <t>004118-1</t>
  </si>
  <si>
    <t>D-10 Diesel</t>
  </si>
  <si>
    <t>004142-4</t>
  </si>
  <si>
    <t>D-20 4.0 Champ/Conquest/El Caminho Dies.</t>
  </si>
  <si>
    <t>D-20</t>
  </si>
  <si>
    <t>004037-1</t>
  </si>
  <si>
    <t>D-20 CD Lx S4T/Tro.Plus/Lx 3.9/4.0 TDies</t>
  </si>
  <si>
    <t>004036-3</t>
  </si>
  <si>
    <t>D-20 S / El Caminho 3.9/4.0 CD T.Dies</t>
  </si>
  <si>
    <t>004034-7</t>
  </si>
  <si>
    <t>D-20 S / Luxe 3.9/4.0 Diesel</t>
  </si>
  <si>
    <t>004035-5</t>
  </si>
  <si>
    <t>D-20 S / Luxe 3.9/4.0 T.Diesel</t>
  </si>
  <si>
    <t>004187-4</t>
  </si>
  <si>
    <t>D-20 S 3.9/4.0 Turbo Diesel</t>
  </si>
  <si>
    <t>023024-3</t>
  </si>
  <si>
    <t>D-21 Pick-Up CD 4x2/4x4 2.7 Diesel</t>
  </si>
  <si>
    <t>D-21</t>
  </si>
  <si>
    <t>023023-5</t>
  </si>
  <si>
    <t>D-21 Pick-Up CS 4x2/4x4 2.7 Diesel</t>
  </si>
  <si>
    <t>003135-6</t>
  </si>
  <si>
    <t>Del Rey Belina Ghia</t>
  </si>
  <si>
    <t>DEL REY</t>
  </si>
  <si>
    <t>003133-0</t>
  </si>
  <si>
    <t>Del Rey Belina GL</t>
  </si>
  <si>
    <t>003134-8</t>
  </si>
  <si>
    <t>Del Rey Belina GLX</t>
  </si>
  <si>
    <t>003132-1</t>
  </si>
  <si>
    <t>Del Rey Belina L</t>
  </si>
  <si>
    <t>003025-2</t>
  </si>
  <si>
    <t>Del Rey Ghia 1.8 / 1.6 2p e 4p</t>
  </si>
  <si>
    <t>003024-4</t>
  </si>
  <si>
    <t>Del Rey GLX 1.6/1.8 / GL 1.6/1.8 2p e 4p</t>
  </si>
  <si>
    <t>003023-6</t>
  </si>
  <si>
    <t>Del Rey L 1.8 / 1.6 2p e 4p</t>
  </si>
  <si>
    <t>022030-2</t>
  </si>
  <si>
    <t>Diamant LS 3.0 V6</t>
  </si>
  <si>
    <t>DIAMANT</t>
  </si>
  <si>
    <t>011149-0</t>
  </si>
  <si>
    <t>DS3 Sport Chic 1.6 TB 16V 3p Mec.</t>
  </si>
  <si>
    <t>DS</t>
  </si>
  <si>
    <t>011147-3</t>
  </si>
  <si>
    <t>DS4 1.6 Chic Turbo 16V 5p Aut.</t>
  </si>
  <si>
    <t>011148-1</t>
  </si>
  <si>
    <t>DS4 1.6 So Chic Turbo 16V 5p Aut.</t>
  </si>
  <si>
    <t>011121-0</t>
  </si>
  <si>
    <t>DS4 1.6 Turbo 16V 5p Aut.</t>
  </si>
  <si>
    <t>011155-4</t>
  </si>
  <si>
    <t>DS5 1.6 Be Chic Turbo 16V 5p Aut.</t>
  </si>
  <si>
    <t>011154-6</t>
  </si>
  <si>
    <t>DS5 1.6 So Chic Turbo 16V 5p Aut.</t>
  </si>
  <si>
    <t>011120-1</t>
  </si>
  <si>
    <t>DS5 1.6 Turbo 16V 5p Aut.</t>
  </si>
  <si>
    <t>001190-8</t>
  </si>
  <si>
    <t>Ducato Cargo 2.8 Curto/Longo TB Diesel</t>
  </si>
  <si>
    <t>001098-7</t>
  </si>
  <si>
    <t>Ducato Combinato 2.8 Diesel</t>
  </si>
  <si>
    <t>001106-1</t>
  </si>
  <si>
    <t>Ducato Combinato 2.8 Turbo Diesel</t>
  </si>
  <si>
    <t>001096-0</t>
  </si>
  <si>
    <t>Ducato Furgão Maxi 2.8 Diesel</t>
  </si>
  <si>
    <t>001107-0</t>
  </si>
  <si>
    <t>Ducato MaxiCargo/Furgão Maxi 2.8 TB Dies</t>
  </si>
  <si>
    <t>001100-2</t>
  </si>
  <si>
    <t>Ducato Minibus 2.8 Diesel</t>
  </si>
  <si>
    <t>001108-8</t>
  </si>
  <si>
    <t>Ducato Minibus 2.8 Turbo Diesel</t>
  </si>
  <si>
    <t>001159-2</t>
  </si>
  <si>
    <t>Ducato Mult/ Vetrato 2.8 T.Alto TB Dies.</t>
  </si>
  <si>
    <t>001160-6</t>
  </si>
  <si>
    <t>Ducato Mult/ Vetrato 2.8 T.Baixo TB Dies</t>
  </si>
  <si>
    <t>001132-0</t>
  </si>
  <si>
    <t>Ducato Van 2.5 Diesel</t>
  </si>
  <si>
    <t>001130-4</t>
  </si>
  <si>
    <t>Ducato-10 Furgão 2.5 Diesel</t>
  </si>
  <si>
    <t>001134-7</t>
  </si>
  <si>
    <t>Ducato-15 2.8 Furgão TB Diesel</t>
  </si>
  <si>
    <t>001095-2</t>
  </si>
  <si>
    <t>Ducato-15 Furgão 2.8 Diesel</t>
  </si>
  <si>
    <t>001131-2</t>
  </si>
  <si>
    <t>Ducato-8 Furgão 2.5 Diesel</t>
  </si>
  <si>
    <t>001129-0</t>
  </si>
  <si>
    <t>Duna 1.6ie</t>
  </si>
  <si>
    <t>DUNA</t>
  </si>
  <si>
    <t>021007-2</t>
  </si>
  <si>
    <t>E-190</t>
  </si>
  <si>
    <t>021107-9</t>
  </si>
  <si>
    <t>E-190 Classic</t>
  </si>
  <si>
    <t>021079-0</t>
  </si>
  <si>
    <t>E-200 Classic 2.0</t>
  </si>
  <si>
    <t>E-200</t>
  </si>
  <si>
    <t>021064-1</t>
  </si>
  <si>
    <t>E-220 Classic/Touring 2.2</t>
  </si>
  <si>
    <t>E-220</t>
  </si>
  <si>
    <t>021008-0</t>
  </si>
  <si>
    <t>E-230 Elegance</t>
  </si>
  <si>
    <t>E-230</t>
  </si>
  <si>
    <t>021029-3</t>
  </si>
  <si>
    <t>E-240 Elegance</t>
  </si>
  <si>
    <t>E-240</t>
  </si>
  <si>
    <t>021305-5</t>
  </si>
  <si>
    <t>E-250 Cabriolet 2.0 TB 211CV Aut.</t>
  </si>
  <si>
    <t>E-250</t>
  </si>
  <si>
    <t>021243-1</t>
  </si>
  <si>
    <t>E-250 CGI Avantgarde 1.8 16V 204cv Aut.</t>
  </si>
  <si>
    <t>021295-4</t>
  </si>
  <si>
    <t>E-250 CGI Avantgarde 2.0 TB 211cv Aut.</t>
  </si>
  <si>
    <t>021244-0</t>
  </si>
  <si>
    <t>E-250 CGI Coupe 1.8 16V 204cv Aut.</t>
  </si>
  <si>
    <t>021323-3</t>
  </si>
  <si>
    <t>E-250 CGI VR4 2.0 TB Aut.</t>
  </si>
  <si>
    <t>021298-9</t>
  </si>
  <si>
    <t>E-250 Coupe 2.0 TB 211cv Aut.</t>
  </si>
  <si>
    <t>021362-4</t>
  </si>
  <si>
    <t>E-250 Excl. Launch Ed. 2.0 TB 211cv Aut.</t>
  </si>
  <si>
    <t>021372-1</t>
  </si>
  <si>
    <t>E-250 Exclusive 2.0 TB 211cv Aut.</t>
  </si>
  <si>
    <t>021065-0</t>
  </si>
  <si>
    <t>E-280 Classic 2.8</t>
  </si>
  <si>
    <t>E-280</t>
  </si>
  <si>
    <t>021066-8</t>
  </si>
  <si>
    <t>E-280 Touring 2.8</t>
  </si>
  <si>
    <t>021465-5</t>
  </si>
  <si>
    <t>E-300 AMG Line 2.0 TB 258cv Aut.</t>
  </si>
  <si>
    <t>E-300</t>
  </si>
  <si>
    <t>021411-6</t>
  </si>
  <si>
    <t>E-300 Avantgarde 2.0 TB 258cv Aut.</t>
  </si>
  <si>
    <t>021457-4</t>
  </si>
  <si>
    <t>E-300 Avantgarde Sport 2.0 TB 258cv Aut.</t>
  </si>
  <si>
    <t>021393-4</t>
  </si>
  <si>
    <t>E-300 Cabriolet 2.0 TB 245cv Aut.</t>
  </si>
  <si>
    <t>021386-1</t>
  </si>
  <si>
    <t>E-300 Coupe 2.0 TB 245cv Aut.</t>
  </si>
  <si>
    <t>021410-8</t>
  </si>
  <si>
    <t>E-300 Exclusive 2.0 TB 258cv Aut.</t>
  </si>
  <si>
    <t>021009-9</t>
  </si>
  <si>
    <t>E-320</t>
  </si>
  <si>
    <t>021030-7</t>
  </si>
  <si>
    <t>E-320 3.2 Elegance</t>
  </si>
  <si>
    <t>021031-5</t>
  </si>
  <si>
    <t>E-320 Avantgarde</t>
  </si>
  <si>
    <t>021094-3</t>
  </si>
  <si>
    <t>E-320 C 3.2/ CA Classic 3.2</t>
  </si>
  <si>
    <t>021093-5</t>
  </si>
  <si>
    <t>E-320 Cabriolet</t>
  </si>
  <si>
    <t>021160-5</t>
  </si>
  <si>
    <t>E-320 Touring Avantgarde 24V V6 5p Aut.</t>
  </si>
  <si>
    <t>021033-1</t>
  </si>
  <si>
    <t>E-320 Touring Eleg./Classic</t>
  </si>
  <si>
    <t>021221-0</t>
  </si>
  <si>
    <t>E-350 Avant./Avant. Execut. 3.5 V6 272cv</t>
  </si>
  <si>
    <t>E-350</t>
  </si>
  <si>
    <t>021178-8</t>
  </si>
  <si>
    <t>E-350 Avantgarde/ Elegance 3.5 V6 272cv</t>
  </si>
  <si>
    <t>021235-0</t>
  </si>
  <si>
    <t>E-350 Cabrio 3.5 V6 272cv 2p</t>
  </si>
  <si>
    <t>021275-0</t>
  </si>
  <si>
    <t>E-350 CGI Avant. Sport 3.5 306cv Aut.</t>
  </si>
  <si>
    <t>021294-6</t>
  </si>
  <si>
    <t>E-350 CGI Cabriolet 3.5 306cv Aut.</t>
  </si>
  <si>
    <t>021256-3</t>
  </si>
  <si>
    <t>E-350 CGI Executive 3.5 306cv Aut.</t>
  </si>
  <si>
    <t>021296-2</t>
  </si>
  <si>
    <t>E-350 CGI Guard VR4 3.5 306cv Aut.</t>
  </si>
  <si>
    <t>021223-7</t>
  </si>
  <si>
    <t>E-350 Coupe 3.5 V6 272cv 2p</t>
  </si>
  <si>
    <t>021208-3</t>
  </si>
  <si>
    <t>E-350 Sport 3.5 V6 272cv</t>
  </si>
  <si>
    <t>021187-7</t>
  </si>
  <si>
    <t>E-350 Touring Avant/Eleg. 3.5 24V 272cv</t>
  </si>
  <si>
    <t>021317-9</t>
  </si>
  <si>
    <t>E-400 Avantgarde 3.5 V6 Bi-Turbo Aut.</t>
  </si>
  <si>
    <t>E-400</t>
  </si>
  <si>
    <t>021329-2</t>
  </si>
  <si>
    <t>E-400 Cabriolet 3.5 V6 Bi-Turbo Aut.</t>
  </si>
  <si>
    <t>021010-2</t>
  </si>
  <si>
    <t>E-420 Classic/Elegance/Avantgarde</t>
  </si>
  <si>
    <t>E-420</t>
  </si>
  <si>
    <t>021059-5</t>
  </si>
  <si>
    <t>E-420 Touring Avantgarde</t>
  </si>
  <si>
    <t>021382-9</t>
  </si>
  <si>
    <t>E-43 AMG 4MATIC 3.0 V6 401cv Aut.</t>
  </si>
  <si>
    <t xml:space="preserve">E-43 </t>
  </si>
  <si>
    <t>021035-8</t>
  </si>
  <si>
    <t>E-430 Avantgarde</t>
  </si>
  <si>
    <t>E-430</t>
  </si>
  <si>
    <t>021034-0</t>
  </si>
  <si>
    <t>E-430 Elegance</t>
  </si>
  <si>
    <t>021036-6</t>
  </si>
  <si>
    <t>E-430 Touring Avantgarde</t>
  </si>
  <si>
    <t>021240-7</t>
  </si>
  <si>
    <t>E-500 Avangarde Executive 5.5 V8 388cv</t>
  </si>
  <si>
    <t>E-500</t>
  </si>
  <si>
    <t>021216-4</t>
  </si>
  <si>
    <t>E-500 Avant. 5.0 V8 4p Aut. (Blindada)</t>
  </si>
  <si>
    <t>021274-1</t>
  </si>
  <si>
    <t>E-500 CGI Guard VR4 4.7 V8 408cv 4p</t>
  </si>
  <si>
    <t>021257-1</t>
  </si>
  <si>
    <t>E-500 CGI Guard VR4 5.5 V8 4p</t>
  </si>
  <si>
    <t>021263-6</t>
  </si>
  <si>
    <t>E-500 Coupe Sport 4.7 V8 408cv Aut 2p</t>
  </si>
  <si>
    <t>021238-5</t>
  </si>
  <si>
    <t>E-500 Coupe Sport 5.5 V8 388cv 2p</t>
  </si>
  <si>
    <t>021144-3</t>
  </si>
  <si>
    <t>E-500 Elegance/ Avant. 5.0 V8 24V 4p Aut</t>
  </si>
  <si>
    <t>021211-3</t>
  </si>
  <si>
    <t>E-500 Sport Avantgarde 5.0 V8 24V 4p Aut</t>
  </si>
  <si>
    <t>021158-3</t>
  </si>
  <si>
    <t>E-500 Tour. Avant./ Eleg. 24V V8 5p Aut.</t>
  </si>
  <si>
    <t>021406-0</t>
  </si>
  <si>
    <t>E-53 AMG 3.0 TB 24V 4MATIC+ Hybrido Aut.</t>
  </si>
  <si>
    <t xml:space="preserve">E-53 </t>
  </si>
  <si>
    <t>021037-4</t>
  </si>
  <si>
    <t>E-55 AMG</t>
  </si>
  <si>
    <t xml:space="preserve">E-55 </t>
  </si>
  <si>
    <t>021159-1</t>
  </si>
  <si>
    <t>E-55 Touring AMG 24V V8 5p Aut.</t>
  </si>
  <si>
    <t>021258-0</t>
  </si>
  <si>
    <t>E-63 AMG 5.5 V8 Bi-Turbo Aut.</t>
  </si>
  <si>
    <t xml:space="preserve">E-63 </t>
  </si>
  <si>
    <t>021198-2</t>
  </si>
  <si>
    <t>E-63 AMG 6.2 V8 32V</t>
  </si>
  <si>
    <t>021383-7</t>
  </si>
  <si>
    <t>E-63 S AMG 4MATIC 4.0 V8 612cv</t>
  </si>
  <si>
    <t>021466-3</t>
  </si>
  <si>
    <t>E-63 S AMG 4MATIC Final Ed. 4.0 V8 612cv</t>
  </si>
  <si>
    <t>021259-8</t>
  </si>
  <si>
    <t>E-63 Touring AMG 5.5 V8 Bi-Turbo Aut.</t>
  </si>
  <si>
    <t>021241-5</t>
  </si>
  <si>
    <t>E-63 Touring AMG 6.2 V8 Aut.</t>
  </si>
  <si>
    <t>022182-1</t>
  </si>
  <si>
    <t>Eclipse Cross GLS 1.5 16V 165cv Aut.</t>
  </si>
  <si>
    <t>ECLIPSE</t>
  </si>
  <si>
    <t>022181-3</t>
  </si>
  <si>
    <t>Eclipse Cross HPE 1.5 16V 165cv Aut.</t>
  </si>
  <si>
    <t>022170-8</t>
  </si>
  <si>
    <t>Eclipse Cross HPE-S 1.5 16V 165cv Aut.</t>
  </si>
  <si>
    <t>022169-4</t>
  </si>
  <si>
    <t>Eclipse Cross HPE-S 1.5 AWC 165cv Aut.</t>
  </si>
  <si>
    <t>022193-7</t>
  </si>
  <si>
    <t>Eclipse Cross HPE-S Outdoor 1.5 AWC Aut.</t>
  </si>
  <si>
    <t>022197-0</t>
  </si>
  <si>
    <t>Eclipse Cross HPE-S Sport 1.5 16V Aut.</t>
  </si>
  <si>
    <t>022194-5</t>
  </si>
  <si>
    <t>Eclipse Cross HPE-S Sport 1.5 AWC Aut.</t>
  </si>
  <si>
    <t>022004-3</t>
  </si>
  <si>
    <t>Eclipse GS/ GS Turbo Mec</t>
  </si>
  <si>
    <t>022032-9</t>
  </si>
  <si>
    <t>Eclipse GST 2.0 16V Turbo</t>
  </si>
  <si>
    <t>022031-0</t>
  </si>
  <si>
    <t>Eclipse GSX 2.0 V6 16V Turbo</t>
  </si>
  <si>
    <t>022059-0</t>
  </si>
  <si>
    <t>Eclipse GT 3.0 V6 24V</t>
  </si>
  <si>
    <t>022096-5</t>
  </si>
  <si>
    <t>Eclipse GT 3.8 V6 267cv</t>
  </si>
  <si>
    <t>003344-8</t>
  </si>
  <si>
    <t>EDGE LIMITED 3.5 V6 24V AWD Aut.</t>
  </si>
  <si>
    <t>003352-9</t>
  </si>
  <si>
    <t>EDGE LIMITED 3.5 V6 24V FWD Aut.</t>
  </si>
  <si>
    <t>003353-7</t>
  </si>
  <si>
    <t>EDGE SEL 3.5 V6 24V FWD Aut.</t>
  </si>
  <si>
    <t>003469-0</t>
  </si>
  <si>
    <t>EDGE ST 2.7 V6 24V AWD Aut.</t>
  </si>
  <si>
    <t>003428-2</t>
  </si>
  <si>
    <t>EDGE TITANIUM 3.5 V6 24V AWD Aut.</t>
  </si>
  <si>
    <t>080031-7</t>
  </si>
  <si>
    <t>e-JS1 62cv 5p Aut. (Elétrico)</t>
  </si>
  <si>
    <t>E-JS1</t>
  </si>
  <si>
    <t>080034-1</t>
  </si>
  <si>
    <t>e-JS1 Extreme 62cv 5p Aut. (Elétrico)</t>
  </si>
  <si>
    <t>080030-9</t>
  </si>
  <si>
    <t>e-JS4 150CV 5p Aut. (Elétrico)</t>
  </si>
  <si>
    <t>015136-0</t>
  </si>
  <si>
    <t>Elantra 2.0 16V Flex Aut.</t>
  </si>
  <si>
    <t>015005-3</t>
  </si>
  <si>
    <t>Elantra GL</t>
  </si>
  <si>
    <t>015030-4</t>
  </si>
  <si>
    <t>Elantra GLS 1.6</t>
  </si>
  <si>
    <t>015006-1</t>
  </si>
  <si>
    <t>Elantra GLS 1.8 16V</t>
  </si>
  <si>
    <t>015050-9</t>
  </si>
  <si>
    <t>Elantra GLS 2.0 16V Aut.</t>
  </si>
  <si>
    <t>015104-1</t>
  </si>
  <si>
    <t>Elantra GLS 2.0 16V Flex Aut.</t>
  </si>
  <si>
    <t>015049-5</t>
  </si>
  <si>
    <t>Elantra GLS 2.0 16V Mec.</t>
  </si>
  <si>
    <t>015135-1</t>
  </si>
  <si>
    <t>Elantra Special Edit. 2.0 16V Flex Aut.</t>
  </si>
  <si>
    <t>015016-9</t>
  </si>
  <si>
    <t>Elantra Wagon 1.8 16V</t>
  </si>
  <si>
    <t>001025-1</t>
  </si>
  <si>
    <t>Elba 1.6i.e/Top/CSL/ 1.6i.e/1.5 2p e 4p</t>
  </si>
  <si>
    <t>ELBA</t>
  </si>
  <si>
    <t>001023-5</t>
  </si>
  <si>
    <t>Elba CS 1.6 / 1.5 /1.3</t>
  </si>
  <si>
    <t>001022-7</t>
  </si>
  <si>
    <t>Elba S 1.6/ 1.5ie / 1.5 / 1.3</t>
  </si>
  <si>
    <t>001024-3</t>
  </si>
  <si>
    <t>Elba Weekend 1.5 i.e. 2p e 4p</t>
  </si>
  <si>
    <t>005287-6</t>
  </si>
  <si>
    <t>EOS Cab. 2.0 Turbo FSI Tiptronic</t>
  </si>
  <si>
    <t>EOS</t>
  </si>
  <si>
    <t>021454-0</t>
  </si>
  <si>
    <t>EQC 400 4MATIC 408CV (Elétrico)</t>
  </si>
  <si>
    <t>EQC</t>
  </si>
  <si>
    <t>015087-8</t>
  </si>
  <si>
    <t>EQUUS 4.6 V8 32V 366cv 4p Aut.</t>
  </si>
  <si>
    <t>EQUUS</t>
  </si>
  <si>
    <t>003038-4</t>
  </si>
  <si>
    <t>Escort XR3 1.8 / 1.6 Beneton/Form./Laser</t>
  </si>
  <si>
    <t>003039-2</t>
  </si>
  <si>
    <t>Escort XR3 1.8 / 1.6 Conversível</t>
  </si>
  <si>
    <t>003040-6</t>
  </si>
  <si>
    <t>Escort XR3 2.0i</t>
  </si>
  <si>
    <t>003041-4</t>
  </si>
  <si>
    <t>Escort XR3 2.0i Conversível</t>
  </si>
  <si>
    <t>E-TRON</t>
  </si>
  <si>
    <t>005084-9</t>
  </si>
  <si>
    <t>Eurovan 2.4 Diesel</t>
  </si>
  <si>
    <t>EUROVAN</t>
  </si>
  <si>
    <t>011027-2</t>
  </si>
  <si>
    <t>Evasion GLX 2.0 16V</t>
  </si>
  <si>
    <t>011003-5</t>
  </si>
  <si>
    <t>Evasion VSX Turbo</t>
  </si>
  <si>
    <t>015007-0</t>
  </si>
  <si>
    <t>Excel GLS</t>
  </si>
  <si>
    <t>EXCEL</t>
  </si>
  <si>
    <t>015026-6</t>
  </si>
  <si>
    <t>Excel GS</t>
  </si>
  <si>
    <t>015027-4</t>
  </si>
  <si>
    <t>Excel L</t>
  </si>
  <si>
    <t>015008-8</t>
  </si>
  <si>
    <t>Excel LS/ GL</t>
  </si>
  <si>
    <t>003154-2</t>
  </si>
  <si>
    <t>Expedition 5.4 V8</t>
  </si>
  <si>
    <t>EXPEDITION</t>
  </si>
  <si>
    <t>003290-5</t>
  </si>
  <si>
    <t>Explorer Limited 4.0 4x4 V6 213cv</t>
  </si>
  <si>
    <t>EXPLORER</t>
  </si>
  <si>
    <t>003138-0</t>
  </si>
  <si>
    <t>Explorer Limited 5.0 4x4 V8</t>
  </si>
  <si>
    <t>003157-7</t>
  </si>
  <si>
    <t>Explorer Sport 4.0 V6</t>
  </si>
  <si>
    <t>003155-0</t>
  </si>
  <si>
    <t>Explorer XL 4x2 4.0 V6</t>
  </si>
  <si>
    <t>003156-9</t>
  </si>
  <si>
    <t>Explorer XL 4x4 4.0 V6</t>
  </si>
  <si>
    <t>003073-2</t>
  </si>
  <si>
    <t>Explorer XLT 4x2 4.0 V6</t>
  </si>
  <si>
    <t>003074-0</t>
  </si>
  <si>
    <t>Explorer XLT 4x4 4.0 V6</t>
  </si>
  <si>
    <t>022042-6</t>
  </si>
  <si>
    <t>Expo LRV Sport 2.3 16V</t>
  </si>
  <si>
    <t>EXPO</t>
  </si>
  <si>
    <t>022005-1</t>
  </si>
  <si>
    <t>Expo SP Van 2.3 16V</t>
  </si>
  <si>
    <t>025012-0</t>
  </si>
  <si>
    <t>Express 1.6/ RL 1.6</t>
  </si>
  <si>
    <t>EXPRESS</t>
  </si>
  <si>
    <t>003185-2</t>
  </si>
  <si>
    <t>F-100 2.3</t>
  </si>
  <si>
    <t>F-100</t>
  </si>
  <si>
    <t>003186-0</t>
  </si>
  <si>
    <t>F-100 Blazer 2.3</t>
  </si>
  <si>
    <t>003187-9</t>
  </si>
  <si>
    <t>F-100 CD 2.3</t>
  </si>
  <si>
    <t>003188-7</t>
  </si>
  <si>
    <t>F-100 Super 2.3</t>
  </si>
  <si>
    <t>003189-5</t>
  </si>
  <si>
    <t>F-100 Super Série 2.3</t>
  </si>
  <si>
    <t>003162-3</t>
  </si>
  <si>
    <t>F-1000 CD/Blazer 3.6</t>
  </si>
  <si>
    <t>003163-1</t>
  </si>
  <si>
    <t>F-1000 CD/Blazer 3.9 Dies.</t>
  </si>
  <si>
    <t>003164-0</t>
  </si>
  <si>
    <t>F-1000 Lightning/ Super 4.9i</t>
  </si>
  <si>
    <t>003009-0</t>
  </si>
  <si>
    <t>F-1000 Regular Cab. 4.9i</t>
  </si>
  <si>
    <t>003048-1</t>
  </si>
  <si>
    <t>F-1000 S. S. Diesel / S.S. Diesel Turbo</t>
  </si>
  <si>
    <t>003222-0</t>
  </si>
  <si>
    <t>F-1000 SR XK Deserter</t>
  </si>
  <si>
    <t>003124-0</t>
  </si>
  <si>
    <t>F-1000 SR XK Deserter Diesel</t>
  </si>
  <si>
    <t>003042-2</t>
  </si>
  <si>
    <t>F-1000 Super 3.6 / Super Série 3.6</t>
  </si>
  <si>
    <t>003043-0</t>
  </si>
  <si>
    <t>F-1000 Super CE 4.9i / 3.6</t>
  </si>
  <si>
    <t>003046-5</t>
  </si>
  <si>
    <t>F-1000 Super Diesel / Super Diesel Turbo</t>
  </si>
  <si>
    <t>003045-7</t>
  </si>
  <si>
    <t>F-1000 Super Diesel CE 3.9</t>
  </si>
  <si>
    <t>003044-9</t>
  </si>
  <si>
    <t>F-1000 Super Série CE 4.9/3.6</t>
  </si>
  <si>
    <t>003047-3</t>
  </si>
  <si>
    <t>F-1000 Super Série CE Diesel 3.9</t>
  </si>
  <si>
    <t>003049-0</t>
  </si>
  <si>
    <t>F-1000 Super/ S.Série 4x4 3.9 Diesel</t>
  </si>
  <si>
    <t>003166-6</t>
  </si>
  <si>
    <t>F-1000 Tropical CD 4.9i</t>
  </si>
  <si>
    <t>003165-8</t>
  </si>
  <si>
    <t>F-1000 Tropical CD HSD 2.5/4.3 Diesel TB</t>
  </si>
  <si>
    <t>003243-3</t>
  </si>
  <si>
    <t>F-1000 Tropical SL/ Van 4.9i</t>
  </si>
  <si>
    <t>003241-7</t>
  </si>
  <si>
    <t>F-1000 Tropical SL/ Van T.Diesel (todas)</t>
  </si>
  <si>
    <t>003167-4</t>
  </si>
  <si>
    <t>F-1000 XL 2.5 HSD Diesel TB</t>
  </si>
  <si>
    <t>003199-2</t>
  </si>
  <si>
    <t>F-1000 XL 4.9i</t>
  </si>
  <si>
    <t>003010-4</t>
  </si>
  <si>
    <t>F-1000 XL 4.9i CE</t>
  </si>
  <si>
    <t>003014-7</t>
  </si>
  <si>
    <t>F-1000 XL 4x4 Diesel Turbo</t>
  </si>
  <si>
    <t>003012-0</t>
  </si>
  <si>
    <t>F-1000 XL Diesel Turbo</t>
  </si>
  <si>
    <t>003168-2</t>
  </si>
  <si>
    <t>F-1000 XLT 2.5 HSD Diesel TB</t>
  </si>
  <si>
    <t>003015-5</t>
  </si>
  <si>
    <t>F-1000 XLT 4x4 Diesel Turbo</t>
  </si>
  <si>
    <t>003197-6</t>
  </si>
  <si>
    <t>F-1000 XLT CE 4.9i</t>
  </si>
  <si>
    <t>003013-9</t>
  </si>
  <si>
    <t>F-1000 XLT Diesel Turbo</t>
  </si>
  <si>
    <t>003011-2</t>
  </si>
  <si>
    <t>F-1000 XLT/XL Lighting 4.9i</t>
  </si>
  <si>
    <t>003126-7</t>
  </si>
  <si>
    <t>F-150 XL Triton 4.3 V6</t>
  </si>
  <si>
    <t>F-150</t>
  </si>
  <si>
    <t>003159-3</t>
  </si>
  <si>
    <t>F-150 XLT Triton 4.3</t>
  </si>
  <si>
    <t>003217-4</t>
  </si>
  <si>
    <t>F-150 XLT Triton 4.6 V8</t>
  </si>
  <si>
    <t>003160-7</t>
  </si>
  <si>
    <t>F-150 XLT Triton 5.8</t>
  </si>
  <si>
    <t>003338-3</t>
  </si>
  <si>
    <t>F-250 F-MILHA CD 3.9 TB Diesel</t>
  </si>
  <si>
    <t>003355-3</t>
  </si>
  <si>
    <t>F-250 Tropica./Tropmine Exec. 3.9 Diesel</t>
  </si>
  <si>
    <t>003313-8</t>
  </si>
  <si>
    <t>F-250 TropiCab CE 3.9 TB Diesel</t>
  </si>
  <si>
    <t>003170-4</t>
  </si>
  <si>
    <t>F-250 Tropical 3.9 Diesel</t>
  </si>
  <si>
    <t>003172-0</t>
  </si>
  <si>
    <t>F-250 Tropical 4.2 CE / CD Diesel TB</t>
  </si>
  <si>
    <t>003171-2</t>
  </si>
  <si>
    <t>F-250 Tropical 4.2 V6</t>
  </si>
  <si>
    <t>003242-5</t>
  </si>
  <si>
    <t>F-250 Tropical SL/ Van T.Diesel (todas)</t>
  </si>
  <si>
    <t>003314-6</t>
  </si>
  <si>
    <t>F-250 Tropicampo CD 3.9 TB Diesel</t>
  </si>
  <si>
    <t>003315-4</t>
  </si>
  <si>
    <t>F-250 Tropiclassic 3.9 TB Diesel</t>
  </si>
  <si>
    <t>003316-2</t>
  </si>
  <si>
    <t>F-250 Tropivan Executive 3.9 TB Diesel</t>
  </si>
  <si>
    <t>003317-0</t>
  </si>
  <si>
    <t>F-250 Tropivan/Tropi. Plus 3.9 TB Diesel</t>
  </si>
  <si>
    <t>003016-3</t>
  </si>
  <si>
    <t>Fiesta 1.0i 3p e 5p</t>
  </si>
  <si>
    <t>003075-9</t>
  </si>
  <si>
    <t>Fiesta 1.3 3p e 5p</t>
  </si>
  <si>
    <t>003200-0</t>
  </si>
  <si>
    <t>Fiesta Class 1.0 2p</t>
  </si>
  <si>
    <t>003201-8</t>
  </si>
  <si>
    <t>Fiesta Class 1.0 4p</t>
  </si>
  <si>
    <t>003052-0</t>
  </si>
  <si>
    <t>Fiesta CLX 1.3i 3p</t>
  </si>
  <si>
    <t>003053-8</t>
  </si>
  <si>
    <t>Fiesta CLX 1.3i 5p</t>
  </si>
  <si>
    <t>003017-1</t>
  </si>
  <si>
    <t>Fiesta CLX 1.4i 16V 3p e 5p</t>
  </si>
  <si>
    <t>003245-0</t>
  </si>
  <si>
    <t>Fiesta Sedan Street 1.0 8v 4p</t>
  </si>
  <si>
    <t>003246-8</t>
  </si>
  <si>
    <t>Fiesta Sedan Street 1.6 8v 4p</t>
  </si>
  <si>
    <t>003244-1</t>
  </si>
  <si>
    <t>Fiesta Street/ Action 1.0 8v 5p</t>
  </si>
  <si>
    <t>003260-3</t>
  </si>
  <si>
    <t>Fiesta Supercharger 1.0 8V 95cv 5p</t>
  </si>
  <si>
    <t>001027-8</t>
  </si>
  <si>
    <t>Fiorino Furg.1.5/1.3/1.3 Fire/1.3 F.Flex</t>
  </si>
  <si>
    <t>001026-0</t>
  </si>
  <si>
    <t>Fiorino Furgão 1.0</t>
  </si>
  <si>
    <t>001001-4</t>
  </si>
  <si>
    <t>Fiorino Furgão 1.5 mpi / i.e.</t>
  </si>
  <si>
    <t>001028-6</t>
  </si>
  <si>
    <t>Fiorino Pick-Up 1.0</t>
  </si>
  <si>
    <t>001029-4</t>
  </si>
  <si>
    <t>Fiorino Pick-Up 1.5 i.e./1.3/1.5/HD</t>
  </si>
  <si>
    <t>001030-8</t>
  </si>
  <si>
    <t>Fiorino Pick-Up LX (todas)</t>
  </si>
  <si>
    <t>001003-0</t>
  </si>
  <si>
    <t>Fiorino Pick-Up Trekking 1.5 mpi / i.e.</t>
  </si>
  <si>
    <t>001002-2</t>
  </si>
  <si>
    <t>Fiorino Pick-Up Working 1.5 mpi / i.e.</t>
  </si>
  <si>
    <t>027039-3</t>
  </si>
  <si>
    <t>Subaru</t>
  </si>
  <si>
    <t>Forester 2.0 16v 4x4 Turbo Aut.</t>
  </si>
  <si>
    <t>FORESTER</t>
  </si>
  <si>
    <t>027013-0</t>
  </si>
  <si>
    <t>Forester 2.0 4x4 Mec.</t>
  </si>
  <si>
    <t>027037-7</t>
  </si>
  <si>
    <t>Forester 2.0 4x4 Turbo</t>
  </si>
  <si>
    <t>027067-9</t>
  </si>
  <si>
    <t>Forester XT 2.0 16V 4x4 Turbo Aut.</t>
  </si>
  <si>
    <t>023012-0</t>
  </si>
  <si>
    <t>Frontier AX 3.2 CD Diesel</t>
  </si>
  <si>
    <t>023041-3</t>
  </si>
  <si>
    <t>Frontier AX CD 4x4 2.5 TB Interc. Diesel</t>
  </si>
  <si>
    <t>023011-1</t>
  </si>
  <si>
    <t>Frontier DX 3.2 CD Diesel</t>
  </si>
  <si>
    <t>003173-9</t>
  </si>
  <si>
    <t>Furglaine 3.6</t>
  </si>
  <si>
    <t>003174-7</t>
  </si>
  <si>
    <t>Furglaine 3.9 Diesel</t>
  </si>
  <si>
    <t>003175-5</t>
  </si>
  <si>
    <t>Furglaine Chateaux/Exec. 3.9 Diesel</t>
  </si>
  <si>
    <t>005027-0</t>
  </si>
  <si>
    <t>Fusca</t>
  </si>
  <si>
    <t>FUSCA</t>
  </si>
  <si>
    <t>021229-6</t>
  </si>
  <si>
    <t>G-55 Kompressor AMG 5.5 V8 507cv Aut.</t>
  </si>
  <si>
    <t xml:space="preserve">G-55 </t>
  </si>
  <si>
    <t>021464-7</t>
  </si>
  <si>
    <t>G-63 AMG 4M 4.0 Bi-TB Magno Edition Aut.</t>
  </si>
  <si>
    <t xml:space="preserve">G-63 </t>
  </si>
  <si>
    <t>021395-0</t>
  </si>
  <si>
    <t>G-63 AMG 4MATIC 4.0 V8 Bi-TB 585cv Aut.</t>
  </si>
  <si>
    <t>021293-8</t>
  </si>
  <si>
    <t>G-63 AMG 5.5 Bi-Turbo 32V 4x4 Aut.</t>
  </si>
  <si>
    <t>021396-9</t>
  </si>
  <si>
    <t>G-63 AMG ED1 4MATIC 4.0 V8 Bi-TB Aut.</t>
  </si>
  <si>
    <t>022025-6</t>
  </si>
  <si>
    <t>Galant 2.0</t>
  </si>
  <si>
    <t>GALANT</t>
  </si>
  <si>
    <t>022026-4</t>
  </si>
  <si>
    <t>Galant 2.5 V6</t>
  </si>
  <si>
    <t>022006-0</t>
  </si>
  <si>
    <t>Galant ES</t>
  </si>
  <si>
    <t>022056-6</t>
  </si>
  <si>
    <t>Galant GS 2.0 V6</t>
  </si>
  <si>
    <t>015022-3</t>
  </si>
  <si>
    <t>Galloper 2.5 Luxo Turbo Diesel</t>
  </si>
  <si>
    <t>GALLOPER</t>
  </si>
  <si>
    <t>015021-5</t>
  </si>
  <si>
    <t>Galloper 2.5 Super Luxo Turbo Diesel</t>
  </si>
  <si>
    <t>015023-1</t>
  </si>
  <si>
    <t>Galloper 3.0 V6 Luxo</t>
  </si>
  <si>
    <t>015025-8</t>
  </si>
  <si>
    <t>Galloper 3.0 V6 Super Luxo Aut</t>
  </si>
  <si>
    <t>015024-0</t>
  </si>
  <si>
    <t>Galloper 3.0 V6 Super Luxo Mec</t>
  </si>
  <si>
    <t>021299-7</t>
  </si>
  <si>
    <t>GL-350 Sport 3.0 V6 258cv 4x4 Diesel</t>
  </si>
  <si>
    <t xml:space="preserve">GL-350 </t>
  </si>
  <si>
    <t>021287-3</t>
  </si>
  <si>
    <t>GL-500 4.7 Bi-Turbo V8 4x4 Aut.</t>
  </si>
  <si>
    <t xml:space="preserve">GL-500 </t>
  </si>
  <si>
    <t>021199-0</t>
  </si>
  <si>
    <t>GL-500 5.5 V8 32V 4x4 388cv Aut.</t>
  </si>
  <si>
    <t>021292-0</t>
  </si>
  <si>
    <t>GL-63 AMG 5.5 Bi-Turbo 32V 4x4 Aut.</t>
  </si>
  <si>
    <t>GL-63</t>
  </si>
  <si>
    <t>021313-6</t>
  </si>
  <si>
    <t>GLA 200 Advance 1.6/1.6 TB 16V Flex Aut.</t>
  </si>
  <si>
    <t>GLA 200</t>
  </si>
  <si>
    <t>021459-0</t>
  </si>
  <si>
    <t>GLA 200 AMG Line 1.3 16V TB Aut.</t>
  </si>
  <si>
    <t>021338-1</t>
  </si>
  <si>
    <t>GLA 200 Enduro 1.6 TB 16V Flex Aut.</t>
  </si>
  <si>
    <t>021397-7</t>
  </si>
  <si>
    <t>GLA 200 Night 1.6. TB 16V Flex Aut.</t>
  </si>
  <si>
    <t>021322-5</t>
  </si>
  <si>
    <t>GLA 200 Style 1.6 TB 16V/Flex Aut.</t>
  </si>
  <si>
    <t>021315-2</t>
  </si>
  <si>
    <t>GLA 200 Vis. Black Ed. 1.6 TB 16V Aut.</t>
  </si>
  <si>
    <t>021314-4</t>
  </si>
  <si>
    <t>GLA 200 Vision 1.6/1.6 TB 16V Flex Aut.</t>
  </si>
  <si>
    <t>021339-0</t>
  </si>
  <si>
    <t>GLA 250 Enduro 2.0 TB 16V 211cv Aut.</t>
  </si>
  <si>
    <t>GLA 250</t>
  </si>
  <si>
    <t>021325-0</t>
  </si>
  <si>
    <t>GLA 250 Sport 2.0 TB 16V 4x2 211cv Aut.</t>
  </si>
  <si>
    <t>021363-2</t>
  </si>
  <si>
    <t>GLA 250 Sport 2.0 TB 16V 4x4 211cv Aut.</t>
  </si>
  <si>
    <t>021324-1</t>
  </si>
  <si>
    <t>GLA 250 Vision 2.0 TB 16V 211cv Aut.</t>
  </si>
  <si>
    <t>021471-0</t>
  </si>
  <si>
    <t>GLA 35 AMG 4MATIC 2.0 Turbo Aut.</t>
  </si>
  <si>
    <t>GLA 35</t>
  </si>
  <si>
    <t>021318-7</t>
  </si>
  <si>
    <t>GLA 45 AMG 4MATIC 2.0 Turbo Aut.</t>
  </si>
  <si>
    <t>GLA 45</t>
  </si>
  <si>
    <t>021462-0</t>
  </si>
  <si>
    <t>GLB 200 Advance 1.3 TB 16V Aut.</t>
  </si>
  <si>
    <t>GLB 200</t>
  </si>
  <si>
    <t>021455-8</t>
  </si>
  <si>
    <t>GLB 200 Launch Edition 1.3 TB 16V Aut.</t>
  </si>
  <si>
    <t>021463-9</t>
  </si>
  <si>
    <t>GLB 200 Progressive 1.3 TB 16V Aut.</t>
  </si>
  <si>
    <t>021416-7</t>
  </si>
  <si>
    <t>GLC 220D 2.0 TB 4M Enduro Diesel</t>
  </si>
  <si>
    <t>GLC 220</t>
  </si>
  <si>
    <t>021415-9</t>
  </si>
  <si>
    <t>GLC 220D 2.0 TB 4M Off-Road Diesel</t>
  </si>
  <si>
    <t>021344-6</t>
  </si>
  <si>
    <t>GLC 250 4MATIC 2.0 TB 16V Aut.</t>
  </si>
  <si>
    <t>GLC 250</t>
  </si>
  <si>
    <t>021371-3</t>
  </si>
  <si>
    <t>GLC 250 Coupe 4MATIC 2.0 TB 16V Aut.</t>
  </si>
  <si>
    <t>021376-4</t>
  </si>
  <si>
    <t>GLC 250 Coupe Highway 4MATIC 2.0 TB Aut.</t>
  </si>
  <si>
    <t>021375-6</t>
  </si>
  <si>
    <t>GLC 250 Highway 4MATIC 2.0 TB Aut.</t>
  </si>
  <si>
    <t>021343-8</t>
  </si>
  <si>
    <t>GLC 250 Sport 4MATIC 2.0 TB 16V Aut.</t>
  </si>
  <si>
    <t>021423-0</t>
  </si>
  <si>
    <t>GLC 300 Coupe 4MATIC 2.0 TB 16V Aut.</t>
  </si>
  <si>
    <t>GLC 300</t>
  </si>
  <si>
    <t>021469-8</t>
  </si>
  <si>
    <t>GLC-300 AMG Line Coupe 4M 2.0 TB Aut.</t>
  </si>
  <si>
    <t>021367-5</t>
  </si>
  <si>
    <t>GLC-43 AMG 4MATIC 3.0 V6 Bi-Turbo Aut.</t>
  </si>
  <si>
    <t xml:space="preserve">GLC-43 </t>
  </si>
  <si>
    <t>021384-5</t>
  </si>
  <si>
    <t>GLC-43 AMG Coupe 3.0 V6 Bi-TB Aut.</t>
  </si>
  <si>
    <t>021403-5</t>
  </si>
  <si>
    <t>GLC-63 AMG 4MATIC 4.0 Bi-TB V8</t>
  </si>
  <si>
    <t xml:space="preserve">GLC-63 </t>
  </si>
  <si>
    <t>021394-2</t>
  </si>
  <si>
    <t>GLC-63 S AMG 4MATIC Coupe 4.0 Bi-TB V8</t>
  </si>
  <si>
    <t>021340-3</t>
  </si>
  <si>
    <t>GLE-350 3.0 V6 258cv 4x4 Diesel</t>
  </si>
  <si>
    <t>GLE-350</t>
  </si>
  <si>
    <t>021342-0</t>
  </si>
  <si>
    <t>GLE-350 Family 3.0 V6 258cv 4x4 Diesel</t>
  </si>
  <si>
    <t>021374-8</t>
  </si>
  <si>
    <t>GLE-350 Highway 4MATIC 3.0 V6 Diesel</t>
  </si>
  <si>
    <t>021341-1</t>
  </si>
  <si>
    <t>GLE-350 Sport 4MATIC 3.0 V6 4x4 Diesel</t>
  </si>
  <si>
    <t>021456-6</t>
  </si>
  <si>
    <t>GLE-400 3.0 TB 4MATIC Coupe Diesel Aut.</t>
  </si>
  <si>
    <t>GLE-400</t>
  </si>
  <si>
    <t>021442-6</t>
  </si>
  <si>
    <t>GLE-400 3.0 TB 4MATIC Diesel Aut.</t>
  </si>
  <si>
    <t>021345-4</t>
  </si>
  <si>
    <t>GLE-400 Coupe 3.0 V6 333cv Aut.</t>
  </si>
  <si>
    <t>021364-0</t>
  </si>
  <si>
    <t>GLE-400 Coupe High. 4MATIC 3.0 V6 Aut.</t>
  </si>
  <si>
    <t>021346-2</t>
  </si>
  <si>
    <t>GLE-400 Night Coupe 3.0 V6 333cv Aut.</t>
  </si>
  <si>
    <t>021388-8</t>
  </si>
  <si>
    <t>GLE-43 AMG 4MATIC 3.0 V6 Bi-TB Aut.</t>
  </si>
  <si>
    <t xml:space="preserve">GLE-43 </t>
  </si>
  <si>
    <t>021369-1</t>
  </si>
  <si>
    <t>GLE-43 AMG 4MATIC Coupe 3.0 V6 Bi-TB Aut</t>
  </si>
  <si>
    <t>021356-0</t>
  </si>
  <si>
    <t>GLE-450 AMG 3.0 V6 367cv Aut.</t>
  </si>
  <si>
    <t>GLE-450</t>
  </si>
  <si>
    <t>021443-4</t>
  </si>
  <si>
    <t>GLE-53 AMG 3.0 TB 4MATIC+ Hybrid</t>
  </si>
  <si>
    <t xml:space="preserve">GLE-53 </t>
  </si>
  <si>
    <t>021347-0</t>
  </si>
  <si>
    <t>GLE-63 AMG 4MATIC Coupe 5.5 V8 Aut.</t>
  </si>
  <si>
    <t xml:space="preserve">GLE-63 </t>
  </si>
  <si>
    <t>021360-8</t>
  </si>
  <si>
    <t>GLE-63 AMG 5.5 V8 557cv Aut.</t>
  </si>
  <si>
    <t>021461-2</t>
  </si>
  <si>
    <t>GLE-63 S AMG 4M+ Coupé 4.0 Aut</t>
  </si>
  <si>
    <t>021290-3</t>
  </si>
  <si>
    <t>GLK 220 CDI 2.2 TB 4X4 170cv Aut. Diesel</t>
  </si>
  <si>
    <t>GLK 220</t>
  </si>
  <si>
    <t>021291-1</t>
  </si>
  <si>
    <t>GLK 220 Sport CDI 2.2 TB 4X4 Aut. Diesel</t>
  </si>
  <si>
    <t>021217-2</t>
  </si>
  <si>
    <t>GLK 280 3.0 V6 24V 4x4 231cv Aut.</t>
  </si>
  <si>
    <t>GLK 280</t>
  </si>
  <si>
    <t>021228-8</t>
  </si>
  <si>
    <t>GLK 300 3.0 V6 24V 4x4 231cv Aut.</t>
  </si>
  <si>
    <t>GLK 300</t>
  </si>
  <si>
    <t>021284-9</t>
  </si>
  <si>
    <t>GLK 300 3.5 CGI V6 4x4 252cv Aut.</t>
  </si>
  <si>
    <t>021460-4</t>
  </si>
  <si>
    <t>GLS 450 4M EQ BOOST 3.0 Bi-TB Aut.(Hib.)</t>
  </si>
  <si>
    <t>GLS 450</t>
  </si>
  <si>
    <t>021348-9</t>
  </si>
  <si>
    <t>GLS-350 V6 258cv 4x4 Diesel</t>
  </si>
  <si>
    <t>GLS-350</t>
  </si>
  <si>
    <t>021373-0</t>
  </si>
  <si>
    <t>GLS-500 4MATIC 4.7 Bi-Turbo V8 455cv</t>
  </si>
  <si>
    <t>GLS-500</t>
  </si>
  <si>
    <t>021389-6</t>
  </si>
  <si>
    <t>GLS-63 AMG 4MATIC 5.5 V8 Bi-TB Aut.</t>
  </si>
  <si>
    <t xml:space="preserve">GLS-63 </t>
  </si>
  <si>
    <t>005105-5</t>
  </si>
  <si>
    <t>Gol 2.0 Mi 2p</t>
  </si>
  <si>
    <t>005128-4</t>
  </si>
  <si>
    <t>Gol 2.0 Mi 4p</t>
  </si>
  <si>
    <t>005006-7</t>
  </si>
  <si>
    <t>Gol CL 1.8 Mi 2p e 4p</t>
  </si>
  <si>
    <t>005031-8</t>
  </si>
  <si>
    <t>Gol Furgao 1.0 mi</t>
  </si>
  <si>
    <t>005119-5</t>
  </si>
  <si>
    <t>Gol Furgão 1.6 Mi/ 1.6i/ 1.6</t>
  </si>
  <si>
    <t>005034-2</t>
  </si>
  <si>
    <t>Gol GL 1.6 Mi/Star 1.6 e 1.8/Atlanta 1.6</t>
  </si>
  <si>
    <t>005035-0</t>
  </si>
  <si>
    <t>Gol GLi / GL/ Atlanta 1.8</t>
  </si>
  <si>
    <t>005080-6</t>
  </si>
  <si>
    <t>Gol GLS 2.0 Mi</t>
  </si>
  <si>
    <t>005036-9</t>
  </si>
  <si>
    <t>Gol GT/GTS 1.8</t>
  </si>
  <si>
    <t>005040-7</t>
  </si>
  <si>
    <t>Gol GTi 2.0</t>
  </si>
  <si>
    <t>005041-5</t>
  </si>
  <si>
    <t>Gol GTi 2000 16V</t>
  </si>
  <si>
    <t>005103-9</t>
  </si>
  <si>
    <t>Gol L 1.3/ L/ LS/ C/ S/ BX/ Plus 1.6</t>
  </si>
  <si>
    <t>005038-5</t>
  </si>
  <si>
    <t>Gol TSi 2000 2p e 4p</t>
  </si>
  <si>
    <t>005187-0</t>
  </si>
  <si>
    <t>Golf 1.6 Mi Trip/ Sport 101cv 8V</t>
  </si>
  <si>
    <t>005071-7</t>
  </si>
  <si>
    <t>Golf GL 1.8/ 2.0i 4p</t>
  </si>
  <si>
    <t>005072-5</t>
  </si>
  <si>
    <t>Golf GLX 2.0 4p</t>
  </si>
  <si>
    <t>005519-0</t>
  </si>
  <si>
    <t>Golf GTE TSI 1.4 16V Híbrido Aut.</t>
  </si>
  <si>
    <t>005171-3</t>
  </si>
  <si>
    <t>Golf GTi 1.8 Mi 180/193cv Turbo 4p Mec.</t>
  </si>
  <si>
    <t>005170-5</t>
  </si>
  <si>
    <t>Golf GTi 1.8 Mi 180/193cv Turbo 4p Tip.</t>
  </si>
  <si>
    <t>005107-1</t>
  </si>
  <si>
    <t>Golf GTi 1.8 Mi 20V 2p Turbo Mec.</t>
  </si>
  <si>
    <t>005131-4</t>
  </si>
  <si>
    <t>Golf GTi 1.8 Mi 20V Turbo 2p Aut.</t>
  </si>
  <si>
    <t>005158-6</t>
  </si>
  <si>
    <t>Golf GTi 1.8 Mi 20V Turbo 4p Aut.</t>
  </si>
  <si>
    <t>005157-8</t>
  </si>
  <si>
    <t>Golf GTi 1.8 Mi 20V Turbo 4p Mec.</t>
  </si>
  <si>
    <t>005087-3</t>
  </si>
  <si>
    <t>Golf GTI 1.8 Turbo</t>
  </si>
  <si>
    <t>005073-3</t>
  </si>
  <si>
    <t>Golf GTi 2.0</t>
  </si>
  <si>
    <t>005496-8</t>
  </si>
  <si>
    <t>Golf GTi 350 TSI 2.0 230cv 16V Aut.</t>
  </si>
  <si>
    <t>005120-9</t>
  </si>
  <si>
    <t>Golf GTi Cabrio 2.0 Mi</t>
  </si>
  <si>
    <t>005099-7</t>
  </si>
  <si>
    <t>Golf GTI VR6/ Golf 2.8 VR6</t>
  </si>
  <si>
    <t>011168-6</t>
  </si>
  <si>
    <t>Grand C4 Picasso Intensive 1.6 TB Aut.</t>
  </si>
  <si>
    <t>011167-8</t>
  </si>
  <si>
    <t>Grand C4 Picasso Seduction 1.6 TB Aut.</t>
  </si>
  <si>
    <t>018089-0</t>
  </si>
  <si>
    <t>Grand Carnival EX 3.3 V6 24V 270cv Aut.</t>
  </si>
  <si>
    <t>017084-4</t>
  </si>
  <si>
    <t>Grand Cherokee 80 Anos 3.0 TB Dies.Aut.</t>
  </si>
  <si>
    <t>017014-3</t>
  </si>
  <si>
    <t>Grand Cherokee Laredo 2.7 I-5 TB Dies.</t>
  </si>
  <si>
    <t>017013-5</t>
  </si>
  <si>
    <t>Grand Cherokee Laredo 3.1 TB Diesel Aut</t>
  </si>
  <si>
    <t>017025-9</t>
  </si>
  <si>
    <t>Grand Cherokee Laredo 3.6 4x4 V6 Aut.</t>
  </si>
  <si>
    <t>017001-1</t>
  </si>
  <si>
    <t>Grand Cherokee Laredo 4.0 Aut.</t>
  </si>
  <si>
    <t>017050-0</t>
  </si>
  <si>
    <t>Grand Cherokee Lim. 75 anos 3.6 4x4 Aut.</t>
  </si>
  <si>
    <t>017011-9</t>
  </si>
  <si>
    <t>Grand Cherokee Limit.4.7 Quad.Drive Aut.</t>
  </si>
  <si>
    <t>017021-6</t>
  </si>
  <si>
    <t>Grand Cherokee Limited 3.0 TB Dies. Aut</t>
  </si>
  <si>
    <t>017024-0</t>
  </si>
  <si>
    <t>Grand Cherokee Limited 3.6 4x4 V6 Aut.</t>
  </si>
  <si>
    <t>017006-2</t>
  </si>
  <si>
    <t>Grand Cherokee Limited 4.7 Aut.</t>
  </si>
  <si>
    <t>017002-0</t>
  </si>
  <si>
    <t>Grand Cherokee Limited 5.2 Aut.</t>
  </si>
  <si>
    <t>017016-0</t>
  </si>
  <si>
    <t>Grand Cherokee Limited 5.7 326cv</t>
  </si>
  <si>
    <t>017005-4</t>
  </si>
  <si>
    <t>Grand Cherokee Limited LX 5.9</t>
  </si>
  <si>
    <t>017008-9</t>
  </si>
  <si>
    <t>Grand Cherokee Nova Limited 4.7</t>
  </si>
  <si>
    <t>017019-4</t>
  </si>
  <si>
    <t>Grand Cherokee Overland 5.7 326cv</t>
  </si>
  <si>
    <t>017018-6</t>
  </si>
  <si>
    <t>Grand Cherokee SRT8 6.1 V8 16V 432cv Aut</t>
  </si>
  <si>
    <t>015108-4</t>
  </si>
  <si>
    <t>Grand Santa Fé 3.3 V6 4X4 Tiptronic</t>
  </si>
  <si>
    <t>028025-9</t>
  </si>
  <si>
    <t>Grand Vitara 1.6 16V Aut.</t>
  </si>
  <si>
    <t>028011-9</t>
  </si>
  <si>
    <t>Grand Vitara 1.6 16V Mec.</t>
  </si>
  <si>
    <t>028012-7</t>
  </si>
  <si>
    <t>Grand Vitara 2.0 16V 3p</t>
  </si>
  <si>
    <t>028026-7</t>
  </si>
  <si>
    <t>Grand Vitara 2.0 16V 4x2/4x4 5p Aut.</t>
  </si>
  <si>
    <t>028013-5</t>
  </si>
  <si>
    <t>Grand Vitara 2.0 16V 4x2/4x4 5p Mec.</t>
  </si>
  <si>
    <t>028038-0</t>
  </si>
  <si>
    <t>Grand Vitara 2.0 16V 5p/Gold Aut. (Arg.)</t>
  </si>
  <si>
    <t>028037-2</t>
  </si>
  <si>
    <t>Grand Vitara 2.0 16V 5p/Gold Mec. (Arg.)</t>
  </si>
  <si>
    <t>028034-8</t>
  </si>
  <si>
    <t>Grand Vitara 2.0 16V Ed. Special 5p Aut.</t>
  </si>
  <si>
    <t>028033-0</t>
  </si>
  <si>
    <t>Grand Vitara 2.0 16V Ed. Special 5p Mec.</t>
  </si>
  <si>
    <t>028036-4</t>
  </si>
  <si>
    <t>Grand Vitara 2.0 TB-IC Diesel 4p</t>
  </si>
  <si>
    <t>028027-5</t>
  </si>
  <si>
    <t>Grand Vitara 2.5 V6 5p Aut.</t>
  </si>
  <si>
    <t>028014-3</t>
  </si>
  <si>
    <t>Grand Vitara 2.5 V6 5p Mec.</t>
  </si>
  <si>
    <t>028044-5</t>
  </si>
  <si>
    <t>Grand Vitara 3.2 24V 4WD 5p Aut.</t>
  </si>
  <si>
    <t>028061-5</t>
  </si>
  <si>
    <t>Grand Vitara 4SPORT 2.0 16V 4x2 5P Aut.</t>
  </si>
  <si>
    <t>028059-3</t>
  </si>
  <si>
    <t>Grand Vitara 4SPORT 2.0 16V 4x4 5p Aut.</t>
  </si>
  <si>
    <t>028060-7</t>
  </si>
  <si>
    <t>Grand Vitara 4SPORT 2.0 16V 4x4 5p Mec.</t>
  </si>
  <si>
    <t>028051-8</t>
  </si>
  <si>
    <t>Grand Vitara L.EDI. 2.0 16V 4x2/4x4 Aut.</t>
  </si>
  <si>
    <t>028054-2</t>
  </si>
  <si>
    <t>Grand Vitara S. EDITI. 2.0 16V 4x2 Aut.</t>
  </si>
  <si>
    <t>028028-3</t>
  </si>
  <si>
    <t>Grand Vitara Sport 2.0 16V Aut.</t>
  </si>
  <si>
    <t>028019-4</t>
  </si>
  <si>
    <t>Grand Vitara Sport 2.0 16V Mec.</t>
  </si>
  <si>
    <t>028040-2</t>
  </si>
  <si>
    <t>Grand Vitara XL_7 2.7 24V 173cv 4p Aut.</t>
  </si>
  <si>
    <t>028039-9</t>
  </si>
  <si>
    <t>Grand Vitara XL_7 2.7 24V 173cv 4p Mec.</t>
  </si>
  <si>
    <t>022085-0</t>
  </si>
  <si>
    <t>GRANDIS 2.4 16V 163cv 5p Aut.</t>
  </si>
  <si>
    <t>GRANDIS</t>
  </si>
  <si>
    <t>021449-3</t>
  </si>
  <si>
    <t>GT 43 AMG EQ BOOST 3.0 Bi-Turbo Aut.</t>
  </si>
  <si>
    <t>GT</t>
  </si>
  <si>
    <t>021404-3</t>
  </si>
  <si>
    <t>GT 63 S AMG 4.0 V8 Bi-Turbo</t>
  </si>
  <si>
    <t>021358-6</t>
  </si>
  <si>
    <t>GT AMG 4.0 V8 Bi-Turbo 462cv</t>
  </si>
  <si>
    <t>021470-1</t>
  </si>
  <si>
    <t>GT AMG BLACK SERIES 4.0 V8 Bi-Turbo</t>
  </si>
  <si>
    <t>021390-0</t>
  </si>
  <si>
    <t>GT C Roadster AMG 4.0 V8 Bi-Turbo</t>
  </si>
  <si>
    <t>021387-0</t>
  </si>
  <si>
    <t>GT R AMG 4.0 V8 Bi-Turbo 585cv</t>
  </si>
  <si>
    <t>021332-2</t>
  </si>
  <si>
    <t>GT S AMG 4.0 V8 Bi-Turbo 510cv</t>
  </si>
  <si>
    <t>023151-7</t>
  </si>
  <si>
    <t>GT-R 3.8 V6 BiTurbo Aut.</t>
  </si>
  <si>
    <t>GT-R</t>
  </si>
  <si>
    <t>015060-6</t>
  </si>
  <si>
    <t>H1 Starex HSV 2.4 16V 137cv Aut.</t>
  </si>
  <si>
    <t>H1</t>
  </si>
  <si>
    <t>015042-8</t>
  </si>
  <si>
    <t>H1 Starex HSV 2.5 Diesel</t>
  </si>
  <si>
    <t>015070-3</t>
  </si>
  <si>
    <t>H1 Starex SVX 2.4 16V</t>
  </si>
  <si>
    <t>015067-3</t>
  </si>
  <si>
    <t>H1 Starex SVX 2.5 TDI 100cv Diesel</t>
  </si>
  <si>
    <t>015043-6</t>
  </si>
  <si>
    <t>H1 Starex SVX 2.6 85cv Diesel</t>
  </si>
  <si>
    <t>015018-5</t>
  </si>
  <si>
    <t>H100 DLX Furgão Diesel</t>
  </si>
  <si>
    <t>H100</t>
  </si>
  <si>
    <t>015019-3</t>
  </si>
  <si>
    <t>H100 DLX/ Panel Diesel</t>
  </si>
  <si>
    <t>015038-0</t>
  </si>
  <si>
    <t>H100 GL Diesel</t>
  </si>
  <si>
    <t>015041-0</t>
  </si>
  <si>
    <t>H100 GL Furgão Extra-Longo Diesel</t>
  </si>
  <si>
    <t>015040-1</t>
  </si>
  <si>
    <t>H100 GLS Diesel</t>
  </si>
  <si>
    <t>015029-0</t>
  </si>
  <si>
    <t>H100 GS (12 lugares)</t>
  </si>
  <si>
    <t>015013-4</t>
  </si>
  <si>
    <t>H100 GS Diesel (12 lugares)</t>
  </si>
  <si>
    <t>015031-2</t>
  </si>
  <si>
    <t>H100 Porter Truck Diesel</t>
  </si>
  <si>
    <t>015014-2</t>
  </si>
  <si>
    <t>H100 SPR Diesel (15 lugares)</t>
  </si>
  <si>
    <t>015039-8</t>
  </si>
  <si>
    <t>H100 Top Diesel</t>
  </si>
  <si>
    <t>002030-3</t>
  </si>
  <si>
    <t>Hilux 4x2 2.4 Diesel</t>
  </si>
  <si>
    <t>002031-1</t>
  </si>
  <si>
    <t>Hilux 4x2 2.8 Diesel</t>
  </si>
  <si>
    <t>002014-1</t>
  </si>
  <si>
    <t>Hilux CD 4x2 2.4 Diesel</t>
  </si>
  <si>
    <t>002032-0</t>
  </si>
  <si>
    <t>Hilux CD DLX 4x2 2.8 Diesel</t>
  </si>
  <si>
    <t>002033-8</t>
  </si>
  <si>
    <t>Hilux CD DLX 4x4 2.8 Diesel</t>
  </si>
  <si>
    <t>002068-0</t>
  </si>
  <si>
    <t>Hilux CD DX 4x2 2.7 16V 142cv</t>
  </si>
  <si>
    <t>002069-9</t>
  </si>
  <si>
    <t>Hilux CD DX 4x2 3.0 8V 90cv Diesel</t>
  </si>
  <si>
    <t>002075-3</t>
  </si>
  <si>
    <t>Hilux CD DX 4x4 3.0 8V 90cv Diesel</t>
  </si>
  <si>
    <t>002077-0</t>
  </si>
  <si>
    <t>Hilux CD SR 4x4 3.0 8V 116cv TB Diesel</t>
  </si>
  <si>
    <t>002076-1</t>
  </si>
  <si>
    <t>Hilux CD SR 4x4 3.0 8V 90cv Diesel</t>
  </si>
  <si>
    <t>002041-9</t>
  </si>
  <si>
    <t>Hilux CD SR5 4x4 2.8 Diesel</t>
  </si>
  <si>
    <t>002072-9</t>
  </si>
  <si>
    <t>Hilux CD SRV 4x2 2.7 16V 142cv</t>
  </si>
  <si>
    <t>002073-7</t>
  </si>
  <si>
    <t>Hilux CD SRV 4x2 3.0 8V 90cv Diesel</t>
  </si>
  <si>
    <t>002078-8</t>
  </si>
  <si>
    <t>Hilux CD SRV 4x4 3.0 8V 116cv TB Diesel</t>
  </si>
  <si>
    <t>002016-8</t>
  </si>
  <si>
    <t>Hilux CS 4x4 2.4 Diesel</t>
  </si>
  <si>
    <t>002047-8</t>
  </si>
  <si>
    <t>Hilux CS DLX 4x2 2.8 Diesel</t>
  </si>
  <si>
    <t>002048-6</t>
  </si>
  <si>
    <t>Hilux CS DLX 4x4 2.8 Diesel</t>
  </si>
  <si>
    <t>002067-2</t>
  </si>
  <si>
    <t>Hilux CS DX 4x2 2.7 16V 142cv</t>
  </si>
  <si>
    <t>002070-2</t>
  </si>
  <si>
    <t>Hilux CS DX 4x2 3.0 8V 90cv Diesel</t>
  </si>
  <si>
    <t>002074-5</t>
  </si>
  <si>
    <t>Hilux CS DX 4x4 3.0 8V 90cv Diesel</t>
  </si>
  <si>
    <t>002040-0</t>
  </si>
  <si>
    <t>Hilux CS SR5 4x4 2.8 Diesel</t>
  </si>
  <si>
    <t>002071-0</t>
  </si>
  <si>
    <t>Hilux CS SRV 4x2 2.7 16V 142cv</t>
  </si>
  <si>
    <t>002064-8</t>
  </si>
  <si>
    <t>Hilux SW4 2.7 16V</t>
  </si>
  <si>
    <t>002019-2</t>
  </si>
  <si>
    <t>Hilux SW4 3.4 V6</t>
  </si>
  <si>
    <t>002017-6</t>
  </si>
  <si>
    <t>Hilux SW4 4x4 2.4 8V</t>
  </si>
  <si>
    <t>002018-4</t>
  </si>
  <si>
    <t>Hilux SW4 4x4 2.8 Diesel</t>
  </si>
  <si>
    <t>002051-6</t>
  </si>
  <si>
    <t>Hilux SW4 4x4 3.0 12V V6</t>
  </si>
  <si>
    <t>002053-2</t>
  </si>
  <si>
    <t>Hilux SW4 4x4 3.0 24V V6</t>
  </si>
  <si>
    <t>002052-4</t>
  </si>
  <si>
    <t>Hilux SW4 4x4 3.0 8V TB Diesel</t>
  </si>
  <si>
    <t>009252-5</t>
  </si>
  <si>
    <t>i3 Bev 170cv Aut. (Elétrico)</t>
  </si>
  <si>
    <t>i3</t>
  </si>
  <si>
    <t>009253-3</t>
  </si>
  <si>
    <t>i3 Bev Connected 170cv Aut. (Elétrico)</t>
  </si>
  <si>
    <t>009254-1</t>
  </si>
  <si>
    <t>i3 Bev Full 170cv Aut. (Elétrico)</t>
  </si>
  <si>
    <t>009196-0</t>
  </si>
  <si>
    <t>i3 Rex E Drive 170cv Aut.(Elétrico)</t>
  </si>
  <si>
    <t>009247-9</t>
  </si>
  <si>
    <t>i3 Rex E Drive Connected Aut. (Elétrico)</t>
  </si>
  <si>
    <t>009195-2</t>
  </si>
  <si>
    <t>i3 Rex E Drive Full 170cv Aut.(Elétrico)</t>
  </si>
  <si>
    <t>015122-0</t>
  </si>
  <si>
    <t>i30 Serie Limitada 1.8 16V Aut. 5p</t>
  </si>
  <si>
    <t>009197-9</t>
  </si>
  <si>
    <t>i8 e-Drive 1.5 TB 12V Aut.</t>
  </si>
  <si>
    <t>i8</t>
  </si>
  <si>
    <t>009259-2</t>
  </si>
  <si>
    <t>i8 Roadster e-Drive 1.5 TB 12V Aut.</t>
  </si>
  <si>
    <t>003176-3</t>
  </si>
  <si>
    <t>Ibiza 3.9 Furgão Diesel</t>
  </si>
  <si>
    <t>IBIZA</t>
  </si>
  <si>
    <t>003177-1</t>
  </si>
  <si>
    <t>Ibiza Chat./Exec. 3.9 Diesel</t>
  </si>
  <si>
    <t>080025-2</t>
  </si>
  <si>
    <t>iEV 20 68cv 5p Aut. (Elétrico)</t>
  </si>
  <si>
    <t>IEV</t>
  </si>
  <si>
    <t>080023-6</t>
  </si>
  <si>
    <t>iEV 330P CD 150cv Aut. (Elétrico)</t>
  </si>
  <si>
    <t>080033-3</t>
  </si>
  <si>
    <t>iEV 350T 150cv Aut. (Elétrico)</t>
  </si>
  <si>
    <t>080022-8</t>
  </si>
  <si>
    <t>iEV 40 115cv 5p. (Elétrico)</t>
  </si>
  <si>
    <t>080032-5</t>
  </si>
  <si>
    <t>iEV 750V 163cv 4p Aut. (Elétrico)</t>
  </si>
  <si>
    <t>028042-9</t>
  </si>
  <si>
    <t>Ignis 1.3 16V 82cv 4p Aut.</t>
  </si>
  <si>
    <t>IGNS</t>
  </si>
  <si>
    <t>028041-0</t>
  </si>
  <si>
    <t>Ignis 1.3 16V 82cv 4p Mec.</t>
  </si>
  <si>
    <t>028043-7</t>
  </si>
  <si>
    <t>Ignis WRS 1.3 16V 82cv 4x4 4p</t>
  </si>
  <si>
    <t>027053-9</t>
  </si>
  <si>
    <t>Impreza 1.5 16V 115cv Aut.</t>
  </si>
  <si>
    <t>IMPREZA</t>
  </si>
  <si>
    <t>027054-7</t>
  </si>
  <si>
    <t>Impreza 1.5 16V 115cv Mec.</t>
  </si>
  <si>
    <t>027051-2</t>
  </si>
  <si>
    <t>Impreza 2.0 16V 160cv Aut.</t>
  </si>
  <si>
    <t>027052-0</t>
  </si>
  <si>
    <t>Impreza 2.0 16V 160cv Mec.</t>
  </si>
  <si>
    <t>027020-2</t>
  </si>
  <si>
    <t>Impreza GL 1.6/1.8 16V</t>
  </si>
  <si>
    <t>027032-6</t>
  </si>
  <si>
    <t>Impreza GL 2.0 4x2 Aut.</t>
  </si>
  <si>
    <t>027014-8</t>
  </si>
  <si>
    <t>Impreza GL 2.0 4x2 Mec.</t>
  </si>
  <si>
    <t>027025-3</t>
  </si>
  <si>
    <t>Impreza GL 2.0 4x4 Aut.</t>
  </si>
  <si>
    <t>027015-6</t>
  </si>
  <si>
    <t>Impreza GL 2.0 4x4 Mec.</t>
  </si>
  <si>
    <t>027022-9</t>
  </si>
  <si>
    <t>Impreza GL 4x4 1.8 16V</t>
  </si>
  <si>
    <t>027021-0</t>
  </si>
  <si>
    <t>Impreza GL 4x4 2.0 16V</t>
  </si>
  <si>
    <t>027010-5</t>
  </si>
  <si>
    <t>Impreza GT 2.0 Turbo</t>
  </si>
  <si>
    <t>027057-1</t>
  </si>
  <si>
    <t>Impreza SD 2.0 16V 160cv Aut.</t>
  </si>
  <si>
    <t>027066-0</t>
  </si>
  <si>
    <t>Impreza SD 2.0/2.0i-S AWD Aut.</t>
  </si>
  <si>
    <t>027040-7</t>
  </si>
  <si>
    <t>Impreza SD GX 2.0 16v 4x4 4p Aut.</t>
  </si>
  <si>
    <t>027038-5</t>
  </si>
  <si>
    <t>Impreza SD RX 2.0 4x4</t>
  </si>
  <si>
    <t>027043-1</t>
  </si>
  <si>
    <t>Impreza SD WRX 2.0 16V TB 4x4</t>
  </si>
  <si>
    <t>027068-7</t>
  </si>
  <si>
    <t>Impreza SD WRX 2.0 16V TB 4x4 Aut.</t>
  </si>
  <si>
    <t>027048-2</t>
  </si>
  <si>
    <t>Impreza SD WRX 2.5 16V TB 4x4 4p</t>
  </si>
  <si>
    <t>027063-6</t>
  </si>
  <si>
    <t>Impreza SD WRX STI 2.5 16V TB 4x4</t>
  </si>
  <si>
    <t>027016-4</t>
  </si>
  <si>
    <t>Impreza SW GL 1.6/1.8/2.0 4x4 16V</t>
  </si>
  <si>
    <t>027041-5</t>
  </si>
  <si>
    <t>Impreza SW GT 2.0 16V 4x4 Turbo Mec.</t>
  </si>
  <si>
    <t>027042-3</t>
  </si>
  <si>
    <t>Impreza SW GX 2.0 16v 4x4 Aut.</t>
  </si>
  <si>
    <t>027044-0</t>
  </si>
  <si>
    <t>Impreza SW WRX 2.0 16v 4x4 TB</t>
  </si>
  <si>
    <t>027049-0</t>
  </si>
  <si>
    <t>Impreza SW WRX 2.5 16V TB 4x4 5p</t>
  </si>
  <si>
    <t>027050-4</t>
  </si>
  <si>
    <t>Impreza WRX 2.5 16V TB 4x4 5p</t>
  </si>
  <si>
    <t>027056-3</t>
  </si>
  <si>
    <t>Impreza WRX STI 2.5 16V TB 4x4</t>
  </si>
  <si>
    <t>027061-0</t>
  </si>
  <si>
    <t>Impreza XV 2.0 16V 160cv Aut.</t>
  </si>
  <si>
    <t>027062-8</t>
  </si>
  <si>
    <t>Impreza XV 2.0 16V 160cv Mec.</t>
  </si>
  <si>
    <t>023025-1</t>
  </si>
  <si>
    <t>Infinit 3.0</t>
  </si>
  <si>
    <t>INFINIT</t>
  </si>
  <si>
    <t>004038-0</t>
  </si>
  <si>
    <t>Ipanema GL 1.8 MPFI / EFI /SL 4p</t>
  </si>
  <si>
    <t>IPANEMA</t>
  </si>
  <si>
    <t>004039-8</t>
  </si>
  <si>
    <t>Ipanema GL/ Flair 2.0 MPFI / EFI 4p</t>
  </si>
  <si>
    <t>004040-1</t>
  </si>
  <si>
    <t>Ipanema GLS/SLE 2.0EFI /SL/e1.8/Sol/Wave</t>
  </si>
  <si>
    <t>005517-4</t>
  </si>
  <si>
    <t>JETTA GLI 350 TSI 2.0 16V 4p Aut.</t>
  </si>
  <si>
    <t>005121-7</t>
  </si>
  <si>
    <t>JETTA GLX III 2.8 VR6</t>
  </si>
  <si>
    <t>028049-6</t>
  </si>
  <si>
    <t>Jimny 4S 1.3 16V</t>
  </si>
  <si>
    <t>JIMNY</t>
  </si>
  <si>
    <t>028075-5</t>
  </si>
  <si>
    <t>Jimny 4SPORT DESERT 1.3 16V</t>
  </si>
  <si>
    <t>028080-1</t>
  </si>
  <si>
    <t>Jimny 4SPORT FOREST 1.3 16V</t>
  </si>
  <si>
    <t>028047-0</t>
  </si>
  <si>
    <t>Jimny 4SPORT/ 4WORK 1.3 16V</t>
  </si>
  <si>
    <t>028048-8</t>
  </si>
  <si>
    <t>Jimny 4STREET 1.3 16V</t>
  </si>
  <si>
    <t>028050-0</t>
  </si>
  <si>
    <t>Jimny 4SUN 1.3 16V</t>
  </si>
  <si>
    <t>028062-3</t>
  </si>
  <si>
    <t>Jimny 4WORK OFF ROAD 1.3 16V</t>
  </si>
  <si>
    <t>028072-0</t>
  </si>
  <si>
    <t>Jimny CANVAS 4ALL 1.3 16V</t>
  </si>
  <si>
    <t>028073-9</t>
  </si>
  <si>
    <t>Jimny CANVAS 4SPORT 1.3 16V</t>
  </si>
  <si>
    <t>028079-8</t>
  </si>
  <si>
    <t>Jimny Sierra 4STYLE ALLGRIP 1.5 16V Aut.</t>
  </si>
  <si>
    <t>028078-0</t>
  </si>
  <si>
    <t>Jimny Sierra 4YOU ALLGRIP 1.5 16V Aut.</t>
  </si>
  <si>
    <t>028077-1</t>
  </si>
  <si>
    <t>Jimny Sierra 4YOU ALLGRIP 1.5 16V Mec.</t>
  </si>
  <si>
    <t>028015-1</t>
  </si>
  <si>
    <t>Jimny Wide/ Jimny/4ALL 1.3 16V</t>
  </si>
  <si>
    <t>011028-0</t>
  </si>
  <si>
    <t>Jumper 2.5 Diesel</t>
  </si>
  <si>
    <t>011052-3</t>
  </si>
  <si>
    <t>Jumper 2.8 Furgão 35C Diesel</t>
  </si>
  <si>
    <t>011051-5</t>
  </si>
  <si>
    <t>Jumper 2.8 Furgão 35MH Diesel</t>
  </si>
  <si>
    <t>004042-8</t>
  </si>
  <si>
    <t>Kadett GL 2.0 MPFI / EFI</t>
  </si>
  <si>
    <t>KADETT</t>
  </si>
  <si>
    <t>004041-0</t>
  </si>
  <si>
    <t>Kadett GL/SL/Lite/Turim 1.8</t>
  </si>
  <si>
    <t>004043-6</t>
  </si>
  <si>
    <t>Kadett GLS 1.8 EFI / SL/e 1.8</t>
  </si>
  <si>
    <t>004009-6</t>
  </si>
  <si>
    <t>Kadett GLS 2.0 MPFI</t>
  </si>
  <si>
    <t>004044-4</t>
  </si>
  <si>
    <t>Kadett GSi / GS 2.0</t>
  </si>
  <si>
    <t>004045-2</t>
  </si>
  <si>
    <t>Kadett GSi 2.0 Conversível</t>
  </si>
  <si>
    <t>004046-0</t>
  </si>
  <si>
    <t>Kadett Sport 2.0 MPFI / EFI</t>
  </si>
  <si>
    <t>023026-0</t>
  </si>
  <si>
    <t>King-Cab SE 4x4 3.0 V6</t>
  </si>
  <si>
    <t>king</t>
  </si>
  <si>
    <t>005081-4</t>
  </si>
  <si>
    <t>Kombi Carat</t>
  </si>
  <si>
    <t>005137-3</t>
  </si>
  <si>
    <t>Kombi Escolar 1.6 MPi</t>
  </si>
  <si>
    <t>005023-7</t>
  </si>
  <si>
    <t>Kombi Furgão</t>
  </si>
  <si>
    <t>005138-1</t>
  </si>
  <si>
    <t>Kombi Furgão Diesel</t>
  </si>
  <si>
    <t>005357-0</t>
  </si>
  <si>
    <t>Kombi LAST EDITION 56 1.4 Mi Total Flex</t>
  </si>
  <si>
    <t>005022-9</t>
  </si>
  <si>
    <t>Kombi Pick-Up</t>
  </si>
  <si>
    <t>005139-0</t>
  </si>
  <si>
    <t>Kombi Pick-Up Diesel</t>
  </si>
  <si>
    <t>005024-5</t>
  </si>
  <si>
    <t>Kombi Standard/ Luxo/ Série Prata</t>
  </si>
  <si>
    <t>022070-1</t>
  </si>
  <si>
    <t>L200 2.5 4x2 CD Turbo Diesel</t>
  </si>
  <si>
    <t>022008-6</t>
  </si>
  <si>
    <t>L200 2.5 4x2 Turbo Diesel</t>
  </si>
  <si>
    <t>022009-4</t>
  </si>
  <si>
    <t>L200 2.5 4x4 CD Turbo Diesel</t>
  </si>
  <si>
    <t>022069-8</t>
  </si>
  <si>
    <t>L200 Evolution 3.2 4x4 TB Int. Diesel</t>
  </si>
  <si>
    <t>022029-9</t>
  </si>
  <si>
    <t>L200 GLS 2.5 4X4 CD Diesel</t>
  </si>
  <si>
    <t>022080-9</t>
  </si>
  <si>
    <t>L200 GLS Sport 2.5 4x4 121cv CD DTI Dies</t>
  </si>
  <si>
    <t>022076-0</t>
  </si>
  <si>
    <t>L200 RI/ RII/ RIII CD 2.5 TB Int. Diesel</t>
  </si>
  <si>
    <t>022043-4</t>
  </si>
  <si>
    <t>L200 Sport 2.5 4x4 CD Turbo Diesel</t>
  </si>
  <si>
    <t>022027-2</t>
  </si>
  <si>
    <t>L300 Base/DX/Canter 2.5 Diesel</t>
  </si>
  <si>
    <t>L300</t>
  </si>
  <si>
    <t>022010-8</t>
  </si>
  <si>
    <t>L300 Top/Luxo 2.5 Diesel</t>
  </si>
  <si>
    <t>025080-5</t>
  </si>
  <si>
    <t>Laguna Grand Tour Privilège 3.0 V6 210cv</t>
  </si>
  <si>
    <t>LAGUNA</t>
  </si>
  <si>
    <t>025010-4</t>
  </si>
  <si>
    <t>Laguna Nevada RT/ RXE 2.0s 16V</t>
  </si>
  <si>
    <t>025079-1</t>
  </si>
  <si>
    <t>Laguna Privilège 3.0 V6 24V 210cv 5p</t>
  </si>
  <si>
    <t>025006-6</t>
  </si>
  <si>
    <t>Laguna RT 2.0</t>
  </si>
  <si>
    <t>025011-2</t>
  </si>
  <si>
    <t>Laguna RXE 2.0s 8V/16V</t>
  </si>
  <si>
    <t>025007-4</t>
  </si>
  <si>
    <t>Laguna V6</t>
  </si>
  <si>
    <t>022036-1</t>
  </si>
  <si>
    <t>Lancer Evol. 2.0 Turbo</t>
  </si>
  <si>
    <t>022063-9</t>
  </si>
  <si>
    <t>Lancer Evol. VI 2.0 Turbo 4p</t>
  </si>
  <si>
    <t>022131-7</t>
  </si>
  <si>
    <t>Lancer Evol. X J. Easton 2.0 16V TB Int.</t>
  </si>
  <si>
    <t>022095-7</t>
  </si>
  <si>
    <t>Lancer Evolut. IX MR 2.0 290cv TB-IC</t>
  </si>
  <si>
    <t>022072-8</t>
  </si>
  <si>
    <t>Lancer Evolut. VII/ VIII/ IX 2.0 280cv T</t>
  </si>
  <si>
    <t>022112-0</t>
  </si>
  <si>
    <t>Lancer Evolution X 2.0 16V 295cv TB Int.</t>
  </si>
  <si>
    <t>022011-6</t>
  </si>
  <si>
    <t>Lancer GLX</t>
  </si>
  <si>
    <t>022129-5</t>
  </si>
  <si>
    <t>Lancer GT 2.0 16V 4X4 160cv Aut.</t>
  </si>
  <si>
    <t>022143-0</t>
  </si>
  <si>
    <t>Lancer GT 2.0 16V Aut.(By Armura-Blind.)</t>
  </si>
  <si>
    <t>022012-4</t>
  </si>
  <si>
    <t>Lancer GTi Mec</t>
  </si>
  <si>
    <t>022138-4</t>
  </si>
  <si>
    <t>Lancer HL 2.0 16V 160cv Aut.</t>
  </si>
  <si>
    <t>022144-9</t>
  </si>
  <si>
    <t>Lancer HL 2.0 16V Aut.(By Armura-Blind.)</t>
  </si>
  <si>
    <t>022137-6</t>
  </si>
  <si>
    <t>Lancer HLE 2.0 16V 160cv Aut.</t>
  </si>
  <si>
    <t>022145-7</t>
  </si>
  <si>
    <t>Lancer HLE 2.0 16V Aut.(By Armura-Blind)</t>
  </si>
  <si>
    <t>022148-1</t>
  </si>
  <si>
    <t>Lancer HL-T 2.0 16V 160cv Aut.</t>
  </si>
  <si>
    <t>022037-0</t>
  </si>
  <si>
    <t>Lancer LS 1.8</t>
  </si>
  <si>
    <t>022119-8</t>
  </si>
  <si>
    <t>Lancer Sport Ralliart 2.0 16V TB Int. 5p</t>
  </si>
  <si>
    <t>002054-0</t>
  </si>
  <si>
    <t>Land Cruiser 4WD 4.5 24V</t>
  </si>
  <si>
    <t>LAND CRUISER</t>
  </si>
  <si>
    <t>002082-6</t>
  </si>
  <si>
    <t>Land Cruiser Prado 3.0 4x4 TB Diesel Aut</t>
  </si>
  <si>
    <t>002081-8</t>
  </si>
  <si>
    <t>Land Cruiser Prado 3.0 4x4 TB Diesel Mec</t>
  </si>
  <si>
    <t>023163-0</t>
  </si>
  <si>
    <t>LEAF Aut. (Elétrico)</t>
  </si>
  <si>
    <t>LEAF</t>
  </si>
  <si>
    <t>027058-0</t>
  </si>
  <si>
    <t>Legacy 2.0 16V 160cv Aut.</t>
  </si>
  <si>
    <t>LEGACY</t>
  </si>
  <si>
    <t>027046-6</t>
  </si>
  <si>
    <t>Legacy 3.0 R H6 245cv Aut.</t>
  </si>
  <si>
    <t>027069-5</t>
  </si>
  <si>
    <t>Legacy 3.6 4x4 256cv Aut.</t>
  </si>
  <si>
    <t>027023-7</t>
  </si>
  <si>
    <t>Legacy GL 1.8</t>
  </si>
  <si>
    <t>027004-0</t>
  </si>
  <si>
    <t>Legacy GL 2.0/ GLS Mec</t>
  </si>
  <si>
    <t>027006-7</t>
  </si>
  <si>
    <t>Legacy GL TW 2.0 4x2 Mec./Aut.</t>
  </si>
  <si>
    <t>027034-2</t>
  </si>
  <si>
    <t>Legacy GL TW 2.0 4x4 Aut.</t>
  </si>
  <si>
    <t>027033-4</t>
  </si>
  <si>
    <t>Legacy GL TW 2.0 4x4 Mec.</t>
  </si>
  <si>
    <t>027026-1</t>
  </si>
  <si>
    <t>Legacy GL/ GLS 2.0 Aut.</t>
  </si>
  <si>
    <t>027059-8</t>
  </si>
  <si>
    <t>Legacy GT 2.5 16V 280cv Aut.</t>
  </si>
  <si>
    <t>027005-9</t>
  </si>
  <si>
    <t>Legacy GX 2.2 4x4</t>
  </si>
  <si>
    <t>027017-2</t>
  </si>
  <si>
    <t>Legacy GX 2.5 4x4 Aut.</t>
  </si>
  <si>
    <t>027031-8</t>
  </si>
  <si>
    <t>Legacy GX 2.5 4x4 Mec.</t>
  </si>
  <si>
    <t>027030-0</t>
  </si>
  <si>
    <t>Legacy GX TW 2.2 4x4 Aut.</t>
  </si>
  <si>
    <t>027029-6</t>
  </si>
  <si>
    <t>Legacy GX TW 2.2 4x4 Mec.</t>
  </si>
  <si>
    <t>027027-0</t>
  </si>
  <si>
    <t>Legacy GX TW 2.5 4x4 Aut.</t>
  </si>
  <si>
    <t>027007-5</t>
  </si>
  <si>
    <t>Legacy GX TW 2.5 4x4 Mec</t>
  </si>
  <si>
    <t>027019-9</t>
  </si>
  <si>
    <t>Legacy SW 2.2</t>
  </si>
  <si>
    <t>001261-0</t>
  </si>
  <si>
    <t>LINEA T-JET 1.4 16V Turbo 4p</t>
  </si>
  <si>
    <t>005042-3</t>
  </si>
  <si>
    <t>Logus 1.6 / CLi / CL/ GL</t>
  </si>
  <si>
    <t>LOGUS</t>
  </si>
  <si>
    <t>005043-1</t>
  </si>
  <si>
    <t>Logus 1.8 / CLi / CL</t>
  </si>
  <si>
    <t>005044-0</t>
  </si>
  <si>
    <t>Logus GLi / GL 1.8</t>
  </si>
  <si>
    <t>005045-8</t>
  </si>
  <si>
    <t>Logus GLS 1.8</t>
  </si>
  <si>
    <t>005046-6</t>
  </si>
  <si>
    <t>Logus GLSi / GLS 2000</t>
  </si>
  <si>
    <t>005047-4</t>
  </si>
  <si>
    <t>Logus Wolfsburg Edition 2000i</t>
  </si>
  <si>
    <t>004075-4</t>
  </si>
  <si>
    <t>Lumina</t>
  </si>
  <si>
    <t>LUMINA</t>
  </si>
  <si>
    <t>009178-2</t>
  </si>
  <si>
    <t>M 135i 3.0 24V 320cv</t>
  </si>
  <si>
    <t>M1</t>
  </si>
  <si>
    <t>009261-4</t>
  </si>
  <si>
    <t>M 135i XDRIVE 2.0 306cv Aut.</t>
  </si>
  <si>
    <t>009193-6</t>
  </si>
  <si>
    <t>M 235i Coupe 3.0 24V 326cv</t>
  </si>
  <si>
    <t>M2</t>
  </si>
  <si>
    <t>009079-4</t>
  </si>
  <si>
    <t>M Roadster</t>
  </si>
  <si>
    <t>M</t>
  </si>
  <si>
    <t>009157-0</t>
  </si>
  <si>
    <t>M1 Coupe 3.0 24V 340cv</t>
  </si>
  <si>
    <t>066001-9</t>
  </si>
  <si>
    <t>Effa</t>
  </si>
  <si>
    <t>M-100 1.0 8V 5p</t>
  </si>
  <si>
    <t>M100</t>
  </si>
  <si>
    <t>009222-3</t>
  </si>
  <si>
    <t>M140i 3.0 24V 340cv 5p</t>
  </si>
  <si>
    <t>009234-7</t>
  </si>
  <si>
    <t>M2 Competition 3.0 Bi-Turbo 410cv Aut.</t>
  </si>
  <si>
    <t>009268-1</t>
  </si>
  <si>
    <t>M2 Competition Ed. Espe. 3.0 Bi-TB Mec.</t>
  </si>
  <si>
    <t>009218-5</t>
  </si>
  <si>
    <t>M2 Coupe 3.0 Bi-Turbo 24V 370cv</t>
  </si>
  <si>
    <t>009276-2</t>
  </si>
  <si>
    <t>M2 CS Coupe 3.0 Bi-Turbo 450cv</t>
  </si>
  <si>
    <t>009270-3</t>
  </si>
  <si>
    <t>M235i XDRIVE Gran Coupé 2.0 Aut.</t>
  </si>
  <si>
    <t>009223-1</t>
  </si>
  <si>
    <t>M240i Coupe 3.0 24V 340cv 2p</t>
  </si>
  <si>
    <t>009073-5</t>
  </si>
  <si>
    <t>M3 3.2 24V</t>
  </si>
  <si>
    <t>M3</t>
  </si>
  <si>
    <t>009074-3</t>
  </si>
  <si>
    <t>M3 Cabrio 3.0 24V</t>
  </si>
  <si>
    <t>009134-0</t>
  </si>
  <si>
    <t>M3 Cabrio 4.0 32V</t>
  </si>
  <si>
    <t>009280-0</t>
  </si>
  <si>
    <t>M3 Competition M 3.0 Bi-TB 510cv</t>
  </si>
  <si>
    <t>009281-9</t>
  </si>
  <si>
    <t>M3 Competition M Track 3.0 Bi-TB</t>
  </si>
  <si>
    <t>009014-0</t>
  </si>
  <si>
    <t>M3 Coupê 3.0 24V 255cv</t>
  </si>
  <si>
    <t>009029-8</t>
  </si>
  <si>
    <t>M3 Coupê 3.0 V6 24V 282cv</t>
  </si>
  <si>
    <t>009127-8</t>
  </si>
  <si>
    <t>M3 Coupê 4.0 32V</t>
  </si>
  <si>
    <t>009242-8</t>
  </si>
  <si>
    <t>M3 CS Sedan 3.0 Bi-Turbo 460cv 4p</t>
  </si>
  <si>
    <t>009209-6</t>
  </si>
  <si>
    <t>M3 Sedan 3.0 Bi-Turbo 24V 4p</t>
  </si>
  <si>
    <t>009133-2</t>
  </si>
  <si>
    <t>M3 Sedan 4.0 32V</t>
  </si>
  <si>
    <t>009269-0</t>
  </si>
  <si>
    <t>M340i XDRIVE 3.0 Turbo Aut.</t>
  </si>
  <si>
    <t>009267-3</t>
  </si>
  <si>
    <t>M340i XDRIVE First Ed. 3.0 Turbo Aut.</t>
  </si>
  <si>
    <t>009210-0</t>
  </si>
  <si>
    <t>M4 Cabriolet 3.0 Bi-Turbo 24V 431cv 2p</t>
  </si>
  <si>
    <t>M4</t>
  </si>
  <si>
    <t>009206-1</t>
  </si>
  <si>
    <t>M4 Coupe 3.0 Bi-Turbo 24V 431cv 2p</t>
  </si>
  <si>
    <t>009230-4</t>
  </si>
  <si>
    <t>M4 CS Coupe 3.0 Bi-Turbo 460cv 2p</t>
  </si>
  <si>
    <t>009284-3</t>
  </si>
  <si>
    <t>M440i Coupe 3.0 TB Aut.</t>
  </si>
  <si>
    <t>009015-8</t>
  </si>
  <si>
    <t>M5 3.8/Touring 3.8 24V</t>
  </si>
  <si>
    <t>M5</t>
  </si>
  <si>
    <t>009173-1</t>
  </si>
  <si>
    <t>M5 4.4 560cv Bi-Turbo Aut.</t>
  </si>
  <si>
    <t>009075-1</t>
  </si>
  <si>
    <t>M5 5.0 32V/ 40V</t>
  </si>
  <si>
    <t>009279-7</t>
  </si>
  <si>
    <t>M5 Competition M XDRIVE 4.4 Bi-TB V8</t>
  </si>
  <si>
    <t>009232-0</t>
  </si>
  <si>
    <t>M5 M XDRIVE 4.4 Bi-TB V8</t>
  </si>
  <si>
    <t>009233-9</t>
  </si>
  <si>
    <t>M5 Perform. Pack M XDRIVE 4.4 Bi-TB V8</t>
  </si>
  <si>
    <t>009108-1</t>
  </si>
  <si>
    <t>M6 5.0 V10 40V 507cv</t>
  </si>
  <si>
    <t>M6</t>
  </si>
  <si>
    <t>009181-2</t>
  </si>
  <si>
    <t>M6 Coupe 4.4 Bi-Turbo V8 32V</t>
  </si>
  <si>
    <t>009186-3</t>
  </si>
  <si>
    <t>M6 Gran Coupe 4.4 Bi-Turbo V8 32V 560cv</t>
  </si>
  <si>
    <t>009248-7</t>
  </si>
  <si>
    <t>M760Li xDrive 6.6 V12 585cv Aut.</t>
  </si>
  <si>
    <t>M7</t>
  </si>
  <si>
    <t>009273-8</t>
  </si>
  <si>
    <t>M8 Gran Coupé Comp.First ED. 4.4 V8 32V</t>
  </si>
  <si>
    <t>M8</t>
  </si>
  <si>
    <t>009283-5</t>
  </si>
  <si>
    <t>M8 Gran Coupé Competition 4.4 V8 32V</t>
  </si>
  <si>
    <t>009246-0</t>
  </si>
  <si>
    <t>M850i XDrive Coupé 4.4 V8 530cv Aut.</t>
  </si>
  <si>
    <t>018039-4</t>
  </si>
  <si>
    <t>Magentis EX 2.0 16V Aut.</t>
  </si>
  <si>
    <t>MAGENTIS</t>
  </si>
  <si>
    <t>018062-9</t>
  </si>
  <si>
    <t>Magentis LX 2.0 16V Aut</t>
  </si>
  <si>
    <t>004366-4</t>
  </si>
  <si>
    <t>MALIBU LTZ 2.4 16V 171cv 4p</t>
  </si>
  <si>
    <t>MAILBU</t>
  </si>
  <si>
    <t>004119-0</t>
  </si>
  <si>
    <t>Marajo SL/SLe/Se</t>
  </si>
  <si>
    <t>MARAJO</t>
  </si>
  <si>
    <t>001079-0</t>
  </si>
  <si>
    <t>Marea City</t>
  </si>
  <si>
    <t>MAREA</t>
  </si>
  <si>
    <t>001185-1</t>
  </si>
  <si>
    <t>Marea ELX 1.8 mpi 16V 132cv 4p</t>
  </si>
  <si>
    <t>001081-2</t>
  </si>
  <si>
    <t>Marea ELX 2.0 20V 4p</t>
  </si>
  <si>
    <t>001144-4</t>
  </si>
  <si>
    <t>Marea ELX 2.4 mpi 20V 4p</t>
  </si>
  <si>
    <t>001082-0</t>
  </si>
  <si>
    <t>Marea HLX 2.0 20V 4p</t>
  </si>
  <si>
    <t>001173-8</t>
  </si>
  <si>
    <t>Marea HLX 2.4 mpi 20V 4p Aut.</t>
  </si>
  <si>
    <t>001145-2</t>
  </si>
  <si>
    <t>Marea HLX 2.4 mpi 20V 4p Mec.</t>
  </si>
  <si>
    <t>001226-2</t>
  </si>
  <si>
    <t>Marea SX 1.6 mpi 16V 106cv 4p</t>
  </si>
  <si>
    <t>001114-2</t>
  </si>
  <si>
    <t>Marea SX 1.8 16V 4p</t>
  </si>
  <si>
    <t>001080-4</t>
  </si>
  <si>
    <t>Marea SX 2.0 20V 4p</t>
  </si>
  <si>
    <t>001083-9</t>
  </si>
  <si>
    <t>Marea Turbo 2.0 20V 4p</t>
  </si>
  <si>
    <t>001084-7</t>
  </si>
  <si>
    <t>Marea Weekend City 4p</t>
  </si>
  <si>
    <t>001186-0</t>
  </si>
  <si>
    <t>Marea Weekend ELX 1.8 mpi 16V 132cv 4p</t>
  </si>
  <si>
    <t>001086-3</t>
  </si>
  <si>
    <t>Marea Weekend ELX 2.0 20V 4p</t>
  </si>
  <si>
    <t>001146-0</t>
  </si>
  <si>
    <t>Marea Weekend ELX 2.4 mpi 20V 4p</t>
  </si>
  <si>
    <t>001087-1</t>
  </si>
  <si>
    <t>Marea Weekend HLX 2.0 20V 4p</t>
  </si>
  <si>
    <t>001174-6</t>
  </si>
  <si>
    <t>Marea Weekend HLX 2.4 mpi 20V 4p Aut.</t>
  </si>
  <si>
    <t>001147-9</t>
  </si>
  <si>
    <t>Marea Weekend HLX 2.4 mpi 20V 4p Mec.</t>
  </si>
  <si>
    <t>001227-0</t>
  </si>
  <si>
    <t>Marea Weekend SX 1.6 mpi 16V 106cv 4p</t>
  </si>
  <si>
    <t>001133-9</t>
  </si>
  <si>
    <t>Marea Weekend SX 1.8 16V 4p</t>
  </si>
  <si>
    <t>001085-5</t>
  </si>
  <si>
    <t>Marea Weekend SX 2.0 20V 4p</t>
  </si>
  <si>
    <t>001088-0</t>
  </si>
  <si>
    <t>Marea Weekend Turbo 2.0 20V 4p</t>
  </si>
  <si>
    <t>025071-6</t>
  </si>
  <si>
    <t>Master 2.8 DTI 114cv 16L Diesel</t>
  </si>
  <si>
    <t>MASTER</t>
  </si>
  <si>
    <t>025084-8</t>
  </si>
  <si>
    <t>Master 2.8 DTI Chassi 114cv Diesel</t>
  </si>
  <si>
    <t>025083-0</t>
  </si>
  <si>
    <t>Master 2.8 DTI Furgão 114cv Diesel curto</t>
  </si>
  <si>
    <t>025069-4</t>
  </si>
  <si>
    <t>Master 2.8 DTI Furgão Dies.Longo Alto</t>
  </si>
  <si>
    <t>025068-6</t>
  </si>
  <si>
    <t>Master 2.8 Furgão 85cv Diesel curto</t>
  </si>
  <si>
    <t>015058-4</t>
  </si>
  <si>
    <t>Matrix GLS 1.8 16V 123cv Aut.</t>
  </si>
  <si>
    <t>MATRIX</t>
  </si>
  <si>
    <t>015057-6</t>
  </si>
  <si>
    <t>Matrix GLS 1.8 16V 123cv Mec.</t>
  </si>
  <si>
    <t>003485-1</t>
  </si>
  <si>
    <t>Maverick Lariat FX4 2.0 EcoBoost Aut.</t>
  </si>
  <si>
    <t>MAVERICK</t>
  </si>
  <si>
    <t>023013-8</t>
  </si>
  <si>
    <t>Maxima 30G/ GLE 3.0 V6 24V</t>
  </si>
  <si>
    <t>MAXIMA</t>
  </si>
  <si>
    <t>023038-3</t>
  </si>
  <si>
    <t>Maxima 30GV Limited 3.0 V6 24V</t>
  </si>
  <si>
    <t>023009-0</t>
  </si>
  <si>
    <t>Maxima 30GV/30GV Aero/ GV 3.0 V6 24V</t>
  </si>
  <si>
    <t>023010-3</t>
  </si>
  <si>
    <t>Maxima 30J</t>
  </si>
  <si>
    <t>023015-4</t>
  </si>
  <si>
    <t>Maxima GXE 3.0</t>
  </si>
  <si>
    <t>023027-8</t>
  </si>
  <si>
    <t>Maxima SE 3.0 V6</t>
  </si>
  <si>
    <t>025147-0</t>
  </si>
  <si>
    <t>Megane Coupé Cabriolet Dynamique 2.0 Aut</t>
  </si>
  <si>
    <t>MEGANE</t>
  </si>
  <si>
    <t>025166-6</t>
  </si>
  <si>
    <t>Megane G. Tour EXTREME 2.0 16V Aut.</t>
  </si>
  <si>
    <t>025165-8</t>
  </si>
  <si>
    <t>Megane G. Tour EXTREME 2.0 16V Mec.</t>
  </si>
  <si>
    <t>025164-0</t>
  </si>
  <si>
    <t>Megane G. Tour EXTREME Hi-Flex 1.6 Mec.</t>
  </si>
  <si>
    <t>025129-1</t>
  </si>
  <si>
    <t>Megane Grand Tour Dynam. Hi-Flex 1.6 16V</t>
  </si>
  <si>
    <t>025131-3</t>
  </si>
  <si>
    <t>Megane Grand Tour Dynamique 2.0 16V Aut.</t>
  </si>
  <si>
    <t>025130-5</t>
  </si>
  <si>
    <t>Megane Grand Tour Dynamique 2.0 16V Mec.</t>
  </si>
  <si>
    <t>025155-0</t>
  </si>
  <si>
    <t>Megane Grand Tour Expres.Hi-Flex 1.6 16V</t>
  </si>
  <si>
    <t>025153-4</t>
  </si>
  <si>
    <t>Megane Grand Tour Privilège 2.0 16V Aut.</t>
  </si>
  <si>
    <t>025022-8</t>
  </si>
  <si>
    <t>Megane Hatch RN 1.6</t>
  </si>
  <si>
    <t>025014-7</t>
  </si>
  <si>
    <t>Megane Hatch RT 1.6/RT/Alizé/Exp 1.6 16V</t>
  </si>
  <si>
    <t>025016-3</t>
  </si>
  <si>
    <t>Megane Hatch RXE 2.0</t>
  </si>
  <si>
    <t>025043-0</t>
  </si>
  <si>
    <t>Megane Hatch RXE/Egeus 1.6 16V</t>
  </si>
  <si>
    <t>025149-6</t>
  </si>
  <si>
    <t>Megane Sed. Expression 2.0 16V Aut.</t>
  </si>
  <si>
    <t>025154-2</t>
  </si>
  <si>
    <t>Megane Sed. Expression 2.0 16V Mec.</t>
  </si>
  <si>
    <t>025163-1</t>
  </si>
  <si>
    <t>Megane Sed. EXTREME 2.0 16V Aut.</t>
  </si>
  <si>
    <t>025162-3</t>
  </si>
  <si>
    <t>Megane Sed. EXTREME 2.0 16V Mec.</t>
  </si>
  <si>
    <t>025161-5</t>
  </si>
  <si>
    <t>Megane Sed. EXTREME HI-Flex 1.6 16V Mec.</t>
  </si>
  <si>
    <t>025127-5</t>
  </si>
  <si>
    <t>Megane Sedan Dynamique 2.0 16V Aut.</t>
  </si>
  <si>
    <t>025126-7</t>
  </si>
  <si>
    <t>Megane Sedan Dynamique 2.0 16V Mec.</t>
  </si>
  <si>
    <t>025120-8</t>
  </si>
  <si>
    <t>Megane Sedan Dynamique Hi-Flex 1.6 16V</t>
  </si>
  <si>
    <t>025119-4</t>
  </si>
  <si>
    <t>Megane Sedan Expression Hi-Flex 1.6 16V</t>
  </si>
  <si>
    <t>025092-9</t>
  </si>
  <si>
    <t>Megane Sedan Privilège 2.0 16V Aut</t>
  </si>
  <si>
    <t>025015-5</t>
  </si>
  <si>
    <t>Megane Sedan RT 2.0</t>
  </si>
  <si>
    <t>025042-2</t>
  </si>
  <si>
    <t>Megane Sedan RT/Alizé 1.6 16V</t>
  </si>
  <si>
    <t>025078-3</t>
  </si>
  <si>
    <t>Megane Sedan RXE/ Privilège 2.0 16V Mec</t>
  </si>
  <si>
    <t>025017-1</t>
  </si>
  <si>
    <t>Megane Sedan RXE/Egeus 2.0</t>
  </si>
  <si>
    <t>004294-3</t>
  </si>
  <si>
    <t>Meriva Premium 1.8 MPFI 8V FlexPower</t>
  </si>
  <si>
    <t>004327-3</t>
  </si>
  <si>
    <t>Meriva SS 1.8 MPFI 8V FlexPower 5p</t>
  </si>
  <si>
    <t>004356-7</t>
  </si>
  <si>
    <t>Meriva SS EASYTRONIC 1.8 FlexPower 5p</t>
  </si>
  <si>
    <t>023028-6</t>
  </si>
  <si>
    <t>Micra 1.0</t>
  </si>
  <si>
    <t>NICRA</t>
  </si>
  <si>
    <t>022034-5</t>
  </si>
  <si>
    <t>Mirage ES</t>
  </si>
  <si>
    <t>MIRAGE</t>
  </si>
  <si>
    <t>022035-3</t>
  </si>
  <si>
    <t>Mirage GS 16V/ GLSi1.6</t>
  </si>
  <si>
    <t>022033-7</t>
  </si>
  <si>
    <t>Mirage LS</t>
  </si>
  <si>
    <t>021038-2</t>
  </si>
  <si>
    <t>ML-230 4x4</t>
  </si>
  <si>
    <t>ML-230</t>
  </si>
  <si>
    <t>021212-1</t>
  </si>
  <si>
    <t>ML-320 3.0 V6 224cv 4x4 diesel</t>
  </si>
  <si>
    <t>ML-320</t>
  </si>
  <si>
    <t>021039-0</t>
  </si>
  <si>
    <t>ML-320 4x4</t>
  </si>
  <si>
    <t>021227-0</t>
  </si>
  <si>
    <t>ML-350 3.0 V6 4x4 Diesel</t>
  </si>
  <si>
    <t>ML-350</t>
  </si>
  <si>
    <t>021172-9</t>
  </si>
  <si>
    <t>ML-350 3.5 4x4</t>
  </si>
  <si>
    <t>021297-0</t>
  </si>
  <si>
    <t>ML-350 Sport 3.0 V6 258cv 4X4 Diesel</t>
  </si>
  <si>
    <t>021264-4</t>
  </si>
  <si>
    <t>ML-350 Sport CGI 3.5 V6 306cv 4x4 Aut.</t>
  </si>
  <si>
    <t>021056-0</t>
  </si>
  <si>
    <t>ML-430</t>
  </si>
  <si>
    <t>021155-9</t>
  </si>
  <si>
    <t>ML-500 V8 24V</t>
  </si>
  <si>
    <t>ML-500</t>
  </si>
  <si>
    <t>021128-1</t>
  </si>
  <si>
    <t>ML-55 AMG 5.5 24v</t>
  </si>
  <si>
    <t>ML-55</t>
  </si>
  <si>
    <t>021276-8</t>
  </si>
  <si>
    <t>ML-63 AMG 5.5 V8 Bi-Turbo Aut.</t>
  </si>
  <si>
    <t>ML-63</t>
  </si>
  <si>
    <t>021201-6</t>
  </si>
  <si>
    <t>ML-63 AMG 6.2 V8 32V 510cv</t>
  </si>
  <si>
    <t>018069-6</t>
  </si>
  <si>
    <t>MOHAVE EX 3.0 V6 24V 256cv TB Dies. Aut.</t>
  </si>
  <si>
    <t>MOHAVE</t>
  </si>
  <si>
    <t>018068-8</t>
  </si>
  <si>
    <t>MOHAVE EX 3.8 V6 24V 275cv 4x4 Aut.</t>
  </si>
  <si>
    <t>018072-6</t>
  </si>
  <si>
    <t>MOHAVE EX 4.6 V8 32V 340cv 4x4 Aut.</t>
  </si>
  <si>
    <t>003076-7</t>
  </si>
  <si>
    <t>Mondeo CLX 1.8 4p e 5p</t>
  </si>
  <si>
    <t>MONDEO</t>
  </si>
  <si>
    <t>003077-5</t>
  </si>
  <si>
    <t>Mondeo CLX 1.8i SW</t>
  </si>
  <si>
    <t>003194-1</t>
  </si>
  <si>
    <t>Mondeo CLX 2.0i 4p Aut</t>
  </si>
  <si>
    <t>003078-3</t>
  </si>
  <si>
    <t>Mondeo CLX 2.0i 4p Mec</t>
  </si>
  <si>
    <t>003195-0</t>
  </si>
  <si>
    <t>Mondeo CLX 2.0i SW Aut</t>
  </si>
  <si>
    <t>003079-1</t>
  </si>
  <si>
    <t>Mondeo CLX 2.0i SW Mec</t>
  </si>
  <si>
    <t>003258-1</t>
  </si>
  <si>
    <t>Mondeo Ghia 2.0 16V 143cv 4p Aut</t>
  </si>
  <si>
    <t>003257-3</t>
  </si>
  <si>
    <t>Mondeo Ghia 2.0 16V 143cv 4p Mec</t>
  </si>
  <si>
    <t>003104-6</t>
  </si>
  <si>
    <t>Mondeo Ghia 2.5 V6 Aut</t>
  </si>
  <si>
    <t>003103-8</t>
  </si>
  <si>
    <t>Mondeo Ghia 2.5 V6 Mec</t>
  </si>
  <si>
    <t>003223-9</t>
  </si>
  <si>
    <t>Mondeo GLX 2.0 16V 4p Aut</t>
  </si>
  <si>
    <t>003080-5</t>
  </si>
  <si>
    <t>Mondeo GLX 2.0 4p e 5p</t>
  </si>
  <si>
    <t>003082-1</t>
  </si>
  <si>
    <t>Mondeo GLX 2.0i SW Mec./ Aut.</t>
  </si>
  <si>
    <t>022046-9</t>
  </si>
  <si>
    <t>Montero 2.8 Diesel</t>
  </si>
  <si>
    <t>004143-2</t>
  </si>
  <si>
    <t>Monza 1.6i/1.8i (restante)</t>
  </si>
  <si>
    <t>MONZA</t>
  </si>
  <si>
    <t>004191-2</t>
  </si>
  <si>
    <t>Monza Class 1.8/ 2.0</t>
  </si>
  <si>
    <t>004051-7</t>
  </si>
  <si>
    <t>Monza Classic SE 2.0 /MPFI e EFI 2p e 4p</t>
  </si>
  <si>
    <t>004048-7</t>
  </si>
  <si>
    <t>Monza Classic/ SL/e/SR 1.8</t>
  </si>
  <si>
    <t>004047-9</t>
  </si>
  <si>
    <t>Monza GL 1.8 EFI/ SL/ L/ 650/Barc. 2e4p</t>
  </si>
  <si>
    <t>004049-5</t>
  </si>
  <si>
    <t>Monza GL 2.0 EFI/SL/L/650/Club/Barc.2e4p</t>
  </si>
  <si>
    <t>004050-9</t>
  </si>
  <si>
    <t>Monza GLS/ Hi-Tech 2.0 EFI 2p e 4p</t>
  </si>
  <si>
    <t>004200-5</t>
  </si>
  <si>
    <t>Monza SL/e SR 2.0</t>
  </si>
  <si>
    <t>002055-9</t>
  </si>
  <si>
    <t>MR-2 Turbo 2.0</t>
  </si>
  <si>
    <t>MR-2</t>
  </si>
  <si>
    <t>023058-8</t>
  </si>
  <si>
    <t>MURANO SE 3.5 V6 24V 231cv Aut</t>
  </si>
  <si>
    <t>MURANO</t>
  </si>
  <si>
    <t>003179-8</t>
  </si>
  <si>
    <t>Mustang 3.8 V6</t>
  </si>
  <si>
    <t>MUSTANG</t>
  </si>
  <si>
    <t>003180-1</t>
  </si>
  <si>
    <t>Mustang 3.8 V6 Conv.</t>
  </si>
  <si>
    <t>003475-4</t>
  </si>
  <si>
    <t>Mustang Black Shadow 5.0 V8</t>
  </si>
  <si>
    <t>003190-9</t>
  </si>
  <si>
    <t>Mustang Cobra 5.7 V8</t>
  </si>
  <si>
    <t>003453-3</t>
  </si>
  <si>
    <t>Mustang GT Premium 5.0 V8</t>
  </si>
  <si>
    <t>003083-0</t>
  </si>
  <si>
    <t>Mustang GT V8</t>
  </si>
  <si>
    <t>003084-8</t>
  </si>
  <si>
    <t>Mustang GT V8 Conversível</t>
  </si>
  <si>
    <t>003480-0</t>
  </si>
  <si>
    <t>Mustang MACH 1 5.0 V8</t>
  </si>
  <si>
    <t>005111-0</t>
  </si>
  <si>
    <t>New Beetle 2.0 Mi Mec./Aut.</t>
  </si>
  <si>
    <t>NEW BEETLE</t>
  </si>
  <si>
    <t>023016-2</t>
  </si>
  <si>
    <t>NX 2000</t>
  </si>
  <si>
    <t>023029-4</t>
  </si>
  <si>
    <t>NX 2000 Targa 2.0</t>
  </si>
  <si>
    <t>014012-0</t>
  </si>
  <si>
    <t>Odyssey EX Van Aut (6 lug.)</t>
  </si>
  <si>
    <t>ODYSSEY</t>
  </si>
  <si>
    <t>014022-8</t>
  </si>
  <si>
    <t>Odyssey Van LX Aut (6 lug.)</t>
  </si>
  <si>
    <t>001105-3</t>
  </si>
  <si>
    <t>Oggi</t>
  </si>
  <si>
    <t>OGGI</t>
  </si>
  <si>
    <t>004090-8</t>
  </si>
  <si>
    <t>Omega CD 3.8 V6</t>
  </si>
  <si>
    <t>004011-8</t>
  </si>
  <si>
    <t>Omega CD 4.1 / 3.0</t>
  </si>
  <si>
    <t>004103-3</t>
  </si>
  <si>
    <t>Omega Diamond</t>
  </si>
  <si>
    <t>004052-5</t>
  </si>
  <si>
    <t>Omega GL 2.0/ 2.2</t>
  </si>
  <si>
    <t>004010-0</t>
  </si>
  <si>
    <t>Omega GLS 2.2 / 2.0</t>
  </si>
  <si>
    <t>004053-3</t>
  </si>
  <si>
    <t>Omega GLS 4.1</t>
  </si>
  <si>
    <t>004054-1</t>
  </si>
  <si>
    <t>Opala Comodoro/Comod. SLE 4.1/2.5</t>
  </si>
  <si>
    <t>OPALA</t>
  </si>
  <si>
    <t>004055-0</t>
  </si>
  <si>
    <t>Opala Diplomata/Diplom. SLE 4.1/2.5</t>
  </si>
  <si>
    <t>004104-1</t>
  </si>
  <si>
    <t>Opala L/SL/SS/ 2.5/4.1</t>
  </si>
  <si>
    <t>018052-1</t>
  </si>
  <si>
    <t>Opirus GL 3.5 V6 24V 202cv Aut.</t>
  </si>
  <si>
    <t>OPIRUS</t>
  </si>
  <si>
    <t>018063-7</t>
  </si>
  <si>
    <t>Opirus GL 3.8 V6 24V 267cv Aut.</t>
  </si>
  <si>
    <t>018086-6</t>
  </si>
  <si>
    <t>OPTIMA 2.0 16V 165cv Aut.</t>
  </si>
  <si>
    <t>OPTIMA</t>
  </si>
  <si>
    <t>018083-1</t>
  </si>
  <si>
    <t>OPTIMA 2.4 16V 180cv Aut.</t>
  </si>
  <si>
    <t>027028-8</t>
  </si>
  <si>
    <t>Outback 2.5 4x4 Aut.</t>
  </si>
  <si>
    <t>OUTBACK</t>
  </si>
  <si>
    <t>027018-0</t>
  </si>
  <si>
    <t>Outback 2.5 4x4 Mec.</t>
  </si>
  <si>
    <t>027045-8</t>
  </si>
  <si>
    <t>Outback 3.0 H6 SW 245cv Aut.</t>
  </si>
  <si>
    <t>027060-1</t>
  </si>
  <si>
    <t>Outback 3.6 H6 SW Aut.</t>
  </si>
  <si>
    <t>022048-5</t>
  </si>
  <si>
    <t>Pajero Evolution 4x4 3.5 V6</t>
  </si>
  <si>
    <t>022106-6</t>
  </si>
  <si>
    <t>Pajero Full GLS/GLS/PKHPE 3.2 Dies.TI 5p</t>
  </si>
  <si>
    <t>022054-0</t>
  </si>
  <si>
    <t>Pajero GLS 2.8 Diesel Turbo Aut.</t>
  </si>
  <si>
    <t>022014-0</t>
  </si>
  <si>
    <t>Pajero GLS 2.8 Diesel Turbo Mec.</t>
  </si>
  <si>
    <t>022061-2</t>
  </si>
  <si>
    <t>Pajero GLS 3.0 V6 2p Aut.</t>
  </si>
  <si>
    <t>022038-8</t>
  </si>
  <si>
    <t>Pajero GLS 3.0 V6 2p Mec.</t>
  </si>
  <si>
    <t>022055-8</t>
  </si>
  <si>
    <t>Pajero GLS 3.0 V6 4p Aut.</t>
  </si>
  <si>
    <t>022047-7</t>
  </si>
  <si>
    <t>Pajero GLS 3.0 V6 4p Mec.</t>
  </si>
  <si>
    <t>022022-1</t>
  </si>
  <si>
    <t>Pajero GLS 3.5 V6 2p Aut</t>
  </si>
  <si>
    <t>022021-3</t>
  </si>
  <si>
    <t>Pajero GLS 3.5 V6 2p Mec.</t>
  </si>
  <si>
    <t>022020-5</t>
  </si>
  <si>
    <t>Pajero GLS 3.5 V6 4p Aut.</t>
  </si>
  <si>
    <t>022062-0</t>
  </si>
  <si>
    <t>Pajero GLS 3.5 V6 4p Mec.</t>
  </si>
  <si>
    <t>022039-6</t>
  </si>
  <si>
    <t>Pajero GLS 3.5 V6 Top 2p Aut</t>
  </si>
  <si>
    <t>022040-0</t>
  </si>
  <si>
    <t>Pajero GLS 3.5 V6 Top 4p Aut</t>
  </si>
  <si>
    <t>022098-1</t>
  </si>
  <si>
    <t>Pajero GLS Full 3.8 V6 250cv 5p Aut.</t>
  </si>
  <si>
    <t>022082-5</t>
  </si>
  <si>
    <t>Pajero GLS HPE/HPE Full 3.8 233cv 3p Aut</t>
  </si>
  <si>
    <t>022083-3</t>
  </si>
  <si>
    <t>Pajero GLS HPE/HPE Full 3.8 233cv 5p Aut</t>
  </si>
  <si>
    <t>022016-7</t>
  </si>
  <si>
    <t>Pajero GLX 2.8 Diesel 4p Mec</t>
  </si>
  <si>
    <t>022050-7</t>
  </si>
  <si>
    <t>Pajero GLZ 3.0 4x4 V6</t>
  </si>
  <si>
    <t>022024-8</t>
  </si>
  <si>
    <t>Pajero iO Aut.</t>
  </si>
  <si>
    <t>022023-0</t>
  </si>
  <si>
    <t>Pajero iO Mec.</t>
  </si>
  <si>
    <t>022065-5</t>
  </si>
  <si>
    <t>Pajero iO SE 1.8 16V Aut.</t>
  </si>
  <si>
    <t>022067-1</t>
  </si>
  <si>
    <t>Pajero iO SE 1.8 16V Mec.</t>
  </si>
  <si>
    <t>022157-0</t>
  </si>
  <si>
    <t>Pajero OUTDOOR 3.2 4x4 T.I. Dies.5p Aut.</t>
  </si>
  <si>
    <t>022058-2</t>
  </si>
  <si>
    <t>Pajero Sport 2.8 4x4 Diesel Aut.</t>
  </si>
  <si>
    <t>022057-4</t>
  </si>
  <si>
    <t>Pajero Sport 2.8 4x4 Diesel Mec.</t>
  </si>
  <si>
    <t>022018-3</t>
  </si>
  <si>
    <t>Pajero Sport 3.0 4x2 V6 Mec./Aut.</t>
  </si>
  <si>
    <t>022019-1</t>
  </si>
  <si>
    <t>Pajero Sport 3.0 4x4 V6 Mec./Aut.</t>
  </si>
  <si>
    <t>022109-0</t>
  </si>
  <si>
    <t>Pajero Sport 3.5 V6 Flex 4x4 Aut.</t>
  </si>
  <si>
    <t>022178-3</t>
  </si>
  <si>
    <t>Pajero Sport HPE 2.4 4x4 Diesel Aut.</t>
  </si>
  <si>
    <t>022090-6</t>
  </si>
  <si>
    <t>Pajero Sport HPE 2.5 4x4 Diesel Aut.</t>
  </si>
  <si>
    <t>022091-4</t>
  </si>
  <si>
    <t>Pajero Sport HPE 2.5 4x4 Diesel Mec.</t>
  </si>
  <si>
    <t>022089-2</t>
  </si>
  <si>
    <t>Pajero Sport HPE 3.5 4x4 200cv Aut.</t>
  </si>
  <si>
    <t>022185-6</t>
  </si>
  <si>
    <t>Pajero Sport HPE-S 2.4 4x4 Diesel Aut.</t>
  </si>
  <si>
    <t>022073-6</t>
  </si>
  <si>
    <t>Pajero Sport SE 3.0 4x2 V6 177cv Aut.</t>
  </si>
  <si>
    <t>022066-3</t>
  </si>
  <si>
    <t>Pajero Sport SE/ HPE 2.8 4x4 Diesel Aut.</t>
  </si>
  <si>
    <t>022064-7</t>
  </si>
  <si>
    <t>Pajero Sport SE/ HPE 3.0 4x4 177cv Aut.</t>
  </si>
  <si>
    <t>022087-6</t>
  </si>
  <si>
    <t>Pajero TR4 2.0 Blind. 16V 131cv 4x4 Aut.</t>
  </si>
  <si>
    <t>022086-8</t>
  </si>
  <si>
    <t>Pajero TR4 2.0 Blind. 16V 131cv 4x4 Mec.</t>
  </si>
  <si>
    <t>003058-9</t>
  </si>
  <si>
    <t>Pampa 4x4 Jeep GL / L 1.6</t>
  </si>
  <si>
    <t>PAMPA</t>
  </si>
  <si>
    <t>003137-2</t>
  </si>
  <si>
    <t>Pampa Ghia 1.6/1.8/DUO</t>
  </si>
  <si>
    <t>003056-2</t>
  </si>
  <si>
    <t>Pampa GL 1.6/ 1.8</t>
  </si>
  <si>
    <t>003054-6</t>
  </si>
  <si>
    <t>Pampa L 1.6</t>
  </si>
  <si>
    <t>003055-4</t>
  </si>
  <si>
    <t>Pampa L 1.8i / 1.8</t>
  </si>
  <si>
    <t>003057-0</t>
  </si>
  <si>
    <t>Pampa S 1.8</t>
  </si>
  <si>
    <t>001116-9</t>
  </si>
  <si>
    <t>Panorama C/CL</t>
  </si>
  <si>
    <t>PANORAMA</t>
  </si>
  <si>
    <t>005145-4</t>
  </si>
  <si>
    <t>Parati 1000 Mi 16V 4p Turbo</t>
  </si>
  <si>
    <t>005048-2</t>
  </si>
  <si>
    <t>Parati CLi / CL/ Atlanta 1.6</t>
  </si>
  <si>
    <t>005049-0</t>
  </si>
  <si>
    <t>Parati CLi / CL/ Atlanta 1.8</t>
  </si>
  <si>
    <t>005051-2</t>
  </si>
  <si>
    <t>Parati GLi / GL 1.8</t>
  </si>
  <si>
    <t>005012-1</t>
  </si>
  <si>
    <t>Parati GLS 2.0 Mi 2/4p</t>
  </si>
  <si>
    <t>005052-0</t>
  </si>
  <si>
    <t>Parati GLSi 2.0 / GLS/ Surf 1.8</t>
  </si>
  <si>
    <t>005053-9</t>
  </si>
  <si>
    <t>Parati GTi 2.0 Mi 16V</t>
  </si>
  <si>
    <t>005169-1</t>
  </si>
  <si>
    <t>Parati Utility 1.8 8V/ 1.0 Turbo 16V</t>
  </si>
  <si>
    <t>024101-6</t>
  </si>
  <si>
    <t>Partner Furgão 1.6 16V/ 1.6 16V Flex 3p</t>
  </si>
  <si>
    <t>PARTNER</t>
  </si>
  <si>
    <t>024063-0</t>
  </si>
  <si>
    <t>Partner Furgão 1.8 3p</t>
  </si>
  <si>
    <t>002021-4</t>
  </si>
  <si>
    <t>Paseo</t>
  </si>
  <si>
    <t>PASEO</t>
  </si>
  <si>
    <t>005132-2</t>
  </si>
  <si>
    <t>Passat 1.8 Aut.</t>
  </si>
  <si>
    <t>PASSAT</t>
  </si>
  <si>
    <t>005088-1</t>
  </si>
  <si>
    <t>Passat 1.8 Mec.</t>
  </si>
  <si>
    <t>005113-6</t>
  </si>
  <si>
    <t>Passat 1.8 Tiptronic</t>
  </si>
  <si>
    <t>005074-1</t>
  </si>
  <si>
    <t>Passat 2.0</t>
  </si>
  <si>
    <t>005234-5</t>
  </si>
  <si>
    <t>Passat 2.0 FSI Tiptronic</t>
  </si>
  <si>
    <t>005092-0</t>
  </si>
  <si>
    <t>Passat 2.8 V6 Mec.</t>
  </si>
  <si>
    <t>005184-5</t>
  </si>
  <si>
    <t>Passat 2.8 V6 Protect Tiptronic</t>
  </si>
  <si>
    <t>005112-8</t>
  </si>
  <si>
    <t>Passat 2.8 V6 Tiptronic</t>
  </si>
  <si>
    <t>005260-4</t>
  </si>
  <si>
    <t>Passat 3.2 V6 FSI 24V 250cv Tip.</t>
  </si>
  <si>
    <t>005400-3</t>
  </si>
  <si>
    <t>Passat CC 2.0 TSI 211cv Tiptronic</t>
  </si>
  <si>
    <t>005292-2</t>
  </si>
  <si>
    <t>Passat CC 3.6 V6 FSI 300cv Tiptronic</t>
  </si>
  <si>
    <t>005446-1</t>
  </si>
  <si>
    <t>Passat Comfortline 2.0 TSI 220cv Tip.</t>
  </si>
  <si>
    <t>005447-0</t>
  </si>
  <si>
    <t>Passat Highline 2.0 TSI 220cv Tip.</t>
  </si>
  <si>
    <t>005101-2</t>
  </si>
  <si>
    <t>Passat L/LS/LSe/GL/GLS/TS/Fla/Vill/Plus</t>
  </si>
  <si>
    <t>005054-7</t>
  </si>
  <si>
    <t>Passat Pointer GTS</t>
  </si>
  <si>
    <t>005413-5</t>
  </si>
  <si>
    <t>Passat R-Line TB 2.0 TSI Tiptronic 4p</t>
  </si>
  <si>
    <t>005257-4</t>
  </si>
  <si>
    <t>Passat TB 2.0 FSI/TSI 211cv Tiptronic 4p</t>
  </si>
  <si>
    <t>005090-3</t>
  </si>
  <si>
    <t>Passat Turbo 1.8 Mec.</t>
  </si>
  <si>
    <t>005134-9</t>
  </si>
  <si>
    <t>Passat Turbo 1.8 Tiptronic</t>
  </si>
  <si>
    <t>005135-7</t>
  </si>
  <si>
    <t>Passat Variant 1.8 Aut.</t>
  </si>
  <si>
    <t>005089-0</t>
  </si>
  <si>
    <t>Passat Variant 1.8 Mec.</t>
  </si>
  <si>
    <t>005075-0</t>
  </si>
  <si>
    <t>Passat Variant 2.0</t>
  </si>
  <si>
    <t>005237-0</t>
  </si>
  <si>
    <t>Passat Variant 2.0 FSI 150cv Tiptron.5p</t>
  </si>
  <si>
    <t>005093-8</t>
  </si>
  <si>
    <t>Passat Variant 2.8 V6</t>
  </si>
  <si>
    <t>005114-4</t>
  </si>
  <si>
    <t>Passat Variant 2.8 V6 Tiptronic</t>
  </si>
  <si>
    <t>005261-2</t>
  </si>
  <si>
    <t>Passat Variant 3.2 V6 FSI 24V 250cv Tip.</t>
  </si>
  <si>
    <t>005440-2</t>
  </si>
  <si>
    <t>Passat Variant R-Line TB 2.0 TSI Tip. 5p</t>
  </si>
  <si>
    <t>005091-1</t>
  </si>
  <si>
    <t>Passat Variant Turbo 1.8</t>
  </si>
  <si>
    <t>005115-2</t>
  </si>
  <si>
    <t>Passat Variant Turbo 1.8 Tiptronic</t>
  </si>
  <si>
    <t>005256-6</t>
  </si>
  <si>
    <t>Passat Variant Turbo 2.0 FSI Tiptron. 5p</t>
  </si>
  <si>
    <t>005076-8</t>
  </si>
  <si>
    <t>Passat Variant VR6 2.8</t>
  </si>
  <si>
    <t>005077-6</t>
  </si>
  <si>
    <t>Passat VR6 2.8</t>
  </si>
  <si>
    <t>014024-4</t>
  </si>
  <si>
    <t>Passport EX</t>
  </si>
  <si>
    <t xml:space="preserve">PASSPORT </t>
  </si>
  <si>
    <t>014025-2</t>
  </si>
  <si>
    <t>Passport LX</t>
  </si>
  <si>
    <t>014026-0</t>
  </si>
  <si>
    <t>Passport PIck-Up 4x2</t>
  </si>
  <si>
    <t>023054-5</t>
  </si>
  <si>
    <t>Pathfinder LE 2.5 16V TDI Diesel Aut</t>
  </si>
  <si>
    <t>PATHFINDER</t>
  </si>
  <si>
    <t>023055-3</t>
  </si>
  <si>
    <t>Pathfinder LE 4.0 V6 24V 266cv Aut</t>
  </si>
  <si>
    <t>023073-1</t>
  </si>
  <si>
    <t>Pathfinder SE 2.5 16V TDI Diesel Aut.</t>
  </si>
  <si>
    <t>023040-5</t>
  </si>
  <si>
    <t>Pathfinder SE 3.3 V6 12V</t>
  </si>
  <si>
    <t>023072-3</t>
  </si>
  <si>
    <t>Pathfinder SE 4.0 V6 24V 266cv Aut.</t>
  </si>
  <si>
    <t>023001-4</t>
  </si>
  <si>
    <t>Pathfinder SE 4x4 3.0 12V Aut./Mec.</t>
  </si>
  <si>
    <t>023039-1</t>
  </si>
  <si>
    <t>Pathfinder SE Luxo 3.3 V6 12V</t>
  </si>
  <si>
    <t>023043-0</t>
  </si>
  <si>
    <t>Pathfinder SE Luxo 3.5 V6 24V 243cv</t>
  </si>
  <si>
    <t>023019-7</t>
  </si>
  <si>
    <t>Pathfinder SE Titanium 3.3 V6 12V</t>
  </si>
  <si>
    <t>023042-1</t>
  </si>
  <si>
    <t>Pathfinder XE 2.7 TB Diesel</t>
  </si>
  <si>
    <t>023003-0</t>
  </si>
  <si>
    <t>Pathfinder XE 4x4</t>
  </si>
  <si>
    <t>023004-9</t>
  </si>
  <si>
    <t>Pick-Up CD AX/ DX 4x4 Diesel</t>
  </si>
  <si>
    <t>PICK-UP</t>
  </si>
  <si>
    <t>023005-7</t>
  </si>
  <si>
    <t>Pick-Up CS DX 4x4 Diesel</t>
  </si>
  <si>
    <t>023006-5</t>
  </si>
  <si>
    <t>Pick-Up King Cab DX 2.7 4x2 Diesel</t>
  </si>
  <si>
    <t>066011-6</t>
  </si>
  <si>
    <t>Plutus 3.2 8V 4x2 CD Turbo Diesel</t>
  </si>
  <si>
    <t>PLUTUS</t>
  </si>
  <si>
    <t>005055-5</t>
  </si>
  <si>
    <t>Pointer 1.8 / CLi</t>
  </si>
  <si>
    <t>POINTER</t>
  </si>
  <si>
    <t>005056-3</t>
  </si>
  <si>
    <t>Pointer GLi 1.8</t>
  </si>
  <si>
    <t>005057-1</t>
  </si>
  <si>
    <t>Pointer GLi 2.0</t>
  </si>
  <si>
    <t>005058-0</t>
  </si>
  <si>
    <t>Pointer GTi 2.0</t>
  </si>
  <si>
    <t>015044-4</t>
  </si>
  <si>
    <t>Porter GL 4x2 Curto/Longo Diesel</t>
  </si>
  <si>
    <t>PORTER</t>
  </si>
  <si>
    <t>015046-0</t>
  </si>
  <si>
    <t>Porter GLS CD 4x2 2.6 8V Diesel</t>
  </si>
  <si>
    <t>014027-9</t>
  </si>
  <si>
    <t>Prelude Coupê S 2.2</t>
  </si>
  <si>
    <t>PRELUDE</t>
  </si>
  <si>
    <t>014013-9</t>
  </si>
  <si>
    <t>Prelude Si</t>
  </si>
  <si>
    <t>001034-0</t>
  </si>
  <si>
    <t>Premio CS 1.5 i.e. 2p/ SL 1.6/1.5/1.3 4p</t>
  </si>
  <si>
    <t>PREMIO</t>
  </si>
  <si>
    <t>001033-2</t>
  </si>
  <si>
    <t>Premio CS 1.6/ 1.5/ 1.3 2p</t>
  </si>
  <si>
    <t>001036-7</t>
  </si>
  <si>
    <t>Premio CSL 1.6 i.e./ 1.5 4p</t>
  </si>
  <si>
    <t>001035-9</t>
  </si>
  <si>
    <t>Premio CSL 1.6/ 1.5</t>
  </si>
  <si>
    <t>001032-4</t>
  </si>
  <si>
    <t>Premio S 1.5 i.e./ 1.5 / 1.3</t>
  </si>
  <si>
    <t>002022-2</t>
  </si>
  <si>
    <t>Previa LE 2.4 16V</t>
  </si>
  <si>
    <t>PREVIA</t>
  </si>
  <si>
    <t>002056-7</t>
  </si>
  <si>
    <t>Previa LX 2.5</t>
  </si>
  <si>
    <t>023014-6</t>
  </si>
  <si>
    <t>Primera GXE 2.0 16V</t>
  </si>
  <si>
    <t>PRIMERA</t>
  </si>
  <si>
    <t>002129-6</t>
  </si>
  <si>
    <t>PRIUS Hybrid 1.8 16V 5p Aut.</t>
  </si>
  <si>
    <t>PRIUS</t>
  </si>
  <si>
    <t>003125-9</t>
  </si>
  <si>
    <t>Probe 2.0/2.2</t>
  </si>
  <si>
    <t>PROBE</t>
  </si>
  <si>
    <t>003182-8</t>
  </si>
  <si>
    <t>Probe GT 2.5 V6</t>
  </si>
  <si>
    <t>001120-7</t>
  </si>
  <si>
    <t>Punto Cabrio</t>
  </si>
  <si>
    <t>001117-7</t>
  </si>
  <si>
    <t>Punto EL/ELX</t>
  </si>
  <si>
    <t>001342-0</t>
  </si>
  <si>
    <t>Punto ESSENCE Dualogic 1.6 Flex 16V 5p</t>
  </si>
  <si>
    <t>001318-8</t>
  </si>
  <si>
    <t>Punto ESSENCE Dualogic 1.8 Flex 16V 5p</t>
  </si>
  <si>
    <t>001437-0</t>
  </si>
  <si>
    <t>Punto ESSENCE SP 1.6 Flex 16V 5p</t>
  </si>
  <si>
    <t>001442-7</t>
  </si>
  <si>
    <t>Punto ESSENCE SP Dualogic 1.6 Flex 16V</t>
  </si>
  <si>
    <t>001118-5</t>
  </si>
  <si>
    <t>Punto S</t>
  </si>
  <si>
    <t>001251-3</t>
  </si>
  <si>
    <t>Punto Sporting 1.8 Flex 8V/16V 5p</t>
  </si>
  <si>
    <t>001319-6</t>
  </si>
  <si>
    <t>Punto Sporting Dualogic 1.8 Flex 16V 5p</t>
  </si>
  <si>
    <t>001119-3</t>
  </si>
  <si>
    <t>Punto SX</t>
  </si>
  <si>
    <t>001271-8</t>
  </si>
  <si>
    <t>Punto T-JET 1.4 16V Turbo 5p</t>
  </si>
  <si>
    <t>Q3</t>
  </si>
  <si>
    <t>Q5</t>
  </si>
  <si>
    <t>Q5 S-Line 2.0 TFSI Quattro S-tronic</t>
  </si>
  <si>
    <t>Q7</t>
  </si>
  <si>
    <t>Q7 3.0 V6 TFSI Quat.Tip.5p/ Performance</t>
  </si>
  <si>
    <t>Q7 Perf. Black 3.0 V6 TFSI Quat.Tip. 5p</t>
  </si>
  <si>
    <t>Q8 Perf.Black 3.0 TFSI Quattro S-tronic</t>
  </si>
  <si>
    <t>Q8</t>
  </si>
  <si>
    <t>Q8 Performance 3.0 TFSI Quattro S-tronic</t>
  </si>
  <si>
    <t>005014-8</t>
  </si>
  <si>
    <t>Quantum 1.8 Mi/ 1.8i</t>
  </si>
  <si>
    <t>SANTANA</t>
  </si>
  <si>
    <t>005015-6</t>
  </si>
  <si>
    <t>Quantum 2.0 Mi</t>
  </si>
  <si>
    <t>005059-8</t>
  </si>
  <si>
    <t>Quantum CLi / CL / C/ CS/ CD/ CG 1.8/2.0</t>
  </si>
  <si>
    <t>005097-0</t>
  </si>
  <si>
    <t>Quantum Evidence 2.0 Mi</t>
  </si>
  <si>
    <t>005016-4</t>
  </si>
  <si>
    <t>Quantum Exclusive 2.0 Mi</t>
  </si>
  <si>
    <t>005060-1</t>
  </si>
  <si>
    <t>Quantum GLi / GL 1.8/ 2.0</t>
  </si>
  <si>
    <t>005061-0</t>
  </si>
  <si>
    <t>Quantum GLSi / GLS 1.8/Sport/ Family 2.0</t>
  </si>
  <si>
    <t>023007-3</t>
  </si>
  <si>
    <t>Quest GXE/ GLE/ SER</t>
  </si>
  <si>
    <t>QUEST</t>
  </si>
  <si>
    <t>023030-8</t>
  </si>
  <si>
    <t>Quest XE 3.0 V6</t>
  </si>
  <si>
    <t>018087-4</t>
  </si>
  <si>
    <t>QUORIS EX 3.8 V6 24V 294cv Aut.</t>
  </si>
  <si>
    <t>QUORIS</t>
  </si>
  <si>
    <t>R8</t>
  </si>
  <si>
    <t>003209-3</t>
  </si>
  <si>
    <t>Ranger 2.5 4x2 CE Diesel</t>
  </si>
  <si>
    <t>003205-0</t>
  </si>
  <si>
    <t>Ranger 2.5 4x2 TB Diesel</t>
  </si>
  <si>
    <t>003108-9</t>
  </si>
  <si>
    <t>Ranger 2.5 4x4 CD TB Diesel</t>
  </si>
  <si>
    <t>003147-0</t>
  </si>
  <si>
    <t>Ranger 2.5 4x4 CE TB Diesel</t>
  </si>
  <si>
    <t>003107-0</t>
  </si>
  <si>
    <t>Ranger 2.5 4x4 TB Diesel</t>
  </si>
  <si>
    <t>003105-4</t>
  </si>
  <si>
    <t>Ranger 2.5i CD</t>
  </si>
  <si>
    <t>003146-1</t>
  </si>
  <si>
    <t>Ranger 2.5i CE</t>
  </si>
  <si>
    <t>003106-2</t>
  </si>
  <si>
    <t>Ranger 2.5i CS</t>
  </si>
  <si>
    <t>003210-7</t>
  </si>
  <si>
    <t>003220-4</t>
  </si>
  <si>
    <t>Ranger Splash CE</t>
  </si>
  <si>
    <t>003089-9</t>
  </si>
  <si>
    <t>Ranger Splash CS</t>
  </si>
  <si>
    <t>003090-2</t>
  </si>
  <si>
    <t>Ranger STX 4.0 CS/ CE</t>
  </si>
  <si>
    <t>003235-2</t>
  </si>
  <si>
    <t>Ranger XL 2.3 16v 137cv 4x2 CS Repower.</t>
  </si>
  <si>
    <t>003085-6</t>
  </si>
  <si>
    <t>Ranger XL 2.3 CS</t>
  </si>
  <si>
    <t>003086-4</t>
  </si>
  <si>
    <t>Ranger XL 4.0 CS</t>
  </si>
  <si>
    <t>003087-2</t>
  </si>
  <si>
    <t>Ranger XLT 2.3 CS</t>
  </si>
  <si>
    <t>003204-2</t>
  </si>
  <si>
    <t>Ranger XLT 2.5 4x2 CD Diesel</t>
  </si>
  <si>
    <t>003202-6</t>
  </si>
  <si>
    <t>Ranger XLT 2.5 4x2 CE Diesel</t>
  </si>
  <si>
    <t>003203-4</t>
  </si>
  <si>
    <t>Ranger XLT 2.5 4x2 CS Diesel</t>
  </si>
  <si>
    <t>003110-0</t>
  </si>
  <si>
    <t>Ranger XLT 2.5 4x4 CD Diesel</t>
  </si>
  <si>
    <t>003148-8</t>
  </si>
  <si>
    <t>Ranger XLT 2.5 4x4 CE TB Diesel</t>
  </si>
  <si>
    <t>003109-7</t>
  </si>
  <si>
    <t>Ranger XLT 2.5 4x4 CS TB Diesel</t>
  </si>
  <si>
    <t>003149-6</t>
  </si>
  <si>
    <t>Ranger XLT 4.0 4x2 CE</t>
  </si>
  <si>
    <t>003088-0</t>
  </si>
  <si>
    <t>Ranger XLT 4.0 4x2 CS</t>
  </si>
  <si>
    <t>003112-7</t>
  </si>
  <si>
    <t>Ranger XLT 4.0 4x4 CD</t>
  </si>
  <si>
    <t>003150-0</t>
  </si>
  <si>
    <t>Ranger XLT 4.0 4x4 CE</t>
  </si>
  <si>
    <t>003111-9</t>
  </si>
  <si>
    <t>Ranger XLT 4.0 4x4 CS</t>
  </si>
  <si>
    <t>002130-0</t>
  </si>
  <si>
    <t>RAV4 2.0 4x2 16V Aut.</t>
  </si>
  <si>
    <t>RAV4</t>
  </si>
  <si>
    <t>002066-4</t>
  </si>
  <si>
    <t>RAV4 2.0 4x4 16V Aut.</t>
  </si>
  <si>
    <t>002057-5</t>
  </si>
  <si>
    <t>RAV4 2.0 4x4 16V Mec.</t>
  </si>
  <si>
    <t>002138-5</t>
  </si>
  <si>
    <t>RAV4 2.0 HIGH 4x2 16V Aut.</t>
  </si>
  <si>
    <t>002140-7</t>
  </si>
  <si>
    <t>RAV4 2.0 TOP 4x2 16V Aut.</t>
  </si>
  <si>
    <t>002113-0</t>
  </si>
  <si>
    <t>RAV4 2.4 4x2 16V 170cv Aut.</t>
  </si>
  <si>
    <t>002097-4</t>
  </si>
  <si>
    <t>RAV4 2.4 4x4 16V 170cv Aut.</t>
  </si>
  <si>
    <t>002131-8</t>
  </si>
  <si>
    <t>RAV4 2.5 4x4 16V Aut.</t>
  </si>
  <si>
    <t>002179-2</t>
  </si>
  <si>
    <t>RAV4 2.5 S 4x4 Hybrid Aut.</t>
  </si>
  <si>
    <t>002197-0</t>
  </si>
  <si>
    <t>RAV4 2.5 S Connect 4x4 Hybrid Aut.</t>
  </si>
  <si>
    <t>002180-6</t>
  </si>
  <si>
    <t>RAV4 2.5 SX 4x4 Hybrid Aut.</t>
  </si>
  <si>
    <t>002196-2</t>
  </si>
  <si>
    <t>RAV4 2.5 SX Connect 4x4 Hybrid Aut.</t>
  </si>
  <si>
    <t>024182-2</t>
  </si>
  <si>
    <t>RCZ 1.6 Turbo 16V 2p Aut.</t>
  </si>
  <si>
    <t>RCZ</t>
  </si>
  <si>
    <t>018094-7</t>
  </si>
  <si>
    <t>RIO EX 1.6 Flex Aut.</t>
  </si>
  <si>
    <t>RIO</t>
  </si>
  <si>
    <t>018095-5</t>
  </si>
  <si>
    <t>RIO LX 1.6 Flex Aut.</t>
  </si>
  <si>
    <t>003061-9</t>
  </si>
  <si>
    <t>Royale Ghia 2.0/2.0i 2p e 4p</t>
  </si>
  <si>
    <t>ROYALE</t>
  </si>
  <si>
    <t>003059-7</t>
  </si>
  <si>
    <t>Royale GL 1.8/1.8i 2p e 4p</t>
  </si>
  <si>
    <t>003060-0</t>
  </si>
  <si>
    <t>Royale GL 2.0/2.0i 2p e 4p</t>
  </si>
  <si>
    <t>RS6 4.0 Avant TFSI BI-TB Quattro Tip. 5p</t>
  </si>
  <si>
    <t xml:space="preserve">S </t>
  </si>
  <si>
    <t>004093-2</t>
  </si>
  <si>
    <t>S10 Pick-Up 2.5 4x2 CD TB Max HST Dies</t>
  </si>
  <si>
    <t>004144-0</t>
  </si>
  <si>
    <t>S10 Pick-Up 2.5 4x4 CD TB Max HST Dies.</t>
  </si>
  <si>
    <t>004162-9</t>
  </si>
  <si>
    <t>S10 Pick-Up 4.3 V6</t>
  </si>
  <si>
    <t>004105-0</t>
  </si>
  <si>
    <t>S10 Pick-Up Champ 4.3 V6</t>
  </si>
  <si>
    <t>073006-8</t>
  </si>
  <si>
    <t>S-18 1.3 16V Flex Mec. 5p</t>
  </si>
  <si>
    <t>S-18</t>
  </si>
  <si>
    <t>S3</t>
  </si>
  <si>
    <t>021013-7</t>
  </si>
  <si>
    <t>S-320 L Classic/Wagon Classic 3.2</t>
  </si>
  <si>
    <t>S-320</t>
  </si>
  <si>
    <t>S4</t>
  </si>
  <si>
    <t>021231-8</t>
  </si>
  <si>
    <t>S-400 Hybrid 3.5 V6 279cv Aut.</t>
  </si>
  <si>
    <t>S-400</t>
  </si>
  <si>
    <t>021080-3</t>
  </si>
  <si>
    <t>S-420 Classic 4.0</t>
  </si>
  <si>
    <t>S-420</t>
  </si>
  <si>
    <t>S5</t>
  </si>
  <si>
    <t>021014-5</t>
  </si>
  <si>
    <t>S-500 5.0</t>
  </si>
  <si>
    <t>S-500</t>
  </si>
  <si>
    <t>021081-1</t>
  </si>
  <si>
    <t>S-500 C Classic 5.0</t>
  </si>
  <si>
    <t>021092-7</t>
  </si>
  <si>
    <t>S-500 L/ L Classic/ Wagon Classic 5.0</t>
  </si>
  <si>
    <t>021385-3</t>
  </si>
  <si>
    <t>S-500 Maybach 4.7 Bi-Turbo V8 455cv Aut.</t>
  </si>
  <si>
    <t>021302-0</t>
  </si>
  <si>
    <t>S-500L 4.7 Bi-Turbo V8 455cv Aut.</t>
  </si>
  <si>
    <t>021057-9</t>
  </si>
  <si>
    <t>S-500L 5.0</t>
  </si>
  <si>
    <t>021173-7</t>
  </si>
  <si>
    <t>S-55 AMG V8 24V 364cv/ 500cv</t>
  </si>
  <si>
    <t xml:space="preserve">S-55 </t>
  </si>
  <si>
    <t>021392-6</t>
  </si>
  <si>
    <t>S-560L 4.0 Bi-Turbo V8 469cv Aut.</t>
  </si>
  <si>
    <t>S-560</t>
  </si>
  <si>
    <t>S6</t>
  </si>
  <si>
    <t>021083-8</t>
  </si>
  <si>
    <t>S-600 L/ L Classic/ Wagon Classic 6.0</t>
  </si>
  <si>
    <t>S-600</t>
  </si>
  <si>
    <t>021015-3</t>
  </si>
  <si>
    <t>S-600/ S-600 C Classic 6.0</t>
  </si>
  <si>
    <t>021252-0</t>
  </si>
  <si>
    <t>S-63 AMG 5.5 V8 BI-TURBO Aut.</t>
  </si>
  <si>
    <t>S-63</t>
  </si>
  <si>
    <t>021204-0</t>
  </si>
  <si>
    <t>S-63 AMG 6.2 V8 525cv Aut</t>
  </si>
  <si>
    <t>021366-7</t>
  </si>
  <si>
    <t>S-63 Cabriolet AMG 5.5 V8 Bi-Turbo Aut.</t>
  </si>
  <si>
    <t>021400-0</t>
  </si>
  <si>
    <t>S-63 Coupe AMG 4MATIC 4.0 V8 Bi-TB Aut.</t>
  </si>
  <si>
    <t>021328-4</t>
  </si>
  <si>
    <t>S-63 Coupe AMG 5.5 V8 Bi-Turbo Aut.</t>
  </si>
  <si>
    <t>021205-9</t>
  </si>
  <si>
    <t>S-63 L AMG 6.2 V8/5.5 V8 Bi-TB Aut</t>
  </si>
  <si>
    <t>021200-8</t>
  </si>
  <si>
    <t>S-65 AMG 6.0 V12 612cv Aut</t>
  </si>
  <si>
    <t>S-65</t>
  </si>
  <si>
    <t>021398-5</t>
  </si>
  <si>
    <t>S-65 AMG Coupe 6.0 Bi-TB V12 630cv Aut.</t>
  </si>
  <si>
    <t>021359-4</t>
  </si>
  <si>
    <t>S-65 L AMG 6.0 V12 630cv Aut.</t>
  </si>
  <si>
    <t>S7</t>
  </si>
  <si>
    <t>S8</t>
  </si>
  <si>
    <t>025023-6</t>
  </si>
  <si>
    <t>Safrane RXE</t>
  </si>
  <si>
    <t>SAFRANE</t>
  </si>
  <si>
    <t>028001-1</t>
  </si>
  <si>
    <t>Samurai JX Canvas 1.3</t>
  </si>
  <si>
    <t>SUMARI</t>
  </si>
  <si>
    <t>028002-0</t>
  </si>
  <si>
    <t>Samurai JX Metal 1.3</t>
  </si>
  <si>
    <t>015175-0</t>
  </si>
  <si>
    <t>Santa Fe 3.5 V6 4X4 Aut.</t>
  </si>
  <si>
    <t>015105-0</t>
  </si>
  <si>
    <t>Santa Fe/GLS 3.3 V6 4X4 Tiptronic</t>
  </si>
  <si>
    <t>005017-2</t>
  </si>
  <si>
    <t>Santana 1.8 Mi</t>
  </si>
  <si>
    <t>005018-0</t>
  </si>
  <si>
    <t>Santana 2.0 Mi 2p e 4p</t>
  </si>
  <si>
    <t>005062-8</t>
  </si>
  <si>
    <t>Santana CLi /CL /C 1.8/2.0 /SU 2.0 2p/4p</t>
  </si>
  <si>
    <t>005245-0</t>
  </si>
  <si>
    <t>Santana COMFORTLINE 1.8 Mi 8V 4p</t>
  </si>
  <si>
    <t>005102-0</t>
  </si>
  <si>
    <t>Santana CS/CD/CG</t>
  </si>
  <si>
    <t>005098-9</t>
  </si>
  <si>
    <t>Santana Evidenc 2.0 MI</t>
  </si>
  <si>
    <t>005019-9</t>
  </si>
  <si>
    <t>Santana Exclusiv 2.0 Mi/ Executivo 2.0i</t>
  </si>
  <si>
    <t>005063-6</t>
  </si>
  <si>
    <t>Santana GLi / GL/ Sport 1.8/ 2.0</t>
  </si>
  <si>
    <t>005064-4</t>
  </si>
  <si>
    <t>Santana GLSi / GLS 1.8/ 2.0</t>
  </si>
  <si>
    <t>004106-8</t>
  </si>
  <si>
    <t>Saturn SL</t>
  </si>
  <si>
    <t>SATURN</t>
  </si>
  <si>
    <t>005021-0</t>
  </si>
  <si>
    <t>Saveiro CL/ Summer 1.8 Mi e 1.8</t>
  </si>
  <si>
    <t>005122-5</t>
  </si>
  <si>
    <t>Saveiro Diesel (todas)</t>
  </si>
  <si>
    <t>005065-2</t>
  </si>
  <si>
    <t>Saveiro GL 1.8Mi e 1.6/GL/LS/S/ Sunset</t>
  </si>
  <si>
    <t>005472-0</t>
  </si>
  <si>
    <t>Saveiro Robust 1.6 Total Flex 8V CD</t>
  </si>
  <si>
    <t>005095-4</t>
  </si>
  <si>
    <t>Saveiro TSi 2.0 Mi</t>
  </si>
  <si>
    <t>025052-0</t>
  </si>
  <si>
    <t>Scénic Alizé/ Expression 1.6 16V Mec.</t>
  </si>
  <si>
    <t>SCENIC</t>
  </si>
  <si>
    <t>025077-5</t>
  </si>
  <si>
    <t>Scénic Alizé/ Expression 2.0 16V 5p</t>
  </si>
  <si>
    <t>025087-2</t>
  </si>
  <si>
    <t>Scénic Expression 1.6 16V Aut.</t>
  </si>
  <si>
    <t>025148-8</t>
  </si>
  <si>
    <t>Scénic Grand Dynamique 2.0 16V 5p Aut.</t>
  </si>
  <si>
    <t>025107-0</t>
  </si>
  <si>
    <t>Scénic Hi-Flex/Express. Hi-Flex 1.6 16V</t>
  </si>
  <si>
    <t>025108-9</t>
  </si>
  <si>
    <t>Scénic Privilège Hi-Flex 1.6 16V</t>
  </si>
  <si>
    <t>025088-0</t>
  </si>
  <si>
    <t>Scénic Privillège 1.6 16V Aut.</t>
  </si>
  <si>
    <t>025089-9</t>
  </si>
  <si>
    <t>Scénic Privillège 2.0 Plus 16V 5p Aut</t>
  </si>
  <si>
    <t>025024-4</t>
  </si>
  <si>
    <t>Scénic RT 2.0</t>
  </si>
  <si>
    <t>025063-5</t>
  </si>
  <si>
    <t>Scénic RT 2.0 16V 5p Aut.</t>
  </si>
  <si>
    <t>025062-7</t>
  </si>
  <si>
    <t>Scénic RT 2.0 16V 5p Mec.</t>
  </si>
  <si>
    <t>025029-5</t>
  </si>
  <si>
    <t>Scénic RT/Auth/Auth/Kids Hi-Flex 1.6 16V</t>
  </si>
  <si>
    <t>025025-2</t>
  </si>
  <si>
    <t>Scénic RXE 2.0 8V</t>
  </si>
  <si>
    <t>025046-5</t>
  </si>
  <si>
    <t>Scénic RXE Egeus 2.0</t>
  </si>
  <si>
    <t>025058-9</t>
  </si>
  <si>
    <t>Scénic RXE/ Privilège 1.6 16V Mec.</t>
  </si>
  <si>
    <t>025064-3</t>
  </si>
  <si>
    <t>Scénic RXE/ Privilège 2.0 16V 5p Aut.</t>
  </si>
  <si>
    <t>025059-7</t>
  </si>
  <si>
    <t>Scénic RXE/ Privilège 2.0 16V 5p Mec.</t>
  </si>
  <si>
    <t>025125-9</t>
  </si>
  <si>
    <t>Scénic SPORTWAY Hi-Flex 1.6 16V 5p</t>
  </si>
  <si>
    <t>015009-6</t>
  </si>
  <si>
    <t>Scoupe</t>
  </si>
  <si>
    <t>SCOUPE</t>
  </si>
  <si>
    <t>028069-0</t>
  </si>
  <si>
    <t>S-CROSS 4STYLE 1.4 TB 16V Aut.</t>
  </si>
  <si>
    <t>S-CROSS</t>
  </si>
  <si>
    <t>028071-2</t>
  </si>
  <si>
    <t>S-CROSS 4STYLE ALLGRIP 1.4 TB 16V Aut.</t>
  </si>
  <si>
    <t>028074-7</t>
  </si>
  <si>
    <t>S-CROSS 4STYLE-S ALLGRIP 1.4 TB 16V Aut.</t>
  </si>
  <si>
    <t>028070-4</t>
  </si>
  <si>
    <t>S-CROSS 4YOU 1.6 16V Aut.</t>
  </si>
  <si>
    <t>021016-1</t>
  </si>
  <si>
    <t>SE-500</t>
  </si>
  <si>
    <t>023037-5</t>
  </si>
  <si>
    <t>Sentra GLE</t>
  </si>
  <si>
    <t>023008-1</t>
  </si>
  <si>
    <t>Sentra GSX/ EX</t>
  </si>
  <si>
    <t>023036-7</t>
  </si>
  <si>
    <t>Sentra GXE/ SER</t>
  </si>
  <si>
    <t>018007-6</t>
  </si>
  <si>
    <t>Sephia GTX 1.5 16V</t>
  </si>
  <si>
    <t>SEPHIA</t>
  </si>
  <si>
    <t>018008-4</t>
  </si>
  <si>
    <t>Sephia GTX 1.6</t>
  </si>
  <si>
    <t>018019-0</t>
  </si>
  <si>
    <t>Sephia LS 1.5 16V Aut.</t>
  </si>
  <si>
    <t>018018-1</t>
  </si>
  <si>
    <t>Sephia LS 1.5 16V Mec.</t>
  </si>
  <si>
    <t>018011-4</t>
  </si>
  <si>
    <t>Sephia SLX</t>
  </si>
  <si>
    <t>018032-7</t>
  </si>
  <si>
    <t>Shuma LS 1.5 16V Aut.</t>
  </si>
  <si>
    <t>SHUMA</t>
  </si>
  <si>
    <t>018023-8</t>
  </si>
  <si>
    <t>Shuma LS 1.5 16V Mec.</t>
  </si>
  <si>
    <t>028031-3</t>
  </si>
  <si>
    <t>Sidekick Canvas</t>
  </si>
  <si>
    <t>SIDEKICK</t>
  </si>
  <si>
    <t>028003-8</t>
  </si>
  <si>
    <t>Sidekick Metal</t>
  </si>
  <si>
    <t>004164-5</t>
  </si>
  <si>
    <t>Sierra CE 5.7 V8</t>
  </si>
  <si>
    <t>SIERRA</t>
  </si>
  <si>
    <t>004165-3</t>
  </si>
  <si>
    <t>Sierra Sport 5.0 V8</t>
  </si>
  <si>
    <t>004076-2</t>
  </si>
  <si>
    <t>Silverado</t>
  </si>
  <si>
    <t>SILVERADO</t>
  </si>
  <si>
    <t>004094-0</t>
  </si>
  <si>
    <t>Silverado 4.1</t>
  </si>
  <si>
    <t>004095-9</t>
  </si>
  <si>
    <t>Silverado 4.1 Diesel</t>
  </si>
  <si>
    <t>004096-7</t>
  </si>
  <si>
    <t>Silverado 4.2 Turbo Diesel</t>
  </si>
  <si>
    <t>004109-2</t>
  </si>
  <si>
    <t>Silverado Conquest 4.1 Diesel</t>
  </si>
  <si>
    <t>004110-6</t>
  </si>
  <si>
    <t>Silverado Conquest 4.2 Diesel Turbo</t>
  </si>
  <si>
    <t>004196-3</t>
  </si>
  <si>
    <t>Silverado D20/ Rodeio 4.2 TB Diesel</t>
  </si>
  <si>
    <t>004097-5</t>
  </si>
  <si>
    <t>Silverado DLX 4.1</t>
  </si>
  <si>
    <t>004180-7</t>
  </si>
  <si>
    <t>Silverado DLX 4.2 Conquest HD Diesel</t>
  </si>
  <si>
    <t>004098-3</t>
  </si>
  <si>
    <t>Silverado DLX 4.2 Diesel</t>
  </si>
  <si>
    <t>004089-4</t>
  </si>
  <si>
    <t>Silverado G. Blazer DLX/ Std 4.2 Dies.TB</t>
  </si>
  <si>
    <t>004088-6</t>
  </si>
  <si>
    <t>Silverado Grand Blazer DLX 4.1 mpfi</t>
  </si>
  <si>
    <t>004151-3</t>
  </si>
  <si>
    <t>Silverado Sport/ Fleet Side 5.7 CS</t>
  </si>
  <si>
    <t>004152-1</t>
  </si>
  <si>
    <t>Silverado Sport/Fleet Side 6.5 Dies. CS</t>
  </si>
  <si>
    <t>004214-5</t>
  </si>
  <si>
    <t>Silverado Trop. SL/ Van T.Diesel (todas)</t>
  </si>
  <si>
    <t>004149-1</t>
  </si>
  <si>
    <t>Silverado Tropical CD 4.1 Diesel</t>
  </si>
  <si>
    <t>004148-3</t>
  </si>
  <si>
    <t>Silverado Tropical CD 4.1 MPFI</t>
  </si>
  <si>
    <t>004150-5</t>
  </si>
  <si>
    <t>Silverado Tropical CD 4.2 Diesel</t>
  </si>
  <si>
    <t>021084-6</t>
  </si>
  <si>
    <t>SL-280 Classic 2.8</t>
  </si>
  <si>
    <t xml:space="preserve">SL-280 </t>
  </si>
  <si>
    <t>021017-0</t>
  </si>
  <si>
    <t>SL-320 3.2/Classic 3.2</t>
  </si>
  <si>
    <t xml:space="preserve">SL-320 </t>
  </si>
  <si>
    <t>021191-5</t>
  </si>
  <si>
    <t>SL-350 3.5 V6 2p</t>
  </si>
  <si>
    <t xml:space="preserve">SL-350 </t>
  </si>
  <si>
    <t>021232-6</t>
  </si>
  <si>
    <t>SL-350 Sport 3.5 V6 316cv</t>
  </si>
  <si>
    <t>021326-8</t>
  </si>
  <si>
    <t>SL-400 3.0 Bi-Turbo V6 2p</t>
  </si>
  <si>
    <t xml:space="preserve">SL-400 </t>
  </si>
  <si>
    <t>021018-8</t>
  </si>
  <si>
    <t>SL-500 5.0 e 5.5/ Classic 5.0</t>
  </si>
  <si>
    <t xml:space="preserve">SL-500 </t>
  </si>
  <si>
    <t>021154-0</t>
  </si>
  <si>
    <t>SL-55 AMG V8 24V 500cv</t>
  </si>
  <si>
    <t xml:space="preserve">SL-55 </t>
  </si>
  <si>
    <t>021019-6</t>
  </si>
  <si>
    <t>SL-600</t>
  </si>
  <si>
    <t>021285-7</t>
  </si>
  <si>
    <t>SL-63 AMG 5.5 Bi-Turbo V8 Aut.</t>
  </si>
  <si>
    <t xml:space="preserve">SL-63 </t>
  </si>
  <si>
    <t>021213-0</t>
  </si>
  <si>
    <t>SL-63 AMG 6.2 V8 525cv Aut</t>
  </si>
  <si>
    <t>021214-8</t>
  </si>
  <si>
    <t>SL-65 AMG 6.0 V12 612cv Aut</t>
  </si>
  <si>
    <t xml:space="preserve">SL-65 </t>
  </si>
  <si>
    <t>021351-9</t>
  </si>
  <si>
    <t>SLC-300 2.0 Turbo 245cv Aut.</t>
  </si>
  <si>
    <t>SLC-300</t>
  </si>
  <si>
    <t>021355-1</t>
  </si>
  <si>
    <t>SLC-43 AMG 3.0 V6 Aut.</t>
  </si>
  <si>
    <t xml:space="preserve">SLC-43 </t>
  </si>
  <si>
    <t>021162-1</t>
  </si>
  <si>
    <t>SLK-200 Kompressor 16V/ 200 CGI 16V</t>
  </si>
  <si>
    <t>SLK-200</t>
  </si>
  <si>
    <t>021021-8</t>
  </si>
  <si>
    <t>SLK-230 Kompressor</t>
  </si>
  <si>
    <t>SLK-230</t>
  </si>
  <si>
    <t>021058-7</t>
  </si>
  <si>
    <t>SLK-230 Plus</t>
  </si>
  <si>
    <t>021254-7</t>
  </si>
  <si>
    <t>SLK-250 CGI 1.8 16V 204cv Aut.</t>
  </si>
  <si>
    <t>SLK-250</t>
  </si>
  <si>
    <t>021334-9</t>
  </si>
  <si>
    <t>SLK-300 2.0 Turbo 245cv Aut.</t>
  </si>
  <si>
    <t>SLK-300</t>
  </si>
  <si>
    <t>021125-7</t>
  </si>
  <si>
    <t>SLK-320 3.2 218cv</t>
  </si>
  <si>
    <t>SLK-320</t>
  </si>
  <si>
    <t>021177-0</t>
  </si>
  <si>
    <t>SLK-350 3.5 V6/SLK-350 CGI</t>
  </si>
  <si>
    <t>SLK-350</t>
  </si>
  <si>
    <t>021176-1</t>
  </si>
  <si>
    <t>SLK-55 AMG V8 24V</t>
  </si>
  <si>
    <t xml:space="preserve">SLK-55 </t>
  </si>
  <si>
    <t>021303-9</t>
  </si>
  <si>
    <t>SLS-63 AMG 6.2 8V Black Series Aut.</t>
  </si>
  <si>
    <t xml:space="preserve">SLS-63 </t>
  </si>
  <si>
    <t>021247-4</t>
  </si>
  <si>
    <t>SLS-63 AMG 6.2 V8 Aut.</t>
  </si>
  <si>
    <t>021253-9</t>
  </si>
  <si>
    <t>SLS-63 AMG Roadster 6.3 V8 Aut.</t>
  </si>
  <si>
    <t>015078-9</t>
  </si>
  <si>
    <t>Sonata 2.4 16V 182cv 4p Aut.</t>
  </si>
  <si>
    <t>SONATA</t>
  </si>
  <si>
    <t>015010-0</t>
  </si>
  <si>
    <t>Sonata GL 2.0 4p</t>
  </si>
  <si>
    <t>015011-8</t>
  </si>
  <si>
    <t>Sonata GLS 2.0 4p</t>
  </si>
  <si>
    <t>015045-2</t>
  </si>
  <si>
    <t>Sonata GLS 2.5 Aut.</t>
  </si>
  <si>
    <t>015052-5</t>
  </si>
  <si>
    <t>Sonata GLS 2.7 V6 24V 179cv 4p Aut.</t>
  </si>
  <si>
    <t>015012-6</t>
  </si>
  <si>
    <t>Sonata GLS 3.0 4p Aut.</t>
  </si>
  <si>
    <t>015066-5</t>
  </si>
  <si>
    <t>Sonata GLS 3.3 V6 24V 235cv 4p Aut.</t>
  </si>
  <si>
    <t>004166-1</t>
  </si>
  <si>
    <t>Sonoma CE 4.3 V6</t>
  </si>
  <si>
    <t>SONOMA</t>
  </si>
  <si>
    <t>018056-4</t>
  </si>
  <si>
    <t>Sorento EX 2.5 16V 4x4 Mec. Diesel</t>
  </si>
  <si>
    <t>018046-7</t>
  </si>
  <si>
    <t>Sorento EX 3.5 V6 24V 197cv 4x4 Aut.</t>
  </si>
  <si>
    <t>018061-0</t>
  </si>
  <si>
    <t>Sorento EX 3.8 V6 24V 267cv 4x4 Aut.</t>
  </si>
  <si>
    <t>018050-5</t>
  </si>
  <si>
    <t>Sorento LX 2.5 16V 140cv 4x4 Aut. Diesel</t>
  </si>
  <si>
    <t>018051-3</t>
  </si>
  <si>
    <t>Sorento LX 2.5 16V 140cv 4x4 Mec. Diesel</t>
  </si>
  <si>
    <t>022052-3</t>
  </si>
  <si>
    <t>Space Wagon GLS 2.0</t>
  </si>
  <si>
    <t>WAGON</t>
  </si>
  <si>
    <t>022053-1</t>
  </si>
  <si>
    <t>Space Wagon GLS 2.4</t>
  </si>
  <si>
    <t>022051-5</t>
  </si>
  <si>
    <t>Space Wagon GLXi 2.4 (Nova Série)</t>
  </si>
  <si>
    <t>022017-5</t>
  </si>
  <si>
    <t>Space Wagon/ GLXi 2.4</t>
  </si>
  <si>
    <t>004107-6</t>
  </si>
  <si>
    <t>SpaceVan Furgão 2.1 Diesel</t>
  </si>
  <si>
    <t>SPACEVAN</t>
  </si>
  <si>
    <t>004099-1</t>
  </si>
  <si>
    <t>SpaceVan Furgão 2.2</t>
  </si>
  <si>
    <t>004101-7</t>
  </si>
  <si>
    <t>SpaceVan Passageiro 2.1Diesel</t>
  </si>
  <si>
    <t>004100-9</t>
  </si>
  <si>
    <t>SpaceVan Passageiro 2.2</t>
  </si>
  <si>
    <t>018012-2</t>
  </si>
  <si>
    <t>Sportage 2.0 16V Aut.</t>
  </si>
  <si>
    <t>018037-8</t>
  </si>
  <si>
    <t>Sportage 2.0 8V TB-IC Diesel</t>
  </si>
  <si>
    <t>018033-5</t>
  </si>
  <si>
    <t>Sportage DLX 2.0 16V Aut.</t>
  </si>
  <si>
    <t>018024-6</t>
  </si>
  <si>
    <t>Sportage DLX 2.0 16V Mec.</t>
  </si>
  <si>
    <t>018009-2</t>
  </si>
  <si>
    <t>Sportage DLX 2.2 Diesel Mec</t>
  </si>
  <si>
    <t>018066-1</t>
  </si>
  <si>
    <t>Sportage EX 2.0 16V Mec.</t>
  </si>
  <si>
    <t>018079-3</t>
  </si>
  <si>
    <t>Sportage EX 2.0 16V/ 2.0 16V Flex Aut.</t>
  </si>
  <si>
    <t>018053-0</t>
  </si>
  <si>
    <t>Sportage EX 2.7 V6 4x4 Aut.</t>
  </si>
  <si>
    <t>018034-3</t>
  </si>
  <si>
    <t>Sportage Grand 2.0 16V Aut.</t>
  </si>
  <si>
    <t>018020-3</t>
  </si>
  <si>
    <t>Sportage Grand 2.0 16V Mec.</t>
  </si>
  <si>
    <t>018025-4</t>
  </si>
  <si>
    <t>Sportage Grand 2.0 8V TB-IC Diesel</t>
  </si>
  <si>
    <t>018026-2</t>
  </si>
  <si>
    <t>Sportage GTE 2.2 4x4 Diesel</t>
  </si>
  <si>
    <t>018021-1</t>
  </si>
  <si>
    <t>Sportage Targa 2.0 16V</t>
  </si>
  <si>
    <t>021095-1</t>
  </si>
  <si>
    <t>Sprinter 310 Chassi Diesel</t>
  </si>
  <si>
    <t>021117-6</t>
  </si>
  <si>
    <t>Sprinter 310 Furgão 2.5 Diesel</t>
  </si>
  <si>
    <t>021096-0</t>
  </si>
  <si>
    <t>Sprinter 310 Pick-Up Diesel</t>
  </si>
  <si>
    <t>021097-8</t>
  </si>
  <si>
    <t>Sprinter 310 Van Exec. 9Lug. Diesel</t>
  </si>
  <si>
    <t>021085-4</t>
  </si>
  <si>
    <t>Sprinter 310 Van Luxo/Exec. 12/14L Dies.</t>
  </si>
  <si>
    <t>021087-0</t>
  </si>
  <si>
    <t>Sprinter 310 Van Std 12e14L/Luxo 9L.Dies</t>
  </si>
  <si>
    <t>021088-9</t>
  </si>
  <si>
    <t>Sprinter 310 Van Std. 9Lug. 2.5 Diesel</t>
  </si>
  <si>
    <t>021150-8</t>
  </si>
  <si>
    <t>Sprinter 311 Street Std. 2.2 16Lug. Dies</t>
  </si>
  <si>
    <t>021138-9</t>
  </si>
  <si>
    <t>Sprinter 311 VAN Luxo 2.2 109cv 13L Dies</t>
  </si>
  <si>
    <t>021148-6</t>
  </si>
  <si>
    <t>Sprinter 311 VAN Luxo 2.2 109cv 16L Dies</t>
  </si>
  <si>
    <t>021137-0</t>
  </si>
  <si>
    <t>Sprinter 311 VAN Std. 2.2 109cv 13L Dies</t>
  </si>
  <si>
    <t>021136-2</t>
  </si>
  <si>
    <t>Sprinter 311 VAN Std. 2.2 109cv 16L Dies</t>
  </si>
  <si>
    <t>021042-0</t>
  </si>
  <si>
    <t>Sprinter 312 Furgão Curto Diesel</t>
  </si>
  <si>
    <t>021124-9</t>
  </si>
  <si>
    <t>Sprinter 312 Furgão Longo Diesel</t>
  </si>
  <si>
    <t>021130-3</t>
  </si>
  <si>
    <t>Sprinter 312 Furgão Longo T.Alto Diesel</t>
  </si>
  <si>
    <t>021089-7</t>
  </si>
  <si>
    <t>Sprinter 312 Van Exec. 10Lug. 2.5 Diesel</t>
  </si>
  <si>
    <t>021104-4</t>
  </si>
  <si>
    <t>Sprinter 312 Van Exec. 12Lug. Diesel</t>
  </si>
  <si>
    <t>021043-9</t>
  </si>
  <si>
    <t>Sprinter 312 Van Luxo 10lug. Diesel</t>
  </si>
  <si>
    <t>021102-8</t>
  </si>
  <si>
    <t>Sprinter 312 Van Luxo 12lug. Diesel</t>
  </si>
  <si>
    <t>021044-7</t>
  </si>
  <si>
    <t>Sprinter 312 Van Luxo 15lug. Diesel</t>
  </si>
  <si>
    <t>021103-6</t>
  </si>
  <si>
    <t>Sprinter 312 Van Luxo 16lug. Diesel</t>
  </si>
  <si>
    <t>021106-0</t>
  </si>
  <si>
    <t>Sprinter 312 Van Luxo Lotação 16lug.Dies</t>
  </si>
  <si>
    <t>021100-1</t>
  </si>
  <si>
    <t>Sprinter 312 Van Std 12lug. Diesel</t>
  </si>
  <si>
    <t>021101-0</t>
  </si>
  <si>
    <t>Sprinter 312 Van Std 16lug. Diesel</t>
  </si>
  <si>
    <t>021105-2</t>
  </si>
  <si>
    <t>Sprinter 312 Van Std Lotação 16lug. Dies</t>
  </si>
  <si>
    <t>021090-0</t>
  </si>
  <si>
    <t>Sprinter 312 Van Street Luxo 15Lug.Dies.</t>
  </si>
  <si>
    <t>021091-9</t>
  </si>
  <si>
    <t>Sprinter 312 Van Street Std. 15Lug.Dies.</t>
  </si>
  <si>
    <t>021111-7</t>
  </si>
  <si>
    <t>Sprinter 312-D Chassi Diesel</t>
  </si>
  <si>
    <t>021108-7</t>
  </si>
  <si>
    <t>Sprinter 412-D Chassi Diesel</t>
  </si>
  <si>
    <t>004163-7</t>
  </si>
  <si>
    <t>SS10 Pick-Up 4.3 V6</t>
  </si>
  <si>
    <t>023031-6</t>
  </si>
  <si>
    <t>Stanza XE 2.4 12V</t>
  </si>
  <si>
    <t>STANZA</t>
  </si>
  <si>
    <t>066010-8</t>
  </si>
  <si>
    <t>Start Picape CD 1.0 8V 5p</t>
  </si>
  <si>
    <t>START</t>
  </si>
  <si>
    <t>066008-6</t>
  </si>
  <si>
    <t>Start Picape L 1.0 8V 2p</t>
  </si>
  <si>
    <t>066009-4</t>
  </si>
  <si>
    <t>Start Van 1.0 8V 4p</t>
  </si>
  <si>
    <t>001298-0</t>
  </si>
  <si>
    <t>Stilo 1.8 ATTRACTIVE Flex 8V 5p</t>
  </si>
  <si>
    <t>STILO</t>
  </si>
  <si>
    <t>001220-3</t>
  </si>
  <si>
    <t>Stilo 1.8 MS Lim.Edit./ MS Season 16V</t>
  </si>
  <si>
    <t>001243-2</t>
  </si>
  <si>
    <t>Stilo 1.8 SP Flex 8V 5p</t>
  </si>
  <si>
    <t>001247-5</t>
  </si>
  <si>
    <t>Stilo 1.8 Sporting Flex 8V 5P</t>
  </si>
  <si>
    <t>001180-0</t>
  </si>
  <si>
    <t>Stilo 1.8/ 1.8 Connect 8V 103cv 5p</t>
  </si>
  <si>
    <t>001230-0</t>
  </si>
  <si>
    <t>Stilo 1.8/ 1.8 Connect Flex 8V 5p</t>
  </si>
  <si>
    <t>001181-9</t>
  </si>
  <si>
    <t>Stilo 1.8/ 1.8 SP/ Connect 16V 122cv 5p</t>
  </si>
  <si>
    <t>001182-7</t>
  </si>
  <si>
    <t>Stilo 2.4 Abarth 20V 167cv 5p</t>
  </si>
  <si>
    <t>001270-0</t>
  </si>
  <si>
    <t>Stilo Dualogic 1.8 BlackMotion Flex 8V</t>
  </si>
  <si>
    <t>001252-1</t>
  </si>
  <si>
    <t>Stilo Dualogic 1.8 Flex 8V 5p</t>
  </si>
  <si>
    <t>001253-0</t>
  </si>
  <si>
    <t>Stilo Dualogic 1.8 SP Flex 8V 5p</t>
  </si>
  <si>
    <t>001254-8</t>
  </si>
  <si>
    <t>Stilo Dualogic 1.8 Sporting Flex 8V 5p</t>
  </si>
  <si>
    <t>001299-8</t>
  </si>
  <si>
    <t>Stilo Duologic 1.8 ATTRACTIVE Flex 8V 5p</t>
  </si>
  <si>
    <t>018091-2</t>
  </si>
  <si>
    <t>Stinger GT 3.3 V6 Bi-Turbo 370cv Aut.</t>
  </si>
  <si>
    <t>STINGER</t>
  </si>
  <si>
    <t>018096-3</t>
  </si>
  <si>
    <t>STONIC SX 1.0 TB Aut. (Híbrido)</t>
  </si>
  <si>
    <t>STONIC</t>
  </si>
  <si>
    <t>004153-0</t>
  </si>
  <si>
    <t>Suburban 5.7/6.5 V8/5.3 V8</t>
  </si>
  <si>
    <t>SUBURBAN</t>
  </si>
  <si>
    <t>028020-8</t>
  </si>
  <si>
    <t>Super Carry Van/ Furgão 1.0</t>
  </si>
  <si>
    <t>002023-0</t>
  </si>
  <si>
    <t>Supra</t>
  </si>
  <si>
    <t>SUPRA</t>
  </si>
  <si>
    <t>004064-9</t>
  </si>
  <si>
    <t>Suprema CD 4.1 / 3.0</t>
  </si>
  <si>
    <t>SUPREMA</t>
  </si>
  <si>
    <t>004108-4</t>
  </si>
  <si>
    <t>Suprema Diamond</t>
  </si>
  <si>
    <t>004061-4</t>
  </si>
  <si>
    <t>Suprema GL 2.0</t>
  </si>
  <si>
    <t>004062-2</t>
  </si>
  <si>
    <t>Suprema GLS 2.2 / 2.0</t>
  </si>
  <si>
    <t>004063-0</t>
  </si>
  <si>
    <t>Suprema GLS 4.1</t>
  </si>
  <si>
    <t>027008-3</t>
  </si>
  <si>
    <t>SVX Cupê 3.3 4x4 Aut</t>
  </si>
  <si>
    <t xml:space="preserve">SVX </t>
  </si>
  <si>
    <t>028004-6</t>
  </si>
  <si>
    <t>Swift GL</t>
  </si>
  <si>
    <t>028005-4</t>
  </si>
  <si>
    <t>Swift GTi 1.3 3p</t>
  </si>
  <si>
    <t>028018-6</t>
  </si>
  <si>
    <t>Swift GTI Convers. 16V</t>
  </si>
  <si>
    <t>028006-2</t>
  </si>
  <si>
    <t>Swift Hatch 1.0 3p e 5p</t>
  </si>
  <si>
    <t>028021-6</t>
  </si>
  <si>
    <t>Swift Hatch/ Sedan 1.3</t>
  </si>
  <si>
    <t>028032-1</t>
  </si>
  <si>
    <t>Swift Sedan 1.6 16V</t>
  </si>
  <si>
    <t>023032-4</t>
  </si>
  <si>
    <t>SX 240 2.4</t>
  </si>
  <si>
    <t>004167-0</t>
  </si>
  <si>
    <t>Syclone 5.7 V8</t>
  </si>
  <si>
    <t>SYCLONE</t>
  </si>
  <si>
    <t>080009-0</t>
  </si>
  <si>
    <t>T 140 2.8 2p (diesel)</t>
  </si>
  <si>
    <t>T 140</t>
  </si>
  <si>
    <t>002058-3</t>
  </si>
  <si>
    <t>T-100 3.4 V6</t>
  </si>
  <si>
    <t>080017-1</t>
  </si>
  <si>
    <t>T40 1.5 JET Flex 16V 5p Mec.</t>
  </si>
  <si>
    <t>080019-8</t>
  </si>
  <si>
    <t>T40 1.6 16V 5p Aut.</t>
  </si>
  <si>
    <t>080026-0</t>
  </si>
  <si>
    <t>T40 PLUS 1.5 JET Flex 16V 5p Mec.</t>
  </si>
  <si>
    <t>080027-9</t>
  </si>
  <si>
    <t>T40 PLUS 1.6 16V 5p Aut.</t>
  </si>
  <si>
    <t>080016-3</t>
  </si>
  <si>
    <t>T5 1.5 JET Flex 16V 5p Aut.</t>
  </si>
  <si>
    <t>T5</t>
  </si>
  <si>
    <t>080015-5</t>
  </si>
  <si>
    <t>T5 1.5 JET Flex 16V 5p Mec.</t>
  </si>
  <si>
    <t>080020-1</t>
  </si>
  <si>
    <t>T50 1.6 16V 5p Aut.</t>
  </si>
  <si>
    <t>T50</t>
  </si>
  <si>
    <t>080028-7</t>
  </si>
  <si>
    <t>T50 PLUS 1.6 16V 5p Aut.</t>
  </si>
  <si>
    <t>080013-9</t>
  </si>
  <si>
    <t>T6 2.0 JET Flex 5p Mec.</t>
  </si>
  <si>
    <t>T6</t>
  </si>
  <si>
    <t>080024-4</t>
  </si>
  <si>
    <t>T60 1.5 Turbo 16V Aut.</t>
  </si>
  <si>
    <t>T60</t>
  </si>
  <si>
    <t>080029-5</t>
  </si>
  <si>
    <t>T60 PLUS 1.5 TURBO 16V 5p Aut.</t>
  </si>
  <si>
    <t>080010-4</t>
  </si>
  <si>
    <t>T8 2.0 16V 5p Mec.</t>
  </si>
  <si>
    <t>T8</t>
  </si>
  <si>
    <t>080021-0</t>
  </si>
  <si>
    <t>T80 2.0 Turbo 16V 5p Aut.</t>
  </si>
  <si>
    <t>T80</t>
  </si>
  <si>
    <t>003091-0</t>
  </si>
  <si>
    <t>Taurus GL 3.0 V6</t>
  </si>
  <si>
    <t>TAURUS</t>
  </si>
  <si>
    <t>003127-5</t>
  </si>
  <si>
    <t>Taurus GL SW 3.0 V6 24V</t>
  </si>
  <si>
    <t>003092-9</t>
  </si>
  <si>
    <t>Taurus L/LX 3.0 V6</t>
  </si>
  <si>
    <t>003191-7</t>
  </si>
  <si>
    <t>Taurus LX SW 3.0 V6 24V</t>
  </si>
  <si>
    <t>003183-6</t>
  </si>
  <si>
    <t>Taurus SHO 3.0 V6</t>
  </si>
  <si>
    <t>001037-5</t>
  </si>
  <si>
    <t>Tempra 2.0 i.e 16V 2p e 4p</t>
  </si>
  <si>
    <t>TEMPRA</t>
  </si>
  <si>
    <t>001092-8</t>
  </si>
  <si>
    <t>Tempra 2.0 i.e. 8V 2p e 4p</t>
  </si>
  <si>
    <t>001093-6</t>
  </si>
  <si>
    <t>Tempra 2.0 mpi 16V</t>
  </si>
  <si>
    <t>001102-9</t>
  </si>
  <si>
    <t>Tempra 8V/ City 8V</t>
  </si>
  <si>
    <t>001042-1</t>
  </si>
  <si>
    <t>Tempra HLX 2.0 16V 4p</t>
  </si>
  <si>
    <t>001040-5</t>
  </si>
  <si>
    <t>Tempra Ouro 16V 2p e 4p</t>
  </si>
  <si>
    <t>001038-3</t>
  </si>
  <si>
    <t>Tempra Ouro/Prata 2.0 2p e 4p</t>
  </si>
  <si>
    <t>001044-8</t>
  </si>
  <si>
    <t>Tempra Stile 2.0 i.e. Turbo 4p</t>
  </si>
  <si>
    <t>001058-8</t>
  </si>
  <si>
    <t>Tempra SW SLX 2.0 i.e.</t>
  </si>
  <si>
    <t>001041-3</t>
  </si>
  <si>
    <t>Tempra SX 2.0 16V 4p</t>
  </si>
  <si>
    <t>001039-1</t>
  </si>
  <si>
    <t>Tempra SX 2.0 i.e. 8V 4p</t>
  </si>
  <si>
    <t>001043-0</t>
  </si>
  <si>
    <t>Tempra Turbo 2.0 i.e. 2p</t>
  </si>
  <si>
    <t>015056-8</t>
  </si>
  <si>
    <t>Terracan 2.5 8V 100cv TB Diesel Aut.</t>
  </si>
  <si>
    <t>TERRACAN</t>
  </si>
  <si>
    <t>015055-0</t>
  </si>
  <si>
    <t>Terracan 2.5 8V 100cv TB Diesel Mec.</t>
  </si>
  <si>
    <t>015059-2</t>
  </si>
  <si>
    <t>Terracan 2.9 CRDI 8V 163cv Diesel Aut.</t>
  </si>
  <si>
    <t>023033-2</t>
  </si>
  <si>
    <t>Terrano II SE 2.7 Diesel</t>
  </si>
  <si>
    <t>TERRANO</t>
  </si>
  <si>
    <t>023034-0</t>
  </si>
  <si>
    <t>Terrano II SLX 2.7 Diesel</t>
  </si>
  <si>
    <t>003477-0</t>
  </si>
  <si>
    <t>TERRITORY SEL 1.5 GTDi EcoBoost Aut.</t>
  </si>
  <si>
    <t>TERRITORY</t>
  </si>
  <si>
    <t>003478-9</t>
  </si>
  <si>
    <t>TERRITORY Titanium 1.5 GTDi EcoBo. Aut.</t>
  </si>
  <si>
    <t>003184-4</t>
  </si>
  <si>
    <t>Thunderbird SC 3.8 V6</t>
  </si>
  <si>
    <t>004102-5</t>
  </si>
  <si>
    <t>Tigra 1.6 16V</t>
  </si>
  <si>
    <t>TIGRA</t>
  </si>
  <si>
    <t>004123-8</t>
  </si>
  <si>
    <t>Tigra Power Tech Coupe 1.6 SFI</t>
  </si>
  <si>
    <t>001059-6</t>
  </si>
  <si>
    <t>Tipo 1.6 i.e. 2p e 4p</t>
  </si>
  <si>
    <t>TIPO</t>
  </si>
  <si>
    <t>001045-6</t>
  </si>
  <si>
    <t>Tipo 1.6 mpi 4p</t>
  </si>
  <si>
    <t>001061-8</t>
  </si>
  <si>
    <t>Tipo 2.0 16V 2p/4p</t>
  </si>
  <si>
    <t>001062-6</t>
  </si>
  <si>
    <t>Tipo 2.0 SLX 4p</t>
  </si>
  <si>
    <t>005235-3</t>
  </si>
  <si>
    <t>TOUAREG 3.2 24V V6 Tiptronic 5p</t>
  </si>
  <si>
    <t>TOUAREG</t>
  </si>
  <si>
    <t>005266-3</t>
  </si>
  <si>
    <t>TOUAREG 3.6 24V V6 280cv Tiptronic 5p</t>
  </si>
  <si>
    <t>005204-3</t>
  </si>
  <si>
    <t>TOUAREG 4.2 32V V8 Tiptronic 5p</t>
  </si>
  <si>
    <t>005424-0</t>
  </si>
  <si>
    <t>TOUAREG R-Line 4.2 V8 360cv Tiptronic 5p</t>
  </si>
  <si>
    <t>004077-0</t>
  </si>
  <si>
    <t>Trafic Chassi Longo Diesel</t>
  </si>
  <si>
    <t>TRAFIC</t>
  </si>
  <si>
    <t>025047-3</t>
  </si>
  <si>
    <t>Trafic Furgão 2.0 98cv</t>
  </si>
  <si>
    <t>004078-9</t>
  </si>
  <si>
    <t>Trafic Furgão Carga 2.1 Diesel</t>
  </si>
  <si>
    <t>004188-2</t>
  </si>
  <si>
    <t>Trafic Furgao Carga 2.2</t>
  </si>
  <si>
    <t>025018-0</t>
  </si>
  <si>
    <t>Trafic Furgão Chassi Curto 2.2</t>
  </si>
  <si>
    <t>025019-8</t>
  </si>
  <si>
    <t>Trafic Furgão Chassi Longo 2.2</t>
  </si>
  <si>
    <t>004079-7</t>
  </si>
  <si>
    <t>Trafic Passageiros 2.1 Diesel</t>
  </si>
  <si>
    <t>004189-0</t>
  </si>
  <si>
    <t>Trafic Passageiros 2.2</t>
  </si>
  <si>
    <t>025036-8</t>
  </si>
  <si>
    <t>Trafic Van 2.2</t>
  </si>
  <si>
    <t>015047-9</t>
  </si>
  <si>
    <t>Trajet GLS 2.7 V6 24v 179cv Aut.</t>
  </si>
  <si>
    <t>TRAJET</t>
  </si>
  <si>
    <t>TT</t>
  </si>
  <si>
    <t>015061-4</t>
  </si>
  <si>
    <t>Tucson 2.0 CRDi 16V 112cv Diesel Aut.</t>
  </si>
  <si>
    <t>015062-2</t>
  </si>
  <si>
    <t>Tucson 2.7 MPFI 24V 175cv Aut.</t>
  </si>
  <si>
    <t>025035-0</t>
  </si>
  <si>
    <t>Twingo 1.0 8V</t>
  </si>
  <si>
    <t>025009-0</t>
  </si>
  <si>
    <t>Twingo 1.2</t>
  </si>
  <si>
    <t>025030-9</t>
  </si>
  <si>
    <t>Twingo Easy 1.2</t>
  </si>
  <si>
    <t>025065-1</t>
  </si>
  <si>
    <t>Twingo Pack 1.0 16V 70cv</t>
  </si>
  <si>
    <t>025037-6</t>
  </si>
  <si>
    <t>Twingo Pack 1.0 8V</t>
  </si>
  <si>
    <t>066002-7</t>
  </si>
  <si>
    <t>ULC FURGÃO 1.0 8V 5p</t>
  </si>
  <si>
    <t>ULC</t>
  </si>
  <si>
    <t>066004-3</t>
  </si>
  <si>
    <t>ULC PICAPE 1.0 8V 2p</t>
  </si>
  <si>
    <t>066007-8</t>
  </si>
  <si>
    <t>ULC PICAPE CD 1.0 8V 4p</t>
  </si>
  <si>
    <t>066006-0</t>
  </si>
  <si>
    <t>ULC PICAPE Longa 1.0 8V 2p</t>
  </si>
  <si>
    <t>066005-1</t>
  </si>
  <si>
    <t>ULC PICAPE Longa Bau 1.0 8V 2p</t>
  </si>
  <si>
    <t>066003-5</t>
  </si>
  <si>
    <t>ULC VAN 1.0 8V 5p</t>
  </si>
  <si>
    <t>001054-5</t>
  </si>
  <si>
    <t>Uno 1.6 mpi 2p e 4p</t>
  </si>
  <si>
    <t>001055-3</t>
  </si>
  <si>
    <t>Uno 1.6R mpi / 1.6R / 1.5R</t>
  </si>
  <si>
    <t>001094-4</t>
  </si>
  <si>
    <t>Uno City / Smart City 1.0 4p</t>
  </si>
  <si>
    <t>001051-0</t>
  </si>
  <si>
    <t>Uno CS/Top/Sport 1.5 i.e. / 1.5 /1.3</t>
  </si>
  <si>
    <t>001052-9</t>
  </si>
  <si>
    <t>Uno CS/Top/Sport 1.5 i.e. / 1.5 4p</t>
  </si>
  <si>
    <t>001053-7</t>
  </si>
  <si>
    <t>Uno CSL 1.6 4p (Argentino)</t>
  </si>
  <si>
    <t>001203-3</t>
  </si>
  <si>
    <t>Uno Furgão 1.3 mpi Fire/ Fire Flex 8V</t>
  </si>
  <si>
    <t>001021-9</t>
  </si>
  <si>
    <t>Uno Furgão 1.5 mpi/i.e.</t>
  </si>
  <si>
    <t>001049-9</t>
  </si>
  <si>
    <t>Uno Furgão 1.5/ 1.3</t>
  </si>
  <si>
    <t>001047-2</t>
  </si>
  <si>
    <t>Uno Mille 1.0 Electronic 4p</t>
  </si>
  <si>
    <t>001046-4</t>
  </si>
  <si>
    <t>Uno Mille 1.0/ i.e./Electronic/Brio 2p</t>
  </si>
  <si>
    <t>001048-0</t>
  </si>
  <si>
    <t>Uno Mille ELX 2p e 4p</t>
  </si>
  <si>
    <t>001020-0</t>
  </si>
  <si>
    <t>Uno Mille SX 2p e 4p</t>
  </si>
  <si>
    <t>001103-7</t>
  </si>
  <si>
    <t>Uno Mille SX Young 1.0 IE</t>
  </si>
  <si>
    <t>001050-2</t>
  </si>
  <si>
    <t>Uno S 1.5 i.e. / 1.5 / 1.3/ SX 1.3</t>
  </si>
  <si>
    <t>001056-1</t>
  </si>
  <si>
    <t>Uno Turbo 1.4 i.e. 2p</t>
  </si>
  <si>
    <t>066014-0</t>
  </si>
  <si>
    <t>V21 Pick-up CS 1.3 16V 2p</t>
  </si>
  <si>
    <t>V21</t>
  </si>
  <si>
    <t>066015-9</t>
  </si>
  <si>
    <t>V22 Pick-up CD 1.3 16V 4p</t>
  </si>
  <si>
    <t>V22</t>
  </si>
  <si>
    <t>066016-7</t>
  </si>
  <si>
    <t>V25 Furgão 1.3 16V 5p</t>
  </si>
  <si>
    <t>V25</t>
  </si>
  <si>
    <t>080018-0</t>
  </si>
  <si>
    <t>V260 2.0 16V Diesel</t>
  </si>
  <si>
    <t>V260</t>
  </si>
  <si>
    <t>005096-2</t>
  </si>
  <si>
    <t>Van 1.6 Mi (furgão)</t>
  </si>
  <si>
    <t>VAN</t>
  </si>
  <si>
    <t>004068-1</t>
  </si>
  <si>
    <t>Vectra CD 2.0 (modelo antigo)</t>
  </si>
  <si>
    <t>004243-9</t>
  </si>
  <si>
    <t>Vectra Expres./ Collection 2.0 MPFI 8V</t>
  </si>
  <si>
    <t>004065-7</t>
  </si>
  <si>
    <t>Vectra GL 2.2 / 2.0 MPFI</t>
  </si>
  <si>
    <t>004181-5</t>
  </si>
  <si>
    <t>Vectra GL 2.2 MPFI Milenium</t>
  </si>
  <si>
    <t>004182-3</t>
  </si>
  <si>
    <t>Vectra GLS/ Challenge 2.2 MPFI 16V</t>
  </si>
  <si>
    <t>004066-5</t>
  </si>
  <si>
    <t>Vectra GLS/Expres.2.2/ 2.0 e 2.0 CD 8V</t>
  </si>
  <si>
    <t>004069-0</t>
  </si>
  <si>
    <t>Vectra GSi 2.0 16V (modelo antigo)</t>
  </si>
  <si>
    <t>004070-3</t>
  </si>
  <si>
    <t>Veraneio S / Luxe 4.1</t>
  </si>
  <si>
    <t>VERANEIO</t>
  </si>
  <si>
    <t>004071-1</t>
  </si>
  <si>
    <t>Veraneio S/ Luxe 4.0 Dies./TB Dies.</t>
  </si>
  <si>
    <t>003065-1</t>
  </si>
  <si>
    <t>Verona Ghia 2.0i 4p</t>
  </si>
  <si>
    <t>VERONA</t>
  </si>
  <si>
    <t>003062-7</t>
  </si>
  <si>
    <t>Verona GL 1.8i / LX 1.8i 4p</t>
  </si>
  <si>
    <t>003069-4</t>
  </si>
  <si>
    <t>Verona GLX 1.8 (Modelo antigo)</t>
  </si>
  <si>
    <t>003063-5</t>
  </si>
  <si>
    <t>Verona GLX 1.8i / 1.8 4p</t>
  </si>
  <si>
    <t>003064-3</t>
  </si>
  <si>
    <t>Verona GLX 2.0i / 2.0 4p</t>
  </si>
  <si>
    <t>003067-8</t>
  </si>
  <si>
    <t>Verona LX 1.6 (Modelo antigo)</t>
  </si>
  <si>
    <t>003068-6</t>
  </si>
  <si>
    <t>Verona LX 1.8 (Modelo antigo)</t>
  </si>
  <si>
    <t>003066-0</t>
  </si>
  <si>
    <t>Verona S 2.0i 4p</t>
  </si>
  <si>
    <t>003072-4</t>
  </si>
  <si>
    <t>Versailles Ghia 2.0i / 2.0 2p e 4p</t>
  </si>
  <si>
    <t>VERSAILLES</t>
  </si>
  <si>
    <t>003070-8</t>
  </si>
  <si>
    <t>Versailles GL 1.8i / 1.8 2p e 4p</t>
  </si>
  <si>
    <t>003071-6</t>
  </si>
  <si>
    <t>Versailles GL 2.0i / 2.0 2p e 4p</t>
  </si>
  <si>
    <t>028035-6</t>
  </si>
  <si>
    <t>Vitara JLX 1.6 16V 4x4 4p Aut.</t>
  </si>
  <si>
    <t>028022-4</t>
  </si>
  <si>
    <t>Vitara JLX 1.6 16V 4x4 4p Mec.</t>
  </si>
  <si>
    <t>028017-8</t>
  </si>
  <si>
    <t>Vitara JLX 2.0 V6 4x4</t>
  </si>
  <si>
    <t>028007-0</t>
  </si>
  <si>
    <t>Vitara JLX Canvas 1.6 8V 2p</t>
  </si>
  <si>
    <t>028008-9</t>
  </si>
  <si>
    <t>Vitara JLX Metal 1.6 8V 2p</t>
  </si>
  <si>
    <t>021337-3</t>
  </si>
  <si>
    <t>VITO 111 CDI Furgão 1.6 TB Diesel 4p Mec</t>
  </si>
  <si>
    <t>Vito</t>
  </si>
  <si>
    <t>021336-5</t>
  </si>
  <si>
    <t>VITO TOURER 119 Comf.2.0 Flex 9Lug. Mec.</t>
  </si>
  <si>
    <t>021335-7</t>
  </si>
  <si>
    <t>VITO TOURER 119 Luxo 2.0 Flex 8Lug. Mec.</t>
  </si>
  <si>
    <t>027009-1</t>
  </si>
  <si>
    <t>Vivio SD GLI 3p Mec.</t>
  </si>
  <si>
    <t>VIVIO</t>
  </si>
  <si>
    <t>005066-0</t>
  </si>
  <si>
    <t>VOYAGE C/CL/Fox 1.6</t>
  </si>
  <si>
    <t>005067-9</t>
  </si>
  <si>
    <t>VOYAGE CL 1.8</t>
  </si>
  <si>
    <t>005069-5</t>
  </si>
  <si>
    <t>VOYAGE GL 1.8 4p (Argentino)</t>
  </si>
  <si>
    <t>005070-9</t>
  </si>
  <si>
    <t>VOYAGE L/LS/Plus/GLS/S/Sport/Super L.Ang</t>
  </si>
  <si>
    <t>028016-0</t>
  </si>
  <si>
    <t>Wagon R+ 1.0 Mec.</t>
  </si>
  <si>
    <t>003093-7</t>
  </si>
  <si>
    <t>Windstar GL</t>
  </si>
  <si>
    <t>WINDSTAR</t>
  </si>
  <si>
    <t>003094-5</t>
  </si>
  <si>
    <t>Windstar LX</t>
  </si>
  <si>
    <t>017003-8</t>
  </si>
  <si>
    <t>Wrangler 4.0/Sport 4.0</t>
  </si>
  <si>
    <t>WRANGLER</t>
  </si>
  <si>
    <t>009145-6</t>
  </si>
  <si>
    <t>X1 SDRIVE 18i 2.0 16V 4x2 Aut.</t>
  </si>
  <si>
    <t>X1</t>
  </si>
  <si>
    <t>009172-3</t>
  </si>
  <si>
    <t>X1 SDRIVE 20i 2.0/2.0 TB Acti.Flex Aut.</t>
  </si>
  <si>
    <t>009275-4</t>
  </si>
  <si>
    <t>X1 SDRIVE 20i M S. 2.0 25 Anos TB Flex</t>
  </si>
  <si>
    <t>009288-6</t>
  </si>
  <si>
    <t>X1 SDRIVE 20i M Sport 2.0 TB Flex Aut.</t>
  </si>
  <si>
    <t>009239-8</t>
  </si>
  <si>
    <t>X1 SDRIVE 20i X-Line 2.0 TB Active Flex</t>
  </si>
  <si>
    <t>009216-9</t>
  </si>
  <si>
    <t>X1 XDRIVE 25i Sport 2.0/2.0 Flex Aut.</t>
  </si>
  <si>
    <t>009167-7</t>
  </si>
  <si>
    <t>X1 XDRIVE 28i 2.0 Turbo 16V 4x4 Aut.</t>
  </si>
  <si>
    <t>009142-1</t>
  </si>
  <si>
    <t>X1 XDRIVE 28i 3.0 24V 4x4 Aut.</t>
  </si>
  <si>
    <t>009200-2</t>
  </si>
  <si>
    <t>X1 XDRIVE 28i Sport 2.0 ActiveFlex Aut.</t>
  </si>
  <si>
    <t>009255-0</t>
  </si>
  <si>
    <t>X2 M35i 2.0 Turbo 306cv Aut.</t>
  </si>
  <si>
    <t>X2</t>
  </si>
  <si>
    <t>009235-5</t>
  </si>
  <si>
    <t>X2 SDRIVE 18i 1.5 ActiveFlex 136cv Aut.</t>
  </si>
  <si>
    <t>009231-2</t>
  </si>
  <si>
    <t>X2 SDRIVE 20i 2.0/2.0 TB A. Flex 16V Aut</t>
  </si>
  <si>
    <t>009229-0</t>
  </si>
  <si>
    <t>X2 SDRIVE 20i M Sp/M Sp 2.0 TB Flex Aut</t>
  </si>
  <si>
    <t>009104-9</t>
  </si>
  <si>
    <t>X3 Family 2.5 24V 192cv/ 218cv</t>
  </si>
  <si>
    <t>X3</t>
  </si>
  <si>
    <t>009101-4</t>
  </si>
  <si>
    <t>X3 Family 3.0 24V 231cv</t>
  </si>
  <si>
    <t>009256-8</t>
  </si>
  <si>
    <t>X3 M Competition 3.0 Bi-TB 510cv Aut.</t>
  </si>
  <si>
    <t>009227-4</t>
  </si>
  <si>
    <t>X3 M40i 3.0 Turbo V6 360cv Aut.</t>
  </si>
  <si>
    <t>009118-9</t>
  </si>
  <si>
    <t>X3 Sport 2.5 24V 192cv/ 218cv</t>
  </si>
  <si>
    <t>009100-6</t>
  </si>
  <si>
    <t>X3 Sport 3.0 24V 231cv</t>
  </si>
  <si>
    <t>009180-4</t>
  </si>
  <si>
    <t>X3 XDRIVE 20i 2.0/X-Line Bi-TB Flex Aut.</t>
  </si>
  <si>
    <t>009175-8</t>
  </si>
  <si>
    <t>X3 XDRIVE 28i 2.0 Turbo 245cv Aut.</t>
  </si>
  <si>
    <t>009156-1</t>
  </si>
  <si>
    <t>X3 XDRIVE 28i 3.0 258cv</t>
  </si>
  <si>
    <t>009287-8</t>
  </si>
  <si>
    <t>X3 XDRIVE 30e M SP Launch Ed. TB Híbrido</t>
  </si>
  <si>
    <t>009286-0</t>
  </si>
  <si>
    <t>X3 XDRIVE 30e M Sport Turbo Híbrido Aut.</t>
  </si>
  <si>
    <t>009271-1</t>
  </si>
  <si>
    <t>X3 XDRIVE 30e Turbo Híbrido Aut.</t>
  </si>
  <si>
    <t>009272-0</t>
  </si>
  <si>
    <t>X3 XDRIVE 30e X-Line Turbo Híbrido Aut.</t>
  </si>
  <si>
    <t>009228-2</t>
  </si>
  <si>
    <t>X3 XDRIVE 30i X-Line 2.0 Turbo 252cv Aut</t>
  </si>
  <si>
    <t>009151-0</t>
  </si>
  <si>
    <t>X3 XDRIVE 35i/M-Sport 3.0 306cv Bi-Turbo</t>
  </si>
  <si>
    <t>009260-6</t>
  </si>
  <si>
    <t>X4 M Competition 3.0 Bi-TB 510cv Aut.</t>
  </si>
  <si>
    <t>X4</t>
  </si>
  <si>
    <t>009237-1</t>
  </si>
  <si>
    <t>X4 M40i 3.0 Turbo V6 360cv Aut.</t>
  </si>
  <si>
    <t>009198-7</t>
  </si>
  <si>
    <t>X4 XDRIVE 28i X-Line 2.0 Turbo 245cv Aut</t>
  </si>
  <si>
    <t>009236-3</t>
  </si>
  <si>
    <t>X4 XDRIVE 30i M-Sport 2.0 Tb. 252cv Aut</t>
  </si>
  <si>
    <t>009199-5</t>
  </si>
  <si>
    <t>X4 XDRIVE 35i M-Sport 3.0 TB 306cv Aut.</t>
  </si>
  <si>
    <t>009081-6</t>
  </si>
  <si>
    <t>X5 3.0 4x4</t>
  </si>
  <si>
    <t>X5</t>
  </si>
  <si>
    <t>009082-4</t>
  </si>
  <si>
    <t>X5 4.4 4x4</t>
  </si>
  <si>
    <t>009107-3</t>
  </si>
  <si>
    <t>X5 4.8 4x4 V8 32V 360cv</t>
  </si>
  <si>
    <t>009128-6</t>
  </si>
  <si>
    <t>X5 Endurance 4.8is 4x4 V8 32V 355cv Aut.</t>
  </si>
  <si>
    <t>009143-0</t>
  </si>
  <si>
    <t>X5 M 4.4 4x4 V8 32V Bi-Turbo Aut.</t>
  </si>
  <si>
    <t>009282-7</t>
  </si>
  <si>
    <t>X5 M Competition 4.4 V8 Bi-TB Aut.</t>
  </si>
  <si>
    <t>009119-7</t>
  </si>
  <si>
    <t>X5 Security 4.4 4x4 V8 32V</t>
  </si>
  <si>
    <t>009140-5</t>
  </si>
  <si>
    <t>X5 Security 4.8is 4x4 V8 32V 355cv Aut.</t>
  </si>
  <si>
    <t>009095-6</t>
  </si>
  <si>
    <t>X5 Sport 4.4 4x4 V8 32V</t>
  </si>
  <si>
    <t>009123-5</t>
  </si>
  <si>
    <t>X5 Sport 4.8 4x4 V8 32V 355cv</t>
  </si>
  <si>
    <t>009214-2</t>
  </si>
  <si>
    <t>X5 XDRIVE 30d 3.0 Diesel</t>
  </si>
  <si>
    <t>009205-3</t>
  </si>
  <si>
    <t>X5 XDRIVE 30d Full 3.0 258cv Diesel</t>
  </si>
  <si>
    <t>009241-0</t>
  </si>
  <si>
    <t>X5 XDRIVE 30d M Sport 3.0 265cv Dies Aut</t>
  </si>
  <si>
    <t>009149-9</t>
  </si>
  <si>
    <t>X5 XDRIVE 35i 3.0 306cv Bi-Turbo</t>
  </si>
  <si>
    <t>009192-8</t>
  </si>
  <si>
    <t>X5 XDRIVE 35i Full 3.0 306cv Bi-Turbo</t>
  </si>
  <si>
    <t>009262-2</t>
  </si>
  <si>
    <t>X5 XDRIVE 45e 3.0 M.Sport Híbrido Aut.</t>
  </si>
  <si>
    <t>009150-2</t>
  </si>
  <si>
    <t>X5 XDRIVE 50i 4.4 Bi-Turbo</t>
  </si>
  <si>
    <t>009191-0</t>
  </si>
  <si>
    <t>X5 XDRIVE 50i M Sport 4.4 Bi-Turbo</t>
  </si>
  <si>
    <t>009153-7</t>
  </si>
  <si>
    <t>X5 XDRIVE 50i Security 4.4 Bi-Turbo</t>
  </si>
  <si>
    <t>009207-0</t>
  </si>
  <si>
    <t>X5 XDRIVE M50d 3.0 Diesel</t>
  </si>
  <si>
    <t>009274-6</t>
  </si>
  <si>
    <t>X5 XDRIVE M50i 4.4 Bi-Turbo Aut.</t>
  </si>
  <si>
    <t>009144-8</t>
  </si>
  <si>
    <t>X6 M 4.4 4x4 V8 32V Bi-Turbo Aut.</t>
  </si>
  <si>
    <t>X6</t>
  </si>
  <si>
    <t>009285-1</t>
  </si>
  <si>
    <t>X6 M Competition 4.4 V8 BI-TB 625CV Aut.</t>
  </si>
  <si>
    <t>009131-6</t>
  </si>
  <si>
    <t>X6 XDRIVE 35i 3.0 306cv Bi-Turbo</t>
  </si>
  <si>
    <t>009263-0</t>
  </si>
  <si>
    <t>X6 XDRIVE 40i M Sport 3.0 Bi-Turbo</t>
  </si>
  <si>
    <t>009132-4</t>
  </si>
  <si>
    <t>X6 XDRIVE 50i 4.4 407cv Bi-Turbo</t>
  </si>
  <si>
    <t>009204-5</t>
  </si>
  <si>
    <t>X6 XDRIVE 50i M Sport 4.4 Bi-Turbo</t>
  </si>
  <si>
    <t>077003-5</t>
  </si>
  <si>
    <t>X60 1.8 16V 128cv 5p Mec.</t>
  </si>
  <si>
    <t>X60</t>
  </si>
  <si>
    <t>077007-8</t>
  </si>
  <si>
    <t>X60 VIP 1.8 16V 128cv 5p Aut.</t>
  </si>
  <si>
    <t>009265-7</t>
  </si>
  <si>
    <t>X7 M50i 4.4 V8 Bi-TB Aut.</t>
  </si>
  <si>
    <t>X7</t>
  </si>
  <si>
    <t>009277-0</t>
  </si>
  <si>
    <t>X7 M50i Dark Shadow 4.4 V8 Bi-TB Aut.</t>
  </si>
  <si>
    <t>009250-9</t>
  </si>
  <si>
    <t>X7 XDRIVE 50i M Sport 4.4 V8 Bi-TB Aut.</t>
  </si>
  <si>
    <t>077008-6</t>
  </si>
  <si>
    <t>X80 VIP 2.0 Turbo 184cv 5p Aut.</t>
  </si>
  <si>
    <t>X80</t>
  </si>
  <si>
    <t>011043-4</t>
  </si>
  <si>
    <t>Xantia 2.0 16V</t>
  </si>
  <si>
    <t>XANTIA</t>
  </si>
  <si>
    <t>011044-2</t>
  </si>
  <si>
    <t>Xantia Activa 2.0</t>
  </si>
  <si>
    <t>011045-0</t>
  </si>
  <si>
    <t>Xantia Activa 2.0 TB</t>
  </si>
  <si>
    <t>011014-0</t>
  </si>
  <si>
    <t>Xantia Activa 3.0 V6 Mec</t>
  </si>
  <si>
    <t>011015-9</t>
  </si>
  <si>
    <t>Xantia Break 2.0 8V/GLX 2.0 16V Aut</t>
  </si>
  <si>
    <t>011049-3</t>
  </si>
  <si>
    <t>Xantia Break GLX 2.0 16V Mec.</t>
  </si>
  <si>
    <t>011042-6</t>
  </si>
  <si>
    <t>Xantia Exclusive 2.0 16V</t>
  </si>
  <si>
    <t>011034-5</t>
  </si>
  <si>
    <t>Xantia Exclusive 3.0 V6</t>
  </si>
  <si>
    <t>011047-7</t>
  </si>
  <si>
    <t>Xantia GLX 2.0 16V Aut.</t>
  </si>
  <si>
    <t>011029-9</t>
  </si>
  <si>
    <t>Xantia GLX 2.0 16V Mec.</t>
  </si>
  <si>
    <t>011016-7</t>
  </si>
  <si>
    <t>Xantia SX 1.8</t>
  </si>
  <si>
    <t>011004-3</t>
  </si>
  <si>
    <t>Xantia SX 2.0 8V/16V Mec./Aut.</t>
  </si>
  <si>
    <t>011005-1</t>
  </si>
  <si>
    <t>Xantia VSX 2.0</t>
  </si>
  <si>
    <t>011048-5</t>
  </si>
  <si>
    <t>Xantia VSX 2.0 16V</t>
  </si>
  <si>
    <t>011007-8</t>
  </si>
  <si>
    <t>XM Exclusive 12v</t>
  </si>
  <si>
    <t>XM</t>
  </si>
  <si>
    <t>011040-0</t>
  </si>
  <si>
    <t>XM Exclusive 24V</t>
  </si>
  <si>
    <t>011006-0</t>
  </si>
  <si>
    <t>XM Exclusive Break</t>
  </si>
  <si>
    <t>011041-8</t>
  </si>
  <si>
    <t>XM Sensation 2.0 TB</t>
  </si>
  <si>
    <t>011061-2</t>
  </si>
  <si>
    <t>Xsara Break Exclusive 1.6 16V 5p Aut.</t>
  </si>
  <si>
    <t>XSARA</t>
  </si>
  <si>
    <t>011060-4</t>
  </si>
  <si>
    <t>Xsara Break Exclusive 1.6 16V 5p Mec.</t>
  </si>
  <si>
    <t>011021-3</t>
  </si>
  <si>
    <t>Xsara Break Exclusive 1.8 16V</t>
  </si>
  <si>
    <t>011036-1</t>
  </si>
  <si>
    <t>Xsara Break Exclusive 2.0 16V</t>
  </si>
  <si>
    <t>011062-0</t>
  </si>
  <si>
    <t>Xsara Break GLX 1.6 16V 5p Aut.</t>
  </si>
  <si>
    <t>011059-0</t>
  </si>
  <si>
    <t>Xsara Break GLX 1.6 16V 5p Mec.</t>
  </si>
  <si>
    <t>011020-5</t>
  </si>
  <si>
    <t>Xsara Break GLX 1.8 16V</t>
  </si>
  <si>
    <t>011035-3</t>
  </si>
  <si>
    <t>Xsara Break GLX/ Paris 2.0 16V</t>
  </si>
  <si>
    <t>011057-4</t>
  </si>
  <si>
    <t>Xsara Exclusive 1.6 16V 5p Aut.</t>
  </si>
  <si>
    <t>011056-6</t>
  </si>
  <si>
    <t>Xsara Exclusive 1.6 16V 5p Mec.</t>
  </si>
  <si>
    <t>011019-1</t>
  </si>
  <si>
    <t>Xsara Exclusive 1.8 8V/16V 5p Aut.</t>
  </si>
  <si>
    <t>011018-3</t>
  </si>
  <si>
    <t>Xsara Exclusive 1.8 8V/16V 5p Mec.</t>
  </si>
  <si>
    <t>011037-0</t>
  </si>
  <si>
    <t>Xsara Exclusive 2.0 16V</t>
  </si>
  <si>
    <t>011053-1</t>
  </si>
  <si>
    <t>Xsara GLX 1.6 16V 3p</t>
  </si>
  <si>
    <t>011055-8</t>
  </si>
  <si>
    <t>Xsara GLX 1.6 16V 5p Aut.</t>
  </si>
  <si>
    <t>011054-0</t>
  </si>
  <si>
    <t>Xsara GLX 1.6 16V 5p Mec.</t>
  </si>
  <si>
    <t>011024-8</t>
  </si>
  <si>
    <t>Xsara GLX 1.8 16V 5p Mec.</t>
  </si>
  <si>
    <t>011022-1</t>
  </si>
  <si>
    <t>Xsara GLX 1.8 16V Cupê Mec.</t>
  </si>
  <si>
    <t>011025-6</t>
  </si>
  <si>
    <t>Xsara GLX 1.8 8V 5p Aut.</t>
  </si>
  <si>
    <t>011023-0</t>
  </si>
  <si>
    <t>Xsara GLX 1.8 8V Cupê Aut.</t>
  </si>
  <si>
    <t>011046-9</t>
  </si>
  <si>
    <t>Xsara GLX/ Paris 2.0 16V</t>
  </si>
  <si>
    <t>011063-9</t>
  </si>
  <si>
    <t>Xsara Picasso Exc./Etoile 2.0 16V Mec.</t>
  </si>
  <si>
    <t>011079-5</t>
  </si>
  <si>
    <t>Xsara Picasso Exclus. 1.6/ 1.6 Flex 16V</t>
  </si>
  <si>
    <t>011074-4</t>
  </si>
  <si>
    <t>Xsara Picasso Exclusive 2.0 16V Aut.</t>
  </si>
  <si>
    <t>011077-9</t>
  </si>
  <si>
    <t>Xsara Picasso GLX 1.6/ 1.6 Flex 16V</t>
  </si>
  <si>
    <t>011075-2</t>
  </si>
  <si>
    <t>Xsara Picasso GLX 2.0 16V Aut.</t>
  </si>
  <si>
    <t>011064-7</t>
  </si>
  <si>
    <t>Xsara Picasso GLX/Brasil/Etoile 2.0 Mec.</t>
  </si>
  <si>
    <t>011058-2</t>
  </si>
  <si>
    <t>Xsara VTS 1.6 16V 3p</t>
  </si>
  <si>
    <t>011038-8</t>
  </si>
  <si>
    <t>Xsara VTS 1.8 16V</t>
  </si>
  <si>
    <t>011017-5</t>
  </si>
  <si>
    <t>Xsara VTS 2.0 16V Cupê Mec.</t>
  </si>
  <si>
    <t>023057-0</t>
  </si>
  <si>
    <t>XTerra ECOTRIP 4x4 140cv 2.8 TB Int.Dies</t>
  </si>
  <si>
    <t>XTERRA</t>
  </si>
  <si>
    <t>023049-9</t>
  </si>
  <si>
    <t>XTerra SE 4x4 2.8 132/140cv TB Int.Dies.</t>
  </si>
  <si>
    <t>023050-2</t>
  </si>
  <si>
    <t>XTerra XE 4x4 2.8 132cv TB Int. Diesel</t>
  </si>
  <si>
    <t>023053-7</t>
  </si>
  <si>
    <t>X-TRAIL GX 2.5 16V 180cv 5p</t>
  </si>
  <si>
    <t>X-TRAIL</t>
  </si>
  <si>
    <t>023075-8</t>
  </si>
  <si>
    <t>X-TRAIL LE 2.0 16V 138cv Aut.</t>
  </si>
  <si>
    <t>023074-0</t>
  </si>
  <si>
    <t>X-TRAIL SE 2.0 16V 138cv Aut.</t>
  </si>
  <si>
    <t>027071-7</t>
  </si>
  <si>
    <t>XV 2.0 L 16V 4x4 Aut.</t>
  </si>
  <si>
    <t>XV</t>
  </si>
  <si>
    <t>027065-2</t>
  </si>
  <si>
    <t>XV 2.0/2.0 S/2.0 ES 16V 4x4 Aut.</t>
  </si>
  <si>
    <t>009020-4</t>
  </si>
  <si>
    <t>Z3 2.8 Aut.</t>
  </si>
  <si>
    <t>Z3</t>
  </si>
  <si>
    <t>009019-0</t>
  </si>
  <si>
    <t>Z3 2.8 Mec.</t>
  </si>
  <si>
    <t>009085-9</t>
  </si>
  <si>
    <t>Z3 3.0 24V Roadster 2p</t>
  </si>
  <si>
    <t>009016-6</t>
  </si>
  <si>
    <t>Z3 Roadster 1.9 Mec.</t>
  </si>
  <si>
    <t>009021-2</t>
  </si>
  <si>
    <t>Z3 Roadster 2.8</t>
  </si>
  <si>
    <t>009018-2</t>
  </si>
  <si>
    <t>Z3 Roadster M 3.2</t>
  </si>
  <si>
    <t>009121-9</t>
  </si>
  <si>
    <t>Z4 Coupé M 3.2 V6 24V 343cv</t>
  </si>
  <si>
    <t>Z4</t>
  </si>
  <si>
    <t>009249-5</t>
  </si>
  <si>
    <t>Z4 M40i 3.0 340cv Aut.</t>
  </si>
  <si>
    <t>009116-2</t>
  </si>
  <si>
    <t>Z4 Roadster 2.0 150cv 2p</t>
  </si>
  <si>
    <t>009097-2</t>
  </si>
  <si>
    <t>Z4 Roadster 3.0 V6 24V Aut.</t>
  </si>
  <si>
    <t>009120-0</t>
  </si>
  <si>
    <t>Z4 Roadster M 3.2 V6 24V 343cv</t>
  </si>
  <si>
    <t>009174-0</t>
  </si>
  <si>
    <t>Z4 Roadster sDRIVE 20i 2.0 16V 2p Aut.</t>
  </si>
  <si>
    <t>009138-3</t>
  </si>
  <si>
    <t>Z4 Roadster sDRIVE 23i 2.5 24V 204cv 2p</t>
  </si>
  <si>
    <t>009245-2</t>
  </si>
  <si>
    <t>Z4 Roadster sDRIVE 30i MSport 2.0 TB Aut</t>
  </si>
  <si>
    <t>009139-1</t>
  </si>
  <si>
    <t>Z4 Roadster sDRIVE 35i 3.0 24V 306cv 2p</t>
  </si>
  <si>
    <t>009098-0</t>
  </si>
  <si>
    <t>Z4 Roadster Sport 3.0 24V 231cv Aut.</t>
  </si>
  <si>
    <t>009090-5</t>
  </si>
  <si>
    <t>Z8 5.0 V8</t>
  </si>
  <si>
    <t>Z8</t>
  </si>
  <si>
    <t>025276-0</t>
  </si>
  <si>
    <t>ZOE Intense (Elétrico)</t>
  </si>
  <si>
    <t>ZOE</t>
  </si>
  <si>
    <t>025297-2</t>
  </si>
  <si>
    <t>ZOE Life 92cv (Elétrico)</t>
  </si>
  <si>
    <t>025277-8</t>
  </si>
  <si>
    <t>ZOE Ultimate 92cv (Elétrico)</t>
  </si>
  <si>
    <t>025305-7</t>
  </si>
  <si>
    <t>ZOE Zen (Elétrico)</t>
  </si>
  <si>
    <t>023035-9</t>
  </si>
  <si>
    <t>ZX 300 3.0 BI-Turbo</t>
  </si>
  <si>
    <t>ZX</t>
  </si>
  <si>
    <t>011008-6</t>
  </si>
  <si>
    <t>ZX Cupê 16V</t>
  </si>
  <si>
    <t>011032-9</t>
  </si>
  <si>
    <t>ZX Dakar 2.0 16V</t>
  </si>
  <si>
    <t>011009-4</t>
  </si>
  <si>
    <t>ZX Furio</t>
  </si>
  <si>
    <t>011031-0</t>
  </si>
  <si>
    <t>ZX Paris 1.8</t>
  </si>
  <si>
    <t>011010-8</t>
  </si>
  <si>
    <t>ZX Volcane 3p e 5p</t>
  </si>
  <si>
    <t>077004-3</t>
  </si>
  <si>
    <t>FOISON 1.3 16V 85cv 2p</t>
  </si>
  <si>
    <t>FOISON</t>
  </si>
  <si>
    <t>027070-9</t>
  </si>
  <si>
    <t>Forester 2.0 L 16V 4x4 Aut.</t>
  </si>
  <si>
    <t>027024-5</t>
  </si>
  <si>
    <t>Forester 2.0/2.0 S/2.0 ES 4x4 Aut.</t>
  </si>
  <si>
    <t>027047-4</t>
  </si>
  <si>
    <t>Forester XT 2.5 16V 4x4 Turbo Aut.</t>
  </si>
  <si>
    <t>027064-4</t>
  </si>
  <si>
    <t>Forester XT S-EDITION 2.5 16V 4x4 TB Aut</t>
  </si>
  <si>
    <t>005420-8</t>
  </si>
  <si>
    <t>Fusca 2.0 R-Line TSI 16V Aut.</t>
  </si>
  <si>
    <t>005348-1</t>
  </si>
  <si>
    <t>Fusca 2.0 TSI 16V Aut.</t>
  </si>
  <si>
    <t>005347-3</t>
  </si>
  <si>
    <t>Fusca 2.0 TSI 16V Mec.</t>
  </si>
  <si>
    <t>015084-3</t>
  </si>
  <si>
    <t>GENESIS 3.8 V6 24V 290cv 4p Aut.</t>
  </si>
  <si>
    <t>GENESIS</t>
  </si>
  <si>
    <t>066012-4</t>
  </si>
  <si>
    <t>K01 Pick-up CS 1.0 8V 2p</t>
  </si>
  <si>
    <t>k01</t>
  </si>
  <si>
    <t>066013-2</t>
  </si>
  <si>
    <t>K02 Pick-up CD 1.0 8V 4p</t>
  </si>
  <si>
    <t>k02</t>
  </si>
  <si>
    <t>025195-0</t>
  </si>
  <si>
    <t>Master 2.3 dCi Chassi 16V Diesel</t>
  </si>
  <si>
    <t>025205-0</t>
  </si>
  <si>
    <t>Master 2.3 dCi Executive Longo 16L Dies</t>
  </si>
  <si>
    <t>025201-8</t>
  </si>
  <si>
    <t>Master 2.3 dCi Extra F.Vitre 16V Diesel</t>
  </si>
  <si>
    <t>025198-4</t>
  </si>
  <si>
    <t>Master 2.3 dCi Extra Furgão 16V Diesel</t>
  </si>
  <si>
    <t>025196-8</t>
  </si>
  <si>
    <t>Master 2.3 dCi Furgão 16V Diesel</t>
  </si>
  <si>
    <t>025200-0</t>
  </si>
  <si>
    <t>Master 2.3 dCi Grand F.Vitre16V Diesel</t>
  </si>
  <si>
    <t>025197-6</t>
  </si>
  <si>
    <t>Master 2.3 dCi Grand Furgão16V Diesel</t>
  </si>
  <si>
    <t>025204-2</t>
  </si>
  <si>
    <t>Master 2.3 dCi STD Longo 16L Diesel</t>
  </si>
  <si>
    <t>025202-6</t>
  </si>
  <si>
    <t>Master 2.3 dCi STD Médio 16L Diesel</t>
  </si>
  <si>
    <t>025203-4</t>
  </si>
  <si>
    <t>Master 2.3 dCi STD Médio Esco. 20L Dies.</t>
  </si>
  <si>
    <t>025206-9</t>
  </si>
  <si>
    <t>Master 2.3 dCi VIP Longo 16L Diesel</t>
  </si>
  <si>
    <t>025199-2</t>
  </si>
  <si>
    <t>Master 2.3 dCi Vitre Furgão 16V Diesel</t>
  </si>
  <si>
    <t>025110-0</t>
  </si>
  <si>
    <t>Master 2.5 dCi 16V 115cv 13L Diesel</t>
  </si>
  <si>
    <t>025094-5</t>
  </si>
  <si>
    <t>Master 2.5 dCi 16V 115cv 16L Diesel</t>
  </si>
  <si>
    <t>025103-8</t>
  </si>
  <si>
    <t>Master 2.5 dCi Chassi 16V 115cv Diesel</t>
  </si>
  <si>
    <t>025157-7</t>
  </si>
  <si>
    <t>Master 2.5 dCi Escolar 115cv 16/19L Dies</t>
  </si>
  <si>
    <t>025158-5</t>
  </si>
  <si>
    <t>Master 2.5 dCi Executivo 115cv 16L Dies</t>
  </si>
  <si>
    <t>025105-4</t>
  </si>
  <si>
    <t>Master 2.5 dCi Furg. Medio/LongoTA Dies.</t>
  </si>
  <si>
    <t>025104-6</t>
  </si>
  <si>
    <t>Master 2.5 dCi FurgãoTB Curto Diesel</t>
  </si>
  <si>
    <t>025179-8</t>
  </si>
  <si>
    <t>Master 2.5 dCi Vitré 115cv Curto Diesel</t>
  </si>
  <si>
    <t>025180-1</t>
  </si>
  <si>
    <t>Master 2.5 dCi Vitré 115cv Longa Diesel</t>
  </si>
  <si>
    <t>024172-5</t>
  </si>
  <si>
    <t>Partner VAN 1.6 Flex 16V 5p</t>
  </si>
  <si>
    <t>024173-3</t>
  </si>
  <si>
    <t>Partner VAN ESCAPADE 1.6 Flex 16V 5p</t>
  </si>
  <si>
    <t>021319-5</t>
  </si>
  <si>
    <t>Sprinter 311 Chassi E. Longa 2.2 Diesel</t>
  </si>
  <si>
    <t>021248-2</t>
  </si>
  <si>
    <t>Sprinter 311 Furgão E.Longo T.Alto Dies.</t>
  </si>
  <si>
    <t>021134-6</t>
  </si>
  <si>
    <t>Sprinter 311 Furgão Longo 2.2 Dies</t>
  </si>
  <si>
    <t>021135-4</t>
  </si>
  <si>
    <t>Sprinter 311 Furgão Longo Teto alto Dies</t>
  </si>
  <si>
    <t>021149-4</t>
  </si>
  <si>
    <t>Sprinter 311 Street Luxo 2.2 16Lug. Dies</t>
  </si>
  <si>
    <t>021166-4</t>
  </si>
  <si>
    <t>Sprinter 313 Chassi 2.2 129cv Diesel</t>
  </si>
  <si>
    <t>021353-5</t>
  </si>
  <si>
    <t>Sprinter 313 Chassi Ex. Longo 2.2 Dies.</t>
  </si>
  <si>
    <t>021352-7</t>
  </si>
  <si>
    <t>Sprinter 313 Chassi Longo 2.2 Diesel</t>
  </si>
  <si>
    <t>021164-8</t>
  </si>
  <si>
    <t>Sprinter 313 Furgão Curto 2.2 129cv Dies</t>
  </si>
  <si>
    <t>021354-3</t>
  </si>
  <si>
    <t>Sprinter 313 Furgão Ex. Longo T. A. Die.</t>
  </si>
  <si>
    <t>021165-6</t>
  </si>
  <si>
    <t>Sprinter 313 Furgão Longo 2.2 129cv Dies</t>
  </si>
  <si>
    <t>021139-7</t>
  </si>
  <si>
    <t>Sprinter 313 VAN Exec 2.2 Mec/S-Aut Dies</t>
  </si>
  <si>
    <t>021168-0</t>
  </si>
  <si>
    <t>Sprinter 313 VAN Luxo 2.2 129cv 13L.Dies</t>
  </si>
  <si>
    <t>021140-0</t>
  </si>
  <si>
    <t>Sprinter 313 VAN Luxo 2.2 129cv 16L Dies</t>
  </si>
  <si>
    <t>021167-2</t>
  </si>
  <si>
    <t>Sprinter 313 VAN Std. 2.2 129cv 13L.Dies</t>
  </si>
  <si>
    <t>021174-5</t>
  </si>
  <si>
    <t>Sprinter 313 VAN Std. 2.2 129cv 16L Dies</t>
  </si>
  <si>
    <t>021169-9</t>
  </si>
  <si>
    <t>Sprinter 313 VAN Street Luxo 16L. Dies.</t>
  </si>
  <si>
    <t>021170-2</t>
  </si>
  <si>
    <t>Sprinter 313 VAN Street Std. 16L. Dies.</t>
  </si>
  <si>
    <t>021440-0</t>
  </si>
  <si>
    <t>Sprinter 314 Chassi E.L T.B. 2.2 Dies.</t>
  </si>
  <si>
    <t>021439-6</t>
  </si>
  <si>
    <t>Sprinter 314 Chassi Longo T.B. 2.2 Dies.</t>
  </si>
  <si>
    <t>021425-6</t>
  </si>
  <si>
    <t>Sprinter 314 Furgão Curto T.B. 2.2 Dies.</t>
  </si>
  <si>
    <t>021426-4</t>
  </si>
  <si>
    <t>Sprinter 314 Furgão E.L. T.A. 2.2 Dies.</t>
  </si>
  <si>
    <t>021424-8</t>
  </si>
  <si>
    <t>Sprinter 314 Furgão Longo T.A. 2.2 Dies.</t>
  </si>
  <si>
    <t>021430-2</t>
  </si>
  <si>
    <t>Sprinter 314 Furgão Longo T.B. 2.2 Dies.</t>
  </si>
  <si>
    <t>021157-5</t>
  </si>
  <si>
    <t>Sprinter 413 Furgão Longo T.Alto Diesel</t>
  </si>
  <si>
    <t>021207-5</t>
  </si>
  <si>
    <t>Sprinter 413 VAN Luxo 2.2 16 e 20L Dies</t>
  </si>
  <si>
    <t>021152-4</t>
  </si>
  <si>
    <t>Sprinter 413-D Chassi Curto/Longo Diesel</t>
  </si>
  <si>
    <t>021265-2</t>
  </si>
  <si>
    <t>Sprinter 415 Chassi L. 2.2 Diesel</t>
  </si>
  <si>
    <t>021268-7</t>
  </si>
  <si>
    <t>Sprinter 415 Furgão Curto T.B. 2.2 Dies.</t>
  </si>
  <si>
    <t>021269-5</t>
  </si>
  <si>
    <t>Sprinter 415 Furgão E.L.T.Alt. 2.2 Dies.</t>
  </si>
  <si>
    <t>021261-0</t>
  </si>
  <si>
    <t>Sprinter 415 Furgão Lon.T.Alto 2.2 Dies</t>
  </si>
  <si>
    <t>021260-1</t>
  </si>
  <si>
    <t>Sprinter 415 Furgão Lon.T.Bai. 2.2 Dies.</t>
  </si>
  <si>
    <t>021273-3</t>
  </si>
  <si>
    <t>Sprinter 415 VAN Luxo T.A. 2.2 Diesel</t>
  </si>
  <si>
    <t>021272-5</t>
  </si>
  <si>
    <t>Sprinter 415 VAN Luxo T.B. 2.2 Diesel</t>
  </si>
  <si>
    <t>021270-9</t>
  </si>
  <si>
    <t>Sprinter 415 VAN Standard T.B. 2.2 Dies.</t>
  </si>
  <si>
    <t>021427-2</t>
  </si>
  <si>
    <t>Sprinter 416 Chassi Longo T.B. 2.2 Dies.</t>
  </si>
  <si>
    <t>021444-2</t>
  </si>
  <si>
    <t>Sprinter 416 F. Vidrado E.L T.A. 2.2 Die</t>
  </si>
  <si>
    <t>021445-0</t>
  </si>
  <si>
    <t>Sprinter 416 F. Vidrado L. T.A. 2.2 Die.</t>
  </si>
  <si>
    <t>021433-7</t>
  </si>
  <si>
    <t>Sprinter 416 Furgão Curto T.B. 2.2 Dies.</t>
  </si>
  <si>
    <t>021434-5</t>
  </si>
  <si>
    <t>Sprinter 416 Furgão E.L. T. A. 2.2 Dies.</t>
  </si>
  <si>
    <t>021431-0</t>
  </si>
  <si>
    <t>Sprinter 416 Furgão Longo T.A. 2.2 Dies.</t>
  </si>
  <si>
    <t>021432-9</t>
  </si>
  <si>
    <t>Sprinter 416 Furgão Longo T.B. 2.2 Dies.</t>
  </si>
  <si>
    <t>021421-3</t>
  </si>
  <si>
    <t>Sprinter 416 VAN L. T.A. 10L 2.2 Diesel</t>
  </si>
  <si>
    <t>021422-1</t>
  </si>
  <si>
    <t>Sprinter 416 VAN L. T.A. 16L 2.2 Diesel</t>
  </si>
  <si>
    <t>021420-5</t>
  </si>
  <si>
    <t>Sprinter 416 VAN L. T.B. 10L 2.2 Diesel</t>
  </si>
  <si>
    <t>021419-1</t>
  </si>
  <si>
    <t>Sprinter 416 VAN L. T.B. 16L 2.2 Diesel</t>
  </si>
  <si>
    <t>021267-9</t>
  </si>
  <si>
    <t>Sprinter 515 Chassi E. L. 2.2 Diesel</t>
  </si>
  <si>
    <t>021266-0</t>
  </si>
  <si>
    <t>Sprinter 515 Chassi L. 2.2 Diesel</t>
  </si>
  <si>
    <t>021262-8</t>
  </si>
  <si>
    <t>Sprinter 515 Furgão E.L.T. Alto 2.2 Die.</t>
  </si>
  <si>
    <t>021283-0</t>
  </si>
  <si>
    <t>Sprinter 515 VAN 2.2 Diesel</t>
  </si>
  <si>
    <t>021429-9</t>
  </si>
  <si>
    <t>Sprinter 516 Chassi E.L. T.B. 2.2 Dies.</t>
  </si>
  <si>
    <t>021428-0</t>
  </si>
  <si>
    <t>Sprinter 516 Chassi Longo T.B. 2.2 Dies.</t>
  </si>
  <si>
    <t>021446-9</t>
  </si>
  <si>
    <t>Sprinter 516 F.Vidrado E.L. T.A. 2.2 Die</t>
  </si>
  <si>
    <t>021435-3</t>
  </si>
  <si>
    <t>Sprinter 516 Furgão E.L.T. Alto 2.2 Dies</t>
  </si>
  <si>
    <t>021453-1</t>
  </si>
  <si>
    <t>Sprinter 516 VAN E.L. T.A 20L 2.2 Dies.</t>
  </si>
  <si>
    <t>021437-0</t>
  </si>
  <si>
    <t>Sprinter 516 VAN E.L. T.A. 18L 2.2 Dies.</t>
  </si>
  <si>
    <t>021438-8</t>
  </si>
  <si>
    <t>Sprinter 516 VAN E.L. T.A. 21L 2.2 Dies.</t>
  </si>
  <si>
    <t>003372-3</t>
  </si>
  <si>
    <t>TRANSIT Chassi 2.2 TDCI Diesel</t>
  </si>
  <si>
    <t>003379-0</t>
  </si>
  <si>
    <t>TRANSIT Furgão 2.2 TDCI Curto Diesel</t>
  </si>
  <si>
    <t>003375-8</t>
  </si>
  <si>
    <t>TRANSIT Furgão 2.2 TDCI Longa Diesel</t>
  </si>
  <si>
    <t>003354-5</t>
  </si>
  <si>
    <t>TRANSIT Furgão 2.2 TDCI Longo Jumbo Dies</t>
  </si>
  <si>
    <t>003331-6</t>
  </si>
  <si>
    <t>TRANSIT Furgão 3330 2.4 TDCI Curto Dies.</t>
  </si>
  <si>
    <t>003332-4</t>
  </si>
  <si>
    <t>TRANSIT Furgão 3550 2.4 TDCI Longo Dies.</t>
  </si>
  <si>
    <t>003483-5</t>
  </si>
  <si>
    <t>TRANSIT Minibus 15 Lug. 2.0 16V Diesel</t>
  </si>
  <si>
    <t>003484-3</t>
  </si>
  <si>
    <t>TRANSIT Minibus 18 Lug. 2.0 16V Diesel</t>
  </si>
  <si>
    <t>003482-7</t>
  </si>
  <si>
    <t>TRANSIT Minibus Vidrada 2.0 16V Diesel</t>
  </si>
  <si>
    <t>003371-5</t>
  </si>
  <si>
    <t>TRANSIT Van 3550 2.2 TDCI 14/16lug. Dies</t>
  </si>
  <si>
    <t>003333-2</t>
  </si>
  <si>
    <t>TRANSIT Van 3550 2.4 TDCI 14lug. Diesel</t>
  </si>
  <si>
    <t>027055-5</t>
  </si>
  <si>
    <t>TRIBECA 3.6 24V 270cv 5p Aut.</t>
  </si>
  <si>
    <t>TRIBECA</t>
  </si>
  <si>
    <t>009298-3</t>
  </si>
  <si>
    <t>118i M Sport 1.5 TB 12V Aut. 5p</t>
  </si>
  <si>
    <t>009321-1</t>
  </si>
  <si>
    <t>218i Gran Coupe M Sport 1.5 Bi-Turbo</t>
  </si>
  <si>
    <t>009326-2</t>
  </si>
  <si>
    <t>220i Gran Coupe M Sport 2.0 TB Aut.</t>
  </si>
  <si>
    <t>009290-8</t>
  </si>
  <si>
    <t>420i Cabriolet M Sport 2.0 TB 16V 2p.</t>
  </si>
  <si>
    <t>009299-1</t>
  </si>
  <si>
    <t>530e Luxury 2.0 Turbo (Híbrido)</t>
  </si>
  <si>
    <t>009295-9</t>
  </si>
  <si>
    <t>i3 Bev Un. Forever 170cv Aut. (Életrico)</t>
  </si>
  <si>
    <t>009306-8</t>
  </si>
  <si>
    <t>i4 e-Drive 35 M Sport (Elétrico)</t>
  </si>
  <si>
    <t>009301-7</t>
  </si>
  <si>
    <t>i4 e-Drive 40 M Sport (Elétrico)</t>
  </si>
  <si>
    <t>009302-5</t>
  </si>
  <si>
    <t>i4 M50 (Elétrico)</t>
  </si>
  <si>
    <t>009317-3</t>
  </si>
  <si>
    <t>i5 M60 (Elétrico)</t>
  </si>
  <si>
    <t>009313-0</t>
  </si>
  <si>
    <t>i7 XDrive 60 M Sport Aut. (Elétrico)</t>
  </si>
  <si>
    <t>009318-1</t>
  </si>
  <si>
    <t>iX 1 eDrive20 X-Line Aut. (Elétrico)</t>
  </si>
  <si>
    <t>009309-2</t>
  </si>
  <si>
    <t>iX 1 xDrive 30 M Sport (Elétrico)</t>
  </si>
  <si>
    <t>009319-0</t>
  </si>
  <si>
    <t>iX 2 xDrive 30 M Sport (Elétrico)</t>
  </si>
  <si>
    <t>009297-5</t>
  </si>
  <si>
    <t>iX 3 M Sport Aut.(Elétrico)</t>
  </si>
  <si>
    <t>009312-2</t>
  </si>
  <si>
    <t>iX M60 (Elétrico)</t>
  </si>
  <si>
    <t>009293-2</t>
  </si>
  <si>
    <t>iX XDrive 40 Aut. (Elétrico)</t>
  </si>
  <si>
    <t>009296-7</t>
  </si>
  <si>
    <t>iX XDrive 50 Sport Aut. (Elétrico)</t>
  </si>
  <si>
    <t>009315-7</t>
  </si>
  <si>
    <t>M2 Coupe Track 3.0 Bi-Turbo 24V 460cv 3p</t>
  </si>
  <si>
    <t>009304-1</t>
  </si>
  <si>
    <t>X1 SDRIVE 18i GP 1.5 TB Aut.</t>
  </si>
  <si>
    <t>009323-8</t>
  </si>
  <si>
    <t>X1 SDRIVE 20i GP 2.0 TB Aut.</t>
  </si>
  <si>
    <t>009305-0</t>
  </si>
  <si>
    <t>X1 SDRIVE 20i M Sport 2.0 TB Aut.</t>
  </si>
  <si>
    <t>009300-9</t>
  </si>
  <si>
    <t>X1 SDRIVE 20i Outdoor 2.0.Flex Aut.</t>
  </si>
  <si>
    <t>009303-3</t>
  </si>
  <si>
    <t>X1 SDRIVE 20i X-Line 2.0 TB Aut.</t>
  </si>
  <si>
    <t>009322-0</t>
  </si>
  <si>
    <t>X2 M35i xDrive 2.0 Turbo 317cv Aut.</t>
  </si>
  <si>
    <t>009320-3</t>
  </si>
  <si>
    <t>X2 XDrive20i M Sport</t>
  </si>
  <si>
    <t>009294-0</t>
  </si>
  <si>
    <t>X3 M40i 3.0 M Sport Edit. V6 Turbo Aut.</t>
  </si>
  <si>
    <t>009325-4</t>
  </si>
  <si>
    <t>X3 M50 XDRIVE 3.0 V6 Aut. (Híbrido)</t>
  </si>
  <si>
    <t>009327-0</t>
  </si>
  <si>
    <t>X3 XDRIVE 30 M Sport 2.0 TB Aut.</t>
  </si>
  <si>
    <t>009292-4</t>
  </si>
  <si>
    <t>X4 M40i 3.0 M Sport EditionTurbo Aut.</t>
  </si>
  <si>
    <t>009324-6</t>
  </si>
  <si>
    <t>X4 XDRIVE 20i M-Sport 2.0 TB 184cv Aut</t>
  </si>
  <si>
    <t>009307-6</t>
  </si>
  <si>
    <t>X5 XDRIVE 50e 3.0 M Sport Aut. (Hibrido)</t>
  </si>
  <si>
    <t>009308-4</t>
  </si>
  <si>
    <t>X5 XDRIVE 50e 3.0 X-Line Aut. (Hibrido)</t>
  </si>
  <si>
    <t>009311-4</t>
  </si>
  <si>
    <t>X6 M Competition 4.4 V8 BI-TB (Hib) Aut.</t>
  </si>
  <si>
    <t>009291-6</t>
  </si>
  <si>
    <t>X6 XDRIVE 40i Bl.Vermillion 3.0 Bi-Turbo</t>
  </si>
  <si>
    <t>009310-6</t>
  </si>
  <si>
    <t>X6 XDRIVE 40i M Sport 3.0 Bi-TB (Hib.)</t>
  </si>
  <si>
    <t>009316-5</t>
  </si>
  <si>
    <t>X7 M60i 4.4 V8 Bi-TB Aut.(Híbrido)</t>
  </si>
  <si>
    <t>009328-9</t>
  </si>
  <si>
    <t>X7 XDRIVE 40i M Sport 3.0 V6 Turbo Aut.</t>
  </si>
  <si>
    <t>BYD</t>
  </si>
  <si>
    <t>Chrysler</t>
  </si>
  <si>
    <t>Dodge</t>
  </si>
  <si>
    <t>GWM</t>
  </si>
  <si>
    <t>RAM</t>
  </si>
  <si>
    <t>095004-1</t>
  </si>
  <si>
    <t>D1 EV (Elétrico)</t>
  </si>
  <si>
    <t>095007-6</t>
  </si>
  <si>
    <t>Dolphin EV (Elétrico)</t>
  </si>
  <si>
    <t>095010-6</t>
  </si>
  <si>
    <t>Dolphin Mini (Elétrico)</t>
  </si>
  <si>
    <t>095009-2</t>
  </si>
  <si>
    <t>Dolphin Plus (Elétrico)</t>
  </si>
  <si>
    <t>095002-5</t>
  </si>
  <si>
    <t>eT3 (Elétrico)</t>
  </si>
  <si>
    <t>095003-3</t>
  </si>
  <si>
    <t>Han EV (Elétrico)</t>
  </si>
  <si>
    <t>095012-2</t>
  </si>
  <si>
    <t>King GL 1.5 16V Aut. (Hibrido)</t>
  </si>
  <si>
    <t>095011-4</t>
  </si>
  <si>
    <t>King GS 1.5 16V Aut. (Hibrido)</t>
  </si>
  <si>
    <t>095008-4</t>
  </si>
  <si>
    <t>Seal (Elétrico)</t>
  </si>
  <si>
    <t>095016-5</t>
  </si>
  <si>
    <t>SHARK GS 1.5 16V 4x4 Aut. (Híbrido)</t>
  </si>
  <si>
    <t>095005-0</t>
  </si>
  <si>
    <t>Song Plus 1.5 16V Aut. (Hibrido)</t>
  </si>
  <si>
    <t>095017-3</t>
  </si>
  <si>
    <t>Song Plus Premium 1.5 16V Aut. (Hibrido)</t>
  </si>
  <si>
    <t>095013-0</t>
  </si>
  <si>
    <t>Song Pro GL 1.5 16V Aut. (Hibrido)</t>
  </si>
  <si>
    <t>095014-9</t>
  </si>
  <si>
    <t>Song Pro GS 1.5 16V Aut. (Hibrido)</t>
  </si>
  <si>
    <t>095001-7</t>
  </si>
  <si>
    <t>TAN EV 4x4 (Elétrico)</t>
  </si>
  <si>
    <t>095006-8</t>
  </si>
  <si>
    <t>Yuan Plus (Elétrico)</t>
  </si>
  <si>
    <t>095015-7</t>
  </si>
  <si>
    <t>Yuan Pro (Elétrico)</t>
  </si>
  <si>
    <t>093012-1</t>
  </si>
  <si>
    <t>ARRIZO 6 PRO 1.5 Turbo (Híbrido)</t>
  </si>
  <si>
    <t>093019-9</t>
  </si>
  <si>
    <t>ARRIZO 6 PRO Max Drive 1.5 Turbo (Híb.)</t>
  </si>
  <si>
    <t>093007-5</t>
  </si>
  <si>
    <t>iCar EQ1 TECH (Elétrico)</t>
  </si>
  <si>
    <t>093008-3</t>
  </si>
  <si>
    <t>Tiggo 5X PRO 1.5 Turbo (Híbrido)</t>
  </si>
  <si>
    <t>093015-6</t>
  </si>
  <si>
    <t>Tiggo 5X PRO Max Drive1.5 TB (Híbrido)</t>
  </si>
  <si>
    <t>093014-8</t>
  </si>
  <si>
    <t>Tiggo 5X SPORT 1.5 Turbo Flex Aut.</t>
  </si>
  <si>
    <t>093009-1</t>
  </si>
  <si>
    <t>Tiggo 7 PRO 1.5 Turbo (Híbrido)</t>
  </si>
  <si>
    <t>093016-4</t>
  </si>
  <si>
    <t>Tiggo 7 Pro Max Drive 1.5 TB (Hibrido)</t>
  </si>
  <si>
    <t>093011-3</t>
  </si>
  <si>
    <t>Tiggo 7 Pro Max Drive 1.6 Turbo 16V Aut.</t>
  </si>
  <si>
    <t>093017-2</t>
  </si>
  <si>
    <t>Tiggo 7 SPORT 1.5 Turbo Flex 16V Aut.</t>
  </si>
  <si>
    <t>093006-7</t>
  </si>
  <si>
    <t>Tiggo 8 FOUNDER S EDITION 1.6 TGDi Aut.</t>
  </si>
  <si>
    <t>093013-0</t>
  </si>
  <si>
    <t>Tiggo 8 Max Drive 1.6 Turbo Aut.</t>
  </si>
  <si>
    <t>093010-5</t>
  </si>
  <si>
    <t>Tiggo 8 PRO 1.5 Turbo (Híbrido)</t>
  </si>
  <si>
    <t>093018-0</t>
  </si>
  <si>
    <t>Tiggo 8 PRO 1.6 TGDi Aut.</t>
  </si>
  <si>
    <t>004216-1</t>
  </si>
  <si>
    <t>Astra Sedan 1.8 MPFI 8V 4p</t>
  </si>
  <si>
    <t>004553-5</t>
  </si>
  <si>
    <t>BLAZER EV RS 347cv (Elétrico)</t>
  </si>
  <si>
    <t>004545-4</t>
  </si>
  <si>
    <t>BOLT EUV Premier 203cv (Elétrico)</t>
  </si>
  <si>
    <t>004548-9</t>
  </si>
  <si>
    <t>Camaro SS Collection 6.2 V8 16V</t>
  </si>
  <si>
    <t>004555-1</t>
  </si>
  <si>
    <t>EQUINOX ACTIV 1.5 Turbo 177cv Aut.</t>
  </si>
  <si>
    <t>004554-3</t>
  </si>
  <si>
    <t>EQUINOX EV 292cv (Elétrico)</t>
  </si>
  <si>
    <t>004538-1</t>
  </si>
  <si>
    <t>EQUINOX RS 1.5 Turbo Aut.</t>
  </si>
  <si>
    <t>004539-0</t>
  </si>
  <si>
    <t>MONTANA 1.2 Turbo Flex 12V 4p Mec.</t>
  </si>
  <si>
    <t>004540-3</t>
  </si>
  <si>
    <t>MONTANA LT 1.2 Turbo Flex 12V 4p Mec.</t>
  </si>
  <si>
    <t>004541-1</t>
  </si>
  <si>
    <t>MONTANA LTZ 1.2 Turbo Flex 12V 4p Aut.</t>
  </si>
  <si>
    <t>004542-0</t>
  </si>
  <si>
    <t>MONTANA PREMIER 1.2 Turbo Flex 12V Aut.</t>
  </si>
  <si>
    <t>004546-2</t>
  </si>
  <si>
    <t>MONTANA RS 1.2 Turbo Flex 12V Aut.</t>
  </si>
  <si>
    <t>004559-4</t>
  </si>
  <si>
    <t>ONIX HATCH 1.0 12V TB 5p Mec.</t>
  </si>
  <si>
    <t>004557-8</t>
  </si>
  <si>
    <t>ONIX HATCH 100 Anos 1.0 12V 5p Mec.</t>
  </si>
  <si>
    <t>004561-6</t>
  </si>
  <si>
    <t>ONIX SEDAN Plus 1.0 12V Mec.</t>
  </si>
  <si>
    <t>004556-0</t>
  </si>
  <si>
    <t>ONIX SEDAN Plus 1.0 12V TB Flex Mec.</t>
  </si>
  <si>
    <t>004562-4</t>
  </si>
  <si>
    <t>S10 Pick-Up 100 Anos 2.8 TDI 4x4 CD Aut.</t>
  </si>
  <si>
    <t>004550-0</t>
  </si>
  <si>
    <t>S10 Pick-Up WT 2.8 TDI 4x4 CD Diesel Aut</t>
  </si>
  <si>
    <t>004552-7</t>
  </si>
  <si>
    <t>S10 Pick-Up WT 2.8 TDI 4x4 CD Diesel Mec</t>
  </si>
  <si>
    <t>004551-9</t>
  </si>
  <si>
    <t>S10 Pick-Up WT 2.8 TDI 4x4 CS Diesel Mec</t>
  </si>
  <si>
    <t>004547-0</t>
  </si>
  <si>
    <t>Silverado High Country 5.3 V8 AWD Aut.</t>
  </si>
  <si>
    <t>004560-8</t>
  </si>
  <si>
    <t>SPARK EUV ACTIV</t>
  </si>
  <si>
    <t>004558-6</t>
  </si>
  <si>
    <t>TRACKER 100 Anos 1.2 Turbo 12V Aut.</t>
  </si>
  <si>
    <t>004543-8</t>
  </si>
  <si>
    <t>TRACKER Midnight 1.0 Turbo 12V Flex Aut.</t>
  </si>
  <si>
    <t>004544-6</t>
  </si>
  <si>
    <t>TRACKER RS 1.2 Turbo 12V Flex Aut.</t>
  </si>
  <si>
    <t>004549-7</t>
  </si>
  <si>
    <t>TRAILBLAZER High Country 2.8 TB Die Aut.</t>
  </si>
  <si>
    <t>010029-3</t>
  </si>
  <si>
    <t>300 C 3.5 V6 249cv</t>
  </si>
  <si>
    <t>010033-1</t>
  </si>
  <si>
    <t>300 C 3.6 V6 Aut.</t>
  </si>
  <si>
    <t>010024-2</t>
  </si>
  <si>
    <t>300 C 5.7 V8 16V 340cv Aut.</t>
  </si>
  <si>
    <t>010027-7</t>
  </si>
  <si>
    <t>300 C SRT8 6.1 V8 16V 431cv Aut</t>
  </si>
  <si>
    <t>010026-9</t>
  </si>
  <si>
    <t>300 C Touring 5.7 V8 16V 340cv Aut.</t>
  </si>
  <si>
    <t>010014-5</t>
  </si>
  <si>
    <t>300 M 3.5</t>
  </si>
  <si>
    <t>010008-0</t>
  </si>
  <si>
    <t>Caravan LE 3.3</t>
  </si>
  <si>
    <t>010023-4</t>
  </si>
  <si>
    <t>Caravan LX 3.3 V6 182cv</t>
  </si>
  <si>
    <t>010009-9</t>
  </si>
  <si>
    <t>Caravan LX 3.8</t>
  </si>
  <si>
    <t>010001-3</t>
  </si>
  <si>
    <t>Caravan SE 2.4/3.3</t>
  </si>
  <si>
    <t>010015-3</t>
  </si>
  <si>
    <t>Cirrus LXi 2.5 V6 24V</t>
  </si>
  <si>
    <t>010007-2</t>
  </si>
  <si>
    <t>Grand Caravan LE 3.3 Aut</t>
  </si>
  <si>
    <t>010021-8</t>
  </si>
  <si>
    <t>Grand Caravan Limited 3.3 V6 12V 182cv</t>
  </si>
  <si>
    <t>010010-2</t>
  </si>
  <si>
    <t>Grand Caravan LX 3.8</t>
  </si>
  <si>
    <t>010016-1</t>
  </si>
  <si>
    <t>Grand Caravan SE 3.3 V6</t>
  </si>
  <si>
    <t>010017-0</t>
  </si>
  <si>
    <t>LE Baron 3.0 V6</t>
  </si>
  <si>
    <t>010018-8</t>
  </si>
  <si>
    <t>LE Baron 3.0 V6 Conv.</t>
  </si>
  <si>
    <t>010011-0</t>
  </si>
  <si>
    <t>Neon LE 1.8</t>
  </si>
  <si>
    <t>010002-1</t>
  </si>
  <si>
    <t>Neon LE/Highline 2.0</t>
  </si>
  <si>
    <t>010012-9</t>
  </si>
  <si>
    <t>Neon Sport 1.8/2.0</t>
  </si>
  <si>
    <t>010028-5</t>
  </si>
  <si>
    <t>PT Cruiser Cabrio 2.4 16V 143cv 2p</t>
  </si>
  <si>
    <t>010025-0</t>
  </si>
  <si>
    <t>PT Cruiser Classic 2.4 16V 143cv 4p</t>
  </si>
  <si>
    <t>010019-6</t>
  </si>
  <si>
    <t>PT Cruiser Limited 2.0 16V 4p</t>
  </si>
  <si>
    <t>010022-6</t>
  </si>
  <si>
    <t>PT Cruiser Limited 2.4 16V 143cv 4p</t>
  </si>
  <si>
    <t>010031-5</t>
  </si>
  <si>
    <t>PT Cruiser Touring DEC. EDITION 2.4 16V</t>
  </si>
  <si>
    <t>010020-0</t>
  </si>
  <si>
    <t>Sebring LX 2.7 V6 24V 204cv</t>
  </si>
  <si>
    <t>010003-0</t>
  </si>
  <si>
    <t>Stratus LE 2.0</t>
  </si>
  <si>
    <t>010004-8</t>
  </si>
  <si>
    <t>Stratus LX 2.0 Mec</t>
  </si>
  <si>
    <t>010005-6</t>
  </si>
  <si>
    <t>Stratus LX 2.5 Aut</t>
  </si>
  <si>
    <t>010006-4</t>
  </si>
  <si>
    <t>Stratus LX 2.5 Conversível Aut</t>
  </si>
  <si>
    <t>010030-7</t>
  </si>
  <si>
    <t>TOWN &amp; COUNTRY Limited 3.8 /3.6 V6 Aut.</t>
  </si>
  <si>
    <t>010032-3</t>
  </si>
  <si>
    <t>TOWN &amp; COUNTRY Touring 3.6 V6 Aut.</t>
  </si>
  <si>
    <t>010013-7</t>
  </si>
  <si>
    <t>Vision 3.5 24V</t>
  </si>
  <si>
    <t>011246-1</t>
  </si>
  <si>
    <t>BASALT Dark Edition 1.0 TB 200 5p Aut.</t>
  </si>
  <si>
    <t>011238-0</t>
  </si>
  <si>
    <t>BASALT Feel 1.0 Flex 6V 5p Mec.</t>
  </si>
  <si>
    <t>011239-9</t>
  </si>
  <si>
    <t>BASALT Feel 1.0 Flex TB 200 5p Aut.</t>
  </si>
  <si>
    <t>011241-0</t>
  </si>
  <si>
    <t>BASALT First Edit.1.0 Flex TB 200 5p Aut</t>
  </si>
  <si>
    <t>011240-2</t>
  </si>
  <si>
    <t>BASALT Shine 1.0 Flex TB 200 5p Aut.</t>
  </si>
  <si>
    <t>011231-3</t>
  </si>
  <si>
    <t>C3 AIRCROSS F. Pack 1.0 Flex TB 200 Aut.</t>
  </si>
  <si>
    <t>011232-1</t>
  </si>
  <si>
    <t>C3 AIRCROSS Feel 1.0 Flex Turbo 200 Aut.</t>
  </si>
  <si>
    <t>011230-5</t>
  </si>
  <si>
    <t>C3 AIRCROSS Shine 1.0 Flex TB 200 Aut.</t>
  </si>
  <si>
    <t>011235-6</t>
  </si>
  <si>
    <t>C3 AIRCROSS7 F. Pack 1.0 Flex TB 200 Aut</t>
  </si>
  <si>
    <t>011234-8</t>
  </si>
  <si>
    <t>C3 AIRCROSS7 Feel 1.0 Flex TB. 200 Aut.</t>
  </si>
  <si>
    <t>011236-4</t>
  </si>
  <si>
    <t>C3 AIRCROSS7 Shine 1.0 Flex TB 200 Aut.</t>
  </si>
  <si>
    <t>011248-8</t>
  </si>
  <si>
    <t>C3 AIRCROSS7 XTR 1.0 TB. 200 Aut.</t>
  </si>
  <si>
    <t>011224-0</t>
  </si>
  <si>
    <t>C3 Feel 1.0 Flex 6V 5p Mec.</t>
  </si>
  <si>
    <t>011225-9</t>
  </si>
  <si>
    <t>C3 Feel 1.6 Flex 16V 5p Mec.</t>
  </si>
  <si>
    <t>011226-7</t>
  </si>
  <si>
    <t>C3 Feel Pack 1.6 Flex 16V 5p Aut.</t>
  </si>
  <si>
    <t>011227-5</t>
  </si>
  <si>
    <t>C3 First Edition 1.0 Flex 6V 5p Mec.</t>
  </si>
  <si>
    <t>011228-3</t>
  </si>
  <si>
    <t>C3 First Edition 1.6 Flex 16V 5p Aut.</t>
  </si>
  <si>
    <t>011222-4</t>
  </si>
  <si>
    <t>C3 Live 1.0 Flex 6V 5p Mec.</t>
  </si>
  <si>
    <t>011223-2</t>
  </si>
  <si>
    <t>C3 Live Pack 1.0 Flex 6V 5p Mec.</t>
  </si>
  <si>
    <t>011233-0</t>
  </si>
  <si>
    <t>C3 Live Pack 1.6 Flex 16V 5p Aut.</t>
  </si>
  <si>
    <t>011247-0</t>
  </si>
  <si>
    <t>C3 XTR 1.0 8V 5p</t>
  </si>
  <si>
    <t>011237-2</t>
  </si>
  <si>
    <t>C3 YOU! 1.0 Flex Turbo 200 Aut.</t>
  </si>
  <si>
    <t>011229-1</t>
  </si>
  <si>
    <t>C4 CACTUS NOIR 1.6 Turbo Flex Aut.</t>
  </si>
  <si>
    <t>011221-6</t>
  </si>
  <si>
    <t>C4 CACTUS SHINE 1.6 16V Flex Aut.</t>
  </si>
  <si>
    <t>011218-6</t>
  </si>
  <si>
    <t>Ë-Jumpy Cargo 136cv (Elétrico)</t>
  </si>
  <si>
    <t>011220-8</t>
  </si>
  <si>
    <t>Jumper Cargo 2.2 Turbo Diesel</t>
  </si>
  <si>
    <t>011219-4</t>
  </si>
  <si>
    <t>Jumper Furgão 2.2 Turbo Diesel</t>
  </si>
  <si>
    <t>011242-9</t>
  </si>
  <si>
    <t>Jumper Minibus Executive 2.2 17L Dies.</t>
  </si>
  <si>
    <t>011243-7</t>
  </si>
  <si>
    <t>Jumper Vitré 2.2 Turbo Diesel</t>
  </si>
  <si>
    <t>011244-5</t>
  </si>
  <si>
    <t>Jumpy 2.2 Cargo Turbo</t>
  </si>
  <si>
    <t>011245-3</t>
  </si>
  <si>
    <t>Jumpy 2.2 Vitré Turbo</t>
  </si>
  <si>
    <t>013010-9</t>
  </si>
  <si>
    <t>Avenger ES 2.0/2.5 16V</t>
  </si>
  <si>
    <t>013004-4</t>
  </si>
  <si>
    <t>Dakota 2.5</t>
  </si>
  <si>
    <t>013013-3</t>
  </si>
  <si>
    <t>Dakota Club 2.5</t>
  </si>
  <si>
    <t>013015-0</t>
  </si>
  <si>
    <t>Dakota Durango 5.9 4x4 V8</t>
  </si>
  <si>
    <t>013016-8</t>
  </si>
  <si>
    <t>Dakota Durango SLT 5.2 4x4 V8</t>
  </si>
  <si>
    <t>013018-4</t>
  </si>
  <si>
    <t>Dakota RT 5.2 Aut.</t>
  </si>
  <si>
    <t>013019-2</t>
  </si>
  <si>
    <t>Dakota RT 5.2 CE Aut.</t>
  </si>
  <si>
    <t>013014-1</t>
  </si>
  <si>
    <t>Dakota Sport 2.5 4x4</t>
  </si>
  <si>
    <t>013022-2</t>
  </si>
  <si>
    <t>Dakota Sport 2.5 CD Diesel</t>
  </si>
  <si>
    <t>013006-0</t>
  </si>
  <si>
    <t>Dakota Sport 2.5 Diesel</t>
  </si>
  <si>
    <t>013005-2</t>
  </si>
  <si>
    <t>Dakota Sport 3.9 V6</t>
  </si>
  <si>
    <t>013021-4</t>
  </si>
  <si>
    <t>Dakota Sport 3.9 V6 CD Aut.</t>
  </si>
  <si>
    <t>013020-6</t>
  </si>
  <si>
    <t>Dakota Sport 3.9 V6 CD Mec.</t>
  </si>
  <si>
    <t>013011-7</t>
  </si>
  <si>
    <t>Dakota Sport 5.2 V8</t>
  </si>
  <si>
    <t>013023-0</t>
  </si>
  <si>
    <t>Dakota Sport 5.2 V8 CD Aut.</t>
  </si>
  <si>
    <t>013008-7</t>
  </si>
  <si>
    <t>Dakota Sport CE 2.5 Diesel</t>
  </si>
  <si>
    <t>013007-9</t>
  </si>
  <si>
    <t>Dakota Sport CE 3.9 V6</t>
  </si>
  <si>
    <t>013034-6</t>
  </si>
  <si>
    <t>Durango Citadel 3.6 24V 4x4 Aut.</t>
  </si>
  <si>
    <t>013035-4</t>
  </si>
  <si>
    <t>Durango Crew 3.6 24V 4x4 Aut.</t>
  </si>
  <si>
    <t>013038-9</t>
  </si>
  <si>
    <t>Durango Limited 3.6 24V 4x4 Aut.</t>
  </si>
  <si>
    <t>013017-6</t>
  </si>
  <si>
    <t>Intrepid 3.3 V6</t>
  </si>
  <si>
    <t>013037-0</t>
  </si>
  <si>
    <t>JOURNEY Crossroad 3.6 V6 Aut.</t>
  </si>
  <si>
    <t>013031-1</t>
  </si>
  <si>
    <t>JOURNEY RT 3.6 V6 Aut.</t>
  </si>
  <si>
    <t>013029-0</t>
  </si>
  <si>
    <t>JOURNEY RT 2.7 V6 185cv Aut.</t>
  </si>
  <si>
    <t>013036-2</t>
  </si>
  <si>
    <t>JOURNEY RT 3.6 AWD V6 Aut.</t>
  </si>
  <si>
    <t>013030-3</t>
  </si>
  <si>
    <t>JOURNEY SE 2.7 V6 185cv Aut.</t>
  </si>
  <si>
    <t>013027-3</t>
  </si>
  <si>
    <t>JOURNEY SXT 2.7 V6 185cv Aut.</t>
  </si>
  <si>
    <t>013032-0</t>
  </si>
  <si>
    <t>JOURNEY SXT 3.6 V6 Aut.</t>
  </si>
  <si>
    <t>013024-9</t>
  </si>
  <si>
    <t>Ram 2500 H.DUTY 5.9 SLT 24V CD 4x4 Dies.</t>
  </si>
  <si>
    <t>013025-7</t>
  </si>
  <si>
    <t>Ram 2500 H.DUTY 5.9 SLT TDI CS 4x4 Dies.</t>
  </si>
  <si>
    <t>013033-8</t>
  </si>
  <si>
    <t>Ram 2500 LARAMIE 6.7 TDI CD 4x4 Dies</t>
  </si>
  <si>
    <t>013028-1</t>
  </si>
  <si>
    <t>Ram 2500 TROPIVAN 5.9 SLT Exec.TDI Dies.</t>
  </si>
  <si>
    <t>013026-5</t>
  </si>
  <si>
    <t>Ram 2500 TROPIVAN 5.9 SLT TDI 4x4 Dies.</t>
  </si>
  <si>
    <t>013003-6</t>
  </si>
  <si>
    <t>Ram Laramie 5.9 V8</t>
  </si>
  <si>
    <t>013002-8</t>
  </si>
  <si>
    <t>Ram Laramie/SLT 5.2 V8</t>
  </si>
  <si>
    <t>013001-0</t>
  </si>
  <si>
    <t>Ram Sport 5.9 V8</t>
  </si>
  <si>
    <t>013009-5</t>
  </si>
  <si>
    <t>Stealth 3.0 MPI</t>
  </si>
  <si>
    <t>066017-5</t>
  </si>
  <si>
    <t>V21 Pick-up CS 1.5 16V 2p</t>
  </si>
  <si>
    <t>066018-3</t>
  </si>
  <si>
    <t>V22 Pick-up CD 1.5 16V 4p</t>
  </si>
  <si>
    <t>066019-1</t>
  </si>
  <si>
    <t>V25 Furgão 1.5 16V 5p</t>
  </si>
  <si>
    <t>001561-0</t>
  </si>
  <si>
    <t>ARGO DRIVE 1.3 8V Flex Aut.</t>
  </si>
  <si>
    <t>001583-0</t>
  </si>
  <si>
    <t>ARGO DRIVE TRIBUTO 125 1.0 6V Flex</t>
  </si>
  <si>
    <t>001576-8</t>
  </si>
  <si>
    <t>ARGO ENDURANCE 1.3 8V Flex</t>
  </si>
  <si>
    <t>001562-8</t>
  </si>
  <si>
    <t>ARGO TREKKING 1.3 8V Flex Aut.</t>
  </si>
  <si>
    <t>001552-0</t>
  </si>
  <si>
    <t>CRONOS 1.0 6V Flex</t>
  </si>
  <si>
    <t>001553-9</t>
  </si>
  <si>
    <t>CRONOS DRIVE 1.0 6V Flex</t>
  </si>
  <si>
    <t>001554-7</t>
  </si>
  <si>
    <t>CRONOS DRIVE 1.3 8V Flex Aut.</t>
  </si>
  <si>
    <t>001555-5</t>
  </si>
  <si>
    <t>CRONOS PRECISION 1.3 8V Flex Aut.</t>
  </si>
  <si>
    <t>001563-6</t>
  </si>
  <si>
    <t>Ducato Cargo 2.2 Diesel (E6)</t>
  </si>
  <si>
    <t>001564-4</t>
  </si>
  <si>
    <t>Ducato MaxiCargo 2.2 Diesel (E6)</t>
  </si>
  <si>
    <t>001567-9</t>
  </si>
  <si>
    <t>Ducato Minibus 2.2 Comf.19L Diesel (E6)</t>
  </si>
  <si>
    <t>001593-8</t>
  </si>
  <si>
    <t>Ducato Minibus 2.2 Comfort18L (E6)</t>
  </si>
  <si>
    <t>001566-0</t>
  </si>
  <si>
    <t>Ducato Minibus 2.2 Exec. 17L Diesel (E6)</t>
  </si>
  <si>
    <t>001594-6</t>
  </si>
  <si>
    <t>Ducato Minibus 2.2 Luxo 16L (E6)</t>
  </si>
  <si>
    <t>001565-2</t>
  </si>
  <si>
    <t>Ducato Multi 2.2 Diesel (E6)</t>
  </si>
  <si>
    <t>001560-1</t>
  </si>
  <si>
    <t>E-Scudo (Elétrico)</t>
  </si>
  <si>
    <t>001568-7</t>
  </si>
  <si>
    <t>Fastback 1.0 200 Turbo Flex Aut</t>
  </si>
  <si>
    <t>001572-5</t>
  </si>
  <si>
    <t>Fastback ABARTH Turbo Flex 1.3 Aut.</t>
  </si>
  <si>
    <t>001558-0</t>
  </si>
  <si>
    <t>Fastback Audace 1.0 200 T. Flex Aut</t>
  </si>
  <si>
    <t>001578-4</t>
  </si>
  <si>
    <t>Fastback Audace 200 TB Aut (Hibrído)</t>
  </si>
  <si>
    <t>001557-1</t>
  </si>
  <si>
    <t>Fastback Impetus 1.0 200 T. Flex Aut</t>
  </si>
  <si>
    <t>001577-6</t>
  </si>
  <si>
    <t>Fastback Impetus 200 T. Aut (Hibrído)</t>
  </si>
  <si>
    <t>001556-3</t>
  </si>
  <si>
    <t>Fastback Limited Ed.1.3 270 T.Flex Aut.</t>
  </si>
  <si>
    <t>001581-4</t>
  </si>
  <si>
    <t>Fastback Tributo 125 1.0 Turb. Flex Aut</t>
  </si>
  <si>
    <t>001589-0</t>
  </si>
  <si>
    <t>Fiorino Endurance 1.3 Flex 8V 2p</t>
  </si>
  <si>
    <t>001592-0</t>
  </si>
  <si>
    <t>PULSE 1.0 Turbo 200 Flex Aut.</t>
  </si>
  <si>
    <t>001559-8</t>
  </si>
  <si>
    <t>PULSE ABARTH 1.3 Turbo 16V Flex Aut.</t>
  </si>
  <si>
    <t>001579-2</t>
  </si>
  <si>
    <t>PULSE AUDACE Turbo 200 Aut. (Hibrído)</t>
  </si>
  <si>
    <t>001580-6</t>
  </si>
  <si>
    <t>PULSE IMPETUS T. 200 Aut. (Hibrído)</t>
  </si>
  <si>
    <t>001582-2</t>
  </si>
  <si>
    <t>PULSE TRIBUTO 125 1.0 TB. 200 Flex Aut.</t>
  </si>
  <si>
    <t>001550-4</t>
  </si>
  <si>
    <t>Scudo Cargo 1.5 16V Turbo Diesel</t>
  </si>
  <si>
    <t>001590-3</t>
  </si>
  <si>
    <t>Scudo Cargo 2.2 16V Turbo Diesel</t>
  </si>
  <si>
    <t>001551-2</t>
  </si>
  <si>
    <t>Scudo Multi 1.5 16 V Turbo Diesel</t>
  </si>
  <si>
    <t>001591-1</t>
  </si>
  <si>
    <t>Scudo Multi 2.2 16 V Turbo Diesel</t>
  </si>
  <si>
    <t>001569-5</t>
  </si>
  <si>
    <t>Strada Endurance 1.3 Flex 8V CS Plus</t>
  </si>
  <si>
    <t>001570-9</t>
  </si>
  <si>
    <t>Strada Ranch 1.0 Flex Turbo CD Aut.</t>
  </si>
  <si>
    <t>001571-7</t>
  </si>
  <si>
    <t>Strada Ultra 1.0 Flex Turbo CD Aut.</t>
  </si>
  <si>
    <t>001584-9</t>
  </si>
  <si>
    <t>Strada Volc.TRIBUTO 125 1.3 Flex CD Aut.</t>
  </si>
  <si>
    <t>001573-3</t>
  </si>
  <si>
    <t>Titano Endurance 2.2 16V 4x4 TB Die. Mec</t>
  </si>
  <si>
    <t>001575-0</t>
  </si>
  <si>
    <t>Titano Ranch 2.2 16V 4x4 TB Diesel Aut.</t>
  </si>
  <si>
    <t>001574-1</t>
  </si>
  <si>
    <t>Titano Volcano 2.2 16V 4x4 TB Die. Aut.</t>
  </si>
  <si>
    <t>001587-3</t>
  </si>
  <si>
    <t>Toro Ranch 2.2 16V 4x4 TB Diesel Aut.</t>
  </si>
  <si>
    <t>001588-1</t>
  </si>
  <si>
    <t>Toro Ultra 1.3 16V 4x2 TB Flex Aut.</t>
  </si>
  <si>
    <t>001585-7</t>
  </si>
  <si>
    <t>Toro Vol. TRIBUTO 125 1.3 T270 Flex Aut.</t>
  </si>
  <si>
    <t>001586-5</t>
  </si>
  <si>
    <t>Toro Volcano 2.2 16V 4x4 TB Diesel Aut.</t>
  </si>
  <si>
    <t>003118-6</t>
  </si>
  <si>
    <t>Aerostar Mini-Van 3.8</t>
  </si>
  <si>
    <t>003152-6</t>
  </si>
  <si>
    <t>Aspire 1.3</t>
  </si>
  <si>
    <t>003021-0</t>
  </si>
  <si>
    <t>Belina GL 1.8 / 1.6</t>
  </si>
  <si>
    <t>003020-1</t>
  </si>
  <si>
    <t>Belina L 1.8/ 1.6</t>
  </si>
  <si>
    <t>003513-0</t>
  </si>
  <si>
    <t>Bronco Sport Badlands 2.0L TB 4WD Aut.</t>
  </si>
  <si>
    <t>003481-9</t>
  </si>
  <si>
    <t>Bronco Sport Wildtrak 2.0 Tb 16V AWD Aut</t>
  </si>
  <si>
    <t>003119-4</t>
  </si>
  <si>
    <t>Club Wagon V8</t>
  </si>
  <si>
    <t>003120-8</t>
  </si>
  <si>
    <t>Club Wagon XLT 4.9 V6</t>
  </si>
  <si>
    <t>003121-6</t>
  </si>
  <si>
    <t>Contour SE/ GL/ LX 2.0 16V</t>
  </si>
  <si>
    <t>003122-4</t>
  </si>
  <si>
    <t>Contour SE/GL/ LX 2.5 24V</t>
  </si>
  <si>
    <t>003129-1</t>
  </si>
  <si>
    <t>Corcel II GL/GT</t>
  </si>
  <si>
    <t>003128-3</t>
  </si>
  <si>
    <t>Corcel II L</t>
  </si>
  <si>
    <t>003001-5</t>
  </si>
  <si>
    <t>Courier 1.3i/Furgão</t>
  </si>
  <si>
    <t>003139-9</t>
  </si>
  <si>
    <t>Courier 1.6 L/ 1.6 Flex</t>
  </si>
  <si>
    <t>003002-3</t>
  </si>
  <si>
    <t>Courier CLX 1.4i 16V</t>
  </si>
  <si>
    <t>003003-1</t>
  </si>
  <si>
    <t>Courier Si 1.4i 16V</t>
  </si>
  <si>
    <t>003231-0</t>
  </si>
  <si>
    <t>Courier Sport 1.6 8v</t>
  </si>
  <si>
    <t>003514-9</t>
  </si>
  <si>
    <t>E-TRANSIT Furgão Longo Teto Alto (Elétrico)</t>
  </si>
  <si>
    <t>003489-4</t>
  </si>
  <si>
    <t>F-150 Lariat 4x4 5.0 V8</t>
  </si>
  <si>
    <t>003509-2</t>
  </si>
  <si>
    <t>F-150 Lariat Black 4x4 5.0 V8</t>
  </si>
  <si>
    <t>003490-8</t>
  </si>
  <si>
    <t>F-150 Platinum 4x4 5.0 V8</t>
  </si>
  <si>
    <t>003512-2</t>
  </si>
  <si>
    <t>F-150 Tremor 4x4 5.0 V8</t>
  </si>
  <si>
    <t>003510-6</t>
  </si>
  <si>
    <t>Maverick L. Black 2.0 EcoBoost AWD Aut.</t>
  </si>
  <si>
    <t>003518-1</t>
  </si>
  <si>
    <t>Maverick Lariat Hybrid 2.5 AWD Aut.</t>
  </si>
  <si>
    <t>003495-9</t>
  </si>
  <si>
    <t>Maverick Lariat Hybrid 2.5 FWD Aut.</t>
  </si>
  <si>
    <t>003511-4</t>
  </si>
  <si>
    <t>Maverick Tremor 2.0 EcoBoost 4WD Aut.</t>
  </si>
  <si>
    <t>003516-5</t>
  </si>
  <si>
    <t>Mustang Dark Horse 5.0 V8 Aut.</t>
  </si>
  <si>
    <t>003507-6</t>
  </si>
  <si>
    <t>Mustang GT Performance 5.0 V8 Aut.</t>
  </si>
  <si>
    <t>003515-7</t>
  </si>
  <si>
    <t>Mustang GT Performance 5.0 V8 Mec.</t>
  </si>
  <si>
    <t>003505-0</t>
  </si>
  <si>
    <t>Mustang Mach-E GT Performance (Elétrico)</t>
  </si>
  <si>
    <t>003508-4</t>
  </si>
  <si>
    <t>Ranger Black 2.0 4x2 CD TB Diesel Aut.</t>
  </si>
  <si>
    <t>003486-0</t>
  </si>
  <si>
    <t>Ranger FX4 3.2 20V 4x4 CD Diesel Aut.</t>
  </si>
  <si>
    <t>003497-5</t>
  </si>
  <si>
    <t>Ranger Limited 3.0 V6 4x4 CD TB Die. Aut</t>
  </si>
  <si>
    <t>003498-3</t>
  </si>
  <si>
    <t>Ranger Limited+ 3.0 V6 4x4 CD TB Die Aut</t>
  </si>
  <si>
    <t>003506-8</t>
  </si>
  <si>
    <t>Ranger Raptor 3.0 V6 Bi-Turbo 4WD AUT.</t>
  </si>
  <si>
    <t>003502-5</t>
  </si>
  <si>
    <t>Ranger XL 2.0 4x4 CD Diesel Mec.</t>
  </si>
  <si>
    <t>003499-1</t>
  </si>
  <si>
    <t>Ranger XLS 2.0 4x2 CD Diesel Aut.</t>
  </si>
  <si>
    <t>003501-7</t>
  </si>
  <si>
    <t>Ranger XLS 2.0 4x4 CD Diesel Aut.</t>
  </si>
  <si>
    <t>003500-9</t>
  </si>
  <si>
    <t>Ranger XLS 3.0 V6 4x4 CD Diesel Aut.</t>
  </si>
  <si>
    <t>003496-7</t>
  </si>
  <si>
    <t>Ranger XLT 3.0 V6 4x4 CD TB Die. Aut.</t>
  </si>
  <si>
    <t>003503-3</t>
  </si>
  <si>
    <t>TRANSIT Chassi 350E 2.0 EcoBlue Diesel</t>
  </si>
  <si>
    <t>003504-1</t>
  </si>
  <si>
    <t>TRANSIT Chassi 470E 2.0 EcoBlue Diesel</t>
  </si>
  <si>
    <t>003494-0</t>
  </si>
  <si>
    <t>TRANSIT Furgão 2.0 Longo Turbo Die Aut.</t>
  </si>
  <si>
    <t>003488-6</t>
  </si>
  <si>
    <t>TRANSIT Furgão 2.0 Longo Turbo Diesel</t>
  </si>
  <si>
    <t>003517-3</t>
  </si>
  <si>
    <t>TRANSIT Furgão 2.0 Medio Turbo Aut.</t>
  </si>
  <si>
    <t>003487-8</t>
  </si>
  <si>
    <t>TRANSIT Furgão 2.0 Medio Turbo Diesel</t>
  </si>
  <si>
    <t>003491-6</t>
  </si>
  <si>
    <t>TRANSIT Minibus 15 Lug. 2.0 16V Die Aut.</t>
  </si>
  <si>
    <t>003492-4</t>
  </si>
  <si>
    <t>TRANSIT Minibus 18 Lug. 2.0 16V Die Aut.</t>
  </si>
  <si>
    <t>003493-2</t>
  </si>
  <si>
    <t>TRANSIT Minibus Vidrada 2.0 16V Die Aut.</t>
  </si>
  <si>
    <t>088001-9</t>
  </si>
  <si>
    <t>EC7 1.8 16V 130cv 4p Mec.</t>
  </si>
  <si>
    <t>088006-0</t>
  </si>
  <si>
    <t>EX2 MAX</t>
  </si>
  <si>
    <t>088005-1</t>
  </si>
  <si>
    <t>EX2 PRO</t>
  </si>
  <si>
    <t>088004-3</t>
  </si>
  <si>
    <t>EX5 MAX (Elétrico)</t>
  </si>
  <si>
    <t>088003-5</t>
  </si>
  <si>
    <t>EX5 PRO (Elétrico)</t>
  </si>
  <si>
    <t>088002-7</t>
  </si>
  <si>
    <t>GC2 1.0 12V 68cv 5p</t>
  </si>
  <si>
    <t>GEELY</t>
  </si>
  <si>
    <t>096005-5</t>
  </si>
  <si>
    <t>Haval H6 1.5 (Hibrido)</t>
  </si>
  <si>
    <t>096004-7</t>
  </si>
  <si>
    <t>Haval H6 1.5 AWD (Hibrido)</t>
  </si>
  <si>
    <t>096008-0</t>
  </si>
  <si>
    <t>Haval H6 19 1.5 (Hibrido)</t>
  </si>
  <si>
    <t>096001-2</t>
  </si>
  <si>
    <t>Haval H6 2 1.5 (Hibrido)</t>
  </si>
  <si>
    <t>096002-0</t>
  </si>
  <si>
    <t>Haval H6 34 1.5 AWD (Hibrido)</t>
  </si>
  <si>
    <t>096003-9</t>
  </si>
  <si>
    <t>Haval H6 GT 1.5 AWD (Hibrido)</t>
  </si>
  <si>
    <t>096010-1</t>
  </si>
  <si>
    <t>Haval H6 ONE 1.5 (Hibrido)</t>
  </si>
  <si>
    <t>096012-8</t>
  </si>
  <si>
    <t>Haval H9 Exclusive TD480</t>
  </si>
  <si>
    <t>096011-0</t>
  </si>
  <si>
    <t>Ora 03</t>
  </si>
  <si>
    <t>096007-1</t>
  </si>
  <si>
    <t>Ora 03 GT (Elétrico)</t>
  </si>
  <si>
    <t>096006-3</t>
  </si>
  <si>
    <t>Ora 03 Skin (Elétrico)</t>
  </si>
  <si>
    <t>096014-4</t>
  </si>
  <si>
    <t>Poer P30 Exclusive 2.4 16V Turbo 4X4 Aut.</t>
  </si>
  <si>
    <t>096013-6</t>
  </si>
  <si>
    <t>Poer P30 Trail 2.4 16V Turbo 4X4 Aut.</t>
  </si>
  <si>
    <t>096009-8</t>
  </si>
  <si>
    <t>Tank 300 2.0 16V AWD Aut.(Hibrido)</t>
  </si>
  <si>
    <t>096015-2</t>
  </si>
  <si>
    <t>Wey 07 1.5 Turbo AWD</t>
  </si>
  <si>
    <t>014115-1</t>
  </si>
  <si>
    <t>CITY Hatchback EX 1.5 Flex 16V Aut.</t>
  </si>
  <si>
    <t>014116-0</t>
  </si>
  <si>
    <t>CITY Hatchback LX 1.5 Flex 16V Aut.</t>
  </si>
  <si>
    <t>014118-6</t>
  </si>
  <si>
    <t>CITY Hatchback Touring Sport 1.5 16V Aut</t>
  </si>
  <si>
    <t>014112-7</t>
  </si>
  <si>
    <t>Civic Sed.Touring 2.0 16V Aut. (Híbrido)</t>
  </si>
  <si>
    <t>014113-5</t>
  </si>
  <si>
    <t>Civic Type-R 2.0 Turbo 16V</t>
  </si>
  <si>
    <t>014117-8</t>
  </si>
  <si>
    <t>CR-V Touring 2.0 16V AWD Aut.(Híbrido)</t>
  </si>
  <si>
    <t>014111-9</t>
  </si>
  <si>
    <t>HR-V Advance 1.5 Flex TB 16V 5p Aut.</t>
  </si>
  <si>
    <t>014109-7</t>
  </si>
  <si>
    <t>HR-V EX 1.5 Flex Sensing 16V 5p Aut.</t>
  </si>
  <si>
    <t>014110-0</t>
  </si>
  <si>
    <t>HR-V EXL 1.5 Flex Sensing 16V 5p Aut.</t>
  </si>
  <si>
    <t>014094-5</t>
  </si>
  <si>
    <t>014114-3</t>
  </si>
  <si>
    <t>ZR-V Touring 2.0 16V 5p Aut.</t>
  </si>
  <si>
    <t>015244-7</t>
  </si>
  <si>
    <t>Creta Comfort Plus 1.0 TB 12V Flex Aut.</t>
  </si>
  <si>
    <t>015243-9</t>
  </si>
  <si>
    <t>Creta Limit. Safety 1.0 TB 12V Flex Aut.</t>
  </si>
  <si>
    <t>015212-9</t>
  </si>
  <si>
    <t>Creta N Line 1.0 TB 12V Flex Aut.</t>
  </si>
  <si>
    <t>015228-5</t>
  </si>
  <si>
    <t>Creta N Line Night Ed. 2.0 16V Flex Aut.</t>
  </si>
  <si>
    <t>015237-4</t>
  </si>
  <si>
    <t>Creta Plat. Safety 1.0 TB 12V Flex Aut.</t>
  </si>
  <si>
    <t>015249-8</t>
  </si>
  <si>
    <t>Creta Ultimate 1.6 TB 16V Aut.</t>
  </si>
  <si>
    <t>015246-3</t>
  </si>
  <si>
    <t>HB20 Comf. Plus Tech 1.0 TB Flex 12V Aut</t>
  </si>
  <si>
    <t>015215-3</t>
  </si>
  <si>
    <t>HB20 Comfort 1.0 Flex 12V Mec.</t>
  </si>
  <si>
    <t>015214-5</t>
  </si>
  <si>
    <t>HB20 Comfort 1.0 TB Flex 12V Aut</t>
  </si>
  <si>
    <t>015216-1</t>
  </si>
  <si>
    <t>HB20 Comfort 1.0 TB Flex 12V Mec</t>
  </si>
  <si>
    <t>015245-5</t>
  </si>
  <si>
    <t>HB20 Comfort Plus 1.0 Flex 12V Mec.</t>
  </si>
  <si>
    <t>015236-6</t>
  </si>
  <si>
    <t>HB20 Comfort Plus 1.0 TB Flex 12V Aut.</t>
  </si>
  <si>
    <t>015223-4</t>
  </si>
  <si>
    <t>HB20 Copa Mundo Qatar 1.0 Flex Mec</t>
  </si>
  <si>
    <t>015222-6</t>
  </si>
  <si>
    <t>HB20 Copa Mundo Qatar 1.0 TB Flex Aut.</t>
  </si>
  <si>
    <t>015224-2</t>
  </si>
  <si>
    <t>HB20 Edição Especial 1.0 Flex Mec.</t>
  </si>
  <si>
    <t>015225-0</t>
  </si>
  <si>
    <t>HB20 Edição Especial 1.0 TB Flex Aut.</t>
  </si>
  <si>
    <t>015213-7</t>
  </si>
  <si>
    <t>HB20 Limited 1.0 Flex 12V Mec.</t>
  </si>
  <si>
    <t>015251-0</t>
  </si>
  <si>
    <t>HB20 Limited 1.0 TB Flex 12V Aut.</t>
  </si>
  <si>
    <t>015235-8</t>
  </si>
  <si>
    <t>HB20 Limited Plus 1.0 Flex 12V Mec.</t>
  </si>
  <si>
    <t>015233-1</t>
  </si>
  <si>
    <t>HB20 Plat. Safety 1.0 TB Flex 12V Aut.</t>
  </si>
  <si>
    <t>015241-2</t>
  </si>
  <si>
    <t>HB20 Sense 1.0 Turbo Flex 12V Aut.</t>
  </si>
  <si>
    <t>015234-0</t>
  </si>
  <si>
    <t>HB20 Sense Plus 1.0 Flex 12V Mec.</t>
  </si>
  <si>
    <t>015210-2</t>
  </si>
  <si>
    <t>HB20 Vision 1.0 TB Flex 12V Aut.</t>
  </si>
  <si>
    <t>015247-1</t>
  </si>
  <si>
    <t>HB20S Com. Plus Tech 1.0 TB Flex 12V Aut</t>
  </si>
  <si>
    <t>015218-8</t>
  </si>
  <si>
    <t>HB20S Comfort 1.0 Flex 12V Mec.</t>
  </si>
  <si>
    <t>015217-0</t>
  </si>
  <si>
    <t>HB20S Comfort 1.0 TB Flex 12V Aut.</t>
  </si>
  <si>
    <t>015239-0</t>
  </si>
  <si>
    <t>HB20S Comfort Plus 1.0 Flex 12V Mec.</t>
  </si>
  <si>
    <t>015240-4</t>
  </si>
  <si>
    <t>HB20S Comfort Plus 1.0 TB Flex 12V Aut</t>
  </si>
  <si>
    <t>015220-0</t>
  </si>
  <si>
    <t>HB20S Copa Mundo Qatar 1.0 Flex Mec.</t>
  </si>
  <si>
    <t>015221-8</t>
  </si>
  <si>
    <t>HB20S Copa Mundo Qatar 1.0 TB Flex Aut.</t>
  </si>
  <si>
    <t>015226-9</t>
  </si>
  <si>
    <t>HB20S Edição Especial 1.0 Flex Mec.</t>
  </si>
  <si>
    <t>015227-7</t>
  </si>
  <si>
    <t>HB20S Edição Especial 1.0 TB Flex Aut.</t>
  </si>
  <si>
    <t>015219-6</t>
  </si>
  <si>
    <t>HB20S Limited 1.0 Flex 12V Mec.</t>
  </si>
  <si>
    <t>015252-8</t>
  </si>
  <si>
    <t>HB20S Limited 1.0 TB Flex 12V Aut.</t>
  </si>
  <si>
    <t>015242-0</t>
  </si>
  <si>
    <t>HB20S Limited Plus 1.0 Flex 12V Mec.</t>
  </si>
  <si>
    <t>015238-2</t>
  </si>
  <si>
    <t>HB20S Plat. Safety 1.0 TB Flex 12V Aut.</t>
  </si>
  <si>
    <t>Creta</t>
  </si>
  <si>
    <t>015211-0</t>
  </si>
  <si>
    <t>HB20S Vision 1.0 TB Flex 12V Aut.</t>
  </si>
  <si>
    <t>015229-3</t>
  </si>
  <si>
    <t>HR 2.5 4WD Diesel</t>
  </si>
  <si>
    <t>015230-7</t>
  </si>
  <si>
    <t>IONIQ 1.6 16V Aut. (Híbrido)</t>
  </si>
  <si>
    <t>015250-1</t>
  </si>
  <si>
    <t>IONIQ 5 SIGNATURE (Elétrico)</t>
  </si>
  <si>
    <t>015232-3</t>
  </si>
  <si>
    <t>KONA 1.6 16V Aut. (Hibrido)</t>
  </si>
  <si>
    <t>015231-5</t>
  </si>
  <si>
    <t>KONA EV (Elétrico)</t>
  </si>
  <si>
    <t>015254-4</t>
  </si>
  <si>
    <t>KONA Signature GDI 1.6 16V Aut (Hibrido)</t>
  </si>
  <si>
    <t>015253-6</t>
  </si>
  <si>
    <t>KONA Ultimate GDI 1.6 16V Aut. (Hibrido)</t>
  </si>
  <si>
    <t>015248-0</t>
  </si>
  <si>
    <t>PALISADE Signature 3.8 GDI AWD Aut.</t>
  </si>
  <si>
    <t>080035-0</t>
  </si>
  <si>
    <t>E-J7 193cv 5p Aut. (Elétrico)</t>
  </si>
  <si>
    <t>080040-6</t>
  </si>
  <si>
    <t>E-JS1 City Cargo Aut. (Elétrico)</t>
  </si>
  <si>
    <t>080038-4</t>
  </si>
  <si>
    <t>E-JV CC Aut. (Elétrico)</t>
  </si>
  <si>
    <t>080037-6</t>
  </si>
  <si>
    <t>E-JV12 Aut. (Elétrico)</t>
  </si>
  <si>
    <t>080036-8</t>
  </si>
  <si>
    <t>E-JV5.5 Aut. (Elétrico)</t>
  </si>
  <si>
    <t>080039-2</t>
  </si>
  <si>
    <t>E-JV7L Aut. (Elétrico)</t>
  </si>
  <si>
    <t>080043-0</t>
  </si>
  <si>
    <t>HUNTER 4WORK 4X4 2.O CTI Diessel Aut.</t>
  </si>
  <si>
    <t>080041-4</t>
  </si>
  <si>
    <t>HUNTER HD 4X4 2.0 CTI Diesel Aut.</t>
  </si>
  <si>
    <t>080042-2</t>
  </si>
  <si>
    <t>HUNTER HDX 4X4 2.0 CTI Diesel Aut.</t>
  </si>
  <si>
    <t>017099-2</t>
  </si>
  <si>
    <t>Commander Black Hurricane 2.0 4x4 TB Aut</t>
  </si>
  <si>
    <t>017093-3</t>
  </si>
  <si>
    <t>Commander Longitude T270 1.3 TB Flex Aut</t>
  </si>
  <si>
    <t>017104-2</t>
  </si>
  <si>
    <t>Commander Overl. 2.2 TD 4x4 Diesel Aut.</t>
  </si>
  <si>
    <t>017098-4</t>
  </si>
  <si>
    <t>Commander Overland Hurric 2.0 4x4 TB Aut</t>
  </si>
  <si>
    <t>017096-8</t>
  </si>
  <si>
    <t>COMPASS Black Hurricane 2.0 4x4 TB Aut.</t>
  </si>
  <si>
    <t>017095-0</t>
  </si>
  <si>
    <t>COMPASS Lon Nig. Eagle 1.3 4x2 Flex Aut.</t>
  </si>
  <si>
    <t>017097-6</t>
  </si>
  <si>
    <t>COMPASS Over. Hurric 2.0 4x4 TB 16V Aut.</t>
  </si>
  <si>
    <t>017089-5</t>
  </si>
  <si>
    <t>COMPASS S 1.3 TB 4XE Aut. (Híbrido)</t>
  </si>
  <si>
    <t>017091-7</t>
  </si>
  <si>
    <t>Gladiator Rubicon 3.6 V6 284 cv</t>
  </si>
  <si>
    <t>017094-1</t>
  </si>
  <si>
    <t>Grand Cherokee 4XE 2.0 T. Aut. (Híbrido)</t>
  </si>
  <si>
    <t>017105-0</t>
  </si>
  <si>
    <t>Renegade Altitude T270 1.3 TB Flex Aut.</t>
  </si>
  <si>
    <t>017102-6</t>
  </si>
  <si>
    <t>Renegade Lo. Night Eagle 1.3 TB Flex Aut</t>
  </si>
  <si>
    <t>017100-0</t>
  </si>
  <si>
    <t>Renegade SAHARA T270 1.3 TB 4x2 Flex Aut</t>
  </si>
  <si>
    <t>017103-4</t>
  </si>
  <si>
    <t>Renegade Sport Altitude 1.3 TB Flex Aut.</t>
  </si>
  <si>
    <t>017092-5</t>
  </si>
  <si>
    <t>Renegade T270 1.3 TB 4x2 Flex Aut.</t>
  </si>
  <si>
    <t>017101-8</t>
  </si>
  <si>
    <t>Renegade Willys T270 1.3 TB 4x4 Flex Aut</t>
  </si>
  <si>
    <t>017068-2</t>
  </si>
  <si>
    <t>Wrangler RUBICON 2.0 Turbo 4x4 4p Aut.</t>
  </si>
  <si>
    <t>017064-0</t>
  </si>
  <si>
    <t>Wrangler SAHARA 2.0 4x4 271cv 2p Aut.</t>
  </si>
  <si>
    <t>017026-7</t>
  </si>
  <si>
    <t>Wrangler SAHARA 3.8 V6 199cv 2p</t>
  </si>
  <si>
    <t>017063-1</t>
  </si>
  <si>
    <t>Wrangler SAHARA Overland 2.0 4x4 4p Aut.</t>
  </si>
  <si>
    <t>017029-1</t>
  </si>
  <si>
    <t>Wrangler Sport 3.6 V6 284cv 2p</t>
  </si>
  <si>
    <t>017020-8</t>
  </si>
  <si>
    <t>Wrangler Sport 3.8 V6 199cv</t>
  </si>
  <si>
    <t>017049-6</t>
  </si>
  <si>
    <t>Wrangler Unlimited 75 Anos 3.6 V6 284cv</t>
  </si>
  <si>
    <t>017079-8</t>
  </si>
  <si>
    <t>Wrangler Unlimited 80 Anos 2.0 TB 4p</t>
  </si>
  <si>
    <t>017090-9</t>
  </si>
  <si>
    <t>Wrangler Unlimited SAHARA 2.0 TB 4p Aut</t>
  </si>
  <si>
    <t>017061-5</t>
  </si>
  <si>
    <t>Wrangler Unlimited SAHARA 3.6 V6 4p</t>
  </si>
  <si>
    <t>017027-5</t>
  </si>
  <si>
    <t>Wrangler Unlimited SAHARA 3.8 V6 4p</t>
  </si>
  <si>
    <t>017030-5</t>
  </si>
  <si>
    <t>Wrangler Unlimited Sport 3.6 V6 284cv 4p</t>
  </si>
  <si>
    <t>017023-2</t>
  </si>
  <si>
    <t>Wrangler Unlimited Sport 3.8 V6 199cv</t>
  </si>
  <si>
    <t>018101-3</t>
  </si>
  <si>
    <t>Bongo K-2500 2.5 4x4 TB Diesel</t>
  </si>
  <si>
    <t>018103-0</t>
  </si>
  <si>
    <t>EV5 Land (Elétrico)</t>
  </si>
  <si>
    <t>018104-8</t>
  </si>
  <si>
    <t>EV9 GTL (Elétrico)</t>
  </si>
  <si>
    <t>018099-8</t>
  </si>
  <si>
    <t>Niro EX 1.6 GDI (Híbrido)</t>
  </si>
  <si>
    <t>018100-5</t>
  </si>
  <si>
    <t>Niro SX Prestige 1.6 GDI (Híbrido)</t>
  </si>
  <si>
    <t>018102-1</t>
  </si>
  <si>
    <t>Niro SX Rio Limited Edt 1.6 GDI (Híb.)</t>
  </si>
  <si>
    <t>018098-0</t>
  </si>
  <si>
    <t>Sportage EX 1.6 T-GDI (Híbrido)</t>
  </si>
  <si>
    <t>018097-1</t>
  </si>
  <si>
    <t>Sportage EX Prestige 1.6 T-GDI (Híbrido)</t>
  </si>
  <si>
    <t>021509-0</t>
  </si>
  <si>
    <t>A 200 AMG Line 1.3 TB Aut.</t>
  </si>
  <si>
    <t>021521-0</t>
  </si>
  <si>
    <t>A 200 AMG Line 1.3 TB Aut. (Híbrido)</t>
  </si>
  <si>
    <t>021533-3</t>
  </si>
  <si>
    <t>C-63 AMG S E Perf. F1 Ed. Aut.(Híbrido)</t>
  </si>
  <si>
    <t>021534-1</t>
  </si>
  <si>
    <t>C-63 AMG S E Performance Aut.(Híbrido)</t>
  </si>
  <si>
    <t>021510-4</t>
  </si>
  <si>
    <t>CLA-200 AMG Line 1.3 TB 16V Aut. (Híb.)</t>
  </si>
  <si>
    <t>021529-5</t>
  </si>
  <si>
    <t>CLA-200 Progressive 1.3 TB 16V Aut.(Híb)</t>
  </si>
  <si>
    <t>021523-6</t>
  </si>
  <si>
    <t>CLA-35 AMG 4MATIC 2.0 TB Aut. (Híbrido)</t>
  </si>
  <si>
    <t>021525-2</t>
  </si>
  <si>
    <t>E-300 Exclusive 2.0 TB 258cv Aut. (Híb.)</t>
  </si>
  <si>
    <t>GLA</t>
  </si>
  <si>
    <t>021484-1</t>
  </si>
  <si>
    <t>EQA 250 (Elétrico)</t>
  </si>
  <si>
    <t>021538-4</t>
  </si>
  <si>
    <t>EQA 250 AMG Line (Elétrico)</t>
  </si>
  <si>
    <t>021485-0</t>
  </si>
  <si>
    <t>EQB 250 (Elétrico)</t>
  </si>
  <si>
    <t>021558-9</t>
  </si>
  <si>
    <t>EQB 250+</t>
  </si>
  <si>
    <t>021524-4</t>
  </si>
  <si>
    <t>EQB 350 (Elétrico)</t>
  </si>
  <si>
    <t>021539-2</t>
  </si>
  <si>
    <t>EQB 350 4MATIC AMG Line (Elétrico)</t>
  </si>
  <si>
    <t>021473-6</t>
  </si>
  <si>
    <t>EQC 400 4MATIC AMG Line (Elétrico)</t>
  </si>
  <si>
    <t>021536-8</t>
  </si>
  <si>
    <t>EQE 300 AMG Line (Elétrico)</t>
  </si>
  <si>
    <t>021483-3</t>
  </si>
  <si>
    <t>EQE 300 Edition One (Elétrico)</t>
  </si>
  <si>
    <t>021511-2</t>
  </si>
  <si>
    <t>EQE 300 SUV AMG Line (Elétrico)</t>
  </si>
  <si>
    <t>021556-2</t>
  </si>
  <si>
    <t>EQE 350+ AMG Line (Elétrico)</t>
  </si>
  <si>
    <t>021532-5</t>
  </si>
  <si>
    <t>EQE 350+ SUV AMG Line (Elétrico)</t>
  </si>
  <si>
    <t>021517-1</t>
  </si>
  <si>
    <t>EQE 53 SUV AMG 4MATIC+ (Elétrico)</t>
  </si>
  <si>
    <t>021535-0</t>
  </si>
  <si>
    <t>EQS 450 SUV 4MATIC ( Elétrico)</t>
  </si>
  <si>
    <t>021515-5</t>
  </si>
  <si>
    <t>EQS 450+ SUV AMG Line ( Elétrico)</t>
  </si>
  <si>
    <t>021482-5</t>
  </si>
  <si>
    <t>EQS 53 AMG 4MATIC+ ( Elétrico)</t>
  </si>
  <si>
    <t>021546-5</t>
  </si>
  <si>
    <t>eSprinter 320 FURGÃO S. E.L (Elétrico)</t>
  </si>
  <si>
    <t>021547-3</t>
  </si>
  <si>
    <t>eSprinter 320 FURGÃO S. Longa (Elétrico)</t>
  </si>
  <si>
    <t>021544-9</t>
  </si>
  <si>
    <t>eSprinter 420 Chassi Longo (Elétrico)</t>
  </si>
  <si>
    <t>021548-1</t>
  </si>
  <si>
    <t>eSprinter 420 FUR. Vid. Ex.Longa (Elét.)</t>
  </si>
  <si>
    <t>021554-6</t>
  </si>
  <si>
    <t>eSprinter 420 FURGÃO Ex.Longa (Elétrico)</t>
  </si>
  <si>
    <t>021545-7</t>
  </si>
  <si>
    <t>eSprinter 420 FURGÃO Longa (Elétrico)</t>
  </si>
  <si>
    <t>021549-0</t>
  </si>
  <si>
    <t>G-63 AMG 4M 4.0 V8 Bi-TB Aut. (Híb.)</t>
  </si>
  <si>
    <t>021557-0</t>
  </si>
  <si>
    <t>G-63 AMG 4M Man.4.0 V8 Bi-TB Aut. (Híb.)</t>
  </si>
  <si>
    <t>021512-0</t>
  </si>
  <si>
    <t>GLA 200 AMG Line 1.3 16V TB Aut.(Híb.)</t>
  </si>
  <si>
    <t>021527-9</t>
  </si>
  <si>
    <t>GLA 200 Progressive 1.3 TB 16V Aut.(Híb)</t>
  </si>
  <si>
    <t>021522-8</t>
  </si>
  <si>
    <t>GLA 35 AMG 4MATIC 2.0 Turbo Aut. (Híb.)</t>
  </si>
  <si>
    <t>021519-8</t>
  </si>
  <si>
    <t>GLB 200 Progressive 1.3 TB 16V Aut.(Híb)</t>
  </si>
  <si>
    <t>021531-7</t>
  </si>
  <si>
    <t>GLB 220 4M AMG Line 2.0 TB Aut. (Híb.)</t>
  </si>
  <si>
    <t>021530-9</t>
  </si>
  <si>
    <t>GLB 220 4M Progressive 2.0 TB Aut. (Híb)</t>
  </si>
  <si>
    <t>021472-8</t>
  </si>
  <si>
    <t>GLB 35 AMG 4MATIC 2.0 Turbo Aut.</t>
  </si>
  <si>
    <t>021520-1</t>
  </si>
  <si>
    <t>GLB 35 AMG 4MATIC 2.0 Turbo Aut. (Híb.)</t>
  </si>
  <si>
    <t>021518-0</t>
  </si>
  <si>
    <t>GLC-300 4MATIC 2.0 TB Aut. (Híb)</t>
  </si>
  <si>
    <t>021516-3</t>
  </si>
  <si>
    <t>GLC-300 AMG L. Cou. 4M 2.0 TB Aut. (Híb)</t>
  </si>
  <si>
    <t>021537-6</t>
  </si>
  <si>
    <t>GLC-300 AMG Line 4MATIC 2.0 TB Aut (Híb)</t>
  </si>
  <si>
    <t>021526-0</t>
  </si>
  <si>
    <t>GLC-43 AMG 4M Coupe 2.0 Turbo Aut.(Híb).</t>
  </si>
  <si>
    <t>021528-7</t>
  </si>
  <si>
    <t>GLC-43 AMG 4MATIC 2.0 Turbo Aut. (Híb).</t>
  </si>
  <si>
    <t>021542-2</t>
  </si>
  <si>
    <t>GLC-63 S AMG E Perf. Coupe 2.0 Aut (Híb)</t>
  </si>
  <si>
    <t>021514-7</t>
  </si>
  <si>
    <t>GLE-450 4MATIC 3.0 V6 Diesel (Híb)</t>
  </si>
  <si>
    <t>021513-9</t>
  </si>
  <si>
    <t>GLE-450 Coupe 3.0 4MATIC Diesel (Híb)</t>
  </si>
  <si>
    <t>021559-7</t>
  </si>
  <si>
    <t>GT 63 S AMG E Performance Aut. 2p</t>
  </si>
  <si>
    <t>021543-0</t>
  </si>
  <si>
    <t>GT 63 S AMG E Performance Aut. 4p</t>
  </si>
  <si>
    <t>021540-6</t>
  </si>
  <si>
    <t>S-63 AMG S E Performance Aut. (Híbrido)</t>
  </si>
  <si>
    <t>021541-4</t>
  </si>
  <si>
    <t>SL-63 AMG S E Performance Aut. (Híbrido)</t>
  </si>
  <si>
    <t>021495-7</t>
  </si>
  <si>
    <t>Sprin. 417 F Vidr. Extra L.T.A. Die.(E6)</t>
  </si>
  <si>
    <t>021508-2</t>
  </si>
  <si>
    <t>Sprin. 517 VAN E.L.P.T.A. 20L Die. (E6)</t>
  </si>
  <si>
    <t>021507-4</t>
  </si>
  <si>
    <t>Sprin. 517 VAN E.L.P.T.A. 21L Die. (E6)</t>
  </si>
  <si>
    <t>021481-7</t>
  </si>
  <si>
    <t>Sprinter 314 Truck E.Longo T.B. 2.2 Dies</t>
  </si>
  <si>
    <t>021480-9</t>
  </si>
  <si>
    <t>Sprinter 314 Truck Longo T.B. 2.2 Dies.</t>
  </si>
  <si>
    <t>021474-4</t>
  </si>
  <si>
    <t>Sprinter 315 Furg.Str. E.L.T.A. 2.0 Dies</t>
  </si>
  <si>
    <t>021477-9</t>
  </si>
  <si>
    <t>Sprinter 315 Furgão Str. L T.A 2.0 Dies.</t>
  </si>
  <si>
    <t>021476-0</t>
  </si>
  <si>
    <t>Sprinter 315 Furgão Str. L T.B 2.0 Dies.</t>
  </si>
  <si>
    <t>021475-2</t>
  </si>
  <si>
    <t>Sprinter 315 Furgão Str.Curto 2.0 Dies.</t>
  </si>
  <si>
    <t>021478-7</t>
  </si>
  <si>
    <t>Sprinter 315 Truck E.Longo T.B 2.0 Dies.</t>
  </si>
  <si>
    <t>021479-5</t>
  </si>
  <si>
    <t>Sprinter 315 Truck Longo T.B 2.0 Dies.</t>
  </si>
  <si>
    <t>021553-8</t>
  </si>
  <si>
    <t>Sprinter 317 Chassi E.Longo 2.0 Diesel</t>
  </si>
  <si>
    <t>021555-4</t>
  </si>
  <si>
    <t>Sprinter 317 Chassi Longo 2.0 Diesel</t>
  </si>
  <si>
    <t>021551-1</t>
  </si>
  <si>
    <t>Sprinter 317 Furgão E.LT.A. 2.0 Dies.</t>
  </si>
  <si>
    <t>021552-0</t>
  </si>
  <si>
    <t>Sprinter 317 Furgão Longo T.A. 2.0 Dies.</t>
  </si>
  <si>
    <t>021550-3</t>
  </si>
  <si>
    <t>Sprinter 317 Furgão Longo T.B. 2.0 Dies.</t>
  </si>
  <si>
    <t>021488-4</t>
  </si>
  <si>
    <t>Sprinter 417 Chassi L.T.B. Dies. (E6)</t>
  </si>
  <si>
    <t>021492-2</t>
  </si>
  <si>
    <t>Sprinter 417 F. Vidrado L.T.A. Die. (E6)</t>
  </si>
  <si>
    <t>021490-6</t>
  </si>
  <si>
    <t>Sprinter 417 Furgão Curto T.B. Die. (E6)</t>
  </si>
  <si>
    <t>021494-9</t>
  </si>
  <si>
    <t>Sprinter 417 Furgão Ext. L.T.A Die. (E6)</t>
  </si>
  <si>
    <t>021496-5</t>
  </si>
  <si>
    <t>Sprinter 417 Furgão L.T.A. Diesel (E6)</t>
  </si>
  <si>
    <t>021493-0</t>
  </si>
  <si>
    <t>Sprinter 417 Furgão Longo T.B Die. (E6)</t>
  </si>
  <si>
    <t>021498-1</t>
  </si>
  <si>
    <t>Sprinter 417 VAN L.T.A. 10L Diesel (E6)</t>
  </si>
  <si>
    <t>021497-3</t>
  </si>
  <si>
    <t>Sprinter 417 VAN L.T.A. 16L Diesel (E6)</t>
  </si>
  <si>
    <t>021500-7</t>
  </si>
  <si>
    <t>Sprinter 417 VAN L.T.B 10L Diesel (E6)</t>
  </si>
  <si>
    <t>021499-0</t>
  </si>
  <si>
    <t>Sprinter 417 VAN L.T.B 16L Diesel( E6)</t>
  </si>
  <si>
    <t>021502-3</t>
  </si>
  <si>
    <t>Sprinter 517 Chassi E.Lon. T.B. Die.(E6)</t>
  </si>
  <si>
    <t>021501-5</t>
  </si>
  <si>
    <t>Sprinter 517 Chassi Longo T.B. Die. (E6)</t>
  </si>
  <si>
    <t>021503-1</t>
  </si>
  <si>
    <t>Sprinter 517 F. Ext. L. T.A. Die. (E6)</t>
  </si>
  <si>
    <t>021504-0</t>
  </si>
  <si>
    <t>Sprinter 517 F. Ext. L.P.T.A. Die. (E6)</t>
  </si>
  <si>
    <t>021505-8</t>
  </si>
  <si>
    <t>Sprinter 517 F.Vidr. E.L.P.T.A. Die (E6)</t>
  </si>
  <si>
    <t>021506-6</t>
  </si>
  <si>
    <t>Sprinter 517 VAN E.L.T.A. 18L Die (E6)</t>
  </si>
  <si>
    <t>071062-8</t>
  </si>
  <si>
    <t>Aceman E (Elétrico)</t>
  </si>
  <si>
    <t>071063-6</t>
  </si>
  <si>
    <t>Aceman SE (Elétrico)</t>
  </si>
  <si>
    <t>071029-6</t>
  </si>
  <si>
    <t>COOPER 1.5 Turbo 12V 3p Aut.</t>
  </si>
  <si>
    <t>071033-4</t>
  </si>
  <si>
    <t>COOPER 1.5 Turbo 12V 5p Aut.</t>
  </si>
  <si>
    <t>071002-4</t>
  </si>
  <si>
    <t>COOPER 1.6 Aut.</t>
  </si>
  <si>
    <t>071001-6</t>
  </si>
  <si>
    <t>COOPER 1.6 Mec.</t>
  </si>
  <si>
    <t>071043-1</t>
  </si>
  <si>
    <t>COOPER CABRIO 1.5 Turbo 12V Aut.</t>
  </si>
  <si>
    <t>071005-9</t>
  </si>
  <si>
    <t>COOPER CABRIO 1.6 Aut.</t>
  </si>
  <si>
    <t>071012-1</t>
  </si>
  <si>
    <t>COOPER CABRIO John Works 1.6 Mec.</t>
  </si>
  <si>
    <t>071024-5</t>
  </si>
  <si>
    <t>COOPER CABRIO John Works 1.6 Aut.</t>
  </si>
  <si>
    <t>071044-0</t>
  </si>
  <si>
    <t>COOPER CABRIO John Works 2.0 Aut.</t>
  </si>
  <si>
    <t>071006-7</t>
  </si>
  <si>
    <t>COOPER CABRIO S 1.6 Aut.</t>
  </si>
  <si>
    <t>071036-9</t>
  </si>
  <si>
    <t>COOPER CABRIO S 2.0 16V Aut.</t>
  </si>
  <si>
    <t>071020-2</t>
  </si>
  <si>
    <t>COOPER CABRIO S HIGHGATE 1.6 Aut.</t>
  </si>
  <si>
    <t>071015-6</t>
  </si>
  <si>
    <t>COOPER Clubman 1.6 Aut.</t>
  </si>
  <si>
    <t>071046-6</t>
  </si>
  <si>
    <t>COOPER Clubman John Work ALL4 2.0 Aut.</t>
  </si>
  <si>
    <t>071051-2</t>
  </si>
  <si>
    <t>COOPER COU. SE SHAD. ED. ALL4 1.5 (Híb.)</t>
  </si>
  <si>
    <t>071067-9</t>
  </si>
  <si>
    <t>COOPER Country. John W. ALL4 Exclu. 2.0 TB. Aut.</t>
  </si>
  <si>
    <t>071027-0</t>
  </si>
  <si>
    <t>COOPER Country. John Works ALL4 1.6 Aut.</t>
  </si>
  <si>
    <t>071041-5</t>
  </si>
  <si>
    <t>COOPER Country. John Works ALL4 2.0 Aut.</t>
  </si>
  <si>
    <t>071058-0</t>
  </si>
  <si>
    <t>COOPER Country. SE ALL4 Excl. (Elétrico)</t>
  </si>
  <si>
    <t>071059-8</t>
  </si>
  <si>
    <t>COOPER Country. SE ALL4 Top (Elétrico)</t>
  </si>
  <si>
    <t>071037-7</t>
  </si>
  <si>
    <t>COOPER Countryman 1.5 Turbo Aut.</t>
  </si>
  <si>
    <t>071010-5</t>
  </si>
  <si>
    <t>COOPER Countryman 1.6 Aut.</t>
  </si>
  <si>
    <t>071064-4</t>
  </si>
  <si>
    <t>COOPER Countryman ALL4 2.0 Turbo Aut.</t>
  </si>
  <si>
    <t>071009-1</t>
  </si>
  <si>
    <t>COOPER Countryman S 1.6 Aut.</t>
  </si>
  <si>
    <t>071038-5</t>
  </si>
  <si>
    <t>COOPER Countryman S 2.0 Turbo Aut.</t>
  </si>
  <si>
    <t>071007-5</t>
  </si>
  <si>
    <t>COOPER Countryman S ALL4 1.6 Aut.</t>
  </si>
  <si>
    <t>071039-3</t>
  </si>
  <si>
    <t>COOPER Countryman S ALL4 2.0 Turbo Aut.</t>
  </si>
  <si>
    <t>071045-8</t>
  </si>
  <si>
    <t>COOPER Countryman S E ALL4 1.5 (Híb.)</t>
  </si>
  <si>
    <t>071013-0</t>
  </si>
  <si>
    <t>COOPER COUPE 1.6 Aut.</t>
  </si>
  <si>
    <t>071022-9</t>
  </si>
  <si>
    <t>COOPER COUPE John Works 1.6</t>
  </si>
  <si>
    <t>071014-8</t>
  </si>
  <si>
    <t>COOPER COUPE S 1.6 Aut.</t>
  </si>
  <si>
    <t>071060-1</t>
  </si>
  <si>
    <t>COOPER E 3p (Elétrico)</t>
  </si>
  <si>
    <t>071021-0</t>
  </si>
  <si>
    <t>COOPER John Works 1.6 Aut.</t>
  </si>
  <si>
    <t>071008-3</t>
  </si>
  <si>
    <t>COOPER John Works 1.6 Mec.</t>
  </si>
  <si>
    <t>071034-2</t>
  </si>
  <si>
    <t>COOPER John Works 2.0 Turbo 3p Aut.</t>
  </si>
  <si>
    <t>071056-3</t>
  </si>
  <si>
    <t>COOPER John Works 25K Edit. 2.0 Turbo 3p</t>
  </si>
  <si>
    <t>071065-2</t>
  </si>
  <si>
    <t>COOPER John Works Aceman E 5p</t>
  </si>
  <si>
    <t>071066-0</t>
  </si>
  <si>
    <t>COOPER John Works E 3p</t>
  </si>
  <si>
    <t>071047-4</t>
  </si>
  <si>
    <t>COOPER John Works GP3 2.0 Turbo 3p Aut.</t>
  </si>
  <si>
    <t>071053-9</t>
  </si>
  <si>
    <t>COOPER John.W.Pat.Moss 2.0 Turbo 3p Aut.</t>
  </si>
  <si>
    <t>071019-9</t>
  </si>
  <si>
    <t>COOPER PACEMAN S 1.6 16V 184cv Aut.</t>
  </si>
  <si>
    <t>071026-1</t>
  </si>
  <si>
    <t>COOPER PACEMAN S ALL4 1.6 16V Aut.</t>
  </si>
  <si>
    <t>071028-8</t>
  </si>
  <si>
    <t>COOPER PACEMAN S John Works ALL4 1.6 Aut</t>
  </si>
  <si>
    <t>071017-2</t>
  </si>
  <si>
    <t>COOPER ROADSTER 1.6 Aut.</t>
  </si>
  <si>
    <t>071023-7</t>
  </si>
  <si>
    <t>COOPER ROADSTER John Works 1.6 Aut.</t>
  </si>
  <si>
    <t>071018-0</t>
  </si>
  <si>
    <t>COOPER ROADSTER S 1.6 Aut.</t>
  </si>
  <si>
    <t>071003-2</t>
  </si>
  <si>
    <t>COOPER S 1.6 Aut.</t>
  </si>
  <si>
    <t>071030-0</t>
  </si>
  <si>
    <t>COOPER S 2.0 Turbo 16v 3p Aut.</t>
  </si>
  <si>
    <t>071031-8</t>
  </si>
  <si>
    <t>COOPER S 2.0 Turbo 16V 3p Mec.</t>
  </si>
  <si>
    <t>071032-6</t>
  </si>
  <si>
    <t>COOPER S 2.0 Turbo 16V 5p Aut.</t>
  </si>
  <si>
    <t>071025-3</t>
  </si>
  <si>
    <t>COOPER S BAYSWATER 1.6 Aut.</t>
  </si>
  <si>
    <t>071004-0</t>
  </si>
  <si>
    <t>COOPER S Clubman 1.6 Aut.</t>
  </si>
  <si>
    <t>071035-0</t>
  </si>
  <si>
    <t>COOPER S Clubman 2.0 Aut.</t>
  </si>
  <si>
    <t>071057-1</t>
  </si>
  <si>
    <t>COOPER S Mayfield Edition 2.0 TB. 3p Aut</t>
  </si>
  <si>
    <t>071040-7</t>
  </si>
  <si>
    <t>COOPER S SEVEN 2.0 TURBO 16V 3p Aut.</t>
  </si>
  <si>
    <t>071061-0</t>
  </si>
  <si>
    <t>COOPER SE 3p (Elétrico)</t>
  </si>
  <si>
    <t>071049-0</t>
  </si>
  <si>
    <t>COOPER SE Exclusive 3p (Elétrico)</t>
  </si>
  <si>
    <t>071055-5</t>
  </si>
  <si>
    <t>COOPER SE Multitone Edit. 3p (Elétrico)</t>
  </si>
  <si>
    <t>071052-0</t>
  </si>
  <si>
    <t>COOPER SE Resolute Edition 3p (Elétrico)</t>
  </si>
  <si>
    <t>071054-7</t>
  </si>
  <si>
    <t>COOPER SE Sport 3p (Elétrico)</t>
  </si>
  <si>
    <t>071048-2</t>
  </si>
  <si>
    <t>COOPER SE Top 3p (Elétrico)</t>
  </si>
  <si>
    <t>071050-4</t>
  </si>
  <si>
    <t>COOPER SE Top Collection 3p (Elétrico)</t>
  </si>
  <si>
    <t>071042-3</t>
  </si>
  <si>
    <t>ONE 1.2 12V Turbo 2p Mec.</t>
  </si>
  <si>
    <t>071011-3</t>
  </si>
  <si>
    <t>ONE 1.6 Mec.</t>
  </si>
  <si>
    <t>071016-4</t>
  </si>
  <si>
    <t>ONE 1.6 Aut.</t>
  </si>
  <si>
    <t>MINI</t>
  </si>
  <si>
    <t>022205-4</t>
  </si>
  <si>
    <t>Eclipse Cross GLS RUSH 1.5 16V TB 165cv Aut</t>
  </si>
  <si>
    <t>022218-6</t>
  </si>
  <si>
    <t>Eclipse Cross HPE Black 1.5 16V TB 165cv Aut.</t>
  </si>
  <si>
    <t>022217-8</t>
  </si>
  <si>
    <t>Eclipse Cross HPE-S Black 1.5 16V AWC TB 165cv Aut</t>
  </si>
  <si>
    <t>022211-9</t>
  </si>
  <si>
    <t>Eclipse Cross HPE-S MTSp. 1.5 16V AWC TB 165cv Aut</t>
  </si>
  <si>
    <t>022216-0</t>
  </si>
  <si>
    <t>Eclipse Cross RUSH 1.5 16V TB 165cv Aut.</t>
  </si>
  <si>
    <t>022223-2</t>
  </si>
  <si>
    <t>Eclipse Cross Tarmac 1.5 16V TB 165cv Aut.</t>
  </si>
  <si>
    <t>022210-0</t>
  </si>
  <si>
    <t>L200 Tri. S. Outd. Plus 2.4 4x4 Die. Aut</t>
  </si>
  <si>
    <t>022208-9</t>
  </si>
  <si>
    <t>L200 Tri. S.Terra HPE-S 2.4 4x4 Die. Aut</t>
  </si>
  <si>
    <t>022207-0</t>
  </si>
  <si>
    <t>L200 Tri. S.Urban HPE-S 2.4 4x4 Die. Aut</t>
  </si>
  <si>
    <t>022203-8</t>
  </si>
  <si>
    <t>L200 Tri. Sav. SERTOES 2.4 CD 4x4 Dies.</t>
  </si>
  <si>
    <t>022206-2</t>
  </si>
  <si>
    <t>L200 Trit. S.Out. GLS 2.4 CD Diesel Aut.</t>
  </si>
  <si>
    <t>022219-4</t>
  </si>
  <si>
    <t>OUTLANDER HPE-S 2.4 4x4 Aut (Híbrido)</t>
  </si>
  <si>
    <t>022220-8</t>
  </si>
  <si>
    <t>OUTLANDER Signature 2.4 4x4 Aut (Híb)</t>
  </si>
  <si>
    <t>022209-7</t>
  </si>
  <si>
    <t>Pajero Sport Le.Black 2.4 4x4 (Die) Aut.</t>
  </si>
  <si>
    <t>022204-6</t>
  </si>
  <si>
    <t>Pajero Sport Legend 2.4 4x4 Diesel Aut.</t>
  </si>
  <si>
    <t>022215-1</t>
  </si>
  <si>
    <t>Triton GLS 2.4 CD 4x4 TB Diesel Aut.</t>
  </si>
  <si>
    <t>022222-4</t>
  </si>
  <si>
    <t>Triton GLS Tarmac 2.4 CD TB Aut.</t>
  </si>
  <si>
    <t>022213-5</t>
  </si>
  <si>
    <t>Triton HPE 2.4 CD 4x4 TB Diesel Aut.</t>
  </si>
  <si>
    <t>022214-3</t>
  </si>
  <si>
    <t>Triton HPE-S 2.4 CD 4x4 TB Diesel Aut.</t>
  </si>
  <si>
    <t>022212-7</t>
  </si>
  <si>
    <t>Triton Katana 2.4 CD 4x4 TB Diesel Aut.</t>
  </si>
  <si>
    <t>022221-6</t>
  </si>
  <si>
    <t>Triton SR80 2.4 CD 4x4 TB Aut.</t>
  </si>
  <si>
    <t>023185-1</t>
  </si>
  <si>
    <t>Frontier PLATI. CD 2.3 Bi-TB Dies.Aut.</t>
  </si>
  <si>
    <t>023184-3</t>
  </si>
  <si>
    <t>Frontier PRO4X CD 4x4 2.3 Bi-TB Die. Aut</t>
  </si>
  <si>
    <t>023186-0</t>
  </si>
  <si>
    <t>KICKS Active 1.6 16V Flex Aut.</t>
  </si>
  <si>
    <t>023195-9</t>
  </si>
  <si>
    <t>KICKS Advance 1.0 Turbo Flex Aut.</t>
  </si>
  <si>
    <t>023196-7</t>
  </si>
  <si>
    <t>KICKS Exclusive1.0 Turbo Flex Aut.</t>
  </si>
  <si>
    <t>023197-5</t>
  </si>
  <si>
    <t>KICKS Platinum 1.0 Turbo Flex Aut.</t>
  </si>
  <si>
    <t>023191-6</t>
  </si>
  <si>
    <t>KICKS Play Active Plus 1.6 16V Flex Aut.</t>
  </si>
  <si>
    <t>023193-2</t>
  </si>
  <si>
    <t>KICKS Play Advance Plus 1.6 16V Flex Aut</t>
  </si>
  <si>
    <t>023192-4</t>
  </si>
  <si>
    <t>KICKS Play Sense 1.6 16V Flex Aut.</t>
  </si>
  <si>
    <t>023194-0</t>
  </si>
  <si>
    <t>KICKS Sense 1.0 Turbo Flex Aut.</t>
  </si>
  <si>
    <t>023187-8</t>
  </si>
  <si>
    <t>Sentra Advance 2.0 16V Aut.</t>
  </si>
  <si>
    <t>023189-4</t>
  </si>
  <si>
    <t>Sentra Exclu. Int. Premium 2.0 16V Aut.</t>
  </si>
  <si>
    <t>023188-6</t>
  </si>
  <si>
    <t>Sentra Exclusive 2.0 16V Aut.</t>
  </si>
  <si>
    <t>023190-8</t>
  </si>
  <si>
    <t>VERSA SR 1.6 16V Flex Aut.</t>
  </si>
  <si>
    <t>024274-8</t>
  </si>
  <si>
    <t>2008 Active 1.0 Turbo Flex 5p Aut.</t>
  </si>
  <si>
    <t>024288-8</t>
  </si>
  <si>
    <t>2008 Allure 1.0 Turbo 200 5p Aut.</t>
  </si>
  <si>
    <t>024275-6</t>
  </si>
  <si>
    <t>2008 Allure 1.0 Turbo Flex 5p Aut.</t>
  </si>
  <si>
    <t>024284-5</t>
  </si>
  <si>
    <t>2008 GT 1.0 Turbo 200 5p Aut.</t>
  </si>
  <si>
    <t>024276-4</t>
  </si>
  <si>
    <t>2008 GT 1.0 Turbo Flex 5p Aut.</t>
  </si>
  <si>
    <t>024270-5</t>
  </si>
  <si>
    <t>2008 Roadtrip 1.6 Flex 16V 5p Aut.</t>
  </si>
  <si>
    <t>024266-7</t>
  </si>
  <si>
    <t>2008 Style 1.6 Turbo Flex 16V 5p Aut.</t>
  </si>
  <si>
    <t>024278-0</t>
  </si>
  <si>
    <t>208 Active 1.0 Flex 5p Mec.</t>
  </si>
  <si>
    <t>024287-0</t>
  </si>
  <si>
    <t>208 Active 1.0 Turbo 200 5p Aut.</t>
  </si>
  <si>
    <t>024286-1</t>
  </si>
  <si>
    <t>208 Allure 1.0 Turbo 200 5p Aut.</t>
  </si>
  <si>
    <t>024273-0</t>
  </si>
  <si>
    <t>208 Allure 1.0 Turbo Flex 5p Aut.</t>
  </si>
  <si>
    <t>024271-3</t>
  </si>
  <si>
    <t>208 Griffe 1.0 Turbo Flex 5p Aut.</t>
  </si>
  <si>
    <t>024285-3</t>
  </si>
  <si>
    <t>208 GT 1.0 Turbo 200 5p Aut.</t>
  </si>
  <si>
    <t>024277-2</t>
  </si>
  <si>
    <t>208 GT 1.0 Turbo Flex 5p Aut.</t>
  </si>
  <si>
    <t>024264-0</t>
  </si>
  <si>
    <t>208 Like 1.0 Flex 6V 5p Mec.</t>
  </si>
  <si>
    <t>024269-1</t>
  </si>
  <si>
    <t>208 Roadtrip 1.6 Flex 16V 5p Aut.</t>
  </si>
  <si>
    <t>024265-9</t>
  </si>
  <si>
    <t>208 Style 1.0 Flex 6V 5p Mec.</t>
  </si>
  <si>
    <t>024272-1</t>
  </si>
  <si>
    <t>208 Style 1.0 Turbo Flex 5p Aut.</t>
  </si>
  <si>
    <t>024262-4</t>
  </si>
  <si>
    <t>Boxer Cargo 2.2 Turbo Diesel</t>
  </si>
  <si>
    <t>024261-6</t>
  </si>
  <si>
    <t>Boxer Furgão 2.2 Turbo Diesel</t>
  </si>
  <si>
    <t>024280-2</t>
  </si>
  <si>
    <t>Boxer Minibus Exec. 2.2 17L Turbo Diesel</t>
  </si>
  <si>
    <t>024281-0</t>
  </si>
  <si>
    <t>Boxer Vidrado 2.2 Turbo Diesel</t>
  </si>
  <si>
    <t>024268-3</t>
  </si>
  <si>
    <t>e-2008 GT 5p Aut. ( Elétrico)</t>
  </si>
  <si>
    <t>024258-6</t>
  </si>
  <si>
    <t>E-Expert Cargo 136cv (Elétrico)</t>
  </si>
  <si>
    <t>024260-8</t>
  </si>
  <si>
    <t>Expert Cargo 1.5 Turbo Diesel</t>
  </si>
  <si>
    <t>024282-9</t>
  </si>
  <si>
    <t>Expert Cargo 2.2 Turbo Diesel</t>
  </si>
  <si>
    <t>024259-4</t>
  </si>
  <si>
    <t>Expert VITRÉ 1.5 Turbo Diesel</t>
  </si>
  <si>
    <t>024283-7</t>
  </si>
  <si>
    <t>Expert VITRÉ 2.2 Turbo Diesel</t>
  </si>
  <si>
    <t>024279-9</t>
  </si>
  <si>
    <t>Partner Rapid Busin. Pack 1.3 Flex Mec.</t>
  </si>
  <si>
    <t>024263-2</t>
  </si>
  <si>
    <t>Partner Rapid Busin. Pack 1.4 Flex Mec.</t>
  </si>
  <si>
    <t>024267-5</t>
  </si>
  <si>
    <t>Partner Rapid Busin.1.4 Flex Mec.</t>
  </si>
  <si>
    <t>083024-0</t>
  </si>
  <si>
    <t>1500 LARAM. NIGHT ED. BI-TB 3.0 4x4 Aut.</t>
  </si>
  <si>
    <t>083025-9</t>
  </si>
  <si>
    <t>1500 LARAMIE 3.0 CD BI-TB 4x4 Aut.</t>
  </si>
  <si>
    <t>083014-3</t>
  </si>
  <si>
    <t>1500 LIMITED 5.7 CD 4x4 Aut.</t>
  </si>
  <si>
    <t>083013-5</t>
  </si>
  <si>
    <t>1500 LIMITED NIGHT EDITION 5.7 4x4 Aut.</t>
  </si>
  <si>
    <t>083004-6</t>
  </si>
  <si>
    <t>1500 REBEL 5.7 HEMI CD V8 4x4 Aut.</t>
  </si>
  <si>
    <t>083006-2</t>
  </si>
  <si>
    <t>2500 LARAM. 6.7 Ed. ABQM TB CD 4X4 Die.</t>
  </si>
  <si>
    <t>083003-8</t>
  </si>
  <si>
    <t>2500 LARAM. 6.7 NIGHT ED. TB CD 4x4 Die.</t>
  </si>
  <si>
    <t>083005-4</t>
  </si>
  <si>
    <t>2500 LARAM. 6.7 RODEO ED. TB CD 4x4 Die.</t>
  </si>
  <si>
    <t>083001-1</t>
  </si>
  <si>
    <t>2500 LARAMIE 6.7 TDI CD 4x4 Diesel</t>
  </si>
  <si>
    <t>083002-0</t>
  </si>
  <si>
    <t>2500 LARAMIE TROPIV. 6.7 4x4 Diesel</t>
  </si>
  <si>
    <t>083009-7</t>
  </si>
  <si>
    <t>3500 LARAM.6.7 NIGHT ED.TB CD 4X4 Die.</t>
  </si>
  <si>
    <t>083007-0</t>
  </si>
  <si>
    <t>3500 LARAMIE 6.7 TB CD 4x4 Diesel</t>
  </si>
  <si>
    <t>083008-9</t>
  </si>
  <si>
    <t>3500 LIMITED LONGHORN 6.7 TB CD Diesel</t>
  </si>
  <si>
    <t>083012-7</t>
  </si>
  <si>
    <t>3500 YELLOWSTONE EDITION 6.7 TB CD Die.</t>
  </si>
  <si>
    <t>083010-0</t>
  </si>
  <si>
    <t>CLASSIC LARAMIE 5.7 CD V8 4X4 Aut.</t>
  </si>
  <si>
    <t>083011-9</t>
  </si>
  <si>
    <t>CLASSIC LARAMIE NIGHT ED. 5.7 4X4 Aut.</t>
  </si>
  <si>
    <t>083020-8</t>
  </si>
  <si>
    <t>CLASSIC R/T 5.7 CD V8 4X4 Aut.</t>
  </si>
  <si>
    <t>083026-7</t>
  </si>
  <si>
    <t>RAMPAGE BIG HORN 2.2 TB CD 4X4 Die Aut.</t>
  </si>
  <si>
    <t>083018-6</t>
  </si>
  <si>
    <t>RAMPAGE LAR. HURR. 4 2.0 TB CD 4X4 Aut.</t>
  </si>
  <si>
    <t>083017-8</t>
  </si>
  <si>
    <t>RAMPAGE LARAMIE 2.0 TB CD 4X4 Die. Aut.</t>
  </si>
  <si>
    <t>083021-6</t>
  </si>
  <si>
    <t>RAMPAGE LARAMIE 2.2 TB CD 4X4 Die. Aut.</t>
  </si>
  <si>
    <t>083019-4</t>
  </si>
  <si>
    <t>RAMPAGE R/T HURRIC. 4 2.0 TB CD 4X4 Aut.</t>
  </si>
  <si>
    <t>083015-1</t>
  </si>
  <si>
    <t>RAMPAGE REBEL 2.0 TB CD 4X4 Diesel Aut.</t>
  </si>
  <si>
    <t>083022-4</t>
  </si>
  <si>
    <t>RAMPAGE REBEL 2.2 TB CD 4X4 Diesel Aut.</t>
  </si>
  <si>
    <t>083016-0</t>
  </si>
  <si>
    <t>RAMPAGE REBEL HURR.4 2.0 TB CD 4X4 Aut.</t>
  </si>
  <si>
    <t>083023-2</t>
  </si>
  <si>
    <t>RAMPAGE REBEL IGNIT. 2.0 TB CD 4X4 Aut.</t>
  </si>
  <si>
    <t>025336-7</t>
  </si>
  <si>
    <t>Boreal Evolution 1.3 Turbo 16V 5p Aut.</t>
  </si>
  <si>
    <t>025338-3</t>
  </si>
  <si>
    <t>Boreal Iconic 1.3 Turbo 16V 5p Aut.</t>
  </si>
  <si>
    <t>025337-5</t>
  </si>
  <si>
    <t>Boreal Techno 1.3 Turbo 16V 5p Aut.</t>
  </si>
  <si>
    <t>OROCH</t>
  </si>
  <si>
    <t>025323-5</t>
  </si>
  <si>
    <t>DUSTER Iconic Plus 1.3 TB 16V Flex Aut.</t>
  </si>
  <si>
    <t>025324-3</t>
  </si>
  <si>
    <t>DUSTER Iconic Plus 1.6 16V Flex Aut.</t>
  </si>
  <si>
    <t>025319-7</t>
  </si>
  <si>
    <t>DUSTER Intense 1.6 16V Flex Mec.</t>
  </si>
  <si>
    <t>025322-7</t>
  </si>
  <si>
    <t>DUSTER Intense Plus 1.6 16V Flex Aut.</t>
  </si>
  <si>
    <t>025325-1</t>
  </si>
  <si>
    <t>DUSTER Intense Plus 1.6 16V Flex Mec.</t>
  </si>
  <si>
    <t>025331-6</t>
  </si>
  <si>
    <t>Kangoo Advanced 1.6 16V Flex</t>
  </si>
  <si>
    <t>025326-0</t>
  </si>
  <si>
    <t>Kangoo E-Tech Furgão (Elétrico)</t>
  </si>
  <si>
    <t>Kardian</t>
  </si>
  <si>
    <t>025317-0</t>
  </si>
  <si>
    <t>Kangoo Z.E. Maxi Furgão (Elétrico)</t>
  </si>
  <si>
    <t>025335-9</t>
  </si>
  <si>
    <t>Kardian Authentic 1.0 TB 12V 5p Aut.</t>
  </si>
  <si>
    <t>025327-8</t>
  </si>
  <si>
    <t>Kardian Evolut. Flex 1.0 TB 12V 5p Aut.</t>
  </si>
  <si>
    <t>025332-4</t>
  </si>
  <si>
    <t>Kardian Evolut. Flex 1.0 TB 12V 5p Mec.</t>
  </si>
  <si>
    <t>025334-0</t>
  </si>
  <si>
    <t>Kardian Iconic 1.0 TB 12V 5p Aut.</t>
  </si>
  <si>
    <t>025329-4</t>
  </si>
  <si>
    <t>Kardian Prem. Ed Flex 1.0 TB 12V 5p Aut.</t>
  </si>
  <si>
    <t>025328-6</t>
  </si>
  <si>
    <t>Kardian Techno Flex 1.0 TB 12V 5p Aut.</t>
  </si>
  <si>
    <t>025339-1</t>
  </si>
  <si>
    <t>KWID E-Tech Techno</t>
  </si>
  <si>
    <t>025333-2</t>
  </si>
  <si>
    <t>KWID Iconic 1.0 Flex 12V 5p Mec.</t>
  </si>
  <si>
    <t>025318-9</t>
  </si>
  <si>
    <t>KWID Intense (Elétrico)</t>
  </si>
  <si>
    <t>Kangoo</t>
  </si>
  <si>
    <t>025316-2</t>
  </si>
  <si>
    <t>Master 2.3 dCi Extra Pro 16V Diesel</t>
  </si>
  <si>
    <t>025315-4</t>
  </si>
  <si>
    <t>Master 2.3 dCi Grand Pro 16V Diesel</t>
  </si>
  <si>
    <t>025314-6</t>
  </si>
  <si>
    <t>Master 2.3 dCi Pro 16V Diesel</t>
  </si>
  <si>
    <t>025321-9</t>
  </si>
  <si>
    <t>Megane E-Tech (Elétrico)</t>
  </si>
  <si>
    <t>025330-8</t>
  </si>
  <si>
    <t>OROCH Iconic 1.6 Flex 16V Mec.</t>
  </si>
  <si>
    <t>025312-0</t>
  </si>
  <si>
    <t>OROCH Intense 1.6 Flex 16V Mec.</t>
  </si>
  <si>
    <t>025311-1</t>
  </si>
  <si>
    <t>OROCH Outsider 1.3Tce Flex Aut.</t>
  </si>
  <si>
    <t>025313-8</t>
  </si>
  <si>
    <t>OROCH Pro 1.6 Flex 16V Mec.</t>
  </si>
  <si>
    <t>025320-0</t>
  </si>
  <si>
    <t>STEPWAY Zen Flex 1.0 12V Mec.</t>
  </si>
  <si>
    <t>027073-3</t>
  </si>
  <si>
    <t>Forester 2.0 -S e-BOXER 16V Aut. (Híb.)</t>
  </si>
  <si>
    <t>027072-5</t>
  </si>
  <si>
    <t>XV 2.0 S e-Boxer 16V 4x4 Aut.</t>
  </si>
  <si>
    <t>028082-8</t>
  </si>
  <si>
    <t>Jimny Sierra 4EXPEDITION ALLGRIP 1.5 Aut</t>
  </si>
  <si>
    <t>028081-0</t>
  </si>
  <si>
    <t>Jimny Sierra 4SPORT ALLGRIP 1.5 16V Aut.</t>
  </si>
  <si>
    <t>028083-6</t>
  </si>
  <si>
    <t>Jimny Sierra 4YOU+ ALLGRIP 1.5 16V Aut.</t>
  </si>
  <si>
    <t>002209-8</t>
  </si>
  <si>
    <t>Camry XLE 2.5 16V Aut. (Híbrido)</t>
  </si>
  <si>
    <t>002208-0</t>
  </si>
  <si>
    <t>Corolla Cross GR-S 2.0 16V Flex Aut.</t>
  </si>
  <si>
    <t>002216-0</t>
  </si>
  <si>
    <t>Corolla Cross XRX 2.0 16V Flex Aut.</t>
  </si>
  <si>
    <t>002222-5</t>
  </si>
  <si>
    <t>Corolla GLi 1.8 16V Aut.</t>
  </si>
  <si>
    <t>002213-6</t>
  </si>
  <si>
    <t>Corolla GR Circuit 1.6 Turbo 4x4 Mec</t>
  </si>
  <si>
    <t>002212-8</t>
  </si>
  <si>
    <t>Corolla GR Core 1.6 Turbo 4x4 Mec</t>
  </si>
  <si>
    <t>Corolla</t>
  </si>
  <si>
    <t>Hilux</t>
  </si>
  <si>
    <t>002221-7</t>
  </si>
  <si>
    <t>Hiace Minibus DX 2.8 TDI 16L Aut.</t>
  </si>
  <si>
    <t>002218-7</t>
  </si>
  <si>
    <t>Hilux CD 4x4 2.8 Diesel Aut.</t>
  </si>
  <si>
    <t>002211-0</t>
  </si>
  <si>
    <t>Hilux CD Conquest 4x4 2.8 Die.Aut</t>
  </si>
  <si>
    <t>002210-1</t>
  </si>
  <si>
    <t>Hilux CD SRX Limited 4x4 2.8 TDI Die.Aut</t>
  </si>
  <si>
    <t>002215-2</t>
  </si>
  <si>
    <t>Hilux CD SRX Plus 4x4 2.8 TDI Die. Aut.</t>
  </si>
  <si>
    <t>002219-5</t>
  </si>
  <si>
    <t>Hilux Chassi 4x4 2.8 TDI Diesel Aut.</t>
  </si>
  <si>
    <t>002220-9</t>
  </si>
  <si>
    <t>Hilux CS 4x4 2.8 TDI Diesel Aut.</t>
  </si>
  <si>
    <t>002214-4</t>
  </si>
  <si>
    <t>Hilux SW4 SRX Plat. 4x4 2.8 TB Die. Aut.</t>
  </si>
  <si>
    <t>002217-9</t>
  </si>
  <si>
    <t>RAV4 2.5 XSE 4x4 Aut. (Híbrido)</t>
  </si>
  <si>
    <t>029029-7</t>
  </si>
  <si>
    <t>440 Turbo 1.8</t>
  </si>
  <si>
    <t>029001-7</t>
  </si>
  <si>
    <t>460 GLT 2.0/ Turbo 1.8</t>
  </si>
  <si>
    <t>029023-8</t>
  </si>
  <si>
    <t>850 GLE 2.5 20V</t>
  </si>
  <si>
    <t>029024-6</t>
  </si>
  <si>
    <t>850 GLE SW 20V</t>
  </si>
  <si>
    <t>029025-4</t>
  </si>
  <si>
    <t>850 GLT 2.5 20V</t>
  </si>
  <si>
    <t>029031-9</t>
  </si>
  <si>
    <t>850 GLT SW 2.5 20V</t>
  </si>
  <si>
    <t>029032-7</t>
  </si>
  <si>
    <t>850 R SW 2.3 Turbo</t>
  </si>
  <si>
    <t>029002-5</t>
  </si>
  <si>
    <t>850 Sedan</t>
  </si>
  <si>
    <t>029003-3</t>
  </si>
  <si>
    <t>850 T-5 SW 2.5 BI-Turbo/ 2.3 Turbo</t>
  </si>
  <si>
    <t>029026-2</t>
  </si>
  <si>
    <t>850 TURBO 20V/ R Turbo 2.3</t>
  </si>
  <si>
    <t>029033-5</t>
  </si>
  <si>
    <t>940 Turbo/ SW Turbo 3.0</t>
  </si>
  <si>
    <t>029004-1</t>
  </si>
  <si>
    <t>960 Sedan</t>
  </si>
  <si>
    <t>029072-6</t>
  </si>
  <si>
    <t>C30 2.0 145cv</t>
  </si>
  <si>
    <t>029073-4</t>
  </si>
  <si>
    <t>C30 2.4 170cv Aut</t>
  </si>
  <si>
    <t>029074-2</t>
  </si>
  <si>
    <t>C30 T-5 2.5 220/ 230cv Aut.</t>
  </si>
  <si>
    <t>029075-0</t>
  </si>
  <si>
    <t>C30 T-5 2.5 230cv Mec.</t>
  </si>
  <si>
    <t>029080-7</t>
  </si>
  <si>
    <t>C30 T-5 R-DESIGN 2.5 230cv Aut.</t>
  </si>
  <si>
    <t>029152-8</t>
  </si>
  <si>
    <t>C40 Pure (Elétrico)</t>
  </si>
  <si>
    <t>029163-3</t>
  </si>
  <si>
    <t>C40 Recharge Plus (Elétrico)</t>
  </si>
  <si>
    <t>029160-9</t>
  </si>
  <si>
    <t>C40 Twin Ultimate (Elétrico)</t>
  </si>
  <si>
    <t>029027-0</t>
  </si>
  <si>
    <t>C70 Cabriolet</t>
  </si>
  <si>
    <t>029007-6</t>
  </si>
  <si>
    <t>C70 Cupê</t>
  </si>
  <si>
    <t>029178-1</t>
  </si>
  <si>
    <t>EC40 Black Edition Ultra AWD P8</t>
  </si>
  <si>
    <t>029174-9</t>
  </si>
  <si>
    <t>EC40 Plus P6 (Elétrico)</t>
  </si>
  <si>
    <t>029170-6</t>
  </si>
  <si>
    <t>EC40 Ultra AWD P8 (Elétrico)</t>
  </si>
  <si>
    <t>029164-1</t>
  </si>
  <si>
    <t>EX30 E40 Core (Elétrico)</t>
  </si>
  <si>
    <t>029165-0</t>
  </si>
  <si>
    <t>EX30 E60 Core (Elétrico)</t>
  </si>
  <si>
    <t>029179-0</t>
  </si>
  <si>
    <t>EX30 E60 Cross Country AWD</t>
  </si>
  <si>
    <t>029166-8</t>
  </si>
  <si>
    <t>EX30 E60 Plus (Elétrico)</t>
  </si>
  <si>
    <t>029167-6</t>
  </si>
  <si>
    <t>EX30 E60 Ultra (Elétrico)</t>
  </si>
  <si>
    <t>029177-3</t>
  </si>
  <si>
    <t>EX40 Black Edition Ultra AWD P8</t>
  </si>
  <si>
    <t>029175-7</t>
  </si>
  <si>
    <t>EX40 Plus P6 (Elétrico)</t>
  </si>
  <si>
    <t>029171-4</t>
  </si>
  <si>
    <t>EX40 Ultra P8 AWD (Elétrico)</t>
  </si>
  <si>
    <t>029176-5</t>
  </si>
  <si>
    <t>EX90 Twin Ultra AWD (Elétrico)</t>
  </si>
  <si>
    <t>029005-0</t>
  </si>
  <si>
    <t>S40 1.8 Aut.</t>
  </si>
  <si>
    <t>029034-3</t>
  </si>
  <si>
    <t>S40 1.8 Mec.</t>
  </si>
  <si>
    <t>029043-2</t>
  </si>
  <si>
    <t>S40 2.0 Aut.</t>
  </si>
  <si>
    <t>029011-4</t>
  </si>
  <si>
    <t>S40 2.0 Mec.</t>
  </si>
  <si>
    <t>029012-2</t>
  </si>
  <si>
    <t>S40 2.0 T</t>
  </si>
  <si>
    <t>029069-6</t>
  </si>
  <si>
    <t>S40 2.4 140cv Aut.</t>
  </si>
  <si>
    <t>029065-3</t>
  </si>
  <si>
    <t>S40 2.4 170cv Aut.</t>
  </si>
  <si>
    <t>029042-4</t>
  </si>
  <si>
    <t>S40 T 2.0 Turbo Aut.</t>
  </si>
  <si>
    <t>029013-0</t>
  </si>
  <si>
    <t>S40 T-4</t>
  </si>
  <si>
    <t>029048-3</t>
  </si>
  <si>
    <t>S40 T-4 ARM Aut.</t>
  </si>
  <si>
    <t>029050-5</t>
  </si>
  <si>
    <t>S40 T-4 ARM Mec.</t>
  </si>
  <si>
    <t>029061-0</t>
  </si>
  <si>
    <t>S40 T-5 2.5 220/230cv Aut.</t>
  </si>
  <si>
    <t>029060-2</t>
  </si>
  <si>
    <t>S60 R 2.5 300cv Aut.</t>
  </si>
  <si>
    <t>029063-7</t>
  </si>
  <si>
    <t>S60 R 2.5 300cv Mec.</t>
  </si>
  <si>
    <t>029057-2</t>
  </si>
  <si>
    <t>S60 T 2.0 4p</t>
  </si>
  <si>
    <t>029054-8</t>
  </si>
  <si>
    <t>S60 T 2.4/ 2.5</t>
  </si>
  <si>
    <t>029082-3</t>
  </si>
  <si>
    <t>S60 T-4 1.6 180cv 4p</t>
  </si>
  <si>
    <t>029114-5</t>
  </si>
  <si>
    <t>S60 T-4 KINETIC 2.0 190cv 4p</t>
  </si>
  <si>
    <t>029115-3</t>
  </si>
  <si>
    <t>S60 T-4 MOMENTUM 2.0 190cv 4p</t>
  </si>
  <si>
    <t>029083-1</t>
  </si>
  <si>
    <t>S60 T-5 2.0 240cv 4p</t>
  </si>
  <si>
    <t>029053-0</t>
  </si>
  <si>
    <t>S60 T-5 2.3</t>
  </si>
  <si>
    <t>029136-6</t>
  </si>
  <si>
    <t>S60 T-5 INSCRIPTION 2.0 254cv 4p</t>
  </si>
  <si>
    <t>029094-7</t>
  </si>
  <si>
    <t>S60 T-5 KINETIC 2.0 245cv 4p</t>
  </si>
  <si>
    <t>029093-9</t>
  </si>
  <si>
    <t>S60 T-5 MOMENTUM 2.0 245cv 4p</t>
  </si>
  <si>
    <t>029090-4</t>
  </si>
  <si>
    <t>S60 T-5 R-DESIGN 2.0 240cv 4p</t>
  </si>
  <si>
    <t>029084-0</t>
  </si>
  <si>
    <t>S60 T-6 3.0 304cv AWD 4p</t>
  </si>
  <si>
    <t>EX30</t>
  </si>
  <si>
    <t>C40</t>
  </si>
  <si>
    <t>S80</t>
  </si>
  <si>
    <t>S60</t>
  </si>
  <si>
    <t>029105-6</t>
  </si>
  <si>
    <t>S60 T-6 R-DESIGN 2.0 306cv FWD 4p</t>
  </si>
  <si>
    <t>029086-6</t>
  </si>
  <si>
    <t>S60 T-6 R-DESIGN 3.0 AWD 4p</t>
  </si>
  <si>
    <t>029135-8</t>
  </si>
  <si>
    <t>S60 T-8 R-DESIGN 2.0 407cv (Híbrido)</t>
  </si>
  <si>
    <t>029138-2</t>
  </si>
  <si>
    <t>S60 T8 POLESTAR 2.0 (Híbrido)</t>
  </si>
  <si>
    <t>029014-9</t>
  </si>
  <si>
    <t>S70 2.5</t>
  </si>
  <si>
    <t>029037-8</t>
  </si>
  <si>
    <t>S70 2.5 Aut.</t>
  </si>
  <si>
    <t>029008-4</t>
  </si>
  <si>
    <t>S70 R</t>
  </si>
  <si>
    <t>029038-6</t>
  </si>
  <si>
    <t>S70 R Aut.</t>
  </si>
  <si>
    <t>029015-7</t>
  </si>
  <si>
    <t>S70 T-5 2.3</t>
  </si>
  <si>
    <t>029016-5</t>
  </si>
  <si>
    <t>S80 2.9</t>
  </si>
  <si>
    <t>029046-7</t>
  </si>
  <si>
    <t>S80 2.9 ARM</t>
  </si>
  <si>
    <t>029070-0</t>
  </si>
  <si>
    <t>S80 3.2 238cv Aut.</t>
  </si>
  <si>
    <t>029071-8</t>
  </si>
  <si>
    <t>S80 4.4 V8 315cv AWD Aut.</t>
  </si>
  <si>
    <t>029055-6</t>
  </si>
  <si>
    <t>S80 T-6 Executive 2.8</t>
  </si>
  <si>
    <t>029056-4</t>
  </si>
  <si>
    <t>S80 T-6 Executive ARM 2.8 24v</t>
  </si>
  <si>
    <t>029009-2</t>
  </si>
  <si>
    <t>S80 T6 2.8 BI-Turbo</t>
  </si>
  <si>
    <t>029047-5</t>
  </si>
  <si>
    <t>S80 T6 2.8 BI-Turbo ARM</t>
  </si>
  <si>
    <t>029132-3</t>
  </si>
  <si>
    <t>S90 T-8 INSCRIPT 2.0 AWD (Híbrido)</t>
  </si>
  <si>
    <t>029006-8</t>
  </si>
  <si>
    <t>V40 1.8 Aut.</t>
  </si>
  <si>
    <t>029035-1</t>
  </si>
  <si>
    <t>V40 1.8 Mec.</t>
  </si>
  <si>
    <t>029017-3</t>
  </si>
  <si>
    <t>V40 2.0</t>
  </si>
  <si>
    <t>029040-8</t>
  </si>
  <si>
    <t>V40 2.0 Aut.</t>
  </si>
  <si>
    <t>029028-9</t>
  </si>
  <si>
    <t>V40 2.0 Turbo</t>
  </si>
  <si>
    <t>029103-0</t>
  </si>
  <si>
    <t>V40 T-3 KINETIC 1.5 Aut.</t>
  </si>
  <si>
    <t>029019-0</t>
  </si>
  <si>
    <t>V40 T-4</t>
  </si>
  <si>
    <t>029039-4</t>
  </si>
  <si>
    <t>V40 T-4 2.0 Aut./Mec.</t>
  </si>
  <si>
    <t>029049-1</t>
  </si>
  <si>
    <t>V40 T-4 ARM Aut.</t>
  </si>
  <si>
    <t>029112-9</t>
  </si>
  <si>
    <t>V40 T-4 Cross Country 2.0 FWD Aut.</t>
  </si>
  <si>
    <t>029111-0</t>
  </si>
  <si>
    <t>V40 T-4 KINETIC 2.0 Aut.</t>
  </si>
  <si>
    <t>029106-4</t>
  </si>
  <si>
    <t>V40 T-4 MOMENTUM 2.0 Aut.</t>
  </si>
  <si>
    <t>029092-0</t>
  </si>
  <si>
    <t>V40 T-5 Cross Country 2.0 Awd Aut.</t>
  </si>
  <si>
    <t>029091-2</t>
  </si>
  <si>
    <t>V40 T-5 R-DESIGN 2.0 Aut.</t>
  </si>
  <si>
    <t>029077-7</t>
  </si>
  <si>
    <t>V50 2.4 20V 140cv Aut.</t>
  </si>
  <si>
    <t>029066-1</t>
  </si>
  <si>
    <t>V50 2.4 20V 170cv Aut.</t>
  </si>
  <si>
    <t>029062-9</t>
  </si>
  <si>
    <t>V50 T-5 2.5 220cv Aut.</t>
  </si>
  <si>
    <t>029116-1</t>
  </si>
  <si>
    <t>V60 T-4 KINETIC 2.0 190cv 5p</t>
  </si>
  <si>
    <t>029113-7</t>
  </si>
  <si>
    <t>V60 T-4 MOMENTUM 2.0 190cv 5p</t>
  </si>
  <si>
    <t>029096-3</t>
  </si>
  <si>
    <t>V60 T-5 KINETIC 2.0 245cv 5p</t>
  </si>
  <si>
    <t>029095-5</t>
  </si>
  <si>
    <t>V60 T-5 MOMENTUM 2.0 5p</t>
  </si>
  <si>
    <t>029088-2</t>
  </si>
  <si>
    <t>V60 T-5 R-DESIGN 2.0 5p</t>
  </si>
  <si>
    <t>029107-2</t>
  </si>
  <si>
    <t>V60 T-6 R-DESIGN 2.0 FWD 4p</t>
  </si>
  <si>
    <t>029089-0</t>
  </si>
  <si>
    <t>V60 T-6 R-DESIGN 3.0 AWD 4p</t>
  </si>
  <si>
    <t>029020-3</t>
  </si>
  <si>
    <t>V70 2.5</t>
  </si>
  <si>
    <t>029052-1</t>
  </si>
  <si>
    <t>V70 Cross Country 2.4</t>
  </si>
  <si>
    <t>029010-6</t>
  </si>
  <si>
    <t>V70 R 2.5 300cv AWD Aut.</t>
  </si>
  <si>
    <t>029064-5</t>
  </si>
  <si>
    <t>V70 R 2.5 300cv AWD Mec.</t>
  </si>
  <si>
    <t>029058-0</t>
  </si>
  <si>
    <t>V70 T 2.0 20v 180cv 4p Aut.</t>
  </si>
  <si>
    <t>029044-0</t>
  </si>
  <si>
    <t>V70 T 2.4</t>
  </si>
  <si>
    <t>029045-9</t>
  </si>
  <si>
    <t>V70 T 2.4/ 2.5 Premium</t>
  </si>
  <si>
    <t>029022-0</t>
  </si>
  <si>
    <t>V70 T5 2.3</t>
  </si>
  <si>
    <t>029021-1</t>
  </si>
  <si>
    <t>V70 XC/ XC 70</t>
  </si>
  <si>
    <t>029147-1</t>
  </si>
  <si>
    <t>XC 40 Pure (Elétrico)</t>
  </si>
  <si>
    <t>029162-5</t>
  </si>
  <si>
    <t>XC 40 Recharge Plus (Elétrico)</t>
  </si>
  <si>
    <t>029128-5</t>
  </si>
  <si>
    <t>XC 40 T-4 2.0 190cv FWD</t>
  </si>
  <si>
    <t>029142-0</t>
  </si>
  <si>
    <t>XC 40 T-4 INSCRIPTION 2.0 190cv FWD</t>
  </si>
  <si>
    <t>029144-7</t>
  </si>
  <si>
    <t>XC 40 T-4 MOMENTUM 2.0 190cv FWD</t>
  </si>
  <si>
    <t>029148-0</t>
  </si>
  <si>
    <t>XC 40 T-5 INSC. EXPRE. 1.5 FWD (Híbrido)</t>
  </si>
  <si>
    <t>029146-3</t>
  </si>
  <si>
    <t>XC 40 T-5 INSCRIPTION 1.5 FWD (Híbrido)</t>
  </si>
  <si>
    <t>029124-2</t>
  </si>
  <si>
    <t>XC 40 T-5 MOMENT FIRST ED. 2.0 252cv AWD</t>
  </si>
  <si>
    <t>029145-5</t>
  </si>
  <si>
    <t>XC 40 T-5 MOMENTUM 1.5 FWD (Híbrido)</t>
  </si>
  <si>
    <t>029126-9</t>
  </si>
  <si>
    <t>XC 40 T-5 MOMENTUM 2.0 252cv AWD</t>
  </si>
  <si>
    <t>029143-9</t>
  </si>
  <si>
    <t>XC 40 T-5 R-DESIGN 1.5 FWD (Híbrido)</t>
  </si>
  <si>
    <t>029127-7</t>
  </si>
  <si>
    <t>XC 40 T-5 R-DESIGN 2.0 252cv AWD</t>
  </si>
  <si>
    <t>029125-0</t>
  </si>
  <si>
    <t>XC 40 T-5 R-DESIGN FIR. ED 2.0 252cv AWD</t>
  </si>
  <si>
    <t>029137-4</t>
  </si>
  <si>
    <t>XC 40 T-5 R-DESIGN SPE. ED 2.0 252cv AWD</t>
  </si>
  <si>
    <t>029161-7</t>
  </si>
  <si>
    <t>XC 40 Twin Ultimate (Elétrico)</t>
  </si>
  <si>
    <t>029085-8</t>
  </si>
  <si>
    <t>XC 60 2.0 T5 5p</t>
  </si>
  <si>
    <t>029078-5</t>
  </si>
  <si>
    <t>XC 60 3.0 AWD 5p</t>
  </si>
  <si>
    <t>029131-5</t>
  </si>
  <si>
    <t>XC 60 D-5 INSCRIPT 2.0 AWD Diesel 5p</t>
  </si>
  <si>
    <t>029109-9</t>
  </si>
  <si>
    <t>XC 60 D-5 KINETIC 2.4 AWD Diesel 5p</t>
  </si>
  <si>
    <t>029129-3</t>
  </si>
  <si>
    <t>XC 60 D-5 MOMENTUM 2.0 AWD Diesel 5p</t>
  </si>
  <si>
    <t>029108-0</t>
  </si>
  <si>
    <t>XC 60 D-5 MOMENTUM 2.4 AWD Diesel 5p</t>
  </si>
  <si>
    <t>029079-3</t>
  </si>
  <si>
    <t>XC 60 R-DESIGN 3.0 304cv AWD 5p</t>
  </si>
  <si>
    <t>029110-2</t>
  </si>
  <si>
    <t>XC 60 T-5 INSCRIPTION 2.0 245 cv FWD 5p</t>
  </si>
  <si>
    <t>029123-4</t>
  </si>
  <si>
    <t>XC 60 T-5 INSCRIPTION 2.0 AWD 5p</t>
  </si>
  <si>
    <t>029102-1</t>
  </si>
  <si>
    <t>XC 60 T-5 KINETIC 2.0 245cv FWD 5p</t>
  </si>
  <si>
    <t>029104-8</t>
  </si>
  <si>
    <t>XC 60 T-5 MOMENTUM 2.0 245cv FWD 5p</t>
  </si>
  <si>
    <t>029121-8</t>
  </si>
  <si>
    <t>XC 60 T-5 MOMENTUM 2.0 254cv AWD 5p</t>
  </si>
  <si>
    <t>029122-6</t>
  </si>
  <si>
    <t>XC 60 T-5 R-DESIGN 2.0 AWD 5p</t>
  </si>
  <si>
    <t>029087-4</t>
  </si>
  <si>
    <t>XC 60 T-5 R-DESIGN 2.0 FWD 5p</t>
  </si>
  <si>
    <t>029101-3</t>
  </si>
  <si>
    <t>XC 60 T-6 R-DESIGN 2.0 306cv FWD 5p</t>
  </si>
  <si>
    <t>029097-1</t>
  </si>
  <si>
    <t>XC 60 T-6 INSCRIPTION 2.0 FWD 5p</t>
  </si>
  <si>
    <t>029151-0</t>
  </si>
  <si>
    <t>XC 60 T-8 INSC. EXPRESS. 2.0 (Híbrido)</t>
  </si>
  <si>
    <t>029133-1</t>
  </si>
  <si>
    <t>XC 60 T-8 INSCRIPTION 2.0 (Híbrido)</t>
  </si>
  <si>
    <t>029141-2</t>
  </si>
  <si>
    <t>XC 60 T-8 MOMENTUM 2.0 (Híbrido)</t>
  </si>
  <si>
    <t>029159-5</t>
  </si>
  <si>
    <t>XC 60 T-8 Plus 2.0 AWD (Híbrido)</t>
  </si>
  <si>
    <t>029156-0</t>
  </si>
  <si>
    <t>XC 60 T-8 Pol. Eng. 2.0 AWD (Híbrido)</t>
  </si>
  <si>
    <t>029139-0</t>
  </si>
  <si>
    <t>XC 60 T-8 POLESTAR 2.0 (Híbrido)</t>
  </si>
  <si>
    <t>029130-7</t>
  </si>
  <si>
    <t>XC 60 T-8 R-DESIGN 2.0 (Híbrido)</t>
  </si>
  <si>
    <t>029157-9</t>
  </si>
  <si>
    <t>XC 60 T-8 Ultim.Dark 2.0 AWD (Híbrido)</t>
  </si>
  <si>
    <t>029158-7</t>
  </si>
  <si>
    <t>XC 60 T-8 Ultimate 2.0 AWD (Híbrido)</t>
  </si>
  <si>
    <t>029172-2</t>
  </si>
  <si>
    <t>XC 60 T-8 Ultra 2.0 AWD (Híbrido)</t>
  </si>
  <si>
    <t>029173-0</t>
  </si>
  <si>
    <t>XC 60 T-8 Ultra Dark 2.0 AWD (Híbrido)</t>
  </si>
  <si>
    <t>029067-0</t>
  </si>
  <si>
    <t>XC 90 2.5T 210cv AWD 5p</t>
  </si>
  <si>
    <t>029076-9</t>
  </si>
  <si>
    <t>XC 90 3.2 238cv AWD 5p</t>
  </si>
  <si>
    <t>029068-8</t>
  </si>
  <si>
    <t>XC 90 4.4 V8 315cv AWD 5p</t>
  </si>
  <si>
    <t>029118-8</t>
  </si>
  <si>
    <t>XC 90 D-5 INSCRIPTION 2.0 235cv Dies. 5p</t>
  </si>
  <si>
    <t>029117-0</t>
  </si>
  <si>
    <t>XC 90 D-5 MOMENTUM 2.0 235cv Diesel 5p</t>
  </si>
  <si>
    <t>029100-5</t>
  </si>
  <si>
    <t>XC 90 T-6 FIRST EDITION 2.0 320cv 5p</t>
  </si>
  <si>
    <t>029099-8</t>
  </si>
  <si>
    <t>XC 90 T-6 INSCRIPTION 2.0 320CV 5p</t>
  </si>
  <si>
    <t>029098-0</t>
  </si>
  <si>
    <t>XC 90 T-6 MOMENTUM 2.0 320cv 5P</t>
  </si>
  <si>
    <t>029120-0</t>
  </si>
  <si>
    <t>XC 90 T-8 EXCELLENCE 2.0 (Híbrido)</t>
  </si>
  <si>
    <t>029150-1</t>
  </si>
  <si>
    <t>XC 90 T-8 INSC. EXPRESS. 2.0 (Híbrido)</t>
  </si>
  <si>
    <t>029119-6</t>
  </si>
  <si>
    <t>XC 90 T-8 INSCRIPT 2.0 (Híbrido)</t>
  </si>
  <si>
    <t>029140-4</t>
  </si>
  <si>
    <t>XC 90 T-8 MOMENTUM 2.0 (Híbrido)</t>
  </si>
  <si>
    <t>029155-2</t>
  </si>
  <si>
    <t>XC 90 T-8 Plus 2.0 AWD (Híbrido)</t>
  </si>
  <si>
    <t>029134-0</t>
  </si>
  <si>
    <t>XC 90 T-8 R-DESIGN 2.0 (Híbrido)</t>
  </si>
  <si>
    <t>029153-6</t>
  </si>
  <si>
    <t>XC 90 T-8 Ultim. Dark 2.0 AWD (Híbrido)</t>
  </si>
  <si>
    <t>029154-4</t>
  </si>
  <si>
    <t>XC 90 T-8 Ultimate 2.0 AWD (Híbrido)</t>
  </si>
  <si>
    <t>029169-2</t>
  </si>
  <si>
    <t>XC 90 T-8 Ultra 2.0 AWD (Híbrido)</t>
  </si>
  <si>
    <t>029168-4</t>
  </si>
  <si>
    <t>XC 90 T-8 Ultra Dark 2.0 AWD (Híbrido)</t>
  </si>
  <si>
    <t>029059-9</t>
  </si>
  <si>
    <t>XC 90 T6 2.9 BI-TB 272cv AWD 5p</t>
  </si>
  <si>
    <t>VOLVO</t>
  </si>
  <si>
    <t>005532-8</t>
  </si>
  <si>
    <t>AMAROK Comfor. 3.0 V6 TDI 4x4 Dies. Aut.</t>
  </si>
  <si>
    <t>005541-7</t>
  </si>
  <si>
    <t>Delivery Express Turbo Diesel (E6)</t>
  </si>
  <si>
    <t>005530-1</t>
  </si>
  <si>
    <t>Delivery Express+ Turbo Diesel</t>
  </si>
  <si>
    <t>005539-5</t>
  </si>
  <si>
    <t>Gol Last Edition 1.0 Flex 12V 5p</t>
  </si>
  <si>
    <t>005553-0</t>
  </si>
  <si>
    <t>Nivus GTS 1.4 250 TSI Flex Aut.</t>
  </si>
  <si>
    <t>005548-4</t>
  </si>
  <si>
    <t>Nivus Sense 1.0 200 TSI Flex Aut.</t>
  </si>
  <si>
    <t>Polo</t>
  </si>
  <si>
    <t>005533-6</t>
  </si>
  <si>
    <t>Polo 1.0 MPI Flex 12V 5p</t>
  </si>
  <si>
    <t>005534-4</t>
  </si>
  <si>
    <t>Polo 1.0 TSI Flex 12V 5p</t>
  </si>
  <si>
    <t>Gol</t>
  </si>
  <si>
    <t>005535-2</t>
  </si>
  <si>
    <t>Polo Comfortline TSI 1.0 Flex 12V Aut.</t>
  </si>
  <si>
    <t>005536-0</t>
  </si>
  <si>
    <t>Polo Highline TSI 1.0 Flex 12V Aut.</t>
  </si>
  <si>
    <t>005550-6</t>
  </si>
  <si>
    <t>Polo Robust 1.0 Flex 12V 5p</t>
  </si>
  <si>
    <t>005540-9</t>
  </si>
  <si>
    <t>Polo Track 1.0 Flex 12V 5p</t>
  </si>
  <si>
    <t>005545-0</t>
  </si>
  <si>
    <t>Polo Track First Edition 1.0 Flex 12V 5p</t>
  </si>
  <si>
    <t>005549-2</t>
  </si>
  <si>
    <t>Polo Track Rock in Rio 1.0 Flex 12V 5p</t>
  </si>
  <si>
    <t>005546-8</t>
  </si>
  <si>
    <t>Saveiro Extreme 1.6 Flex 16V CD</t>
  </si>
  <si>
    <t>005538-7</t>
  </si>
  <si>
    <t>Saveiro Robust 1.6 Total Flex 16V</t>
  </si>
  <si>
    <t>005537-9</t>
  </si>
  <si>
    <t>Saveiro Robust 1.6 Total Flex 16V CD</t>
  </si>
  <si>
    <t>005531-0</t>
  </si>
  <si>
    <t>Saveiro Trendline 1.6 Total Flex 16V</t>
  </si>
  <si>
    <t>005552-2</t>
  </si>
  <si>
    <t>T-Cross Ext. 250 TSI 1.4 Flex 16V 5p Aut</t>
  </si>
  <si>
    <t>005554-9</t>
  </si>
  <si>
    <t>Tera 1.0 170 TSI Flex 12V 5p Mec.</t>
  </si>
  <si>
    <t>005557-3</t>
  </si>
  <si>
    <t>Tera 1.0 MPI Flex 12V 5p Mec.</t>
  </si>
  <si>
    <t>005555-7</t>
  </si>
  <si>
    <t>Tera Comfort 1.0 170 TSI Flex 12V 5p Aut</t>
  </si>
  <si>
    <t>005556-5</t>
  </si>
  <si>
    <t>Tera High 1.0 170 TSI Flex 12V 5p Aut</t>
  </si>
  <si>
    <t>005547-6</t>
  </si>
  <si>
    <t>TIGUAN Allspac R-Line 300 TSI 2.0</t>
  </si>
  <si>
    <t>005544-1</t>
  </si>
  <si>
    <t>VIRTUS Exclusive 250TSI 1.4 Flex 16V Aut</t>
  </si>
  <si>
    <t>005551-4</t>
  </si>
  <si>
    <t>VIRTUS Sense 1.0 Flex 12V 5p Mec.</t>
  </si>
  <si>
    <t>005543-3</t>
  </si>
  <si>
    <t>VIRTUS TSI 1.0 Flex 12V 4p Aut.</t>
  </si>
  <si>
    <t>005542-5</t>
  </si>
  <si>
    <t>VIRTUS TSI 1.0 Flex 12V 4p Mec.</t>
  </si>
  <si>
    <t>Renault</t>
  </si>
  <si>
    <t>E</t>
  </si>
  <si>
    <t>Q6</t>
  </si>
  <si>
    <t>RS3</t>
  </si>
  <si>
    <t>RS5</t>
  </si>
  <si>
    <t>RS6</t>
  </si>
  <si>
    <t>SQ5</t>
  </si>
  <si>
    <t>SQ8</t>
  </si>
  <si>
    <t>118i</t>
  </si>
  <si>
    <t>218i</t>
  </si>
  <si>
    <t>220i</t>
  </si>
  <si>
    <t>420i</t>
  </si>
  <si>
    <t>530e</t>
  </si>
  <si>
    <t>i4</t>
  </si>
  <si>
    <t>i5</t>
  </si>
  <si>
    <t>i7</t>
  </si>
  <si>
    <t>iX</t>
  </si>
  <si>
    <t>D1</t>
  </si>
  <si>
    <t>Dolphin</t>
  </si>
  <si>
    <t>eT3</t>
  </si>
  <si>
    <t>Han</t>
  </si>
  <si>
    <t>King</t>
  </si>
  <si>
    <t>Seal</t>
  </si>
  <si>
    <t>SHARK</t>
  </si>
  <si>
    <t>Song</t>
  </si>
  <si>
    <t>TAN</t>
  </si>
  <si>
    <t>Yuan</t>
  </si>
  <si>
    <t>iCar</t>
  </si>
  <si>
    <t>Tiggo</t>
  </si>
  <si>
    <t>Astra</t>
  </si>
  <si>
    <t>Camaro</t>
  </si>
  <si>
    <t>SPARK</t>
  </si>
  <si>
    <t>TRAILBLAZER</t>
  </si>
  <si>
    <t>Caravan</t>
  </si>
  <si>
    <t>Cirrus</t>
  </si>
  <si>
    <t>Grand</t>
  </si>
  <si>
    <t>LE</t>
  </si>
  <si>
    <t>Neon</t>
  </si>
  <si>
    <t>PT</t>
  </si>
  <si>
    <t>Sebring</t>
  </si>
  <si>
    <t>Stratus</t>
  </si>
  <si>
    <t>TOWN</t>
  </si>
  <si>
    <t>Vision</t>
  </si>
  <si>
    <t>BASALT</t>
  </si>
  <si>
    <t>Jumper</t>
  </si>
  <si>
    <t>Jumpy</t>
  </si>
  <si>
    <t>Avenger</t>
  </si>
  <si>
    <t>Dakota</t>
  </si>
  <si>
    <t>Durango</t>
  </si>
  <si>
    <t>Intrepid</t>
  </si>
  <si>
    <t>JOURNEY</t>
  </si>
  <si>
    <t>Ram</t>
  </si>
  <si>
    <t>Stealth</t>
  </si>
  <si>
    <t>Ducato</t>
  </si>
  <si>
    <t>Fastback</t>
  </si>
  <si>
    <t>Fiorino</t>
  </si>
  <si>
    <t>Scudo</t>
  </si>
  <si>
    <t>Strada</t>
  </si>
  <si>
    <t>Titano</t>
  </si>
  <si>
    <t>Toro</t>
  </si>
  <si>
    <t>Aerostar</t>
  </si>
  <si>
    <t>Aspire</t>
  </si>
  <si>
    <t>Belina</t>
  </si>
  <si>
    <t>Bronco</t>
  </si>
  <si>
    <t>Club</t>
  </si>
  <si>
    <t>Contour</t>
  </si>
  <si>
    <t>Corcel</t>
  </si>
  <si>
    <t>Courier</t>
  </si>
  <si>
    <t>Maverick</t>
  </si>
  <si>
    <t>Mustang</t>
  </si>
  <si>
    <t>Ranger</t>
  </si>
  <si>
    <t>EC7</t>
  </si>
  <si>
    <t>EX2</t>
  </si>
  <si>
    <t>EX5</t>
  </si>
  <si>
    <t>GC2</t>
  </si>
  <si>
    <t>Haval</t>
  </si>
  <si>
    <t>Ora</t>
  </si>
  <si>
    <t>Poer</t>
  </si>
  <si>
    <t>Tank</t>
  </si>
  <si>
    <t>Wey</t>
  </si>
  <si>
    <t>Civic</t>
  </si>
  <si>
    <t>HB20S</t>
  </si>
  <si>
    <t>IONIQ</t>
  </si>
  <si>
    <t>KONA</t>
  </si>
  <si>
    <t>PALISADE</t>
  </si>
  <si>
    <t>HUNTER</t>
  </si>
  <si>
    <t>Commander</t>
  </si>
  <si>
    <t>Gladiator</t>
  </si>
  <si>
    <t>Renegade</t>
  </si>
  <si>
    <t>Wrangler</t>
  </si>
  <si>
    <t>Bongo</t>
  </si>
  <si>
    <t>EV5</t>
  </si>
  <si>
    <t>EV9</t>
  </si>
  <si>
    <t>Niro</t>
  </si>
  <si>
    <t>Sportage</t>
  </si>
  <si>
    <t>CLA</t>
  </si>
  <si>
    <t>EQA</t>
  </si>
  <si>
    <t>EQB</t>
  </si>
  <si>
    <t>EQE</t>
  </si>
  <si>
    <t>EQS</t>
  </si>
  <si>
    <t>eSprinter</t>
  </si>
  <si>
    <t>G</t>
  </si>
  <si>
    <t>GLB</t>
  </si>
  <si>
    <t>GLC</t>
  </si>
  <si>
    <t>GLE</t>
  </si>
  <si>
    <t>S</t>
  </si>
  <si>
    <t>SL</t>
  </si>
  <si>
    <t>Sprin</t>
  </si>
  <si>
    <t>Aceman</t>
  </si>
  <si>
    <t>COOPER</t>
  </si>
  <si>
    <t>ONE</t>
  </si>
  <si>
    <t>Eclipse</t>
  </si>
  <si>
    <t>Pajero</t>
  </si>
  <si>
    <t>Triton</t>
  </si>
  <si>
    <t>Frontier</t>
  </si>
  <si>
    <t>Sentra</t>
  </si>
  <si>
    <t>Boxer</t>
  </si>
  <si>
    <t>Expert</t>
  </si>
  <si>
    <t>Partner</t>
  </si>
  <si>
    <t>CLASSIC</t>
  </si>
  <si>
    <t>RAMPAGE</t>
  </si>
  <si>
    <t>Boreal</t>
  </si>
  <si>
    <t>Master</t>
  </si>
  <si>
    <t>Megane</t>
  </si>
  <si>
    <t>STEPWAY</t>
  </si>
  <si>
    <t>Forester</t>
  </si>
  <si>
    <t>Jimny</t>
  </si>
  <si>
    <t>Camry</t>
  </si>
  <si>
    <t>Hiace</t>
  </si>
  <si>
    <t>Delivery</t>
  </si>
  <si>
    <t>Nivus</t>
  </si>
  <si>
    <t>Saveiro</t>
  </si>
  <si>
    <t>Tera</t>
  </si>
  <si>
    <t>C30</t>
  </si>
  <si>
    <t>C70</t>
  </si>
  <si>
    <t>EC40</t>
  </si>
  <si>
    <t>EX40</t>
  </si>
  <si>
    <t>EX90</t>
  </si>
  <si>
    <t>S40</t>
  </si>
  <si>
    <t>S70</t>
  </si>
  <si>
    <t>S90</t>
  </si>
  <si>
    <t>V40</t>
  </si>
  <si>
    <t>V50</t>
  </si>
  <si>
    <t>V60</t>
  </si>
  <si>
    <t>V70</t>
  </si>
  <si>
    <t>XC</t>
  </si>
  <si>
    <t>T-cross</t>
  </si>
  <si>
    <t>E-J7</t>
  </si>
  <si>
    <t>E-JV</t>
  </si>
  <si>
    <t>WR-V</t>
  </si>
  <si>
    <t>ZR-V</t>
  </si>
  <si>
    <t>E-TRANSIT</t>
  </si>
  <si>
    <t>E-SCUDO</t>
  </si>
  <si>
    <t>Ë-JUMPY</t>
  </si>
  <si>
    <t>e-2008</t>
  </si>
  <si>
    <t>E-EXPERT</t>
  </si>
  <si>
    <t>SOB CONSULTA</t>
  </si>
  <si>
    <t>FAIXA 2</t>
  </si>
  <si>
    <t>Cota SC</t>
  </si>
  <si>
    <t>Categoria SC</t>
  </si>
  <si>
    <t>Categoria PR</t>
  </si>
  <si>
    <t>Cota PR</t>
  </si>
  <si>
    <t>COTA DE PARTICIPAÇÃO</t>
  </si>
  <si>
    <t>TAXA</t>
  </si>
  <si>
    <t>VALOR MÍNIMO</t>
  </si>
  <si>
    <t>COTA 10</t>
  </si>
  <si>
    <t>ZERO KM</t>
  </si>
  <si>
    <t>NOTA FISCAL DE COMPRA DE ATÉ 4 MESES</t>
  </si>
  <si>
    <t>UBER/ LOCADORAS DIVERSAS</t>
  </si>
  <si>
    <t>FROTA PARTICULAR OU LOCADORAS COM ANÁLISE DE PERFIL</t>
  </si>
  <si>
    <t>VALOR</t>
  </si>
  <si>
    <t>ASSIST</t>
  </si>
  <si>
    <t>15 DIAS</t>
  </si>
  <si>
    <t>RASTREADOR</t>
  </si>
  <si>
    <t>MENSAL</t>
  </si>
  <si>
    <t>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</si>
</sst>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[$R$-416]\ * #,##0.00_-;\-[$R$-416]\ * #,##0.00_-;_-[$R$-416]\ 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70C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left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164" fontId="0" fillId="0" borderId="0" xfId="0" applyNumberFormat="1"/>
    <xf numFmtId="0" fontId="1" fillId="0" borderId="0" xfId="0" applyFont="1"/>
    <xf numFmtId="164" fontId="1" fillId="0" borderId="0" xfId="0" applyNumberFormat="1" applyFont="1"/>
    <xf numFmtId="0" fontId="5" fillId="3" borderId="0" xfId="0" applyFont="1" applyFill="1" applyAlignment="1">
      <alignment horizontal="center" vertical="center"/>
    </xf>
    <xf numFmtId="164" fontId="5" fillId="3" borderId="0" xfId="0" applyNumberFormat="1" applyFont="1" applyFill="1" applyAlignment="1">
      <alignment horizontal="center" vertical="center"/>
    </xf>
    <xf numFmtId="164" fontId="5" fillId="3" borderId="0" xfId="0" applyNumberFormat="1" applyFont="1" applyFill="1" applyAlignment="1">
      <alignment vertical="center"/>
    </xf>
    <xf numFmtId="0" fontId="0" fillId="0" borderId="0" xfId="0" applyAlignment="1">
      <alignment vertical="center"/>
    </xf>
    <xf numFmtId="164" fontId="0" fillId="4" borderId="0" xfId="2" applyNumberFormat="1" applyFont="1" applyFill="1" applyBorder="1"/>
    <xf numFmtId="10" fontId="0" fillId="4" borderId="0" xfId="2" applyNumberFormat="1" applyFont="1" applyFill="1"/>
    <xf numFmtId="164" fontId="0" fillId="4" borderId="0" xfId="0" applyNumberFormat="1" applyFill="1"/>
    <xf numFmtId="164" fontId="0" fillId="0" borderId="0" xfId="2" applyNumberFormat="1" applyFont="1" applyFill="1" applyBorder="1"/>
    <xf numFmtId="10" fontId="0" fillId="0" borderId="0" xfId="2" applyNumberFormat="1" applyFont="1"/>
    <xf numFmtId="43" fontId="0" fillId="0" borderId="0" xfId="0" applyNumberFormat="1"/>
    <xf numFmtId="10" fontId="0" fillId="0" borderId="0" xfId="2" applyNumberFormat="1" applyFont="1" applyFill="1"/>
    <xf numFmtId="10" fontId="4" fillId="4" borderId="0" xfId="2" applyNumberFormat="1" applyFont="1" applyFill="1"/>
    <xf numFmtId="43" fontId="0" fillId="0" borderId="0" xfId="1" applyFont="1" applyFill="1"/>
    <xf numFmtId="43" fontId="0" fillId="0" borderId="0" xfId="1" applyFont="1"/>
    <xf numFmtId="0" fontId="8" fillId="6" borderId="1" xfId="0" applyFont="1" applyFill="1" applyBorder="1" applyAlignment="1">
      <alignment horizontal="left" vertical="center"/>
    </xf>
    <xf numFmtId="0" fontId="9" fillId="0" borderId="1" xfId="0" applyFont="1" applyBorder="1"/>
    <xf numFmtId="0" fontId="10" fillId="0" borderId="0" xfId="0" applyFont="1"/>
    <xf numFmtId="0" fontId="9" fillId="0" borderId="1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0" fontId="8" fillId="7" borderId="1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9" fillId="0" borderId="3" xfId="0" applyFont="1" applyBorder="1"/>
    <xf numFmtId="0" fontId="11" fillId="0" borderId="4" xfId="0" applyFont="1" applyBorder="1" applyAlignment="1">
      <alignment horizontal="center" vertical="center"/>
    </xf>
    <xf numFmtId="0" fontId="7" fillId="5" borderId="2" xfId="0" applyFont="1" applyFill="1" applyBorder="1" applyAlignment="1">
      <alignment horizontal="left" vertical="center"/>
    </xf>
  </cellXfs>
  <cellStyles count="3">
    <cellStyle name="Normal" xfId="0" builtinId="0"/>
    <cellStyle name="Porcentagem" xfId="2" builtinId="5"/>
    <cellStyle name="Vírgula" xfId="1" builtinId="3"/>
  </cellStyles>
  <dxfs count="99">
    <dxf>
      <font>
        <color auto="1"/>
      </font>
      <fill>
        <patternFill>
          <bgColor theme="0"/>
        </patternFill>
      </fill>
    </dxf>
    <dxf>
      <fill>
        <patternFill>
          <bgColor theme="4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61382-2F3E-419D-A2D8-EE85E08F907E}">
  <sheetPr>
    <tabColor rgb="FFFFC000"/>
  </sheetPr>
  <dimension ref="C1:D12"/>
  <sheetViews>
    <sheetView showGridLines="0" tabSelected="1" topLeftCell="A2" workbookViewId="0">
      <selection activeCell="D4" sqref="D4"/>
    </sheetView>
  </sheetViews>
  <sheetFormatPr defaultRowHeight="23.4" x14ac:dyDescent="0.45"/>
  <cols>
    <col min="3" max="3" width="23.88671875" style="10" bestFit="1" customWidth="1"/>
    <col min="4" max="4" width="88.6640625" customWidth="1"/>
    <col min="5" max="5" width="8" bestFit="1" customWidth="1"/>
    <col min="6" max="6" width="11.6640625" bestFit="1" customWidth="1"/>
    <col min="7" max="7" width="5" bestFit="1" customWidth="1"/>
    <col min="8" max="8" width="9.44140625" bestFit="1" customWidth="1"/>
    <col min="9" max="9" width="5.6640625" bestFit="1" customWidth="1"/>
    <col min="10" max="10" width="10.33203125" bestFit="1" customWidth="1"/>
    <col min="11" max="11" width="9" bestFit="1" customWidth="1"/>
    <col min="12" max="12" width="18.33203125" bestFit="1" customWidth="1"/>
    <col min="13" max="13" width="7.5546875" bestFit="1" customWidth="1"/>
    <col min="14" max="14" width="5.88671875" bestFit="1" customWidth="1"/>
    <col min="15" max="15" width="15.88671875" bestFit="1" customWidth="1"/>
    <col min="16" max="16" width="11.109375" bestFit="1" customWidth="1"/>
  </cols>
  <sheetData>
    <row r="1" spans="3:4" ht="15" customHeight="1" x14ac:dyDescent="0.3">
      <c r="C1" s="1"/>
    </row>
    <row r="2" spans="3:4" ht="15" customHeight="1" x14ac:dyDescent="0.3">
      <c r="C2" s="1"/>
    </row>
    <row r="3" spans="3:4" ht="15" customHeight="1" thickBot="1" x14ac:dyDescent="0.35">
      <c r="C3" s="1"/>
    </row>
    <row r="4" spans="3:4" ht="51.6" customHeight="1" thickBot="1" x14ac:dyDescent="0.35">
      <c r="C4" s="40" t="s">
        <v>628</v>
      </c>
      <c r="D4" s="39" t="s">
        <v>5250</v>
      </c>
    </row>
    <row r="5" spans="3:4" s="32" customFormat="1" ht="28.8" x14ac:dyDescent="0.55000000000000004">
      <c r="C5" s="37" t="s">
        <v>12916</v>
      </c>
      <c r="D5" s="38" t="str">
        <f>VLOOKUP(D4,BASE!A:L,11,0)</f>
        <v>FAIXA 03</v>
      </c>
    </row>
    <row r="6" spans="3:4" s="32" customFormat="1" ht="28.8" x14ac:dyDescent="0.55000000000000004">
      <c r="C6" s="30" t="s">
        <v>12917</v>
      </c>
      <c r="D6" s="33" t="str">
        <f>VLOOKUP(D4,BASE!A:L,12,0)</f>
        <v>COTA 02</v>
      </c>
    </row>
    <row r="7" spans="3:4" s="32" customFormat="1" ht="28.8" x14ac:dyDescent="0.55000000000000004">
      <c r="C7" s="36" t="s">
        <v>12915</v>
      </c>
      <c r="D7" s="31" t="str">
        <f>VLOOKUP(D4,BASE!A:L,6,0)</f>
        <v>SUV grande</v>
      </c>
    </row>
    <row r="8" spans="3:4" s="32" customFormat="1" ht="28.8" x14ac:dyDescent="0.55000000000000004">
      <c r="C8" s="36" t="s">
        <v>12914</v>
      </c>
      <c r="D8" s="31" t="str">
        <f>VLOOKUP(D4,BASE!A:L,5,0)</f>
        <v>SUV GRANDE</v>
      </c>
    </row>
    <row r="9" spans="3:4" x14ac:dyDescent="0.45">
      <c r="C9" s="9" t="s">
        <v>629</v>
      </c>
      <c r="D9" s="11" t="str">
        <f>VLOOKUP(D4,BASE!A:L,2,0)</f>
        <v>Toyota</v>
      </c>
    </row>
    <row r="10" spans="3:4" x14ac:dyDescent="0.45">
      <c r="C10" s="9" t="s">
        <v>1</v>
      </c>
      <c r="D10" s="11" t="str">
        <f>VLOOKUP(D4,BASE!A:L,3,0)</f>
        <v>Hilux SW4 SR 4x2 2.7/ 2.7 Flex 16V Aut.</v>
      </c>
    </row>
    <row r="11" spans="3:4" x14ac:dyDescent="0.45">
      <c r="C11" s="9" t="s">
        <v>634</v>
      </c>
      <c r="D11" s="12">
        <f>VLOOKUP(D4,BASE!A:L,8,0)</f>
        <v>2009</v>
      </c>
    </row>
    <row r="12" spans="3:4" x14ac:dyDescent="0.45">
      <c r="C12" s="9" t="s">
        <v>635</v>
      </c>
      <c r="D12" s="12">
        <f>VLOOKUP(D4,BASE!A:L,9,0)</f>
        <v>2022</v>
      </c>
    </row>
  </sheetData>
  <sheetProtection algorithmName="SHA-512" hashValue="+hcp34agsXIXXZAunVlVuvtVJCf0+/i+Xjf8CcYhPifWzC2CE8Lp0w+QNIL8eYyYwoNAhV0WOslXQg2nmwmjqw==" saltValue="NUH60dPoxtqws+/wAp+Seg==" spinCount="100000" sheet="1" objects="1" scenarios="1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B4BDD-764E-48DB-BDE3-408E74E563F4}">
  <sheetPr codeName="Planilha5" filterMode="1">
    <tabColor rgb="FF92D050"/>
  </sheetPr>
  <dimension ref="A2:N6071"/>
  <sheetViews>
    <sheetView showGridLines="0" zoomScale="130" zoomScaleNormal="130" workbookViewId="0">
      <pane ySplit="5" topLeftCell="A6039" activePane="bottomLeft" state="frozen"/>
      <selection pane="bottomLeft" activeCell="D6048" sqref="D6048"/>
    </sheetView>
  </sheetViews>
  <sheetFormatPr defaultRowHeight="14.4" x14ac:dyDescent="0.3"/>
  <cols>
    <col min="1" max="1" width="13" bestFit="1" customWidth="1"/>
    <col min="2" max="2" width="16.33203125" customWidth="1"/>
    <col min="3" max="3" width="40.6640625" customWidth="1"/>
    <col min="4" max="4" width="13.33203125" style="1" customWidth="1"/>
    <col min="5" max="5" width="21.109375" style="1" customWidth="1"/>
    <col min="6" max="6" width="20.44140625" style="1" customWidth="1"/>
    <col min="7" max="7" width="10.33203125" style="1" customWidth="1"/>
    <col min="8" max="9" width="10.44140625" customWidth="1"/>
    <col min="10" max="10" width="12.88671875" customWidth="1"/>
    <col min="11" max="12" width="11.33203125" style="1" customWidth="1"/>
    <col min="13" max="13" width="12.88671875" customWidth="1"/>
    <col min="14" max="14" width="12.6640625" customWidth="1"/>
  </cols>
  <sheetData>
    <row r="2" spans="1:14" ht="18" x14ac:dyDescent="0.35">
      <c r="A2" s="2" t="s">
        <v>627</v>
      </c>
      <c r="B2" s="2">
        <v>2026</v>
      </c>
      <c r="C2" s="3"/>
      <c r="D2" s="4"/>
      <c r="E2" s="4"/>
      <c r="F2" s="4"/>
      <c r="G2" s="4"/>
      <c r="H2" s="3"/>
      <c r="I2" s="3"/>
      <c r="J2" s="3"/>
      <c r="K2" s="4"/>
      <c r="L2" s="4"/>
      <c r="M2" s="3"/>
    </row>
    <row r="5" spans="1:14" ht="28.8" x14ac:dyDescent="0.3">
      <c r="A5" s="5" t="s">
        <v>628</v>
      </c>
      <c r="B5" s="5" t="s">
        <v>629</v>
      </c>
      <c r="C5" s="5" t="s">
        <v>1</v>
      </c>
      <c r="D5" s="6" t="s">
        <v>630</v>
      </c>
      <c r="E5" s="6" t="s">
        <v>631</v>
      </c>
      <c r="F5" s="6" t="s">
        <v>632</v>
      </c>
      <c r="G5" s="6" t="s">
        <v>633</v>
      </c>
      <c r="H5" s="7" t="s">
        <v>634</v>
      </c>
      <c r="I5" s="7" t="s">
        <v>635</v>
      </c>
      <c r="J5" s="7" t="s">
        <v>636</v>
      </c>
      <c r="K5" s="7" t="s">
        <v>637</v>
      </c>
      <c r="L5" s="7" t="s">
        <v>638</v>
      </c>
      <c r="M5" s="7" t="s">
        <v>639</v>
      </c>
      <c r="N5" s="7" t="s">
        <v>640</v>
      </c>
    </row>
    <row r="6" spans="1:14" x14ac:dyDescent="0.3">
      <c r="A6" s="1" t="s">
        <v>2</v>
      </c>
      <c r="B6" s="1" t="s">
        <v>5940</v>
      </c>
      <c r="C6" s="1" t="s">
        <v>3</v>
      </c>
      <c r="D6" s="1" t="s">
        <v>738</v>
      </c>
      <c r="E6" s="1" t="s">
        <v>6076</v>
      </c>
      <c r="F6" s="1" t="s">
        <v>6076</v>
      </c>
      <c r="G6" s="1">
        <v>100</v>
      </c>
      <c r="H6">
        <v>1993</v>
      </c>
      <c r="I6">
        <v>1995</v>
      </c>
      <c r="J6">
        <f t="shared" ref="J6:J69" si="0">1+(I6-H6)</f>
        <v>3</v>
      </c>
      <c r="K6" s="1" t="s">
        <v>6076</v>
      </c>
      <c r="L6" s="1" t="s">
        <v>6076</v>
      </c>
      <c r="M6">
        <f t="shared" ref="M6:M69" si="1">IF(I6=0,0,$B$2-I6)</f>
        <v>31</v>
      </c>
    </row>
    <row r="7" spans="1:14" x14ac:dyDescent="0.3">
      <c r="A7" s="1" t="s">
        <v>4</v>
      </c>
      <c r="B7" s="1" t="s">
        <v>5940</v>
      </c>
      <c r="C7" s="1" t="s">
        <v>5</v>
      </c>
      <c r="D7" s="1" t="s">
        <v>738</v>
      </c>
      <c r="E7" s="1" t="s">
        <v>6076</v>
      </c>
      <c r="F7" s="1" t="s">
        <v>6076</v>
      </c>
      <c r="G7" s="1">
        <v>100</v>
      </c>
      <c r="H7">
        <v>1994</v>
      </c>
      <c r="I7">
        <v>1995</v>
      </c>
      <c r="J7">
        <f t="shared" si="0"/>
        <v>2</v>
      </c>
      <c r="K7" s="1" t="s">
        <v>6076</v>
      </c>
      <c r="L7" s="1" t="s">
        <v>6076</v>
      </c>
      <c r="M7">
        <f t="shared" si="1"/>
        <v>31</v>
      </c>
    </row>
    <row r="8" spans="1:14" x14ac:dyDescent="0.3">
      <c r="A8" s="1" t="s">
        <v>6</v>
      </c>
      <c r="B8" s="1" t="s">
        <v>5940</v>
      </c>
      <c r="C8" s="1" t="s">
        <v>7</v>
      </c>
      <c r="D8" s="1" t="s">
        <v>738</v>
      </c>
      <c r="E8" s="1" t="s">
        <v>6076</v>
      </c>
      <c r="F8" s="1" t="s">
        <v>6076</v>
      </c>
      <c r="G8" s="1">
        <v>100</v>
      </c>
      <c r="H8">
        <v>1994</v>
      </c>
      <c r="I8">
        <v>1995</v>
      </c>
      <c r="J8">
        <f t="shared" si="0"/>
        <v>2</v>
      </c>
      <c r="K8" s="1" t="s">
        <v>6076</v>
      </c>
      <c r="L8" s="1" t="s">
        <v>6076</v>
      </c>
      <c r="M8">
        <f t="shared" si="1"/>
        <v>31</v>
      </c>
    </row>
    <row r="9" spans="1:14" x14ac:dyDescent="0.3">
      <c r="A9" s="1" t="s">
        <v>7053</v>
      </c>
      <c r="B9" s="1" t="s">
        <v>642</v>
      </c>
      <c r="C9" s="1" t="s">
        <v>7054</v>
      </c>
      <c r="D9" s="1" t="s">
        <v>746</v>
      </c>
      <c r="E9" s="1" t="s">
        <v>6076</v>
      </c>
      <c r="F9" s="1" t="s">
        <v>6076</v>
      </c>
      <c r="G9" s="1">
        <v>106</v>
      </c>
      <c r="H9">
        <v>1994</v>
      </c>
      <c r="I9">
        <v>1995</v>
      </c>
      <c r="J9">
        <f t="shared" si="0"/>
        <v>2</v>
      </c>
      <c r="K9" s="1" t="s">
        <v>6076</v>
      </c>
      <c r="L9" s="1" t="s">
        <v>6076</v>
      </c>
      <c r="M9">
        <f t="shared" si="1"/>
        <v>31</v>
      </c>
      <c r="N9" t="s">
        <v>640</v>
      </c>
    </row>
    <row r="10" spans="1:14" x14ac:dyDescent="0.3">
      <c r="A10" s="1" t="s">
        <v>7039</v>
      </c>
      <c r="B10" s="1" t="s">
        <v>642</v>
      </c>
      <c r="C10" s="1" t="s">
        <v>7040</v>
      </c>
      <c r="D10" s="1" t="s">
        <v>746</v>
      </c>
      <c r="E10" s="1" t="s">
        <v>6076</v>
      </c>
      <c r="F10" s="1" t="s">
        <v>6076</v>
      </c>
      <c r="G10" s="1">
        <v>106</v>
      </c>
      <c r="H10">
        <v>1998</v>
      </c>
      <c r="I10">
        <v>2001</v>
      </c>
      <c r="J10">
        <f t="shared" si="0"/>
        <v>4</v>
      </c>
      <c r="K10" s="1" t="s">
        <v>6076</v>
      </c>
      <c r="L10" s="1" t="s">
        <v>6076</v>
      </c>
      <c r="M10">
        <f t="shared" si="1"/>
        <v>25</v>
      </c>
      <c r="N10" t="s">
        <v>640</v>
      </c>
    </row>
    <row r="11" spans="1:14" x14ac:dyDescent="0.3">
      <c r="A11" s="1" t="s">
        <v>7041</v>
      </c>
      <c r="B11" s="1" t="s">
        <v>642</v>
      </c>
      <c r="C11" s="1" t="s">
        <v>7042</v>
      </c>
      <c r="D11" s="1" t="s">
        <v>746</v>
      </c>
      <c r="E11" s="1" t="s">
        <v>6076</v>
      </c>
      <c r="F11" s="1" t="s">
        <v>6076</v>
      </c>
      <c r="G11" s="1">
        <v>106</v>
      </c>
      <c r="H11">
        <v>1998</v>
      </c>
      <c r="I11">
        <v>2001</v>
      </c>
      <c r="J11">
        <f t="shared" si="0"/>
        <v>4</v>
      </c>
      <c r="K11" s="1" t="s">
        <v>6076</v>
      </c>
      <c r="L11" s="1" t="s">
        <v>6076</v>
      </c>
      <c r="M11">
        <f t="shared" si="1"/>
        <v>25</v>
      </c>
      <c r="N11" t="s">
        <v>640</v>
      </c>
    </row>
    <row r="12" spans="1:14" x14ac:dyDescent="0.3">
      <c r="A12" s="1" t="s">
        <v>7037</v>
      </c>
      <c r="B12" s="1" t="s">
        <v>642</v>
      </c>
      <c r="C12" s="1" t="s">
        <v>7038</v>
      </c>
      <c r="D12" s="1" t="s">
        <v>746</v>
      </c>
      <c r="E12" s="1" t="s">
        <v>6076</v>
      </c>
      <c r="F12" s="1" t="s">
        <v>6076</v>
      </c>
      <c r="G12" s="1">
        <v>106</v>
      </c>
      <c r="H12">
        <v>2001</v>
      </c>
      <c r="I12">
        <v>2001</v>
      </c>
      <c r="J12">
        <f t="shared" si="0"/>
        <v>1</v>
      </c>
      <c r="K12" s="1" t="s">
        <v>6076</v>
      </c>
      <c r="L12" s="1" t="s">
        <v>6076</v>
      </c>
      <c r="M12">
        <f t="shared" si="1"/>
        <v>25</v>
      </c>
      <c r="N12" t="s">
        <v>640</v>
      </c>
    </row>
    <row r="13" spans="1:14" x14ac:dyDescent="0.3">
      <c r="A13" s="1" t="s">
        <v>7043</v>
      </c>
      <c r="B13" s="1" t="s">
        <v>642</v>
      </c>
      <c r="C13" s="1" t="s">
        <v>7044</v>
      </c>
      <c r="D13" s="1" t="s">
        <v>746</v>
      </c>
      <c r="E13" s="1" t="s">
        <v>6076</v>
      </c>
      <c r="F13" s="1" t="s">
        <v>6076</v>
      </c>
      <c r="G13" s="1">
        <v>106</v>
      </c>
      <c r="H13">
        <v>1998</v>
      </c>
      <c r="I13">
        <v>2001</v>
      </c>
      <c r="J13">
        <f t="shared" si="0"/>
        <v>4</v>
      </c>
      <c r="K13" s="1" t="s">
        <v>6076</v>
      </c>
      <c r="L13" s="1" t="s">
        <v>6076</v>
      </c>
      <c r="M13">
        <f t="shared" si="1"/>
        <v>25</v>
      </c>
      <c r="N13" t="s">
        <v>640</v>
      </c>
    </row>
    <row r="14" spans="1:14" x14ac:dyDescent="0.3">
      <c r="A14" s="1" t="s">
        <v>7045</v>
      </c>
      <c r="B14" s="1" t="s">
        <v>642</v>
      </c>
      <c r="C14" s="1" t="s">
        <v>7046</v>
      </c>
      <c r="D14" s="1" t="s">
        <v>746</v>
      </c>
      <c r="E14" s="1" t="s">
        <v>6076</v>
      </c>
      <c r="F14" s="1" t="s">
        <v>6076</v>
      </c>
      <c r="G14" s="1">
        <v>106</v>
      </c>
      <c r="H14">
        <v>1998</v>
      </c>
      <c r="I14">
        <v>2001</v>
      </c>
      <c r="J14">
        <f t="shared" si="0"/>
        <v>4</v>
      </c>
      <c r="K14" s="1" t="s">
        <v>6076</v>
      </c>
      <c r="L14" s="1" t="s">
        <v>6076</v>
      </c>
      <c r="M14">
        <f t="shared" si="1"/>
        <v>25</v>
      </c>
      <c r="N14" t="s">
        <v>640</v>
      </c>
    </row>
    <row r="15" spans="1:14" x14ac:dyDescent="0.3">
      <c r="A15" s="1" t="s">
        <v>7047</v>
      </c>
      <c r="B15" s="1" t="s">
        <v>642</v>
      </c>
      <c r="C15" s="1" t="s">
        <v>7048</v>
      </c>
      <c r="D15" s="1" t="s">
        <v>746</v>
      </c>
      <c r="E15" s="1" t="s">
        <v>6076</v>
      </c>
      <c r="F15" s="1" t="s">
        <v>6076</v>
      </c>
      <c r="G15" s="1">
        <v>106</v>
      </c>
      <c r="H15">
        <v>1998</v>
      </c>
      <c r="I15">
        <v>2001</v>
      </c>
      <c r="J15">
        <f t="shared" si="0"/>
        <v>4</v>
      </c>
      <c r="K15" s="1" t="s">
        <v>6076</v>
      </c>
      <c r="L15" s="1" t="s">
        <v>6076</v>
      </c>
      <c r="M15">
        <f t="shared" si="1"/>
        <v>25</v>
      </c>
      <c r="N15" t="s">
        <v>640</v>
      </c>
    </row>
    <row r="16" spans="1:14" x14ac:dyDescent="0.3">
      <c r="A16" s="1" t="s">
        <v>7049</v>
      </c>
      <c r="B16" s="1" t="s">
        <v>642</v>
      </c>
      <c r="C16" s="1" t="s">
        <v>7050</v>
      </c>
      <c r="D16" s="1" t="s">
        <v>746</v>
      </c>
      <c r="E16" s="1" t="s">
        <v>6076</v>
      </c>
      <c r="F16" s="1" t="s">
        <v>6076</v>
      </c>
      <c r="G16" s="1">
        <v>106</v>
      </c>
      <c r="H16">
        <v>1998</v>
      </c>
      <c r="I16">
        <v>2001</v>
      </c>
      <c r="J16">
        <f t="shared" si="0"/>
        <v>4</v>
      </c>
      <c r="K16" s="1" t="s">
        <v>6076</v>
      </c>
      <c r="L16" s="1" t="s">
        <v>6076</v>
      </c>
      <c r="M16">
        <f t="shared" si="1"/>
        <v>25</v>
      </c>
      <c r="N16" t="s">
        <v>640</v>
      </c>
    </row>
    <row r="17" spans="1:14" x14ac:dyDescent="0.3">
      <c r="A17" s="1" t="s">
        <v>7051</v>
      </c>
      <c r="B17" s="1" t="s">
        <v>642</v>
      </c>
      <c r="C17" s="1" t="s">
        <v>7052</v>
      </c>
      <c r="D17" s="1" t="s">
        <v>746</v>
      </c>
      <c r="E17" s="1" t="s">
        <v>6076</v>
      </c>
      <c r="F17" s="1" t="s">
        <v>6076</v>
      </c>
      <c r="G17" s="1">
        <v>106</v>
      </c>
      <c r="H17">
        <v>1994</v>
      </c>
      <c r="I17">
        <v>1996</v>
      </c>
      <c r="J17">
        <f t="shared" si="0"/>
        <v>3</v>
      </c>
      <c r="K17" s="1" t="s">
        <v>6076</v>
      </c>
      <c r="L17" s="1" t="s">
        <v>6076</v>
      </c>
      <c r="M17">
        <f t="shared" si="1"/>
        <v>30</v>
      </c>
      <c r="N17" t="s">
        <v>640</v>
      </c>
    </row>
    <row r="18" spans="1:14" x14ac:dyDescent="0.3">
      <c r="A18" s="1" t="s">
        <v>7055</v>
      </c>
      <c r="B18" s="1" t="s">
        <v>642</v>
      </c>
      <c r="C18" s="1" t="s">
        <v>7056</v>
      </c>
      <c r="D18" s="1" t="s">
        <v>746</v>
      </c>
      <c r="E18" s="1" t="s">
        <v>6076</v>
      </c>
      <c r="F18" s="1" t="s">
        <v>6076</v>
      </c>
      <c r="G18" s="1">
        <v>106</v>
      </c>
      <c r="H18">
        <v>1992</v>
      </c>
      <c r="I18">
        <v>1995</v>
      </c>
      <c r="J18">
        <f t="shared" si="0"/>
        <v>4</v>
      </c>
      <c r="K18" s="1" t="s">
        <v>6076</v>
      </c>
      <c r="L18" s="1" t="s">
        <v>6076</v>
      </c>
      <c r="M18">
        <f t="shared" si="1"/>
        <v>31</v>
      </c>
      <c r="N18" t="s">
        <v>640</v>
      </c>
    </row>
    <row r="19" spans="1:14" x14ac:dyDescent="0.3">
      <c r="A19" s="1" t="s">
        <v>6077</v>
      </c>
      <c r="B19" s="1" t="s">
        <v>5913</v>
      </c>
      <c r="C19" s="1" t="s">
        <v>6078</v>
      </c>
      <c r="D19" s="1" t="s">
        <v>746</v>
      </c>
      <c r="E19" s="1" t="s">
        <v>6076</v>
      </c>
      <c r="F19" s="1" t="s">
        <v>6076</v>
      </c>
      <c r="G19" s="1" t="s">
        <v>5915</v>
      </c>
      <c r="H19">
        <v>2012</v>
      </c>
      <c r="I19">
        <v>2015</v>
      </c>
      <c r="J19">
        <f t="shared" si="0"/>
        <v>4</v>
      </c>
      <c r="K19" s="1" t="s">
        <v>6076</v>
      </c>
      <c r="L19" s="1" t="s">
        <v>6076</v>
      </c>
      <c r="M19">
        <f t="shared" si="1"/>
        <v>11</v>
      </c>
    </row>
    <row r="20" spans="1:14" x14ac:dyDescent="0.3">
      <c r="A20" t="s">
        <v>10920</v>
      </c>
      <c r="B20" t="s">
        <v>5913</v>
      </c>
      <c r="C20" t="s">
        <v>10921</v>
      </c>
      <c r="E20" s="1" t="s">
        <v>6076</v>
      </c>
      <c r="F20" s="1" t="s">
        <v>6076</v>
      </c>
      <c r="G20" s="1" t="s">
        <v>12764</v>
      </c>
      <c r="H20">
        <v>2023</v>
      </c>
      <c r="I20">
        <v>2026</v>
      </c>
      <c r="J20">
        <f t="shared" si="0"/>
        <v>4</v>
      </c>
      <c r="K20" s="1" t="s">
        <v>6076</v>
      </c>
      <c r="L20" s="1" t="s">
        <v>6076</v>
      </c>
      <c r="M20">
        <f t="shared" si="1"/>
        <v>0</v>
      </c>
    </row>
    <row r="21" spans="1:14" x14ac:dyDescent="0.3">
      <c r="A21" s="1" t="s">
        <v>6079</v>
      </c>
      <c r="B21" s="1" t="s">
        <v>5913</v>
      </c>
      <c r="C21" s="1" t="s">
        <v>6080</v>
      </c>
      <c r="D21" s="1" t="s">
        <v>746</v>
      </c>
      <c r="E21" s="1" t="s">
        <v>6076</v>
      </c>
      <c r="F21" s="1" t="s">
        <v>6076</v>
      </c>
      <c r="G21" s="1" t="s">
        <v>5915</v>
      </c>
      <c r="H21">
        <v>2020</v>
      </c>
      <c r="I21">
        <v>2022</v>
      </c>
      <c r="J21">
        <f t="shared" si="0"/>
        <v>3</v>
      </c>
      <c r="K21" s="1" t="s">
        <v>6076</v>
      </c>
      <c r="L21" s="1" t="s">
        <v>6076</v>
      </c>
      <c r="M21">
        <f t="shared" si="1"/>
        <v>4</v>
      </c>
    </row>
    <row r="22" spans="1:14" x14ac:dyDescent="0.3">
      <c r="A22" s="1" t="s">
        <v>6081</v>
      </c>
      <c r="B22" s="1" t="s">
        <v>5913</v>
      </c>
      <c r="C22" s="1" t="s">
        <v>6082</v>
      </c>
      <c r="D22" s="1" t="s">
        <v>746</v>
      </c>
      <c r="E22" s="1" t="s">
        <v>6076</v>
      </c>
      <c r="F22" s="1" t="s">
        <v>6076</v>
      </c>
      <c r="G22" s="1" t="s">
        <v>5915</v>
      </c>
      <c r="H22">
        <v>2011</v>
      </c>
      <c r="I22">
        <v>2012</v>
      </c>
      <c r="J22">
        <f t="shared" si="0"/>
        <v>2</v>
      </c>
      <c r="K22" s="1" t="s">
        <v>6076</v>
      </c>
      <c r="L22" s="1" t="s">
        <v>6076</v>
      </c>
      <c r="M22">
        <f t="shared" si="1"/>
        <v>14</v>
      </c>
    </row>
    <row r="23" spans="1:14" x14ac:dyDescent="0.3">
      <c r="A23" s="1" t="s">
        <v>6083</v>
      </c>
      <c r="B23" s="1" t="s">
        <v>5913</v>
      </c>
      <c r="C23" s="1" t="s">
        <v>6084</v>
      </c>
      <c r="D23" s="1" t="s">
        <v>746</v>
      </c>
      <c r="E23" s="1" t="s">
        <v>6076</v>
      </c>
      <c r="F23" s="1" t="s">
        <v>6076</v>
      </c>
      <c r="G23" s="1" t="s">
        <v>5915</v>
      </c>
      <c r="H23">
        <v>2010</v>
      </c>
      <c r="I23">
        <v>2012</v>
      </c>
      <c r="J23">
        <f t="shared" si="0"/>
        <v>3</v>
      </c>
      <c r="K23" s="1" t="s">
        <v>6076</v>
      </c>
      <c r="L23" s="1" t="s">
        <v>6076</v>
      </c>
      <c r="M23">
        <f t="shared" si="1"/>
        <v>14</v>
      </c>
    </row>
    <row r="24" spans="1:14" x14ac:dyDescent="0.3">
      <c r="A24" s="1" t="s">
        <v>6085</v>
      </c>
      <c r="B24" s="1" t="s">
        <v>5913</v>
      </c>
      <c r="C24" s="1" t="s">
        <v>6086</v>
      </c>
      <c r="D24" s="1" t="s">
        <v>746</v>
      </c>
      <c r="E24" s="1" t="s">
        <v>6076</v>
      </c>
      <c r="F24" s="1" t="s">
        <v>6076</v>
      </c>
      <c r="G24" s="1" t="s">
        <v>5915</v>
      </c>
      <c r="H24">
        <v>2012</v>
      </c>
      <c r="I24">
        <v>2014</v>
      </c>
      <c r="J24">
        <f t="shared" si="0"/>
        <v>3</v>
      </c>
      <c r="K24" s="1" t="s">
        <v>6076</v>
      </c>
      <c r="L24" s="1" t="s">
        <v>6076</v>
      </c>
      <c r="M24">
        <f t="shared" si="1"/>
        <v>12</v>
      </c>
    </row>
    <row r="25" spans="1:14" x14ac:dyDescent="0.3">
      <c r="A25" s="1" t="s">
        <v>6087</v>
      </c>
      <c r="B25" s="1" t="s">
        <v>5913</v>
      </c>
      <c r="C25" s="1" t="s">
        <v>6088</v>
      </c>
      <c r="D25" s="1" t="s">
        <v>746</v>
      </c>
      <c r="E25" s="1" t="s">
        <v>6076</v>
      </c>
      <c r="F25" s="1" t="s">
        <v>6076</v>
      </c>
      <c r="G25" s="1" t="s">
        <v>5915</v>
      </c>
      <c r="H25">
        <v>2012</v>
      </c>
      <c r="I25">
        <v>2015</v>
      </c>
      <c r="J25">
        <f t="shared" si="0"/>
        <v>4</v>
      </c>
      <c r="K25" s="1" t="s">
        <v>6076</v>
      </c>
      <c r="L25" s="1" t="s">
        <v>6076</v>
      </c>
      <c r="M25">
        <f t="shared" si="1"/>
        <v>11</v>
      </c>
    </row>
    <row r="26" spans="1:14" x14ac:dyDescent="0.3">
      <c r="A26" s="1" t="s">
        <v>5912</v>
      </c>
      <c r="B26" s="1" t="s">
        <v>5913</v>
      </c>
      <c r="C26" s="1" t="s">
        <v>5914</v>
      </c>
      <c r="D26" s="1" t="s">
        <v>746</v>
      </c>
      <c r="E26" s="1" t="s">
        <v>6076</v>
      </c>
      <c r="F26" s="1" t="s">
        <v>6076</v>
      </c>
      <c r="G26" s="1" t="s">
        <v>5915</v>
      </c>
      <c r="H26">
        <v>2005</v>
      </c>
      <c r="I26">
        <v>2009</v>
      </c>
      <c r="J26">
        <f t="shared" si="0"/>
        <v>5</v>
      </c>
      <c r="K26" s="1" t="s">
        <v>6076</v>
      </c>
      <c r="L26" s="1" t="s">
        <v>6076</v>
      </c>
      <c r="M26">
        <f t="shared" si="1"/>
        <v>17</v>
      </c>
    </row>
    <row r="27" spans="1:14" x14ac:dyDescent="0.3">
      <c r="A27" s="1" t="s">
        <v>5916</v>
      </c>
      <c r="B27" s="1" t="s">
        <v>5913</v>
      </c>
      <c r="C27" s="1" t="s">
        <v>5917</v>
      </c>
      <c r="D27" s="1" t="s">
        <v>746</v>
      </c>
      <c r="E27" s="1" t="s">
        <v>6076</v>
      </c>
      <c r="F27" s="1" t="s">
        <v>6076</v>
      </c>
      <c r="G27" s="1" t="s">
        <v>5915</v>
      </c>
      <c r="H27">
        <v>2005</v>
      </c>
      <c r="I27">
        <v>2012</v>
      </c>
      <c r="J27">
        <f t="shared" si="0"/>
        <v>8</v>
      </c>
      <c r="K27" s="1" t="s">
        <v>6076</v>
      </c>
      <c r="L27" s="1" t="s">
        <v>6076</v>
      </c>
      <c r="M27">
        <f t="shared" si="1"/>
        <v>14</v>
      </c>
    </row>
    <row r="28" spans="1:14" x14ac:dyDescent="0.3">
      <c r="A28" s="1" t="s">
        <v>6089</v>
      </c>
      <c r="B28" s="1" t="s">
        <v>5913</v>
      </c>
      <c r="C28" s="1" t="s">
        <v>6090</v>
      </c>
      <c r="D28" s="1" t="s">
        <v>746</v>
      </c>
      <c r="E28" s="1" t="s">
        <v>6076</v>
      </c>
      <c r="F28" s="1" t="s">
        <v>6076</v>
      </c>
      <c r="G28" s="1" t="s">
        <v>5915</v>
      </c>
      <c r="H28">
        <v>2008</v>
      </c>
      <c r="I28">
        <v>2009</v>
      </c>
      <c r="J28">
        <f t="shared" si="0"/>
        <v>2</v>
      </c>
      <c r="K28" s="1" t="s">
        <v>6076</v>
      </c>
      <c r="L28" s="1" t="s">
        <v>6076</v>
      </c>
      <c r="M28">
        <f t="shared" si="1"/>
        <v>17</v>
      </c>
    </row>
    <row r="29" spans="1:14" x14ac:dyDescent="0.3">
      <c r="A29" s="1" t="s">
        <v>6091</v>
      </c>
      <c r="B29" s="1" t="s">
        <v>5913</v>
      </c>
      <c r="C29" s="1" t="s">
        <v>6092</v>
      </c>
      <c r="D29" s="1" t="s">
        <v>746</v>
      </c>
      <c r="E29" s="1" t="s">
        <v>6076</v>
      </c>
      <c r="F29" s="1" t="s">
        <v>6076</v>
      </c>
      <c r="G29" s="1" t="s">
        <v>5915</v>
      </c>
      <c r="H29">
        <v>2009</v>
      </c>
      <c r="I29">
        <v>2012</v>
      </c>
      <c r="J29">
        <f t="shared" si="0"/>
        <v>4</v>
      </c>
      <c r="K29" s="1" t="s">
        <v>6076</v>
      </c>
      <c r="L29" s="1" t="s">
        <v>6076</v>
      </c>
      <c r="M29">
        <f t="shared" si="1"/>
        <v>14</v>
      </c>
    </row>
    <row r="30" spans="1:14" x14ac:dyDescent="0.3">
      <c r="A30" s="1" t="s">
        <v>6093</v>
      </c>
      <c r="B30" s="1" t="s">
        <v>5913</v>
      </c>
      <c r="C30" s="1" t="s">
        <v>6094</v>
      </c>
      <c r="D30" s="1" t="s">
        <v>746</v>
      </c>
      <c r="E30" s="1" t="s">
        <v>6076</v>
      </c>
      <c r="F30" s="1" t="s">
        <v>6076</v>
      </c>
      <c r="G30" s="1" t="s">
        <v>5915</v>
      </c>
      <c r="H30">
        <v>2015</v>
      </c>
      <c r="I30">
        <v>2019</v>
      </c>
      <c r="J30">
        <f t="shared" si="0"/>
        <v>5</v>
      </c>
      <c r="K30" s="1" t="s">
        <v>6076</v>
      </c>
      <c r="L30" s="1" t="s">
        <v>6076</v>
      </c>
      <c r="M30">
        <f t="shared" si="1"/>
        <v>7</v>
      </c>
    </row>
    <row r="31" spans="1:14" x14ac:dyDescent="0.3">
      <c r="A31" s="1" t="s">
        <v>6095</v>
      </c>
      <c r="B31" s="1" t="s">
        <v>5913</v>
      </c>
      <c r="C31" s="1" t="s">
        <v>6096</v>
      </c>
      <c r="D31" s="1" t="s">
        <v>746</v>
      </c>
      <c r="E31" s="1" t="s">
        <v>6076</v>
      </c>
      <c r="F31" s="1" t="s">
        <v>6076</v>
      </c>
      <c r="G31" s="1" t="s">
        <v>5915</v>
      </c>
      <c r="H31">
        <v>2013</v>
      </c>
      <c r="I31">
        <v>2019</v>
      </c>
      <c r="J31">
        <f t="shared" si="0"/>
        <v>7</v>
      </c>
      <c r="K31" s="1" t="s">
        <v>6076</v>
      </c>
      <c r="L31" s="1" t="s">
        <v>6076</v>
      </c>
      <c r="M31">
        <f t="shared" si="1"/>
        <v>7</v>
      </c>
    </row>
    <row r="32" spans="1:14" x14ac:dyDescent="0.3">
      <c r="A32" s="1" t="s">
        <v>6097</v>
      </c>
      <c r="B32" s="1" t="s">
        <v>5913</v>
      </c>
      <c r="C32" s="1" t="s">
        <v>6098</v>
      </c>
      <c r="D32" s="1" t="s">
        <v>746</v>
      </c>
      <c r="E32" s="1" t="s">
        <v>6076</v>
      </c>
      <c r="F32" s="1" t="s">
        <v>6076</v>
      </c>
      <c r="G32" s="1" t="s">
        <v>5915</v>
      </c>
      <c r="H32">
        <v>2006</v>
      </c>
      <c r="I32">
        <v>2009</v>
      </c>
      <c r="J32">
        <f t="shared" si="0"/>
        <v>4</v>
      </c>
      <c r="K32" s="1" t="s">
        <v>6076</v>
      </c>
      <c r="L32" s="1" t="s">
        <v>6076</v>
      </c>
      <c r="M32">
        <f t="shared" si="1"/>
        <v>17</v>
      </c>
    </row>
    <row r="33" spans="1:14" x14ac:dyDescent="0.3">
      <c r="A33" s="1" t="s">
        <v>6099</v>
      </c>
      <c r="B33" s="1" t="s">
        <v>5913</v>
      </c>
      <c r="C33" s="1" t="s">
        <v>6100</v>
      </c>
      <c r="D33" s="1" t="s">
        <v>746</v>
      </c>
      <c r="E33" s="1" t="s">
        <v>6076</v>
      </c>
      <c r="F33" s="1" t="s">
        <v>6076</v>
      </c>
      <c r="G33" s="1" t="s">
        <v>5915</v>
      </c>
      <c r="H33">
        <v>2008</v>
      </c>
      <c r="I33">
        <v>2009</v>
      </c>
      <c r="J33">
        <f t="shared" si="0"/>
        <v>2</v>
      </c>
      <c r="K33" s="1" t="s">
        <v>6076</v>
      </c>
      <c r="L33" s="1" t="s">
        <v>6076</v>
      </c>
      <c r="M33">
        <f t="shared" si="1"/>
        <v>17</v>
      </c>
    </row>
    <row r="34" spans="1:14" x14ac:dyDescent="0.3">
      <c r="A34" s="1" t="s">
        <v>6101</v>
      </c>
      <c r="B34" s="1" t="s">
        <v>5913</v>
      </c>
      <c r="C34" s="1" t="s">
        <v>6102</v>
      </c>
      <c r="D34" s="1" t="s">
        <v>746</v>
      </c>
      <c r="E34" s="1" t="s">
        <v>6076</v>
      </c>
      <c r="F34" s="1" t="s">
        <v>6076</v>
      </c>
      <c r="G34" s="1" t="s">
        <v>5915</v>
      </c>
      <c r="H34">
        <v>2007</v>
      </c>
      <c r="I34">
        <v>2012</v>
      </c>
      <c r="J34">
        <f t="shared" si="0"/>
        <v>6</v>
      </c>
      <c r="K34" s="1" t="s">
        <v>6076</v>
      </c>
      <c r="L34" s="1" t="s">
        <v>6076</v>
      </c>
      <c r="M34">
        <f t="shared" si="1"/>
        <v>14</v>
      </c>
    </row>
    <row r="35" spans="1:14" x14ac:dyDescent="0.3">
      <c r="A35" s="1" t="s">
        <v>6103</v>
      </c>
      <c r="B35" s="1" t="s">
        <v>5913</v>
      </c>
      <c r="C35" s="1" t="s">
        <v>6104</v>
      </c>
      <c r="D35" s="1" t="s">
        <v>746</v>
      </c>
      <c r="E35" s="1" t="s">
        <v>6076</v>
      </c>
      <c r="F35" s="1" t="s">
        <v>6076</v>
      </c>
      <c r="G35" s="1" t="s">
        <v>5915</v>
      </c>
      <c r="H35">
        <v>2009</v>
      </c>
      <c r="I35">
        <v>2012</v>
      </c>
      <c r="J35">
        <f t="shared" si="0"/>
        <v>4</v>
      </c>
      <c r="K35" s="1" t="s">
        <v>6076</v>
      </c>
      <c r="L35" s="1" t="s">
        <v>6076</v>
      </c>
      <c r="M35">
        <f t="shared" si="1"/>
        <v>14</v>
      </c>
    </row>
    <row r="36" spans="1:14" x14ac:dyDescent="0.3">
      <c r="A36" s="1" t="s">
        <v>7057</v>
      </c>
      <c r="B36" s="1" t="s">
        <v>802</v>
      </c>
      <c r="C36" s="1" t="s">
        <v>7058</v>
      </c>
      <c r="D36" s="1" t="s">
        <v>746</v>
      </c>
      <c r="E36" s="1" t="s">
        <v>6076</v>
      </c>
      <c r="F36" s="1" t="s">
        <v>6076</v>
      </c>
      <c r="G36" s="1">
        <v>147</v>
      </c>
      <c r="H36">
        <v>1985</v>
      </c>
      <c r="I36">
        <v>1985</v>
      </c>
      <c r="J36">
        <f t="shared" si="0"/>
        <v>1</v>
      </c>
      <c r="K36" s="1" t="s">
        <v>6076</v>
      </c>
      <c r="L36" s="1" t="s">
        <v>6076</v>
      </c>
      <c r="M36">
        <f t="shared" si="1"/>
        <v>41</v>
      </c>
      <c r="N36" t="s">
        <v>640</v>
      </c>
    </row>
    <row r="37" spans="1:14" x14ac:dyDescent="0.3">
      <c r="A37" s="1" t="s">
        <v>7061</v>
      </c>
      <c r="B37" s="1" t="s">
        <v>802</v>
      </c>
      <c r="C37" s="1" t="s">
        <v>7062</v>
      </c>
      <c r="D37" s="1" t="s">
        <v>644</v>
      </c>
      <c r="E37" s="1" t="s">
        <v>6076</v>
      </c>
      <c r="F37" s="1" t="s">
        <v>6076</v>
      </c>
      <c r="G37" s="1">
        <v>147</v>
      </c>
      <c r="H37">
        <v>1995</v>
      </c>
      <c r="I37">
        <v>1997</v>
      </c>
      <c r="J37">
        <f t="shared" si="0"/>
        <v>3</v>
      </c>
      <c r="K37" s="1" t="s">
        <v>6076</v>
      </c>
      <c r="L37" s="1" t="s">
        <v>6076</v>
      </c>
      <c r="M37">
        <f t="shared" si="1"/>
        <v>29</v>
      </c>
      <c r="N37" t="s">
        <v>640</v>
      </c>
    </row>
    <row r="38" spans="1:14" x14ac:dyDescent="0.3">
      <c r="A38" s="1" t="s">
        <v>7059</v>
      </c>
      <c r="B38" s="1" t="s">
        <v>802</v>
      </c>
      <c r="C38" s="1" t="s">
        <v>7060</v>
      </c>
      <c r="D38" s="1" t="s">
        <v>1242</v>
      </c>
      <c r="E38" s="1" t="s">
        <v>6076</v>
      </c>
      <c r="F38" s="1" t="s">
        <v>6076</v>
      </c>
      <c r="G38" s="1">
        <v>147</v>
      </c>
      <c r="H38">
        <v>1995</v>
      </c>
      <c r="I38">
        <v>1995</v>
      </c>
      <c r="J38">
        <f t="shared" si="0"/>
        <v>1</v>
      </c>
      <c r="K38" s="1" t="s">
        <v>6076</v>
      </c>
      <c r="L38" s="1" t="s">
        <v>6076</v>
      </c>
      <c r="M38">
        <f t="shared" si="1"/>
        <v>31</v>
      </c>
      <c r="N38" t="s">
        <v>640</v>
      </c>
    </row>
    <row r="39" spans="1:14" hidden="1" x14ac:dyDescent="0.3">
      <c r="A39" t="s">
        <v>12194</v>
      </c>
      <c r="B39" t="s">
        <v>11000</v>
      </c>
      <c r="C39" t="s">
        <v>12195</v>
      </c>
      <c r="E39" s="1" t="e">
        <v>#N/A</v>
      </c>
      <c r="F39" s="1" t="e">
        <v>#N/A</v>
      </c>
      <c r="G39" s="1">
        <v>1500</v>
      </c>
      <c r="H39">
        <v>2025</v>
      </c>
      <c r="I39">
        <v>2026</v>
      </c>
      <c r="J39">
        <f t="shared" si="0"/>
        <v>2</v>
      </c>
      <c r="K39" s="1" t="s">
        <v>12912</v>
      </c>
      <c r="L39" s="1" t="s">
        <v>12912</v>
      </c>
      <c r="M39">
        <f t="shared" si="1"/>
        <v>0</v>
      </c>
    </row>
    <row r="40" spans="1:14" hidden="1" x14ac:dyDescent="0.3">
      <c r="A40" t="s">
        <v>12196</v>
      </c>
      <c r="B40" t="s">
        <v>11000</v>
      </c>
      <c r="C40" t="s">
        <v>12197</v>
      </c>
      <c r="E40" s="1" t="e">
        <v>#N/A</v>
      </c>
      <c r="F40" s="1" t="e">
        <v>#N/A</v>
      </c>
      <c r="G40" s="1">
        <v>1500</v>
      </c>
      <c r="H40">
        <v>2025</v>
      </c>
      <c r="I40">
        <v>2026</v>
      </c>
      <c r="J40">
        <f t="shared" si="0"/>
        <v>2</v>
      </c>
      <c r="K40" s="1" t="s">
        <v>12912</v>
      </c>
      <c r="L40" s="1" t="s">
        <v>12912</v>
      </c>
      <c r="M40">
        <f t="shared" si="1"/>
        <v>0</v>
      </c>
    </row>
    <row r="41" spans="1:14" hidden="1" x14ac:dyDescent="0.3">
      <c r="A41" t="s">
        <v>12198</v>
      </c>
      <c r="B41" t="s">
        <v>11000</v>
      </c>
      <c r="C41" t="s">
        <v>12199</v>
      </c>
      <c r="E41" s="1" t="e">
        <v>#N/A</v>
      </c>
      <c r="F41" s="1" t="e">
        <v>#N/A</v>
      </c>
      <c r="G41" s="1">
        <v>1500</v>
      </c>
      <c r="H41">
        <v>2022</v>
      </c>
      <c r="I41">
        <v>2024</v>
      </c>
      <c r="J41">
        <f t="shared" si="0"/>
        <v>3</v>
      </c>
      <c r="K41" s="1" t="s">
        <v>12912</v>
      </c>
      <c r="L41" s="1" t="s">
        <v>12912</v>
      </c>
      <c r="M41">
        <f t="shared" si="1"/>
        <v>2</v>
      </c>
    </row>
    <row r="42" spans="1:14" hidden="1" x14ac:dyDescent="0.3">
      <c r="A42" t="s">
        <v>12200</v>
      </c>
      <c r="B42" t="s">
        <v>11000</v>
      </c>
      <c r="C42" t="s">
        <v>12201</v>
      </c>
      <c r="E42" s="1" t="e">
        <v>#N/A</v>
      </c>
      <c r="F42" s="1" t="e">
        <v>#N/A</v>
      </c>
      <c r="G42" s="1">
        <v>1500</v>
      </c>
      <c r="H42">
        <v>2023</v>
      </c>
      <c r="I42">
        <v>2024</v>
      </c>
      <c r="J42">
        <f t="shared" si="0"/>
        <v>2</v>
      </c>
      <c r="K42" s="1" t="s">
        <v>12912</v>
      </c>
      <c r="L42" s="1" t="s">
        <v>12912</v>
      </c>
      <c r="M42">
        <f t="shared" si="1"/>
        <v>2</v>
      </c>
    </row>
    <row r="43" spans="1:14" hidden="1" x14ac:dyDescent="0.3">
      <c r="A43" t="s">
        <v>12202</v>
      </c>
      <c r="B43" t="s">
        <v>11000</v>
      </c>
      <c r="C43" t="s">
        <v>12203</v>
      </c>
      <c r="E43" s="1" t="e">
        <v>#N/A</v>
      </c>
      <c r="F43" s="1" t="e">
        <v>#N/A</v>
      </c>
      <c r="G43" s="1">
        <v>1500</v>
      </c>
      <c r="H43">
        <v>2021</v>
      </c>
      <c r="I43">
        <v>2024</v>
      </c>
      <c r="J43">
        <f t="shared" si="0"/>
        <v>4</v>
      </c>
      <c r="K43" s="1" t="s">
        <v>12912</v>
      </c>
      <c r="L43" s="1" t="s">
        <v>12912</v>
      </c>
      <c r="M43">
        <f t="shared" si="1"/>
        <v>2</v>
      </c>
    </row>
    <row r="44" spans="1:14" x14ac:dyDescent="0.3">
      <c r="A44" s="1" t="s">
        <v>7229</v>
      </c>
      <c r="B44" s="1" t="s">
        <v>5931</v>
      </c>
      <c r="C44" s="1" t="s">
        <v>7230</v>
      </c>
      <c r="D44" s="1" t="s">
        <v>644</v>
      </c>
      <c r="E44" s="1" t="s">
        <v>6076</v>
      </c>
      <c r="F44" s="1" t="s">
        <v>6076</v>
      </c>
      <c r="G44" s="1" t="s">
        <v>7231</v>
      </c>
      <c r="H44">
        <v>1993</v>
      </c>
      <c r="I44">
        <v>1996</v>
      </c>
      <c r="J44">
        <f t="shared" si="0"/>
        <v>4</v>
      </c>
      <c r="K44" s="1" t="s">
        <v>6076</v>
      </c>
      <c r="L44" s="1" t="s">
        <v>6076</v>
      </c>
      <c r="M44">
        <f t="shared" si="1"/>
        <v>30</v>
      </c>
    </row>
    <row r="45" spans="1:14" x14ac:dyDescent="0.3">
      <c r="A45" s="1" t="s">
        <v>7232</v>
      </c>
      <c r="B45" s="1" t="s">
        <v>5931</v>
      </c>
      <c r="C45" s="1" t="s">
        <v>7233</v>
      </c>
      <c r="D45" s="1" t="s">
        <v>644</v>
      </c>
      <c r="E45" s="1" t="s">
        <v>6076</v>
      </c>
      <c r="F45" s="1" t="s">
        <v>6076</v>
      </c>
      <c r="G45" s="1" t="s">
        <v>7231</v>
      </c>
      <c r="H45">
        <v>1993</v>
      </c>
      <c r="I45">
        <v>1996</v>
      </c>
      <c r="J45">
        <f t="shared" si="0"/>
        <v>4</v>
      </c>
      <c r="K45" s="1" t="s">
        <v>6076</v>
      </c>
      <c r="L45" s="1" t="s">
        <v>6076</v>
      </c>
      <c r="M45">
        <f t="shared" si="1"/>
        <v>30</v>
      </c>
    </row>
    <row r="46" spans="1:14" x14ac:dyDescent="0.3">
      <c r="A46" s="1" t="s">
        <v>7025</v>
      </c>
      <c r="B46" s="1" t="s">
        <v>12756</v>
      </c>
      <c r="C46" s="1" t="s">
        <v>7026</v>
      </c>
      <c r="D46" s="1" t="s">
        <v>738</v>
      </c>
      <c r="E46" s="1" t="s">
        <v>6076</v>
      </c>
      <c r="F46" s="1" t="s">
        <v>6076</v>
      </c>
      <c r="G46" s="1">
        <v>19</v>
      </c>
      <c r="H46">
        <v>1994</v>
      </c>
      <c r="I46">
        <v>1996</v>
      </c>
      <c r="J46">
        <f t="shared" si="0"/>
        <v>3</v>
      </c>
      <c r="K46" s="1" t="s">
        <v>6076</v>
      </c>
      <c r="L46" s="1" t="s">
        <v>6076</v>
      </c>
      <c r="M46">
        <f t="shared" si="1"/>
        <v>30</v>
      </c>
      <c r="N46" t="s">
        <v>640</v>
      </c>
    </row>
    <row r="47" spans="1:14" x14ac:dyDescent="0.3">
      <c r="A47" s="1" t="s">
        <v>7023</v>
      </c>
      <c r="B47" s="1" t="s">
        <v>12756</v>
      </c>
      <c r="C47" s="1" t="s">
        <v>7024</v>
      </c>
      <c r="D47" s="1" t="s">
        <v>738</v>
      </c>
      <c r="E47" s="1" t="s">
        <v>6076</v>
      </c>
      <c r="F47" s="1" t="s">
        <v>6076</v>
      </c>
      <c r="G47" s="1">
        <v>19</v>
      </c>
      <c r="H47">
        <v>1994</v>
      </c>
      <c r="I47">
        <v>1998</v>
      </c>
      <c r="J47">
        <f t="shared" si="0"/>
        <v>5</v>
      </c>
      <c r="K47" s="1" t="s">
        <v>6076</v>
      </c>
      <c r="L47" s="1" t="s">
        <v>6076</v>
      </c>
      <c r="M47">
        <f t="shared" si="1"/>
        <v>28</v>
      </c>
      <c r="N47" t="s">
        <v>640</v>
      </c>
    </row>
    <row r="48" spans="1:14" x14ac:dyDescent="0.3">
      <c r="A48" s="1" t="s">
        <v>7021</v>
      </c>
      <c r="B48" s="1" t="s">
        <v>12756</v>
      </c>
      <c r="C48" s="1" t="s">
        <v>7022</v>
      </c>
      <c r="D48" s="1" t="s">
        <v>738</v>
      </c>
      <c r="E48" s="1" t="s">
        <v>6076</v>
      </c>
      <c r="F48" s="1" t="s">
        <v>6076</v>
      </c>
      <c r="G48" s="1">
        <v>19</v>
      </c>
      <c r="H48">
        <v>1994</v>
      </c>
      <c r="I48">
        <v>1999</v>
      </c>
      <c r="J48">
        <f t="shared" si="0"/>
        <v>6</v>
      </c>
      <c r="K48" s="1" t="s">
        <v>6076</v>
      </c>
      <c r="L48" s="1" t="s">
        <v>6076</v>
      </c>
      <c r="M48">
        <f t="shared" si="1"/>
        <v>27</v>
      </c>
      <c r="N48" t="s">
        <v>640</v>
      </c>
    </row>
    <row r="49" spans="1:14" x14ac:dyDescent="0.3">
      <c r="A49" s="1" t="s">
        <v>7027</v>
      </c>
      <c r="B49" s="1" t="s">
        <v>12756</v>
      </c>
      <c r="C49" s="1" t="s">
        <v>7028</v>
      </c>
      <c r="D49" s="1" t="s">
        <v>738</v>
      </c>
      <c r="E49" s="1" t="s">
        <v>6076</v>
      </c>
      <c r="F49" s="1" t="s">
        <v>6076</v>
      </c>
      <c r="G49" s="1">
        <v>19</v>
      </c>
      <c r="H49">
        <v>1994</v>
      </c>
      <c r="I49">
        <v>1995</v>
      </c>
      <c r="J49">
        <f t="shared" si="0"/>
        <v>2</v>
      </c>
      <c r="K49" s="1" t="s">
        <v>6076</v>
      </c>
      <c r="L49" s="1" t="s">
        <v>6076</v>
      </c>
      <c r="M49">
        <f t="shared" si="1"/>
        <v>31</v>
      </c>
      <c r="N49" t="s">
        <v>640</v>
      </c>
    </row>
    <row r="50" spans="1:14" x14ac:dyDescent="0.3">
      <c r="A50" s="1" t="s">
        <v>7234</v>
      </c>
      <c r="B50" s="1" t="s">
        <v>5931</v>
      </c>
      <c r="C50" s="1" t="s">
        <v>7235</v>
      </c>
      <c r="D50" s="1" t="s">
        <v>738</v>
      </c>
      <c r="E50" s="1" t="s">
        <v>6076</v>
      </c>
      <c r="F50" s="1" t="s">
        <v>6076</v>
      </c>
      <c r="G50" s="1" t="s">
        <v>7236</v>
      </c>
      <c r="H50">
        <v>1985</v>
      </c>
      <c r="I50">
        <v>1993</v>
      </c>
      <c r="J50">
        <f t="shared" si="0"/>
        <v>9</v>
      </c>
      <c r="K50" s="1" t="s">
        <v>6076</v>
      </c>
      <c r="L50" s="1" t="s">
        <v>6076</v>
      </c>
      <c r="M50">
        <f t="shared" si="1"/>
        <v>33</v>
      </c>
    </row>
    <row r="51" spans="1:14" hidden="1" x14ac:dyDescent="0.3">
      <c r="A51" t="s">
        <v>12132</v>
      </c>
      <c r="B51" t="s">
        <v>642</v>
      </c>
      <c r="C51" t="s">
        <v>12133</v>
      </c>
      <c r="E51" s="1" t="e">
        <v>#N/A</v>
      </c>
      <c r="F51" s="1" t="e">
        <v>#N/A</v>
      </c>
      <c r="G51" s="1">
        <v>2008</v>
      </c>
      <c r="H51">
        <v>2025</v>
      </c>
      <c r="I51">
        <v>2026</v>
      </c>
      <c r="J51">
        <f t="shared" si="0"/>
        <v>2</v>
      </c>
      <c r="K51" s="1" t="s">
        <v>3665</v>
      </c>
      <c r="L51" s="1" t="s">
        <v>798</v>
      </c>
      <c r="M51">
        <f t="shared" si="1"/>
        <v>0</v>
      </c>
    </row>
    <row r="52" spans="1:14" hidden="1" x14ac:dyDescent="0.3">
      <c r="A52" t="s">
        <v>12134</v>
      </c>
      <c r="B52" t="s">
        <v>642</v>
      </c>
      <c r="C52" t="s">
        <v>12135</v>
      </c>
      <c r="E52" s="1" t="e">
        <v>#N/A</v>
      </c>
      <c r="F52" s="1" t="e">
        <v>#N/A</v>
      </c>
      <c r="G52" s="1">
        <v>2008</v>
      </c>
      <c r="H52">
        <v>2025</v>
      </c>
      <c r="I52">
        <v>2026</v>
      </c>
      <c r="J52">
        <f t="shared" si="0"/>
        <v>2</v>
      </c>
      <c r="K52" s="1" t="s">
        <v>3665</v>
      </c>
      <c r="L52" s="1" t="s">
        <v>798</v>
      </c>
      <c r="M52">
        <f t="shared" si="1"/>
        <v>0</v>
      </c>
    </row>
    <row r="53" spans="1:14" hidden="1" x14ac:dyDescent="0.3">
      <c r="A53" t="s">
        <v>12136</v>
      </c>
      <c r="B53" t="s">
        <v>642</v>
      </c>
      <c r="C53" t="s">
        <v>12137</v>
      </c>
      <c r="E53" s="1" t="e">
        <v>#N/A</v>
      </c>
      <c r="F53" s="1" t="e">
        <v>#N/A</v>
      </c>
      <c r="G53" s="1">
        <v>2008</v>
      </c>
      <c r="H53">
        <v>2025</v>
      </c>
      <c r="I53">
        <v>2026</v>
      </c>
      <c r="J53">
        <f t="shared" si="0"/>
        <v>2</v>
      </c>
      <c r="K53" s="1" t="s">
        <v>3665</v>
      </c>
      <c r="L53" s="1" t="s">
        <v>798</v>
      </c>
      <c r="M53">
        <f t="shared" si="1"/>
        <v>0</v>
      </c>
    </row>
    <row r="54" spans="1:14" hidden="1" x14ac:dyDescent="0.3">
      <c r="A54" s="1" t="s">
        <v>3823</v>
      </c>
      <c r="B54" s="1" t="s">
        <v>642</v>
      </c>
      <c r="C54" s="1" t="s">
        <v>3824</v>
      </c>
      <c r="D54" s="1" t="s">
        <v>1395</v>
      </c>
      <c r="E54" s="1" t="s">
        <v>1396</v>
      </c>
      <c r="F54" s="1" t="s">
        <v>1397</v>
      </c>
      <c r="G54" s="1">
        <v>2008</v>
      </c>
      <c r="H54">
        <v>2015</v>
      </c>
      <c r="I54">
        <v>2022</v>
      </c>
      <c r="J54">
        <f t="shared" si="0"/>
        <v>8</v>
      </c>
      <c r="K54" s="1" t="s">
        <v>3665</v>
      </c>
      <c r="L54" s="1" t="s">
        <v>798</v>
      </c>
      <c r="M54">
        <f t="shared" si="1"/>
        <v>4</v>
      </c>
      <c r="N54" t="s">
        <v>650</v>
      </c>
    </row>
    <row r="55" spans="1:14" hidden="1" x14ac:dyDescent="0.3">
      <c r="A55" s="1" t="s">
        <v>3969</v>
      </c>
      <c r="B55" s="1" t="s">
        <v>642</v>
      </c>
      <c r="C55" s="1" t="s">
        <v>3970</v>
      </c>
      <c r="D55" s="1" t="s">
        <v>1395</v>
      </c>
      <c r="E55" s="1" t="s">
        <v>1396</v>
      </c>
      <c r="F55" s="1" t="s">
        <v>1397</v>
      </c>
      <c r="G55" s="1">
        <v>2008</v>
      </c>
      <c r="H55">
        <v>2015</v>
      </c>
      <c r="I55">
        <v>2020</v>
      </c>
      <c r="J55">
        <f t="shared" si="0"/>
        <v>6</v>
      </c>
      <c r="K55" s="1" t="s">
        <v>3665</v>
      </c>
      <c r="L55" s="1" t="s">
        <v>798</v>
      </c>
      <c r="M55">
        <f t="shared" si="1"/>
        <v>6</v>
      </c>
      <c r="N55" t="s">
        <v>650</v>
      </c>
    </row>
    <row r="56" spans="1:14" hidden="1" x14ac:dyDescent="0.3">
      <c r="A56" s="1" t="s">
        <v>3965</v>
      </c>
      <c r="B56" s="1" t="s">
        <v>642</v>
      </c>
      <c r="C56" s="1" t="s">
        <v>3966</v>
      </c>
      <c r="D56" s="1" t="s">
        <v>1395</v>
      </c>
      <c r="E56" s="1" t="s">
        <v>1396</v>
      </c>
      <c r="F56" s="1" t="s">
        <v>1397</v>
      </c>
      <c r="G56" s="1">
        <v>2008</v>
      </c>
      <c r="H56">
        <v>2017</v>
      </c>
      <c r="I56">
        <v>2020</v>
      </c>
      <c r="J56">
        <f t="shared" si="0"/>
        <v>4</v>
      </c>
      <c r="K56" s="1" t="s">
        <v>3665</v>
      </c>
      <c r="L56" s="1" t="s">
        <v>798</v>
      </c>
      <c r="M56">
        <f t="shared" si="1"/>
        <v>6</v>
      </c>
      <c r="N56" t="s">
        <v>650</v>
      </c>
    </row>
    <row r="57" spans="1:14" hidden="1" x14ac:dyDescent="0.3">
      <c r="A57" s="1" t="s">
        <v>3955</v>
      </c>
      <c r="B57" s="1" t="s">
        <v>642</v>
      </c>
      <c r="C57" s="1" t="s">
        <v>3956</v>
      </c>
      <c r="D57" s="1" t="s">
        <v>1395</v>
      </c>
      <c r="E57" s="1" t="s">
        <v>1396</v>
      </c>
      <c r="F57" s="1" t="s">
        <v>1397</v>
      </c>
      <c r="G57" s="1">
        <v>2008</v>
      </c>
      <c r="H57">
        <v>2022</v>
      </c>
      <c r="I57">
        <v>2022</v>
      </c>
      <c r="J57">
        <f t="shared" si="0"/>
        <v>1</v>
      </c>
      <c r="K57" s="1" t="s">
        <v>3665</v>
      </c>
      <c r="L57" s="1" t="s">
        <v>798</v>
      </c>
      <c r="M57">
        <f t="shared" si="1"/>
        <v>4</v>
      </c>
      <c r="N57" t="s">
        <v>650</v>
      </c>
    </row>
    <row r="58" spans="1:14" hidden="1" x14ac:dyDescent="0.3">
      <c r="A58" s="1" t="s">
        <v>3959</v>
      </c>
      <c r="B58" s="1" t="s">
        <v>642</v>
      </c>
      <c r="C58" s="1" t="s">
        <v>3960</v>
      </c>
      <c r="D58" s="1" t="s">
        <v>1395</v>
      </c>
      <c r="E58" s="1" t="s">
        <v>1396</v>
      </c>
      <c r="F58" s="1" t="s">
        <v>1397</v>
      </c>
      <c r="G58" s="1">
        <v>2008</v>
      </c>
      <c r="H58">
        <v>2020</v>
      </c>
      <c r="I58">
        <v>2022</v>
      </c>
      <c r="J58">
        <f t="shared" si="0"/>
        <v>3</v>
      </c>
      <c r="K58" s="1" t="s">
        <v>3665</v>
      </c>
      <c r="L58" s="1" t="s">
        <v>798</v>
      </c>
      <c r="M58">
        <f t="shared" si="1"/>
        <v>4</v>
      </c>
      <c r="N58" t="s">
        <v>650</v>
      </c>
    </row>
    <row r="59" spans="1:14" hidden="1" x14ac:dyDescent="0.3">
      <c r="A59" s="1" t="s">
        <v>3963</v>
      </c>
      <c r="B59" s="1" t="s">
        <v>642</v>
      </c>
      <c r="C59" s="1" t="s">
        <v>3964</v>
      </c>
      <c r="D59" s="1" t="s">
        <v>1395</v>
      </c>
      <c r="E59" s="1" t="s">
        <v>1396</v>
      </c>
      <c r="F59" s="1" t="s">
        <v>1397</v>
      </c>
      <c r="G59" s="1">
        <v>2008</v>
      </c>
      <c r="H59">
        <v>2020</v>
      </c>
      <c r="I59">
        <v>2020</v>
      </c>
      <c r="J59">
        <f t="shared" si="0"/>
        <v>1</v>
      </c>
      <c r="K59" s="1" t="s">
        <v>3665</v>
      </c>
      <c r="L59" s="1" t="s">
        <v>798</v>
      </c>
      <c r="M59">
        <f t="shared" si="1"/>
        <v>6</v>
      </c>
      <c r="N59" t="s">
        <v>650</v>
      </c>
    </row>
    <row r="60" spans="1:14" hidden="1" x14ac:dyDescent="0.3">
      <c r="A60" s="1" t="s">
        <v>3967</v>
      </c>
      <c r="B60" s="1" t="s">
        <v>642</v>
      </c>
      <c r="C60" s="1" t="s">
        <v>3968</v>
      </c>
      <c r="D60" s="1" t="s">
        <v>1395</v>
      </c>
      <c r="E60" s="1" t="s">
        <v>1396</v>
      </c>
      <c r="F60" s="1" t="s">
        <v>1397</v>
      </c>
      <c r="G60" s="1">
        <v>2008</v>
      </c>
      <c r="H60">
        <v>2017</v>
      </c>
      <c r="I60">
        <v>2020</v>
      </c>
      <c r="J60">
        <f t="shared" si="0"/>
        <v>4</v>
      </c>
      <c r="K60" s="1" t="s">
        <v>3665</v>
      </c>
      <c r="L60" s="1" t="s">
        <v>798</v>
      </c>
      <c r="M60">
        <f t="shared" si="1"/>
        <v>6</v>
      </c>
      <c r="N60" t="s">
        <v>650</v>
      </c>
    </row>
    <row r="61" spans="1:14" hidden="1" x14ac:dyDescent="0.3">
      <c r="A61" s="1" t="s">
        <v>3825</v>
      </c>
      <c r="B61" s="1" t="s">
        <v>642</v>
      </c>
      <c r="C61" s="1" t="s">
        <v>3826</v>
      </c>
      <c r="D61" s="1" t="s">
        <v>1395</v>
      </c>
      <c r="E61" s="1" t="s">
        <v>1396</v>
      </c>
      <c r="F61" s="1" t="s">
        <v>1397</v>
      </c>
      <c r="G61" s="1">
        <v>2008</v>
      </c>
      <c r="H61">
        <v>2015</v>
      </c>
      <c r="I61">
        <v>2022</v>
      </c>
      <c r="J61">
        <f t="shared" si="0"/>
        <v>8</v>
      </c>
      <c r="K61" s="1" t="s">
        <v>3665</v>
      </c>
      <c r="L61" s="1" t="s">
        <v>798</v>
      </c>
      <c r="M61">
        <f t="shared" si="1"/>
        <v>4</v>
      </c>
      <c r="N61" t="s">
        <v>650</v>
      </c>
    </row>
    <row r="62" spans="1:14" hidden="1" x14ac:dyDescent="0.3">
      <c r="A62" s="1" t="s">
        <v>3975</v>
      </c>
      <c r="B62" s="1" t="s">
        <v>642</v>
      </c>
      <c r="C62" s="1" t="s">
        <v>3976</v>
      </c>
      <c r="D62" s="1" t="s">
        <v>1395</v>
      </c>
      <c r="E62" s="1" t="s">
        <v>1396</v>
      </c>
      <c r="F62" s="1" t="s">
        <v>1397</v>
      </c>
      <c r="G62" s="1">
        <v>2008</v>
      </c>
      <c r="H62">
        <v>2015</v>
      </c>
      <c r="I62">
        <v>2018</v>
      </c>
      <c r="J62">
        <f t="shared" si="0"/>
        <v>4</v>
      </c>
      <c r="K62" s="1" t="s">
        <v>3665</v>
      </c>
      <c r="L62" s="1" t="s">
        <v>798</v>
      </c>
      <c r="M62">
        <f t="shared" si="1"/>
        <v>8</v>
      </c>
      <c r="N62" t="s">
        <v>650</v>
      </c>
    </row>
    <row r="63" spans="1:14" hidden="1" x14ac:dyDescent="0.3">
      <c r="A63" s="1" t="s">
        <v>3961</v>
      </c>
      <c r="B63" s="1" t="s">
        <v>642</v>
      </c>
      <c r="C63" s="1" t="s">
        <v>3962</v>
      </c>
      <c r="D63" s="1" t="s">
        <v>1395</v>
      </c>
      <c r="E63" s="1" t="s">
        <v>1396</v>
      </c>
      <c r="F63" s="1" t="s">
        <v>1397</v>
      </c>
      <c r="G63" s="1">
        <v>2008</v>
      </c>
      <c r="H63">
        <v>2020</v>
      </c>
      <c r="I63">
        <v>2022</v>
      </c>
      <c r="J63">
        <f t="shared" si="0"/>
        <v>3</v>
      </c>
      <c r="K63" s="1" t="s">
        <v>3665</v>
      </c>
      <c r="L63" s="1" t="s">
        <v>798</v>
      </c>
      <c r="M63">
        <f t="shared" si="1"/>
        <v>4</v>
      </c>
      <c r="N63" t="s">
        <v>650</v>
      </c>
    </row>
    <row r="64" spans="1:14" hidden="1" x14ac:dyDescent="0.3">
      <c r="A64" s="1" t="s">
        <v>3971</v>
      </c>
      <c r="B64" s="1" t="s">
        <v>642</v>
      </c>
      <c r="C64" s="1" t="s">
        <v>3972</v>
      </c>
      <c r="D64" s="1" t="s">
        <v>1395</v>
      </c>
      <c r="E64" s="1" t="s">
        <v>1396</v>
      </c>
      <c r="F64" s="1" t="s">
        <v>1397</v>
      </c>
      <c r="G64" s="1">
        <v>2008</v>
      </c>
      <c r="H64">
        <v>2015</v>
      </c>
      <c r="I64">
        <v>2020</v>
      </c>
      <c r="J64">
        <f t="shared" si="0"/>
        <v>6</v>
      </c>
      <c r="K64" s="1" t="s">
        <v>3665</v>
      </c>
      <c r="L64" s="1" t="s">
        <v>798</v>
      </c>
      <c r="M64">
        <f t="shared" si="1"/>
        <v>6</v>
      </c>
      <c r="N64" t="s">
        <v>650</v>
      </c>
    </row>
    <row r="65" spans="1:14" hidden="1" x14ac:dyDescent="0.3">
      <c r="A65" t="s">
        <v>12138</v>
      </c>
      <c r="B65" t="s">
        <v>642</v>
      </c>
      <c r="C65" t="s">
        <v>12139</v>
      </c>
      <c r="E65" s="1" t="e">
        <v>#N/A</v>
      </c>
      <c r="F65" s="1" t="e">
        <v>#N/A</v>
      </c>
      <c r="G65" s="1">
        <v>2008</v>
      </c>
      <c r="H65">
        <v>2025</v>
      </c>
      <c r="I65">
        <v>2026</v>
      </c>
      <c r="J65">
        <f t="shared" si="0"/>
        <v>2</v>
      </c>
      <c r="K65" s="1" t="s">
        <v>4668</v>
      </c>
      <c r="L65" s="1" t="s">
        <v>659</v>
      </c>
      <c r="M65">
        <f t="shared" si="1"/>
        <v>0</v>
      </c>
    </row>
    <row r="66" spans="1:14" hidden="1" x14ac:dyDescent="0.3">
      <c r="A66" t="s">
        <v>12140</v>
      </c>
      <c r="B66" t="s">
        <v>642</v>
      </c>
      <c r="C66" t="s">
        <v>12141</v>
      </c>
      <c r="E66" s="1" t="e">
        <v>#N/A</v>
      </c>
      <c r="F66" s="1" t="e">
        <v>#N/A</v>
      </c>
      <c r="G66" s="1">
        <v>2008</v>
      </c>
      <c r="H66">
        <v>2025</v>
      </c>
      <c r="I66">
        <v>2026</v>
      </c>
      <c r="J66">
        <f t="shared" si="0"/>
        <v>2</v>
      </c>
      <c r="K66" s="1" t="s">
        <v>4668</v>
      </c>
      <c r="L66" s="1" t="s">
        <v>659</v>
      </c>
      <c r="M66">
        <f t="shared" si="1"/>
        <v>0</v>
      </c>
    </row>
    <row r="67" spans="1:14" hidden="1" x14ac:dyDescent="0.3">
      <c r="A67" t="s">
        <v>12142</v>
      </c>
      <c r="B67" t="s">
        <v>642</v>
      </c>
      <c r="C67" t="s">
        <v>12143</v>
      </c>
      <c r="E67" s="1" t="e">
        <v>#N/A</v>
      </c>
      <c r="F67" s="1" t="e">
        <v>#N/A</v>
      </c>
      <c r="G67" s="1">
        <v>2008</v>
      </c>
      <c r="H67">
        <v>2023</v>
      </c>
      <c r="I67">
        <v>2024</v>
      </c>
      <c r="J67">
        <f t="shared" si="0"/>
        <v>2</v>
      </c>
      <c r="K67" s="1" t="s">
        <v>3665</v>
      </c>
      <c r="L67" s="1" t="s">
        <v>798</v>
      </c>
      <c r="M67">
        <f t="shared" si="1"/>
        <v>2</v>
      </c>
    </row>
    <row r="68" spans="1:14" hidden="1" x14ac:dyDescent="0.3">
      <c r="A68" s="1" t="s">
        <v>3957</v>
      </c>
      <c r="B68" s="1" t="s">
        <v>642</v>
      </c>
      <c r="C68" s="1" t="s">
        <v>3958</v>
      </c>
      <c r="D68" s="1" t="s">
        <v>1395</v>
      </c>
      <c r="E68" s="1" t="s">
        <v>1396</v>
      </c>
      <c r="F68" s="1" t="s">
        <v>1397</v>
      </c>
      <c r="G68" s="1">
        <v>2008</v>
      </c>
      <c r="H68">
        <v>2022</v>
      </c>
      <c r="I68">
        <v>2022</v>
      </c>
      <c r="J68">
        <f t="shared" si="0"/>
        <v>1</v>
      </c>
      <c r="K68" s="1" t="s">
        <v>3665</v>
      </c>
      <c r="L68" s="1" t="s">
        <v>798</v>
      </c>
      <c r="M68">
        <f t="shared" si="1"/>
        <v>4</v>
      </c>
      <c r="N68" t="s">
        <v>650</v>
      </c>
    </row>
    <row r="69" spans="1:14" hidden="1" x14ac:dyDescent="0.3">
      <c r="A69" s="1" t="s">
        <v>3973</v>
      </c>
      <c r="B69" s="1" t="s">
        <v>642</v>
      </c>
      <c r="C69" s="1" t="s">
        <v>3974</v>
      </c>
      <c r="D69" s="1" t="s">
        <v>1395</v>
      </c>
      <c r="E69" s="1" t="s">
        <v>1396</v>
      </c>
      <c r="F69" s="1" t="s">
        <v>1397</v>
      </c>
      <c r="G69" s="1">
        <v>2008</v>
      </c>
      <c r="H69">
        <v>2019</v>
      </c>
      <c r="I69">
        <v>2019</v>
      </c>
      <c r="J69">
        <f t="shared" si="0"/>
        <v>1</v>
      </c>
      <c r="K69" s="1" t="s">
        <v>3665</v>
      </c>
      <c r="L69" s="1" t="s">
        <v>798</v>
      </c>
      <c r="M69">
        <f t="shared" si="1"/>
        <v>7</v>
      </c>
      <c r="N69" t="s">
        <v>650</v>
      </c>
    </row>
    <row r="70" spans="1:14" hidden="1" x14ac:dyDescent="0.3">
      <c r="A70" t="s">
        <v>12144</v>
      </c>
      <c r="B70" t="s">
        <v>642</v>
      </c>
      <c r="C70" t="s">
        <v>12145</v>
      </c>
      <c r="E70" s="1" t="e">
        <v>#N/A</v>
      </c>
      <c r="F70" s="1" t="e">
        <v>#N/A</v>
      </c>
      <c r="G70" s="1">
        <v>2008</v>
      </c>
      <c r="H70">
        <v>2023</v>
      </c>
      <c r="I70">
        <v>2024</v>
      </c>
      <c r="J70">
        <f t="shared" ref="J70:J133" si="2">1+(I70-H70)</f>
        <v>2</v>
      </c>
      <c r="K70" s="1" t="s">
        <v>3665</v>
      </c>
      <c r="L70" s="1" t="s">
        <v>798</v>
      </c>
      <c r="M70">
        <f t="shared" ref="M70:M133" si="3">IF(I70=0,0,$B$2-I70)</f>
        <v>2</v>
      </c>
    </row>
    <row r="71" spans="1:14" x14ac:dyDescent="0.3">
      <c r="A71" s="1" t="s">
        <v>7065</v>
      </c>
      <c r="B71" s="1" t="s">
        <v>642</v>
      </c>
      <c r="C71" s="1" t="s">
        <v>7066</v>
      </c>
      <c r="D71" s="1" t="s">
        <v>746</v>
      </c>
      <c r="E71" s="1" t="s">
        <v>6076</v>
      </c>
      <c r="F71" s="1" t="s">
        <v>6076</v>
      </c>
      <c r="G71" s="1">
        <v>205</v>
      </c>
      <c r="H71">
        <v>1993</v>
      </c>
      <c r="I71">
        <v>1995</v>
      </c>
      <c r="J71">
        <f t="shared" si="2"/>
        <v>3</v>
      </c>
      <c r="K71" s="1" t="s">
        <v>6076</v>
      </c>
      <c r="L71" s="1" t="s">
        <v>6076</v>
      </c>
      <c r="M71">
        <f t="shared" si="3"/>
        <v>31</v>
      </c>
      <c r="N71" t="s">
        <v>640</v>
      </c>
    </row>
    <row r="72" spans="1:14" x14ac:dyDescent="0.3">
      <c r="A72" s="1" t="s">
        <v>7069</v>
      </c>
      <c r="B72" s="1" t="s">
        <v>642</v>
      </c>
      <c r="C72" s="1" t="s">
        <v>7070</v>
      </c>
      <c r="D72" s="1" t="s">
        <v>746</v>
      </c>
      <c r="E72" s="1" t="s">
        <v>6076</v>
      </c>
      <c r="F72" s="1" t="s">
        <v>6076</v>
      </c>
      <c r="G72" s="1">
        <v>205</v>
      </c>
      <c r="H72">
        <v>1992</v>
      </c>
      <c r="I72">
        <v>1995</v>
      </c>
      <c r="J72">
        <f t="shared" si="2"/>
        <v>4</v>
      </c>
      <c r="K72" s="1" t="s">
        <v>6076</v>
      </c>
      <c r="L72" s="1" t="s">
        <v>6076</v>
      </c>
      <c r="M72">
        <f t="shared" si="3"/>
        <v>31</v>
      </c>
      <c r="N72" t="s">
        <v>640</v>
      </c>
    </row>
    <row r="73" spans="1:14" x14ac:dyDescent="0.3">
      <c r="A73" s="1" t="s">
        <v>7067</v>
      </c>
      <c r="B73" s="1" t="s">
        <v>642</v>
      </c>
      <c r="C73" s="1" t="s">
        <v>7068</v>
      </c>
      <c r="D73" s="1" t="s">
        <v>746</v>
      </c>
      <c r="E73" s="1" t="s">
        <v>6076</v>
      </c>
      <c r="F73" s="1" t="s">
        <v>6076</v>
      </c>
      <c r="G73" s="1">
        <v>205</v>
      </c>
      <c r="H73">
        <v>1993</v>
      </c>
      <c r="I73">
        <v>1995</v>
      </c>
      <c r="J73">
        <f t="shared" si="2"/>
        <v>3</v>
      </c>
      <c r="K73" s="1" t="s">
        <v>6076</v>
      </c>
      <c r="L73" s="1" t="s">
        <v>6076</v>
      </c>
      <c r="M73">
        <f t="shared" si="3"/>
        <v>31</v>
      </c>
      <c r="N73" t="s">
        <v>640</v>
      </c>
    </row>
    <row r="74" spans="1:14" x14ac:dyDescent="0.3">
      <c r="A74" s="1" t="s">
        <v>7063</v>
      </c>
      <c r="B74" s="1" t="s">
        <v>642</v>
      </c>
      <c r="C74" s="1" t="s">
        <v>7064</v>
      </c>
      <c r="D74" s="1" t="s">
        <v>746</v>
      </c>
      <c r="E74" s="1" t="s">
        <v>6076</v>
      </c>
      <c r="F74" s="1" t="s">
        <v>6076</v>
      </c>
      <c r="G74" s="1">
        <v>205</v>
      </c>
      <c r="H74">
        <v>1993</v>
      </c>
      <c r="I74">
        <v>1998</v>
      </c>
      <c r="J74">
        <f t="shared" si="2"/>
        <v>6</v>
      </c>
      <c r="K74" s="1" t="s">
        <v>6076</v>
      </c>
      <c r="L74" s="1" t="s">
        <v>6076</v>
      </c>
      <c r="M74">
        <f t="shared" si="3"/>
        <v>28</v>
      </c>
      <c r="N74" t="s">
        <v>640</v>
      </c>
    </row>
    <row r="75" spans="1:14" hidden="1" x14ac:dyDescent="0.3">
      <c r="A75" s="1" t="s">
        <v>1078</v>
      </c>
      <c r="B75" s="1" t="s">
        <v>642</v>
      </c>
      <c r="C75" s="1" t="s">
        <v>1079</v>
      </c>
      <c r="D75" s="1" t="s">
        <v>746</v>
      </c>
      <c r="E75" s="1" t="s">
        <v>747</v>
      </c>
      <c r="F75" s="1" t="s">
        <v>748</v>
      </c>
      <c r="G75" s="1">
        <v>206</v>
      </c>
      <c r="H75">
        <v>2008</v>
      </c>
      <c r="I75">
        <v>2008</v>
      </c>
      <c r="J75">
        <f t="shared" si="2"/>
        <v>1</v>
      </c>
      <c r="K75" s="1" t="s">
        <v>741</v>
      </c>
      <c r="L75" s="1" t="s">
        <v>666</v>
      </c>
      <c r="M75">
        <f t="shared" si="3"/>
        <v>18</v>
      </c>
      <c r="N75" t="s">
        <v>640</v>
      </c>
    </row>
    <row r="76" spans="1:14" hidden="1" x14ac:dyDescent="0.3">
      <c r="A76" s="1" t="s">
        <v>1082</v>
      </c>
      <c r="B76" s="1" t="s">
        <v>642</v>
      </c>
      <c r="C76" s="1" t="s">
        <v>1083</v>
      </c>
      <c r="D76" s="1" t="s">
        <v>746</v>
      </c>
      <c r="E76" s="1" t="s">
        <v>747</v>
      </c>
      <c r="F76" s="1" t="s">
        <v>748</v>
      </c>
      <c r="G76" s="1">
        <v>206</v>
      </c>
      <c r="H76">
        <v>2007</v>
      </c>
      <c r="I76">
        <v>2008</v>
      </c>
      <c r="J76">
        <f t="shared" si="2"/>
        <v>2</v>
      </c>
      <c r="K76" s="1" t="s">
        <v>741</v>
      </c>
      <c r="L76" s="1" t="s">
        <v>666</v>
      </c>
      <c r="M76">
        <f t="shared" si="3"/>
        <v>18</v>
      </c>
      <c r="N76" t="s">
        <v>640</v>
      </c>
    </row>
    <row r="77" spans="1:14" hidden="1" x14ac:dyDescent="0.3">
      <c r="A77" s="1" t="s">
        <v>1080</v>
      </c>
      <c r="B77" s="1" t="s">
        <v>642</v>
      </c>
      <c r="C77" s="1" t="s">
        <v>1081</v>
      </c>
      <c r="D77" s="1" t="s">
        <v>746</v>
      </c>
      <c r="E77" s="1" t="s">
        <v>747</v>
      </c>
      <c r="F77" s="1" t="s">
        <v>748</v>
      </c>
      <c r="G77" s="1">
        <v>206</v>
      </c>
      <c r="H77">
        <v>2008</v>
      </c>
      <c r="I77">
        <v>2008</v>
      </c>
      <c r="J77">
        <f t="shared" si="2"/>
        <v>1</v>
      </c>
      <c r="K77" s="1" t="s">
        <v>741</v>
      </c>
      <c r="L77" s="1" t="s">
        <v>666</v>
      </c>
      <c r="M77">
        <f t="shared" si="3"/>
        <v>18</v>
      </c>
      <c r="N77" t="s">
        <v>640</v>
      </c>
    </row>
    <row r="78" spans="1:14" hidden="1" x14ac:dyDescent="0.3">
      <c r="A78" s="1" t="s">
        <v>1086</v>
      </c>
      <c r="B78" s="1" t="s">
        <v>642</v>
      </c>
      <c r="C78" s="1" t="s">
        <v>1087</v>
      </c>
      <c r="D78" s="1" t="s">
        <v>746</v>
      </c>
      <c r="E78" s="1" t="s">
        <v>747</v>
      </c>
      <c r="F78" s="1" t="s">
        <v>748</v>
      </c>
      <c r="G78" s="1">
        <v>206</v>
      </c>
      <c r="H78">
        <v>2001</v>
      </c>
      <c r="I78">
        <v>2008</v>
      </c>
      <c r="J78">
        <f t="shared" si="2"/>
        <v>8</v>
      </c>
      <c r="K78" s="1" t="s">
        <v>741</v>
      </c>
      <c r="L78" s="1" t="s">
        <v>666</v>
      </c>
      <c r="M78">
        <f t="shared" si="3"/>
        <v>18</v>
      </c>
      <c r="N78" t="s">
        <v>640</v>
      </c>
    </row>
    <row r="79" spans="1:14" hidden="1" x14ac:dyDescent="0.3">
      <c r="A79" s="1" t="s">
        <v>763</v>
      </c>
      <c r="B79" s="1" t="s">
        <v>642</v>
      </c>
      <c r="C79" s="1" t="s">
        <v>764</v>
      </c>
      <c r="D79" s="1" t="s">
        <v>746</v>
      </c>
      <c r="E79" s="1" t="s">
        <v>747</v>
      </c>
      <c r="F79" s="1" t="s">
        <v>748</v>
      </c>
      <c r="G79" s="1">
        <v>206</v>
      </c>
      <c r="H79">
        <v>2004</v>
      </c>
      <c r="I79">
        <v>2008</v>
      </c>
      <c r="J79">
        <f t="shared" si="2"/>
        <v>5</v>
      </c>
      <c r="K79" s="1" t="s">
        <v>741</v>
      </c>
      <c r="L79" s="1" t="s">
        <v>666</v>
      </c>
      <c r="M79">
        <f t="shared" si="3"/>
        <v>18</v>
      </c>
      <c r="N79" t="s">
        <v>640</v>
      </c>
    </row>
    <row r="80" spans="1:14" hidden="1" x14ac:dyDescent="0.3">
      <c r="A80" s="1" t="s">
        <v>1090</v>
      </c>
      <c r="B80" s="1" t="s">
        <v>642</v>
      </c>
      <c r="C80" s="1" t="s">
        <v>1091</v>
      </c>
      <c r="D80" s="1" t="s">
        <v>746</v>
      </c>
      <c r="E80" s="1" t="s">
        <v>747</v>
      </c>
      <c r="F80" s="1" t="s">
        <v>748</v>
      </c>
      <c r="G80" s="1">
        <v>206</v>
      </c>
      <c r="H80">
        <v>2006</v>
      </c>
      <c r="I80">
        <v>2006</v>
      </c>
      <c r="J80">
        <f t="shared" si="2"/>
        <v>1</v>
      </c>
      <c r="K80" s="1" t="s">
        <v>741</v>
      </c>
      <c r="L80" s="1" t="s">
        <v>666</v>
      </c>
      <c r="M80">
        <f t="shared" si="3"/>
        <v>20</v>
      </c>
      <c r="N80" t="s">
        <v>640</v>
      </c>
    </row>
    <row r="81" spans="1:14" hidden="1" x14ac:dyDescent="0.3">
      <c r="A81" s="1" t="s">
        <v>1092</v>
      </c>
      <c r="B81" s="1" t="s">
        <v>642</v>
      </c>
      <c r="C81" s="1" t="s">
        <v>1093</v>
      </c>
      <c r="D81" s="1" t="s">
        <v>746</v>
      </c>
      <c r="E81" s="1" t="s">
        <v>747</v>
      </c>
      <c r="F81" s="1" t="s">
        <v>748</v>
      </c>
      <c r="G81" s="1">
        <v>206</v>
      </c>
      <c r="H81">
        <v>2006</v>
      </c>
      <c r="I81">
        <v>2006</v>
      </c>
      <c r="J81">
        <f t="shared" si="2"/>
        <v>1</v>
      </c>
      <c r="K81" s="1" t="s">
        <v>741</v>
      </c>
      <c r="L81" s="1" t="s">
        <v>666</v>
      </c>
      <c r="M81">
        <f t="shared" si="3"/>
        <v>20</v>
      </c>
      <c r="N81" t="s">
        <v>640</v>
      </c>
    </row>
    <row r="82" spans="1:14" hidden="1" x14ac:dyDescent="0.3">
      <c r="A82" s="1" t="s">
        <v>1094</v>
      </c>
      <c r="B82" s="1" t="s">
        <v>642</v>
      </c>
      <c r="C82" s="1" t="s">
        <v>1095</v>
      </c>
      <c r="D82" s="1" t="s">
        <v>746</v>
      </c>
      <c r="E82" s="1" t="s">
        <v>747</v>
      </c>
      <c r="F82" s="1" t="s">
        <v>748</v>
      </c>
      <c r="G82" s="1">
        <v>206</v>
      </c>
      <c r="H82">
        <v>2006</v>
      </c>
      <c r="I82">
        <v>2006</v>
      </c>
      <c r="J82">
        <f t="shared" si="2"/>
        <v>1</v>
      </c>
      <c r="K82" s="1" t="s">
        <v>741</v>
      </c>
      <c r="L82" s="1" t="s">
        <v>666</v>
      </c>
      <c r="M82">
        <f t="shared" si="3"/>
        <v>20</v>
      </c>
      <c r="N82" t="s">
        <v>640</v>
      </c>
    </row>
    <row r="83" spans="1:14" hidden="1" x14ac:dyDescent="0.3">
      <c r="A83" s="1" t="s">
        <v>1096</v>
      </c>
      <c r="B83" s="1" t="s">
        <v>642</v>
      </c>
      <c r="C83" s="1" t="s">
        <v>1097</v>
      </c>
      <c r="D83" s="1" t="s">
        <v>746</v>
      </c>
      <c r="E83" s="1" t="s">
        <v>747</v>
      </c>
      <c r="F83" s="1" t="s">
        <v>748</v>
      </c>
      <c r="G83" s="1">
        <v>206</v>
      </c>
      <c r="H83">
        <v>2005</v>
      </c>
      <c r="I83">
        <v>2006</v>
      </c>
      <c r="J83">
        <f t="shared" si="2"/>
        <v>2</v>
      </c>
      <c r="K83" s="1" t="s">
        <v>741</v>
      </c>
      <c r="L83" s="1" t="s">
        <v>666</v>
      </c>
      <c r="M83">
        <f t="shared" si="3"/>
        <v>20</v>
      </c>
      <c r="N83" t="s">
        <v>640</v>
      </c>
    </row>
    <row r="84" spans="1:14" hidden="1" x14ac:dyDescent="0.3">
      <c r="A84" s="1" t="s">
        <v>751</v>
      </c>
      <c r="B84" s="1" t="s">
        <v>642</v>
      </c>
      <c r="C84" s="1" t="s">
        <v>752</v>
      </c>
      <c r="D84" s="1" t="s">
        <v>746</v>
      </c>
      <c r="E84" s="1" t="s">
        <v>747</v>
      </c>
      <c r="F84" s="1" t="s">
        <v>748</v>
      </c>
      <c r="G84" s="1">
        <v>206</v>
      </c>
      <c r="H84">
        <v>2007</v>
      </c>
      <c r="I84">
        <v>2008</v>
      </c>
      <c r="J84">
        <f t="shared" si="2"/>
        <v>2</v>
      </c>
      <c r="K84" s="1" t="s">
        <v>741</v>
      </c>
      <c r="L84" s="1" t="s">
        <v>666</v>
      </c>
      <c r="M84">
        <f t="shared" si="3"/>
        <v>18</v>
      </c>
      <c r="N84" t="s">
        <v>640</v>
      </c>
    </row>
    <row r="85" spans="1:14" hidden="1" x14ac:dyDescent="0.3">
      <c r="A85" s="1" t="s">
        <v>1084</v>
      </c>
      <c r="B85" s="1" t="s">
        <v>642</v>
      </c>
      <c r="C85" s="1" t="s">
        <v>1085</v>
      </c>
      <c r="D85" s="1" t="s">
        <v>746</v>
      </c>
      <c r="E85" s="1" t="s">
        <v>747</v>
      </c>
      <c r="F85" s="1" t="s">
        <v>748</v>
      </c>
      <c r="G85" s="1">
        <v>206</v>
      </c>
      <c r="H85">
        <v>2007</v>
      </c>
      <c r="I85">
        <v>2008</v>
      </c>
      <c r="J85">
        <f t="shared" si="2"/>
        <v>2</v>
      </c>
      <c r="K85" s="1" t="s">
        <v>741</v>
      </c>
      <c r="L85" s="1" t="s">
        <v>666</v>
      </c>
      <c r="M85">
        <f t="shared" si="3"/>
        <v>18</v>
      </c>
      <c r="N85" t="s">
        <v>640</v>
      </c>
    </row>
    <row r="86" spans="1:14" hidden="1" x14ac:dyDescent="0.3">
      <c r="A86" s="1" t="s">
        <v>1114</v>
      </c>
      <c r="B86" s="1" t="s">
        <v>642</v>
      </c>
      <c r="C86" s="1" t="s">
        <v>1115</v>
      </c>
      <c r="D86" s="1" t="s">
        <v>746</v>
      </c>
      <c r="E86" s="1" t="s">
        <v>747</v>
      </c>
      <c r="F86" s="1" t="s">
        <v>748</v>
      </c>
      <c r="G86" s="1">
        <v>206</v>
      </c>
      <c r="H86">
        <v>1999</v>
      </c>
      <c r="I86">
        <v>2001</v>
      </c>
      <c r="J86">
        <f t="shared" si="2"/>
        <v>3</v>
      </c>
      <c r="K86" s="1" t="s">
        <v>741</v>
      </c>
      <c r="L86" s="1" t="s">
        <v>666</v>
      </c>
      <c r="M86">
        <f t="shared" si="3"/>
        <v>25</v>
      </c>
      <c r="N86" t="s">
        <v>640</v>
      </c>
    </row>
    <row r="87" spans="1:14" hidden="1" x14ac:dyDescent="0.3">
      <c r="A87" s="1" t="s">
        <v>1104</v>
      </c>
      <c r="B87" s="1" t="s">
        <v>642</v>
      </c>
      <c r="C87" s="1" t="s">
        <v>1105</v>
      </c>
      <c r="D87" s="1" t="s">
        <v>746</v>
      </c>
      <c r="E87" s="1" t="s">
        <v>747</v>
      </c>
      <c r="F87" s="1" t="s">
        <v>748</v>
      </c>
      <c r="G87" s="1">
        <v>206</v>
      </c>
      <c r="H87">
        <v>2001</v>
      </c>
      <c r="I87">
        <v>2004</v>
      </c>
      <c r="J87">
        <f t="shared" si="2"/>
        <v>4</v>
      </c>
      <c r="K87" s="1" t="s">
        <v>741</v>
      </c>
      <c r="L87" s="1" t="s">
        <v>666</v>
      </c>
      <c r="M87">
        <f t="shared" si="3"/>
        <v>22</v>
      </c>
      <c r="N87" t="s">
        <v>640</v>
      </c>
    </row>
    <row r="88" spans="1:14" hidden="1" x14ac:dyDescent="0.3">
      <c r="A88" s="1" t="s">
        <v>753</v>
      </c>
      <c r="B88" s="1" t="s">
        <v>642</v>
      </c>
      <c r="C88" s="1" t="s">
        <v>754</v>
      </c>
      <c r="D88" s="1" t="s">
        <v>746</v>
      </c>
      <c r="E88" s="1" t="s">
        <v>747</v>
      </c>
      <c r="F88" s="1" t="s">
        <v>748</v>
      </c>
      <c r="G88" s="1">
        <v>206</v>
      </c>
      <c r="H88">
        <v>2004</v>
      </c>
      <c r="I88">
        <v>2008</v>
      </c>
      <c r="J88">
        <f t="shared" si="2"/>
        <v>5</v>
      </c>
      <c r="K88" s="1" t="s">
        <v>741</v>
      </c>
      <c r="L88" s="1" t="s">
        <v>666</v>
      </c>
      <c r="M88">
        <f t="shared" si="3"/>
        <v>18</v>
      </c>
      <c r="N88" t="s">
        <v>640</v>
      </c>
    </row>
    <row r="89" spans="1:14" hidden="1" x14ac:dyDescent="0.3">
      <c r="A89" s="1" t="s">
        <v>755</v>
      </c>
      <c r="B89" s="1" t="s">
        <v>642</v>
      </c>
      <c r="C89" s="1" t="s">
        <v>756</v>
      </c>
      <c r="D89" s="1" t="s">
        <v>746</v>
      </c>
      <c r="E89" s="1" t="s">
        <v>747</v>
      </c>
      <c r="F89" s="1" t="s">
        <v>748</v>
      </c>
      <c r="G89" s="1">
        <v>206</v>
      </c>
      <c r="H89">
        <v>2004</v>
      </c>
      <c r="I89">
        <v>2008</v>
      </c>
      <c r="J89">
        <f t="shared" si="2"/>
        <v>5</v>
      </c>
      <c r="K89" s="1" t="s">
        <v>741</v>
      </c>
      <c r="L89" s="1" t="s">
        <v>666</v>
      </c>
      <c r="M89">
        <f t="shared" si="3"/>
        <v>18</v>
      </c>
      <c r="N89" t="s">
        <v>640</v>
      </c>
    </row>
    <row r="90" spans="1:14" hidden="1" x14ac:dyDescent="0.3">
      <c r="A90" s="1" t="s">
        <v>1116</v>
      </c>
      <c r="B90" s="1" t="s">
        <v>642</v>
      </c>
      <c r="C90" s="1" t="s">
        <v>1117</v>
      </c>
      <c r="D90" s="1" t="s">
        <v>746</v>
      </c>
      <c r="E90" s="1" t="s">
        <v>747</v>
      </c>
      <c r="F90" s="1" t="s">
        <v>748</v>
      </c>
      <c r="G90" s="1">
        <v>206</v>
      </c>
      <c r="H90">
        <v>1999</v>
      </c>
      <c r="I90">
        <v>2001</v>
      </c>
      <c r="J90">
        <f t="shared" si="2"/>
        <v>3</v>
      </c>
      <c r="K90" s="1" t="s">
        <v>741</v>
      </c>
      <c r="L90" s="1" t="s">
        <v>666</v>
      </c>
      <c r="M90">
        <f t="shared" si="3"/>
        <v>25</v>
      </c>
      <c r="N90" t="s">
        <v>640</v>
      </c>
    </row>
    <row r="91" spans="1:14" hidden="1" x14ac:dyDescent="0.3">
      <c r="A91" s="1" t="s">
        <v>1098</v>
      </c>
      <c r="B91" s="1" t="s">
        <v>642</v>
      </c>
      <c r="C91" s="1" t="s">
        <v>1099</v>
      </c>
      <c r="D91" s="1" t="s">
        <v>746</v>
      </c>
      <c r="E91" s="1" t="s">
        <v>747</v>
      </c>
      <c r="F91" s="1" t="s">
        <v>748</v>
      </c>
      <c r="G91" s="1">
        <v>206</v>
      </c>
      <c r="H91">
        <v>2001</v>
      </c>
      <c r="I91">
        <v>2006</v>
      </c>
      <c r="J91">
        <f t="shared" si="2"/>
        <v>6</v>
      </c>
      <c r="K91" s="1" t="s">
        <v>741</v>
      </c>
      <c r="L91" s="1" t="s">
        <v>666</v>
      </c>
      <c r="M91">
        <f t="shared" si="3"/>
        <v>20</v>
      </c>
      <c r="N91" t="s">
        <v>640</v>
      </c>
    </row>
    <row r="92" spans="1:14" hidden="1" x14ac:dyDescent="0.3">
      <c r="A92" s="1" t="s">
        <v>1088</v>
      </c>
      <c r="B92" s="1" t="s">
        <v>642</v>
      </c>
      <c r="C92" s="1" t="s">
        <v>1089</v>
      </c>
      <c r="D92" s="1" t="s">
        <v>746</v>
      </c>
      <c r="E92" s="1" t="s">
        <v>747</v>
      </c>
      <c r="F92" s="1" t="s">
        <v>748</v>
      </c>
      <c r="G92" s="1">
        <v>206</v>
      </c>
      <c r="H92">
        <v>2003</v>
      </c>
      <c r="I92">
        <v>2007</v>
      </c>
      <c r="J92">
        <f t="shared" si="2"/>
        <v>5</v>
      </c>
      <c r="K92" s="1" t="s">
        <v>741</v>
      </c>
      <c r="L92" s="1" t="s">
        <v>666</v>
      </c>
      <c r="M92">
        <f t="shared" si="3"/>
        <v>19</v>
      </c>
      <c r="N92" t="s">
        <v>640</v>
      </c>
    </row>
    <row r="93" spans="1:14" hidden="1" x14ac:dyDescent="0.3">
      <c r="A93" s="1" t="s">
        <v>761</v>
      </c>
      <c r="B93" s="1" t="s">
        <v>642</v>
      </c>
      <c r="C93" s="1" t="s">
        <v>762</v>
      </c>
      <c r="D93" s="1" t="s">
        <v>746</v>
      </c>
      <c r="E93" s="1" t="s">
        <v>747</v>
      </c>
      <c r="F93" s="1" t="s">
        <v>748</v>
      </c>
      <c r="G93" s="1">
        <v>206</v>
      </c>
      <c r="H93">
        <v>2003</v>
      </c>
      <c r="I93">
        <v>2004</v>
      </c>
      <c r="J93">
        <f t="shared" si="2"/>
        <v>2</v>
      </c>
      <c r="K93" s="1" t="s">
        <v>741</v>
      </c>
      <c r="L93" s="1" t="s">
        <v>649</v>
      </c>
      <c r="M93">
        <f t="shared" si="3"/>
        <v>22</v>
      </c>
      <c r="N93" t="s">
        <v>640</v>
      </c>
    </row>
    <row r="94" spans="1:14" hidden="1" x14ac:dyDescent="0.3">
      <c r="A94" s="1" t="s">
        <v>1100</v>
      </c>
      <c r="B94" s="1" t="s">
        <v>642</v>
      </c>
      <c r="C94" s="1" t="s">
        <v>1101</v>
      </c>
      <c r="D94" s="1" t="s">
        <v>746</v>
      </c>
      <c r="E94" s="1" t="s">
        <v>747</v>
      </c>
      <c r="F94" s="1" t="s">
        <v>748</v>
      </c>
      <c r="G94" s="1">
        <v>206</v>
      </c>
      <c r="H94">
        <v>2001</v>
      </c>
      <c r="I94">
        <v>2006</v>
      </c>
      <c r="J94">
        <f t="shared" si="2"/>
        <v>6</v>
      </c>
      <c r="K94" s="1" t="s">
        <v>741</v>
      </c>
      <c r="L94" s="1" t="s">
        <v>666</v>
      </c>
      <c r="M94">
        <f t="shared" si="3"/>
        <v>20</v>
      </c>
      <c r="N94" t="s">
        <v>640</v>
      </c>
    </row>
    <row r="95" spans="1:14" hidden="1" x14ac:dyDescent="0.3">
      <c r="A95" s="1" t="s">
        <v>759</v>
      </c>
      <c r="B95" s="1" t="s">
        <v>642</v>
      </c>
      <c r="C95" s="1" t="s">
        <v>760</v>
      </c>
      <c r="D95" s="1" t="s">
        <v>746</v>
      </c>
      <c r="E95" s="1" t="s">
        <v>747</v>
      </c>
      <c r="F95" s="1" t="s">
        <v>748</v>
      </c>
      <c r="G95" s="1">
        <v>206</v>
      </c>
      <c r="H95">
        <v>2001</v>
      </c>
      <c r="I95">
        <v>2006</v>
      </c>
      <c r="J95">
        <f t="shared" si="2"/>
        <v>6</v>
      </c>
      <c r="K95" s="1" t="s">
        <v>741</v>
      </c>
      <c r="L95" s="1" t="s">
        <v>666</v>
      </c>
      <c r="M95">
        <f t="shared" si="3"/>
        <v>20</v>
      </c>
      <c r="N95" t="s">
        <v>640</v>
      </c>
    </row>
    <row r="96" spans="1:14" hidden="1" x14ac:dyDescent="0.3">
      <c r="A96" s="1" t="s">
        <v>744</v>
      </c>
      <c r="B96" s="1" t="s">
        <v>642</v>
      </c>
      <c r="C96" s="1" t="s">
        <v>745</v>
      </c>
      <c r="D96" s="1" t="s">
        <v>746</v>
      </c>
      <c r="E96" s="1" t="s">
        <v>747</v>
      </c>
      <c r="F96" s="1" t="s">
        <v>748</v>
      </c>
      <c r="G96" s="1">
        <v>206</v>
      </c>
      <c r="H96">
        <v>2006</v>
      </c>
      <c r="I96">
        <v>2010</v>
      </c>
      <c r="J96">
        <f t="shared" si="2"/>
        <v>5</v>
      </c>
      <c r="K96" s="1" t="s">
        <v>741</v>
      </c>
      <c r="L96" s="1" t="s">
        <v>666</v>
      </c>
      <c r="M96">
        <f t="shared" si="3"/>
        <v>16</v>
      </c>
      <c r="N96" t="s">
        <v>640</v>
      </c>
    </row>
    <row r="97" spans="1:14" hidden="1" x14ac:dyDescent="0.3">
      <c r="A97" s="1" t="s">
        <v>749</v>
      </c>
      <c r="B97" s="1" t="s">
        <v>642</v>
      </c>
      <c r="C97" s="1" t="s">
        <v>750</v>
      </c>
      <c r="D97" s="1" t="s">
        <v>746</v>
      </c>
      <c r="E97" s="1" t="s">
        <v>747</v>
      </c>
      <c r="F97" s="1" t="s">
        <v>748</v>
      </c>
      <c r="G97" s="1">
        <v>206</v>
      </c>
      <c r="H97">
        <v>2006</v>
      </c>
      <c r="I97">
        <v>2010</v>
      </c>
      <c r="J97">
        <f t="shared" si="2"/>
        <v>5</v>
      </c>
      <c r="K97" s="1" t="s">
        <v>741</v>
      </c>
      <c r="L97" s="1" t="s">
        <v>666</v>
      </c>
      <c r="M97">
        <f t="shared" si="3"/>
        <v>16</v>
      </c>
      <c r="N97" t="s">
        <v>640</v>
      </c>
    </row>
    <row r="98" spans="1:14" hidden="1" x14ac:dyDescent="0.3">
      <c r="A98" s="1" t="s">
        <v>1106</v>
      </c>
      <c r="B98" s="1" t="s">
        <v>642</v>
      </c>
      <c r="C98" s="1" t="s">
        <v>1107</v>
      </c>
      <c r="D98" s="1" t="s">
        <v>746</v>
      </c>
      <c r="E98" s="1" t="s">
        <v>747</v>
      </c>
      <c r="F98" s="1" t="s">
        <v>748</v>
      </c>
      <c r="G98" s="1">
        <v>206</v>
      </c>
      <c r="H98">
        <v>2001</v>
      </c>
      <c r="I98">
        <v>2004</v>
      </c>
      <c r="J98">
        <f t="shared" si="2"/>
        <v>4</v>
      </c>
      <c r="K98" s="1" t="s">
        <v>741</v>
      </c>
      <c r="L98" s="1" t="s">
        <v>666</v>
      </c>
      <c r="M98">
        <f t="shared" si="3"/>
        <v>22</v>
      </c>
      <c r="N98" t="s">
        <v>640</v>
      </c>
    </row>
    <row r="99" spans="1:14" hidden="1" x14ac:dyDescent="0.3">
      <c r="A99" s="1" t="s">
        <v>1108</v>
      </c>
      <c r="B99" s="1" t="s">
        <v>642</v>
      </c>
      <c r="C99" s="1" t="s">
        <v>1109</v>
      </c>
      <c r="D99" s="1" t="s">
        <v>746</v>
      </c>
      <c r="E99" s="1" t="s">
        <v>747</v>
      </c>
      <c r="F99" s="1" t="s">
        <v>748</v>
      </c>
      <c r="G99" s="1">
        <v>206</v>
      </c>
      <c r="H99">
        <v>2001</v>
      </c>
      <c r="I99">
        <v>2004</v>
      </c>
      <c r="J99">
        <f t="shared" si="2"/>
        <v>4</v>
      </c>
      <c r="K99" s="1" t="s">
        <v>741</v>
      </c>
      <c r="L99" s="1" t="s">
        <v>666</v>
      </c>
      <c r="M99">
        <f t="shared" si="3"/>
        <v>22</v>
      </c>
      <c r="N99" t="s">
        <v>640</v>
      </c>
    </row>
    <row r="100" spans="1:14" hidden="1" x14ac:dyDescent="0.3">
      <c r="A100" s="1" t="s">
        <v>1118</v>
      </c>
      <c r="B100" s="1" t="s">
        <v>642</v>
      </c>
      <c r="C100" s="1" t="s">
        <v>1119</v>
      </c>
      <c r="D100" s="1" t="s">
        <v>746</v>
      </c>
      <c r="E100" s="1" t="s">
        <v>747</v>
      </c>
      <c r="F100" s="1" t="s">
        <v>748</v>
      </c>
      <c r="G100" s="1">
        <v>206</v>
      </c>
      <c r="H100">
        <v>1999</v>
      </c>
      <c r="I100">
        <v>2001</v>
      </c>
      <c r="J100">
        <f t="shared" si="2"/>
        <v>3</v>
      </c>
      <c r="K100" s="1" t="s">
        <v>741</v>
      </c>
      <c r="L100" s="1" t="s">
        <v>666</v>
      </c>
      <c r="M100">
        <f t="shared" si="3"/>
        <v>25</v>
      </c>
      <c r="N100" t="s">
        <v>640</v>
      </c>
    </row>
    <row r="101" spans="1:14" hidden="1" x14ac:dyDescent="0.3">
      <c r="A101" s="1" t="s">
        <v>1120</v>
      </c>
      <c r="B101" s="1" t="s">
        <v>642</v>
      </c>
      <c r="C101" s="1" t="s">
        <v>1121</v>
      </c>
      <c r="D101" s="1" t="s">
        <v>746</v>
      </c>
      <c r="E101" s="1" t="s">
        <v>747</v>
      </c>
      <c r="F101" s="1" t="s">
        <v>748</v>
      </c>
      <c r="G101" s="1">
        <v>206</v>
      </c>
      <c r="H101">
        <v>1999</v>
      </c>
      <c r="I101">
        <v>2001</v>
      </c>
      <c r="J101">
        <f t="shared" si="2"/>
        <v>3</v>
      </c>
      <c r="K101" s="1" t="s">
        <v>741</v>
      </c>
      <c r="L101" s="1" t="s">
        <v>666</v>
      </c>
      <c r="M101">
        <f t="shared" si="3"/>
        <v>25</v>
      </c>
      <c r="N101" t="s">
        <v>640</v>
      </c>
    </row>
    <row r="102" spans="1:14" hidden="1" x14ac:dyDescent="0.3">
      <c r="A102" s="1" t="s">
        <v>1110</v>
      </c>
      <c r="B102" s="1" t="s">
        <v>642</v>
      </c>
      <c r="C102" s="1" t="s">
        <v>1111</v>
      </c>
      <c r="D102" s="1" t="s">
        <v>746</v>
      </c>
      <c r="E102" s="1" t="s">
        <v>747</v>
      </c>
      <c r="F102" s="1" t="s">
        <v>748</v>
      </c>
      <c r="G102" s="1">
        <v>206</v>
      </c>
      <c r="H102">
        <v>2001</v>
      </c>
      <c r="I102">
        <v>2004</v>
      </c>
      <c r="J102">
        <f t="shared" si="2"/>
        <v>4</v>
      </c>
      <c r="K102" s="1" t="s">
        <v>741</v>
      </c>
      <c r="L102" s="1" t="s">
        <v>666</v>
      </c>
      <c r="M102">
        <f t="shared" si="3"/>
        <v>22</v>
      </c>
      <c r="N102" t="s">
        <v>640</v>
      </c>
    </row>
    <row r="103" spans="1:14" hidden="1" x14ac:dyDescent="0.3">
      <c r="A103" s="1" t="s">
        <v>1112</v>
      </c>
      <c r="B103" s="1" t="s">
        <v>642</v>
      </c>
      <c r="C103" s="1" t="s">
        <v>1113</v>
      </c>
      <c r="D103" s="1" t="s">
        <v>746</v>
      </c>
      <c r="E103" s="1" t="s">
        <v>747</v>
      </c>
      <c r="F103" s="1" t="s">
        <v>748</v>
      </c>
      <c r="G103" s="1">
        <v>206</v>
      </c>
      <c r="H103">
        <v>2001</v>
      </c>
      <c r="I103">
        <v>2004</v>
      </c>
      <c r="J103">
        <f t="shared" si="2"/>
        <v>4</v>
      </c>
      <c r="K103" s="1" t="s">
        <v>741</v>
      </c>
      <c r="L103" s="1" t="s">
        <v>666</v>
      </c>
      <c r="M103">
        <f t="shared" si="3"/>
        <v>22</v>
      </c>
      <c r="N103" t="s">
        <v>640</v>
      </c>
    </row>
    <row r="104" spans="1:14" hidden="1" x14ac:dyDescent="0.3">
      <c r="A104" s="1" t="s">
        <v>1070</v>
      </c>
      <c r="B104" s="1" t="s">
        <v>642</v>
      </c>
      <c r="C104" s="1" t="s">
        <v>1071</v>
      </c>
      <c r="D104" s="1" t="s">
        <v>738</v>
      </c>
      <c r="E104" s="1" t="s">
        <v>739</v>
      </c>
      <c r="F104" s="1" t="s">
        <v>740</v>
      </c>
      <c r="G104" s="1">
        <v>206</v>
      </c>
      <c r="H104">
        <v>2008</v>
      </c>
      <c r="I104">
        <v>2008</v>
      </c>
      <c r="J104">
        <f t="shared" si="2"/>
        <v>1</v>
      </c>
      <c r="K104" s="1" t="s">
        <v>741</v>
      </c>
      <c r="L104" s="1" t="s">
        <v>666</v>
      </c>
      <c r="M104">
        <f t="shared" si="3"/>
        <v>18</v>
      </c>
      <c r="N104" t="s">
        <v>640</v>
      </c>
    </row>
    <row r="105" spans="1:14" hidden="1" x14ac:dyDescent="0.3">
      <c r="A105" s="1" t="s">
        <v>1074</v>
      </c>
      <c r="B105" s="1" t="s">
        <v>642</v>
      </c>
      <c r="C105" s="1" t="s">
        <v>1075</v>
      </c>
      <c r="D105" s="1" t="s">
        <v>738</v>
      </c>
      <c r="E105" s="1" t="s">
        <v>739</v>
      </c>
      <c r="F105" s="1" t="s">
        <v>740</v>
      </c>
      <c r="G105" s="1">
        <v>206</v>
      </c>
      <c r="H105">
        <v>2007</v>
      </c>
      <c r="I105">
        <v>2008</v>
      </c>
      <c r="J105">
        <f t="shared" si="2"/>
        <v>2</v>
      </c>
      <c r="K105" s="1" t="s">
        <v>741</v>
      </c>
      <c r="L105" s="1" t="s">
        <v>666</v>
      </c>
      <c r="M105">
        <f t="shared" si="3"/>
        <v>18</v>
      </c>
      <c r="N105" t="s">
        <v>640</v>
      </c>
    </row>
    <row r="106" spans="1:14" hidden="1" x14ac:dyDescent="0.3">
      <c r="A106" s="1" t="s">
        <v>736</v>
      </c>
      <c r="B106" s="1" t="s">
        <v>642</v>
      </c>
      <c r="C106" s="1" t="s">
        <v>737</v>
      </c>
      <c r="D106" s="1" t="s">
        <v>738</v>
      </c>
      <c r="E106" s="1" t="s">
        <v>739</v>
      </c>
      <c r="F106" s="1" t="s">
        <v>740</v>
      </c>
      <c r="G106" s="1">
        <v>206</v>
      </c>
      <c r="H106">
        <v>2007</v>
      </c>
      <c r="I106">
        <v>2008</v>
      </c>
      <c r="J106">
        <f t="shared" si="2"/>
        <v>2</v>
      </c>
      <c r="K106" s="1" t="s">
        <v>741</v>
      </c>
      <c r="L106" s="1" t="s">
        <v>666</v>
      </c>
      <c r="M106">
        <f t="shared" si="3"/>
        <v>18</v>
      </c>
      <c r="N106" t="s">
        <v>640</v>
      </c>
    </row>
    <row r="107" spans="1:14" hidden="1" x14ac:dyDescent="0.3">
      <c r="A107" s="1" t="s">
        <v>1072</v>
      </c>
      <c r="B107" s="1" t="s">
        <v>642</v>
      </c>
      <c r="C107" s="1" t="s">
        <v>1073</v>
      </c>
      <c r="D107" s="1" t="s">
        <v>738</v>
      </c>
      <c r="E107" s="1" t="s">
        <v>739</v>
      </c>
      <c r="F107" s="1" t="s">
        <v>740</v>
      </c>
      <c r="G107" s="1">
        <v>206</v>
      </c>
      <c r="H107">
        <v>2008</v>
      </c>
      <c r="I107">
        <v>2008</v>
      </c>
      <c r="J107">
        <f t="shared" si="2"/>
        <v>1</v>
      </c>
      <c r="K107" s="1" t="s">
        <v>741</v>
      </c>
      <c r="L107" s="1" t="s">
        <v>666</v>
      </c>
      <c r="M107">
        <f t="shared" si="3"/>
        <v>18</v>
      </c>
      <c r="N107" t="s">
        <v>640</v>
      </c>
    </row>
    <row r="108" spans="1:14" hidden="1" x14ac:dyDescent="0.3">
      <c r="A108" s="1" t="s">
        <v>742</v>
      </c>
      <c r="B108" s="1" t="s">
        <v>642</v>
      </c>
      <c r="C108" s="1" t="s">
        <v>743</v>
      </c>
      <c r="D108" s="1" t="s">
        <v>738</v>
      </c>
      <c r="E108" s="1" t="s">
        <v>739</v>
      </c>
      <c r="F108" s="1" t="s">
        <v>740</v>
      </c>
      <c r="G108" s="1">
        <v>206</v>
      </c>
      <c r="H108">
        <v>2005</v>
      </c>
      <c r="I108">
        <v>2008</v>
      </c>
      <c r="J108">
        <f t="shared" si="2"/>
        <v>4</v>
      </c>
      <c r="K108" s="1" t="s">
        <v>741</v>
      </c>
      <c r="L108" s="1" t="s">
        <v>666</v>
      </c>
      <c r="M108">
        <f t="shared" si="3"/>
        <v>18</v>
      </c>
      <c r="N108" t="s">
        <v>640</v>
      </c>
    </row>
    <row r="109" spans="1:14" hidden="1" x14ac:dyDescent="0.3">
      <c r="A109" s="1" t="s">
        <v>1076</v>
      </c>
      <c r="B109" s="1" t="s">
        <v>642</v>
      </c>
      <c r="C109" s="1" t="s">
        <v>1077</v>
      </c>
      <c r="D109" s="1" t="s">
        <v>738</v>
      </c>
      <c r="E109" s="1" t="s">
        <v>739</v>
      </c>
      <c r="F109" s="1" t="s">
        <v>740</v>
      </c>
      <c r="G109" s="1">
        <v>206</v>
      </c>
      <c r="H109">
        <v>2005</v>
      </c>
      <c r="I109">
        <v>2007</v>
      </c>
      <c r="J109">
        <f t="shared" si="2"/>
        <v>3</v>
      </c>
      <c r="K109" s="1" t="s">
        <v>741</v>
      </c>
      <c r="L109" s="1" t="s">
        <v>666</v>
      </c>
      <c r="M109">
        <f t="shared" si="3"/>
        <v>19</v>
      </c>
      <c r="N109" t="s">
        <v>640</v>
      </c>
    </row>
    <row r="110" spans="1:14" hidden="1" x14ac:dyDescent="0.3">
      <c r="A110" s="1" t="s">
        <v>1102</v>
      </c>
      <c r="B110" s="1" t="s">
        <v>642</v>
      </c>
      <c r="C110" s="1" t="s">
        <v>1103</v>
      </c>
      <c r="D110" s="1" t="s">
        <v>746</v>
      </c>
      <c r="E110" s="1" t="s">
        <v>747</v>
      </c>
      <c r="F110" s="1" t="s">
        <v>748</v>
      </c>
      <c r="G110" s="1">
        <v>206</v>
      </c>
      <c r="H110">
        <v>2003</v>
      </c>
      <c r="I110">
        <v>2004</v>
      </c>
      <c r="J110">
        <f t="shared" si="2"/>
        <v>2</v>
      </c>
      <c r="K110" s="1" t="s">
        <v>741</v>
      </c>
      <c r="L110" s="1" t="s">
        <v>666</v>
      </c>
      <c r="M110">
        <f t="shared" si="3"/>
        <v>22</v>
      </c>
      <c r="N110" t="s">
        <v>640</v>
      </c>
    </row>
    <row r="111" spans="1:14" hidden="1" x14ac:dyDescent="0.3">
      <c r="A111" s="1" t="s">
        <v>757</v>
      </c>
      <c r="B111" s="1" t="s">
        <v>642</v>
      </c>
      <c r="C111" s="1" t="s">
        <v>758</v>
      </c>
      <c r="D111" s="1" t="s">
        <v>746</v>
      </c>
      <c r="E111" s="1" t="s">
        <v>747</v>
      </c>
      <c r="F111" s="1" t="s">
        <v>748</v>
      </c>
      <c r="G111" s="1">
        <v>206</v>
      </c>
      <c r="H111">
        <v>2003</v>
      </c>
      <c r="I111">
        <v>2008</v>
      </c>
      <c r="J111">
        <f t="shared" si="2"/>
        <v>6</v>
      </c>
      <c r="K111" s="1" t="s">
        <v>741</v>
      </c>
      <c r="L111" s="1" t="s">
        <v>666</v>
      </c>
      <c r="M111">
        <f t="shared" si="3"/>
        <v>18</v>
      </c>
      <c r="N111" t="s">
        <v>640</v>
      </c>
    </row>
    <row r="112" spans="1:14" hidden="1" x14ac:dyDescent="0.3">
      <c r="A112" s="1" t="s">
        <v>769</v>
      </c>
      <c r="B112" s="1" t="s">
        <v>642</v>
      </c>
      <c r="C112" s="1" t="s">
        <v>770</v>
      </c>
      <c r="D112" s="1" t="s">
        <v>746</v>
      </c>
      <c r="E112" s="1" t="s">
        <v>747</v>
      </c>
      <c r="F112" s="1" t="s">
        <v>748</v>
      </c>
      <c r="G112" s="1">
        <v>207</v>
      </c>
      <c r="H112">
        <v>2014</v>
      </c>
      <c r="I112">
        <v>2014</v>
      </c>
      <c r="J112">
        <f t="shared" si="2"/>
        <v>1</v>
      </c>
      <c r="K112" s="1" t="s">
        <v>741</v>
      </c>
      <c r="L112" s="1" t="s">
        <v>666</v>
      </c>
      <c r="M112">
        <f t="shared" si="3"/>
        <v>12</v>
      </c>
      <c r="N112" t="s">
        <v>650</v>
      </c>
    </row>
    <row r="113" spans="1:14" hidden="1" x14ac:dyDescent="0.3">
      <c r="A113" s="1" t="s">
        <v>1126</v>
      </c>
      <c r="B113" s="1" t="s">
        <v>642</v>
      </c>
      <c r="C113" s="1" t="s">
        <v>1127</v>
      </c>
      <c r="D113" s="1" t="s">
        <v>746</v>
      </c>
      <c r="E113" s="1" t="s">
        <v>747</v>
      </c>
      <c r="F113" s="1" t="s">
        <v>748</v>
      </c>
      <c r="G113" s="1">
        <v>207</v>
      </c>
      <c r="H113">
        <v>2013</v>
      </c>
      <c r="I113">
        <v>2014</v>
      </c>
      <c r="J113">
        <f t="shared" si="2"/>
        <v>2</v>
      </c>
      <c r="K113" s="1" t="s">
        <v>741</v>
      </c>
      <c r="L113" s="1" t="s">
        <v>666</v>
      </c>
      <c r="M113">
        <f t="shared" si="3"/>
        <v>12</v>
      </c>
      <c r="N113" t="s">
        <v>650</v>
      </c>
    </row>
    <row r="114" spans="1:14" hidden="1" x14ac:dyDescent="0.3">
      <c r="A114" s="1" t="s">
        <v>1136</v>
      </c>
      <c r="B114" s="1" t="s">
        <v>642</v>
      </c>
      <c r="C114" s="1" t="s">
        <v>1137</v>
      </c>
      <c r="D114" s="1" t="s">
        <v>746</v>
      </c>
      <c r="E114" s="1" t="s">
        <v>747</v>
      </c>
      <c r="F114" s="1" t="s">
        <v>748</v>
      </c>
      <c r="G114" s="1">
        <v>207</v>
      </c>
      <c r="H114">
        <v>2010</v>
      </c>
      <c r="I114">
        <v>2011</v>
      </c>
      <c r="J114">
        <f t="shared" si="2"/>
        <v>2</v>
      </c>
      <c r="K114" s="1" t="s">
        <v>741</v>
      </c>
      <c r="L114" s="1" t="s">
        <v>666</v>
      </c>
      <c r="M114">
        <f t="shared" si="3"/>
        <v>15</v>
      </c>
      <c r="N114" t="s">
        <v>640</v>
      </c>
    </row>
    <row r="115" spans="1:14" hidden="1" x14ac:dyDescent="0.3">
      <c r="A115" s="1" t="s">
        <v>1138</v>
      </c>
      <c r="B115" s="1" t="s">
        <v>642</v>
      </c>
      <c r="C115" s="1" t="s">
        <v>1139</v>
      </c>
      <c r="D115" s="1" t="s">
        <v>746</v>
      </c>
      <c r="E115" s="1" t="s">
        <v>747</v>
      </c>
      <c r="F115" s="1" t="s">
        <v>748</v>
      </c>
      <c r="G115" s="1">
        <v>207</v>
      </c>
      <c r="H115">
        <v>2010</v>
      </c>
      <c r="I115">
        <v>2011</v>
      </c>
      <c r="J115">
        <f t="shared" si="2"/>
        <v>2</v>
      </c>
      <c r="K115" s="1" t="s">
        <v>741</v>
      </c>
      <c r="L115" s="1" t="s">
        <v>666</v>
      </c>
      <c r="M115">
        <f t="shared" si="3"/>
        <v>15</v>
      </c>
      <c r="N115" t="s">
        <v>640</v>
      </c>
    </row>
    <row r="116" spans="1:14" hidden="1" x14ac:dyDescent="0.3">
      <c r="A116" s="1" t="s">
        <v>773</v>
      </c>
      <c r="B116" s="1" t="s">
        <v>642</v>
      </c>
      <c r="C116" s="1" t="s">
        <v>774</v>
      </c>
      <c r="D116" s="1" t="s">
        <v>746</v>
      </c>
      <c r="E116" s="1" t="s">
        <v>747</v>
      </c>
      <c r="F116" s="1" t="s">
        <v>748</v>
      </c>
      <c r="G116" s="1">
        <v>207</v>
      </c>
      <c r="H116">
        <v>2012</v>
      </c>
      <c r="I116">
        <v>2013</v>
      </c>
      <c r="J116">
        <f t="shared" si="2"/>
        <v>2</v>
      </c>
      <c r="K116" s="1" t="s">
        <v>741</v>
      </c>
      <c r="L116" s="1" t="s">
        <v>666</v>
      </c>
      <c r="M116">
        <f t="shared" si="3"/>
        <v>13</v>
      </c>
      <c r="N116" t="s">
        <v>650</v>
      </c>
    </row>
    <row r="117" spans="1:14" hidden="1" x14ac:dyDescent="0.3">
      <c r="A117" s="1" t="s">
        <v>779</v>
      </c>
      <c r="B117" s="1" t="s">
        <v>642</v>
      </c>
      <c r="C117" s="1" t="s">
        <v>780</v>
      </c>
      <c r="D117" s="1" t="s">
        <v>738</v>
      </c>
      <c r="E117" s="1" t="s">
        <v>739</v>
      </c>
      <c r="F117" s="1" t="s">
        <v>781</v>
      </c>
      <c r="G117" s="1">
        <v>207</v>
      </c>
      <c r="H117">
        <v>2009</v>
      </c>
      <c r="I117">
        <v>2013</v>
      </c>
      <c r="J117">
        <f t="shared" si="2"/>
        <v>5</v>
      </c>
      <c r="K117" s="1" t="s">
        <v>741</v>
      </c>
      <c r="L117" s="1" t="s">
        <v>666</v>
      </c>
      <c r="M117">
        <f t="shared" si="3"/>
        <v>13</v>
      </c>
      <c r="N117" t="s">
        <v>650</v>
      </c>
    </row>
    <row r="118" spans="1:14" hidden="1" x14ac:dyDescent="0.3">
      <c r="A118" s="1" t="s">
        <v>1144</v>
      </c>
      <c r="B118" s="1" t="s">
        <v>642</v>
      </c>
      <c r="C118" s="1" t="s">
        <v>1145</v>
      </c>
      <c r="D118" s="1" t="s">
        <v>738</v>
      </c>
      <c r="E118" s="1" t="s">
        <v>739</v>
      </c>
      <c r="F118" s="1" t="s">
        <v>781</v>
      </c>
      <c r="G118" s="1">
        <v>207</v>
      </c>
      <c r="H118">
        <v>2014</v>
      </c>
      <c r="I118">
        <v>2015</v>
      </c>
      <c r="J118">
        <f t="shared" si="2"/>
        <v>2</v>
      </c>
      <c r="K118" s="1" t="s">
        <v>741</v>
      </c>
      <c r="L118" s="1" t="s">
        <v>666</v>
      </c>
      <c r="M118">
        <f t="shared" si="3"/>
        <v>11</v>
      </c>
      <c r="N118" t="s">
        <v>650</v>
      </c>
    </row>
    <row r="119" spans="1:14" hidden="1" x14ac:dyDescent="0.3">
      <c r="A119" s="1" t="s">
        <v>1146</v>
      </c>
      <c r="B119" s="1" t="s">
        <v>642</v>
      </c>
      <c r="C119" s="1" t="s">
        <v>1147</v>
      </c>
      <c r="D119" s="1" t="s">
        <v>738</v>
      </c>
      <c r="E119" s="1" t="s">
        <v>739</v>
      </c>
      <c r="F119" s="1" t="s">
        <v>781</v>
      </c>
      <c r="G119" s="1">
        <v>207</v>
      </c>
      <c r="H119">
        <v>2014</v>
      </c>
      <c r="I119">
        <v>2014</v>
      </c>
      <c r="J119">
        <f t="shared" si="2"/>
        <v>1</v>
      </c>
      <c r="K119" s="1" t="s">
        <v>741</v>
      </c>
      <c r="L119" s="1" t="s">
        <v>666</v>
      </c>
      <c r="M119">
        <f t="shared" si="3"/>
        <v>12</v>
      </c>
      <c r="N119" t="s">
        <v>650</v>
      </c>
    </row>
    <row r="120" spans="1:14" hidden="1" x14ac:dyDescent="0.3">
      <c r="A120" s="1" t="s">
        <v>782</v>
      </c>
      <c r="B120" s="1" t="s">
        <v>642</v>
      </c>
      <c r="C120" s="1" t="s">
        <v>783</v>
      </c>
      <c r="D120" s="1" t="s">
        <v>738</v>
      </c>
      <c r="E120" s="1" t="s">
        <v>739</v>
      </c>
      <c r="F120" s="1" t="s">
        <v>781</v>
      </c>
      <c r="G120" s="1">
        <v>207</v>
      </c>
      <c r="H120">
        <v>2009</v>
      </c>
      <c r="I120">
        <v>2013</v>
      </c>
      <c r="J120">
        <f t="shared" si="2"/>
        <v>5</v>
      </c>
      <c r="K120" s="1" t="s">
        <v>741</v>
      </c>
      <c r="L120" s="1" t="s">
        <v>666</v>
      </c>
      <c r="M120">
        <f t="shared" si="3"/>
        <v>13</v>
      </c>
      <c r="N120" t="s">
        <v>650</v>
      </c>
    </row>
    <row r="121" spans="1:14" hidden="1" x14ac:dyDescent="0.3">
      <c r="A121" s="1" t="s">
        <v>1148</v>
      </c>
      <c r="B121" s="1" t="s">
        <v>642</v>
      </c>
      <c r="C121" s="1" t="s">
        <v>1149</v>
      </c>
      <c r="D121" s="1" t="s">
        <v>738</v>
      </c>
      <c r="E121" s="1" t="s">
        <v>739</v>
      </c>
      <c r="F121" s="1" t="s">
        <v>781</v>
      </c>
      <c r="G121" s="1">
        <v>207</v>
      </c>
      <c r="H121">
        <v>2009</v>
      </c>
      <c r="I121">
        <v>2013</v>
      </c>
      <c r="J121">
        <f t="shared" si="2"/>
        <v>5</v>
      </c>
      <c r="K121" s="1" t="s">
        <v>741</v>
      </c>
      <c r="L121" s="1" t="s">
        <v>666</v>
      </c>
      <c r="M121">
        <f t="shared" si="3"/>
        <v>13</v>
      </c>
      <c r="N121" t="s">
        <v>650</v>
      </c>
    </row>
    <row r="122" spans="1:14" hidden="1" x14ac:dyDescent="0.3">
      <c r="A122" s="1" t="s">
        <v>1150</v>
      </c>
      <c r="B122" s="1" t="s">
        <v>642</v>
      </c>
      <c r="C122" s="1" t="s">
        <v>1151</v>
      </c>
      <c r="D122" s="1" t="s">
        <v>738</v>
      </c>
      <c r="E122" s="1" t="s">
        <v>739</v>
      </c>
      <c r="F122" s="1" t="s">
        <v>781</v>
      </c>
      <c r="G122" s="1">
        <v>207</v>
      </c>
      <c r="H122">
        <v>2009</v>
      </c>
      <c r="I122">
        <v>2013</v>
      </c>
      <c r="J122">
        <f t="shared" si="2"/>
        <v>5</v>
      </c>
      <c r="K122" s="1" t="s">
        <v>741</v>
      </c>
      <c r="L122" s="1" t="s">
        <v>666</v>
      </c>
      <c r="M122">
        <f t="shared" si="3"/>
        <v>13</v>
      </c>
      <c r="N122" t="s">
        <v>650</v>
      </c>
    </row>
    <row r="123" spans="1:14" hidden="1" x14ac:dyDescent="0.3">
      <c r="A123" s="1" t="s">
        <v>1122</v>
      </c>
      <c r="B123" s="1" t="s">
        <v>642</v>
      </c>
      <c r="C123" s="1" t="s">
        <v>1123</v>
      </c>
      <c r="D123" s="1" t="s">
        <v>738</v>
      </c>
      <c r="E123" s="1" t="s">
        <v>739</v>
      </c>
      <c r="F123" s="1" t="s">
        <v>740</v>
      </c>
      <c r="G123" s="1">
        <v>207</v>
      </c>
      <c r="H123">
        <v>2009</v>
      </c>
      <c r="I123">
        <v>2013</v>
      </c>
      <c r="J123">
        <f t="shared" si="2"/>
        <v>5</v>
      </c>
      <c r="K123" s="1" t="s">
        <v>741</v>
      </c>
      <c r="L123" s="1" t="s">
        <v>666</v>
      </c>
      <c r="M123">
        <f t="shared" si="3"/>
        <v>13</v>
      </c>
      <c r="N123" t="s">
        <v>650</v>
      </c>
    </row>
    <row r="124" spans="1:14" hidden="1" x14ac:dyDescent="0.3">
      <c r="A124" s="1" t="s">
        <v>765</v>
      </c>
      <c r="B124" s="1" t="s">
        <v>642</v>
      </c>
      <c r="C124" s="1" t="s">
        <v>766</v>
      </c>
      <c r="D124" s="1" t="s">
        <v>738</v>
      </c>
      <c r="E124" s="1" t="s">
        <v>739</v>
      </c>
      <c r="F124" s="1" t="s">
        <v>740</v>
      </c>
      <c r="G124" s="1">
        <v>207</v>
      </c>
      <c r="H124">
        <v>2009</v>
      </c>
      <c r="I124">
        <v>2013</v>
      </c>
      <c r="J124">
        <f t="shared" si="2"/>
        <v>5</v>
      </c>
      <c r="K124" s="1" t="s">
        <v>741</v>
      </c>
      <c r="L124" s="1" t="s">
        <v>666</v>
      </c>
      <c r="M124">
        <f t="shared" si="3"/>
        <v>13</v>
      </c>
      <c r="N124" t="s">
        <v>650</v>
      </c>
    </row>
    <row r="125" spans="1:14" hidden="1" x14ac:dyDescent="0.3">
      <c r="A125" s="1" t="s">
        <v>767</v>
      </c>
      <c r="B125" s="1" t="s">
        <v>642</v>
      </c>
      <c r="C125" s="1" t="s">
        <v>768</v>
      </c>
      <c r="D125" s="1" t="s">
        <v>738</v>
      </c>
      <c r="E125" s="1" t="s">
        <v>739</v>
      </c>
      <c r="F125" s="1" t="s">
        <v>740</v>
      </c>
      <c r="G125" s="1">
        <v>207</v>
      </c>
      <c r="H125">
        <v>2009</v>
      </c>
      <c r="I125">
        <v>2013</v>
      </c>
      <c r="J125">
        <f t="shared" si="2"/>
        <v>5</v>
      </c>
      <c r="K125" s="1" t="s">
        <v>741</v>
      </c>
      <c r="L125" s="1" t="s">
        <v>666</v>
      </c>
      <c r="M125">
        <f t="shared" si="3"/>
        <v>13</v>
      </c>
      <c r="N125" t="s">
        <v>650</v>
      </c>
    </row>
    <row r="126" spans="1:14" hidden="1" x14ac:dyDescent="0.3">
      <c r="A126" s="1" t="s">
        <v>1124</v>
      </c>
      <c r="B126" s="1" t="s">
        <v>642</v>
      </c>
      <c r="C126" s="1" t="s">
        <v>1125</v>
      </c>
      <c r="D126" s="1" t="s">
        <v>738</v>
      </c>
      <c r="E126" s="1" t="s">
        <v>739</v>
      </c>
      <c r="F126" s="1" t="s">
        <v>740</v>
      </c>
      <c r="G126" s="1">
        <v>207</v>
      </c>
      <c r="H126">
        <v>2009</v>
      </c>
      <c r="I126">
        <v>2013</v>
      </c>
      <c r="J126">
        <f t="shared" si="2"/>
        <v>5</v>
      </c>
      <c r="K126" s="1" t="s">
        <v>741</v>
      </c>
      <c r="L126" s="1" t="s">
        <v>666</v>
      </c>
      <c r="M126">
        <f t="shared" si="3"/>
        <v>13</v>
      </c>
      <c r="N126" t="s">
        <v>650</v>
      </c>
    </row>
    <row r="127" spans="1:14" hidden="1" x14ac:dyDescent="0.3">
      <c r="A127" s="1" t="s">
        <v>1132</v>
      </c>
      <c r="B127" s="1" t="s">
        <v>642</v>
      </c>
      <c r="C127" s="1" t="s">
        <v>1133</v>
      </c>
      <c r="D127" s="1" t="s">
        <v>746</v>
      </c>
      <c r="E127" s="1" t="s">
        <v>747</v>
      </c>
      <c r="F127" s="1" t="s">
        <v>748</v>
      </c>
      <c r="G127" s="1">
        <v>207</v>
      </c>
      <c r="H127">
        <v>2009</v>
      </c>
      <c r="I127">
        <v>2012</v>
      </c>
      <c r="J127">
        <f t="shared" si="2"/>
        <v>4</v>
      </c>
      <c r="K127" s="1" t="s">
        <v>741</v>
      </c>
      <c r="L127" s="1" t="s">
        <v>666</v>
      </c>
      <c r="M127">
        <f t="shared" si="3"/>
        <v>14</v>
      </c>
      <c r="N127" t="s">
        <v>650</v>
      </c>
    </row>
    <row r="128" spans="1:14" hidden="1" x14ac:dyDescent="0.3">
      <c r="A128" s="1" t="s">
        <v>1134</v>
      </c>
      <c r="B128" s="1" t="s">
        <v>642</v>
      </c>
      <c r="C128" s="1" t="s">
        <v>1135</v>
      </c>
      <c r="D128" s="1" t="s">
        <v>746</v>
      </c>
      <c r="E128" s="1" t="s">
        <v>747</v>
      </c>
      <c r="F128" s="1" t="s">
        <v>748</v>
      </c>
      <c r="G128" s="1">
        <v>207</v>
      </c>
      <c r="H128">
        <v>2009</v>
      </c>
      <c r="I128">
        <v>2012</v>
      </c>
      <c r="J128">
        <f t="shared" si="2"/>
        <v>4</v>
      </c>
      <c r="K128" s="1" t="s">
        <v>741</v>
      </c>
      <c r="L128" s="1" t="s">
        <v>666</v>
      </c>
      <c r="M128">
        <f t="shared" si="3"/>
        <v>14</v>
      </c>
      <c r="N128" t="s">
        <v>650</v>
      </c>
    </row>
    <row r="129" spans="1:14" hidden="1" x14ac:dyDescent="0.3">
      <c r="A129" s="1" t="s">
        <v>1128</v>
      </c>
      <c r="B129" s="1" t="s">
        <v>642</v>
      </c>
      <c r="C129" s="1" t="s">
        <v>1129</v>
      </c>
      <c r="D129" s="1" t="s">
        <v>746</v>
      </c>
      <c r="E129" s="1" t="s">
        <v>747</v>
      </c>
      <c r="F129" s="1" t="s">
        <v>748</v>
      </c>
      <c r="G129" s="1">
        <v>207</v>
      </c>
      <c r="H129">
        <v>2009</v>
      </c>
      <c r="I129">
        <v>2013</v>
      </c>
      <c r="J129">
        <f t="shared" si="2"/>
        <v>5</v>
      </c>
      <c r="K129" s="1" t="s">
        <v>741</v>
      </c>
      <c r="L129" s="1" t="s">
        <v>666</v>
      </c>
      <c r="M129">
        <f t="shared" si="3"/>
        <v>13</v>
      </c>
      <c r="N129" t="s">
        <v>650</v>
      </c>
    </row>
    <row r="130" spans="1:14" hidden="1" x14ac:dyDescent="0.3">
      <c r="A130" s="1" t="s">
        <v>771</v>
      </c>
      <c r="B130" s="1" t="s">
        <v>642</v>
      </c>
      <c r="C130" s="1" t="s">
        <v>772</v>
      </c>
      <c r="D130" s="1" t="s">
        <v>746</v>
      </c>
      <c r="E130" s="1" t="s">
        <v>747</v>
      </c>
      <c r="F130" s="1" t="s">
        <v>748</v>
      </c>
      <c r="G130" s="1">
        <v>207</v>
      </c>
      <c r="H130">
        <v>2009</v>
      </c>
      <c r="I130">
        <v>2014</v>
      </c>
      <c r="J130">
        <f t="shared" si="2"/>
        <v>6</v>
      </c>
      <c r="K130" s="1" t="s">
        <v>741</v>
      </c>
      <c r="L130" s="1" t="s">
        <v>666</v>
      </c>
      <c r="M130">
        <f t="shared" si="3"/>
        <v>12</v>
      </c>
      <c r="N130" t="s">
        <v>650</v>
      </c>
    </row>
    <row r="131" spans="1:14" hidden="1" x14ac:dyDescent="0.3">
      <c r="A131" s="1" t="s">
        <v>1140</v>
      </c>
      <c r="B131" s="1" t="s">
        <v>642</v>
      </c>
      <c r="C131" s="1" t="s">
        <v>1141</v>
      </c>
      <c r="D131" s="1" t="s">
        <v>746</v>
      </c>
      <c r="E131" s="1" t="s">
        <v>747</v>
      </c>
      <c r="F131" s="1" t="s">
        <v>748</v>
      </c>
      <c r="G131" s="1">
        <v>207</v>
      </c>
      <c r="H131">
        <v>2009</v>
      </c>
      <c r="I131">
        <v>2010</v>
      </c>
      <c r="J131">
        <f t="shared" si="2"/>
        <v>2</v>
      </c>
      <c r="K131" s="1" t="s">
        <v>741</v>
      </c>
      <c r="L131" s="1" t="s">
        <v>666</v>
      </c>
      <c r="M131">
        <f t="shared" si="3"/>
        <v>16</v>
      </c>
      <c r="N131" t="s">
        <v>640</v>
      </c>
    </row>
    <row r="132" spans="1:14" hidden="1" x14ac:dyDescent="0.3">
      <c r="A132" s="1" t="s">
        <v>775</v>
      </c>
      <c r="B132" s="1" t="s">
        <v>642</v>
      </c>
      <c r="C132" s="1" t="s">
        <v>776</v>
      </c>
      <c r="D132" s="1" t="s">
        <v>746</v>
      </c>
      <c r="E132" s="1" t="s">
        <v>747</v>
      </c>
      <c r="F132" s="1" t="s">
        <v>748</v>
      </c>
      <c r="G132" s="1">
        <v>207</v>
      </c>
      <c r="H132">
        <v>2009</v>
      </c>
      <c r="I132">
        <v>2013</v>
      </c>
      <c r="J132">
        <f t="shared" si="2"/>
        <v>5</v>
      </c>
      <c r="K132" s="1" t="s">
        <v>741</v>
      </c>
      <c r="L132" s="1" t="s">
        <v>666</v>
      </c>
      <c r="M132">
        <f t="shared" si="3"/>
        <v>13</v>
      </c>
      <c r="N132" t="s">
        <v>650</v>
      </c>
    </row>
    <row r="133" spans="1:14" hidden="1" x14ac:dyDescent="0.3">
      <c r="A133" s="1" t="s">
        <v>1142</v>
      </c>
      <c r="B133" s="1" t="s">
        <v>642</v>
      </c>
      <c r="C133" s="1" t="s">
        <v>1143</v>
      </c>
      <c r="D133" s="1" t="s">
        <v>746</v>
      </c>
      <c r="E133" s="1" t="s">
        <v>747</v>
      </c>
      <c r="F133" s="1" t="s">
        <v>748</v>
      </c>
      <c r="G133" s="1">
        <v>207</v>
      </c>
      <c r="H133">
        <v>2009</v>
      </c>
      <c r="I133">
        <v>2010</v>
      </c>
      <c r="J133">
        <f t="shared" si="2"/>
        <v>2</v>
      </c>
      <c r="K133" s="1" t="s">
        <v>741</v>
      </c>
      <c r="L133" s="1" t="s">
        <v>666</v>
      </c>
      <c r="M133">
        <f t="shared" si="3"/>
        <v>16</v>
      </c>
      <c r="N133" t="s">
        <v>640</v>
      </c>
    </row>
    <row r="134" spans="1:14" hidden="1" x14ac:dyDescent="0.3">
      <c r="A134" s="1" t="s">
        <v>1130</v>
      </c>
      <c r="B134" s="1" t="s">
        <v>642</v>
      </c>
      <c r="C134" s="1" t="s">
        <v>1131</v>
      </c>
      <c r="D134" s="1" t="s">
        <v>746</v>
      </c>
      <c r="E134" s="1" t="s">
        <v>747</v>
      </c>
      <c r="F134" s="1" t="s">
        <v>748</v>
      </c>
      <c r="G134" s="1">
        <v>207</v>
      </c>
      <c r="H134">
        <v>2009</v>
      </c>
      <c r="I134">
        <v>2013</v>
      </c>
      <c r="J134">
        <f t="shared" ref="J134:J197" si="4">1+(I134-H134)</f>
        <v>5</v>
      </c>
      <c r="K134" s="1" t="s">
        <v>741</v>
      </c>
      <c r="L134" s="1" t="s">
        <v>666</v>
      </c>
      <c r="M134">
        <f t="shared" ref="M134:M197" si="5">IF(I134=0,0,$B$2-I134)</f>
        <v>13</v>
      </c>
      <c r="N134" t="s">
        <v>650</v>
      </c>
    </row>
    <row r="135" spans="1:14" hidden="1" x14ac:dyDescent="0.3">
      <c r="A135" s="1" t="s">
        <v>777</v>
      </c>
      <c r="B135" s="1" t="s">
        <v>642</v>
      </c>
      <c r="C135" s="1" t="s">
        <v>778</v>
      </c>
      <c r="D135" s="1" t="s">
        <v>746</v>
      </c>
      <c r="E135" s="1" t="s">
        <v>747</v>
      </c>
      <c r="F135" s="1" t="s">
        <v>748</v>
      </c>
      <c r="G135" s="1">
        <v>207</v>
      </c>
      <c r="H135">
        <v>2009</v>
      </c>
      <c r="I135">
        <v>2013</v>
      </c>
      <c r="J135">
        <f t="shared" si="4"/>
        <v>5</v>
      </c>
      <c r="K135" s="1" t="s">
        <v>741</v>
      </c>
      <c r="L135" s="1" t="s">
        <v>666</v>
      </c>
      <c r="M135">
        <f t="shared" si="5"/>
        <v>13</v>
      </c>
      <c r="N135" t="s">
        <v>650</v>
      </c>
    </row>
    <row r="136" spans="1:14" hidden="1" x14ac:dyDescent="0.3">
      <c r="A136" t="s">
        <v>12146</v>
      </c>
      <c r="B136" t="s">
        <v>642</v>
      </c>
      <c r="C136" t="s">
        <v>12147</v>
      </c>
      <c r="E136" s="1" t="e">
        <v>#N/A</v>
      </c>
      <c r="F136" s="1" t="e">
        <v>#N/A</v>
      </c>
      <c r="G136" s="1">
        <v>208</v>
      </c>
      <c r="H136">
        <v>2025</v>
      </c>
      <c r="I136">
        <v>2026</v>
      </c>
      <c r="J136">
        <f t="shared" si="4"/>
        <v>2</v>
      </c>
      <c r="K136" s="1" t="s">
        <v>741</v>
      </c>
      <c r="L136" s="1" t="s">
        <v>666</v>
      </c>
      <c r="M136">
        <f t="shared" si="5"/>
        <v>0</v>
      </c>
    </row>
    <row r="137" spans="1:14" hidden="1" x14ac:dyDescent="0.3">
      <c r="A137" t="s">
        <v>12148</v>
      </c>
      <c r="B137" t="s">
        <v>642</v>
      </c>
      <c r="C137" t="s">
        <v>12149</v>
      </c>
      <c r="E137" s="1" t="e">
        <v>#N/A</v>
      </c>
      <c r="F137" s="1" t="e">
        <v>#N/A</v>
      </c>
      <c r="G137" s="1">
        <v>208</v>
      </c>
      <c r="H137">
        <v>2025</v>
      </c>
      <c r="I137">
        <v>2026</v>
      </c>
      <c r="J137">
        <f t="shared" si="4"/>
        <v>2</v>
      </c>
      <c r="K137" s="1" t="s">
        <v>741</v>
      </c>
      <c r="L137" s="1" t="s">
        <v>666</v>
      </c>
      <c r="M137">
        <f t="shared" si="5"/>
        <v>0</v>
      </c>
    </row>
    <row r="138" spans="1:14" hidden="1" x14ac:dyDescent="0.3">
      <c r="A138" s="1" t="s">
        <v>784</v>
      </c>
      <c r="B138" s="1" t="s">
        <v>642</v>
      </c>
      <c r="C138" s="1" t="s">
        <v>785</v>
      </c>
      <c r="D138" s="1" t="s">
        <v>746</v>
      </c>
      <c r="E138" s="1" t="s">
        <v>747</v>
      </c>
      <c r="F138" s="1" t="s">
        <v>748</v>
      </c>
      <c r="G138" s="1">
        <v>208</v>
      </c>
      <c r="H138">
        <v>2016</v>
      </c>
      <c r="I138">
        <v>2022</v>
      </c>
      <c r="J138">
        <f t="shared" si="4"/>
        <v>7</v>
      </c>
      <c r="K138" s="1" t="s">
        <v>741</v>
      </c>
      <c r="L138" s="1" t="s">
        <v>666</v>
      </c>
      <c r="M138">
        <f t="shared" si="5"/>
        <v>4</v>
      </c>
      <c r="N138" t="s">
        <v>650</v>
      </c>
    </row>
    <row r="139" spans="1:14" hidden="1" x14ac:dyDescent="0.3">
      <c r="A139" s="1" t="s">
        <v>1152</v>
      </c>
      <c r="B139" s="1" t="s">
        <v>642</v>
      </c>
      <c r="C139" s="1" t="s">
        <v>1153</v>
      </c>
      <c r="D139" s="1" t="s">
        <v>746</v>
      </c>
      <c r="E139" s="1" t="s">
        <v>747</v>
      </c>
      <c r="F139" s="1" t="s">
        <v>748</v>
      </c>
      <c r="G139" s="1">
        <v>208</v>
      </c>
      <c r="H139">
        <v>2021</v>
      </c>
      <c r="I139">
        <v>2022</v>
      </c>
      <c r="J139">
        <f t="shared" si="4"/>
        <v>2</v>
      </c>
      <c r="K139" s="1" t="s">
        <v>741</v>
      </c>
      <c r="L139" s="1" t="s">
        <v>666</v>
      </c>
      <c r="M139">
        <f t="shared" si="5"/>
        <v>4</v>
      </c>
      <c r="N139" t="s">
        <v>650</v>
      </c>
    </row>
    <row r="140" spans="1:14" hidden="1" x14ac:dyDescent="0.3">
      <c r="A140" s="1" t="s">
        <v>1166</v>
      </c>
      <c r="B140" s="1" t="s">
        <v>642</v>
      </c>
      <c r="C140" s="1" t="s">
        <v>1167</v>
      </c>
      <c r="D140" s="1" t="s">
        <v>746</v>
      </c>
      <c r="E140" s="1" t="s">
        <v>747</v>
      </c>
      <c r="F140" s="1" t="s">
        <v>748</v>
      </c>
      <c r="G140" s="1">
        <v>208</v>
      </c>
      <c r="H140">
        <v>2017</v>
      </c>
      <c r="I140">
        <v>2019</v>
      </c>
      <c r="J140">
        <f t="shared" si="4"/>
        <v>3</v>
      </c>
      <c r="K140" s="1" t="s">
        <v>741</v>
      </c>
      <c r="L140" s="1" t="s">
        <v>666</v>
      </c>
      <c r="M140">
        <f t="shared" si="5"/>
        <v>7</v>
      </c>
      <c r="N140" t="s">
        <v>650</v>
      </c>
    </row>
    <row r="141" spans="1:14" hidden="1" x14ac:dyDescent="0.3">
      <c r="A141" s="1" t="s">
        <v>1160</v>
      </c>
      <c r="B141" s="1" t="s">
        <v>642</v>
      </c>
      <c r="C141" s="1" t="s">
        <v>1161</v>
      </c>
      <c r="D141" s="1" t="s">
        <v>746</v>
      </c>
      <c r="E141" s="1" t="s">
        <v>747</v>
      </c>
      <c r="F141" s="1" t="s">
        <v>748</v>
      </c>
      <c r="G141" s="1">
        <v>208</v>
      </c>
      <c r="H141">
        <v>2015</v>
      </c>
      <c r="I141">
        <v>2022</v>
      </c>
      <c r="J141">
        <f t="shared" si="4"/>
        <v>8</v>
      </c>
      <c r="K141" s="1" t="s">
        <v>741</v>
      </c>
      <c r="L141" s="1" t="s">
        <v>666</v>
      </c>
      <c r="M141">
        <f t="shared" si="5"/>
        <v>4</v>
      </c>
      <c r="N141" t="s">
        <v>650</v>
      </c>
    </row>
    <row r="142" spans="1:14" hidden="1" x14ac:dyDescent="0.3">
      <c r="A142" s="1" t="s">
        <v>790</v>
      </c>
      <c r="B142" s="1" t="s">
        <v>642</v>
      </c>
      <c r="C142" s="1" t="s">
        <v>791</v>
      </c>
      <c r="D142" s="1" t="s">
        <v>746</v>
      </c>
      <c r="E142" s="1" t="s">
        <v>747</v>
      </c>
      <c r="F142" s="1" t="s">
        <v>748</v>
      </c>
      <c r="G142" s="1">
        <v>208</v>
      </c>
      <c r="H142">
        <v>2013</v>
      </c>
      <c r="I142">
        <v>2016</v>
      </c>
      <c r="J142">
        <f t="shared" si="4"/>
        <v>4</v>
      </c>
      <c r="K142" s="1" t="s">
        <v>741</v>
      </c>
      <c r="L142" s="1" t="s">
        <v>666</v>
      </c>
      <c r="M142">
        <f t="shared" si="5"/>
        <v>10</v>
      </c>
      <c r="N142" t="s">
        <v>650</v>
      </c>
    </row>
    <row r="143" spans="1:14" hidden="1" x14ac:dyDescent="0.3">
      <c r="A143" t="s">
        <v>12150</v>
      </c>
      <c r="B143" t="s">
        <v>642</v>
      </c>
      <c r="C143" t="s">
        <v>12151</v>
      </c>
      <c r="E143" s="1" t="e">
        <v>#N/A</v>
      </c>
      <c r="F143" s="1" t="e">
        <v>#N/A</v>
      </c>
      <c r="G143" s="1">
        <v>208</v>
      </c>
      <c r="H143">
        <v>2025</v>
      </c>
      <c r="I143">
        <v>2026</v>
      </c>
      <c r="J143">
        <f t="shared" si="4"/>
        <v>2</v>
      </c>
      <c r="K143" s="1" t="s">
        <v>741</v>
      </c>
      <c r="L143" s="1" t="s">
        <v>666</v>
      </c>
      <c r="M143">
        <f t="shared" si="5"/>
        <v>0</v>
      </c>
    </row>
    <row r="144" spans="1:14" hidden="1" x14ac:dyDescent="0.3">
      <c r="A144" t="s">
        <v>12152</v>
      </c>
      <c r="B144" t="s">
        <v>642</v>
      </c>
      <c r="C144" t="s">
        <v>12153</v>
      </c>
      <c r="E144" s="1" t="e">
        <v>#N/A</v>
      </c>
      <c r="F144" s="1" t="e">
        <v>#N/A</v>
      </c>
      <c r="G144" s="1">
        <v>208</v>
      </c>
      <c r="H144">
        <v>2024</v>
      </c>
      <c r="I144">
        <v>2026</v>
      </c>
      <c r="J144">
        <f t="shared" si="4"/>
        <v>3</v>
      </c>
      <c r="K144" s="1" t="s">
        <v>741</v>
      </c>
      <c r="L144" s="1" t="s">
        <v>666</v>
      </c>
      <c r="M144">
        <f t="shared" si="5"/>
        <v>0</v>
      </c>
    </row>
    <row r="145" spans="1:14" hidden="1" x14ac:dyDescent="0.3">
      <c r="A145" s="1" t="s">
        <v>1164</v>
      </c>
      <c r="B145" s="1" t="s">
        <v>642</v>
      </c>
      <c r="C145" s="1" t="s">
        <v>1165</v>
      </c>
      <c r="D145" s="1" t="s">
        <v>746</v>
      </c>
      <c r="E145" s="1" t="s">
        <v>747</v>
      </c>
      <c r="F145" s="1" t="s">
        <v>748</v>
      </c>
      <c r="G145" s="1">
        <v>208</v>
      </c>
      <c r="H145">
        <v>2017</v>
      </c>
      <c r="I145">
        <v>2020</v>
      </c>
      <c r="J145">
        <f t="shared" si="4"/>
        <v>4</v>
      </c>
      <c r="K145" s="1" t="s">
        <v>741</v>
      </c>
      <c r="L145" s="1" t="s">
        <v>666</v>
      </c>
      <c r="M145">
        <f t="shared" si="5"/>
        <v>6</v>
      </c>
      <c r="N145" t="s">
        <v>650</v>
      </c>
    </row>
    <row r="146" spans="1:14" hidden="1" x14ac:dyDescent="0.3">
      <c r="A146" s="1" t="s">
        <v>792</v>
      </c>
      <c r="B146" s="1" t="s">
        <v>642</v>
      </c>
      <c r="C146" s="1" t="s">
        <v>793</v>
      </c>
      <c r="D146" s="1" t="s">
        <v>746</v>
      </c>
      <c r="E146" s="1" t="s">
        <v>747</v>
      </c>
      <c r="F146" s="1" t="s">
        <v>748</v>
      </c>
      <c r="G146" s="1">
        <v>208</v>
      </c>
      <c r="H146">
        <v>2013</v>
      </c>
      <c r="I146">
        <v>2016</v>
      </c>
      <c r="J146">
        <f t="shared" si="4"/>
        <v>4</v>
      </c>
      <c r="K146" s="1" t="s">
        <v>741</v>
      </c>
      <c r="L146" s="1" t="s">
        <v>666</v>
      </c>
      <c r="M146">
        <f t="shared" si="5"/>
        <v>10</v>
      </c>
      <c r="N146" t="s">
        <v>650</v>
      </c>
    </row>
    <row r="147" spans="1:14" hidden="1" x14ac:dyDescent="0.3">
      <c r="A147" s="1" t="s">
        <v>786</v>
      </c>
      <c r="B147" s="1" t="s">
        <v>642</v>
      </c>
      <c r="C147" s="1" t="s">
        <v>787</v>
      </c>
      <c r="D147" s="1" t="s">
        <v>746</v>
      </c>
      <c r="E147" s="1" t="s">
        <v>747</v>
      </c>
      <c r="F147" s="1" t="s">
        <v>748</v>
      </c>
      <c r="G147" s="1">
        <v>208</v>
      </c>
      <c r="H147">
        <v>2016</v>
      </c>
      <c r="I147">
        <v>2022</v>
      </c>
      <c r="J147">
        <f t="shared" si="4"/>
        <v>7</v>
      </c>
      <c r="K147" s="1" t="s">
        <v>741</v>
      </c>
      <c r="L147" s="1" t="s">
        <v>666</v>
      </c>
      <c r="M147">
        <f t="shared" si="5"/>
        <v>4</v>
      </c>
      <c r="N147" t="s">
        <v>650</v>
      </c>
    </row>
    <row r="148" spans="1:14" hidden="1" x14ac:dyDescent="0.3">
      <c r="A148" s="1" t="s">
        <v>1174</v>
      </c>
      <c r="B148" s="1" t="s">
        <v>642</v>
      </c>
      <c r="C148" s="1" t="s">
        <v>1175</v>
      </c>
      <c r="D148" s="1" t="s">
        <v>746</v>
      </c>
      <c r="E148" s="1" t="s">
        <v>747</v>
      </c>
      <c r="F148" s="1" t="s">
        <v>748</v>
      </c>
      <c r="G148" s="1">
        <v>208</v>
      </c>
      <c r="H148">
        <v>2016</v>
      </c>
      <c r="I148">
        <v>2016</v>
      </c>
      <c r="J148">
        <f t="shared" si="4"/>
        <v>1</v>
      </c>
      <c r="K148" s="1" t="s">
        <v>741</v>
      </c>
      <c r="L148" s="1" t="s">
        <v>666</v>
      </c>
      <c r="M148">
        <f t="shared" si="5"/>
        <v>10</v>
      </c>
      <c r="N148" t="s">
        <v>650</v>
      </c>
    </row>
    <row r="149" spans="1:14" hidden="1" x14ac:dyDescent="0.3">
      <c r="A149" s="1" t="s">
        <v>1176</v>
      </c>
      <c r="B149" s="1" t="s">
        <v>642</v>
      </c>
      <c r="C149" s="1" t="s">
        <v>1177</v>
      </c>
      <c r="D149" s="1" t="s">
        <v>746</v>
      </c>
      <c r="E149" s="1" t="s">
        <v>747</v>
      </c>
      <c r="F149" s="1" t="s">
        <v>748</v>
      </c>
      <c r="G149" s="1">
        <v>208</v>
      </c>
      <c r="H149">
        <v>2016</v>
      </c>
      <c r="I149">
        <v>2016</v>
      </c>
      <c r="J149">
        <f t="shared" si="4"/>
        <v>1</v>
      </c>
      <c r="K149" s="1" t="s">
        <v>741</v>
      </c>
      <c r="L149" s="1" t="s">
        <v>666</v>
      </c>
      <c r="M149">
        <f t="shared" si="5"/>
        <v>10</v>
      </c>
      <c r="N149" t="s">
        <v>650</v>
      </c>
    </row>
    <row r="150" spans="1:14" hidden="1" x14ac:dyDescent="0.3">
      <c r="A150" t="s">
        <v>12154</v>
      </c>
      <c r="B150" t="s">
        <v>642</v>
      </c>
      <c r="C150" t="s">
        <v>12155</v>
      </c>
      <c r="E150" s="1" t="e">
        <v>#N/A</v>
      </c>
      <c r="F150" s="1" t="e">
        <v>#N/A</v>
      </c>
      <c r="G150" s="1">
        <v>208</v>
      </c>
      <c r="H150">
        <v>2024</v>
      </c>
      <c r="I150">
        <v>2024</v>
      </c>
      <c r="J150">
        <f t="shared" si="4"/>
        <v>1</v>
      </c>
      <c r="K150" s="1" t="s">
        <v>741</v>
      </c>
      <c r="L150" s="1" t="s">
        <v>666</v>
      </c>
      <c r="M150">
        <f t="shared" si="5"/>
        <v>2</v>
      </c>
    </row>
    <row r="151" spans="1:14" hidden="1" x14ac:dyDescent="0.3">
      <c r="A151" s="1" t="s">
        <v>788</v>
      </c>
      <c r="B151" s="1" t="s">
        <v>642</v>
      </c>
      <c r="C151" s="1" t="s">
        <v>789</v>
      </c>
      <c r="D151" s="1" t="s">
        <v>746</v>
      </c>
      <c r="E151" s="1" t="s">
        <v>747</v>
      </c>
      <c r="F151" s="1" t="s">
        <v>748</v>
      </c>
      <c r="G151" s="1">
        <v>208</v>
      </c>
      <c r="H151">
        <v>2013</v>
      </c>
      <c r="I151">
        <v>2022</v>
      </c>
      <c r="J151">
        <f t="shared" si="4"/>
        <v>10</v>
      </c>
      <c r="K151" s="1" t="s">
        <v>741</v>
      </c>
      <c r="L151" s="1" t="s">
        <v>666</v>
      </c>
      <c r="M151">
        <f t="shared" si="5"/>
        <v>4</v>
      </c>
      <c r="N151" t="s">
        <v>650</v>
      </c>
    </row>
    <row r="152" spans="1:14" hidden="1" x14ac:dyDescent="0.3">
      <c r="A152" s="1" t="s">
        <v>1172</v>
      </c>
      <c r="B152" s="1" t="s">
        <v>642</v>
      </c>
      <c r="C152" s="1" t="s">
        <v>1173</v>
      </c>
      <c r="D152" s="1" t="s">
        <v>746</v>
      </c>
      <c r="E152" s="1" t="s">
        <v>747</v>
      </c>
      <c r="F152" s="1" t="s">
        <v>748</v>
      </c>
      <c r="G152" s="1">
        <v>208</v>
      </c>
      <c r="H152">
        <v>2013</v>
      </c>
      <c r="I152">
        <v>2017</v>
      </c>
      <c r="J152">
        <f t="shared" si="4"/>
        <v>5</v>
      </c>
      <c r="K152" s="1" t="s">
        <v>741</v>
      </c>
      <c r="L152" s="1" t="s">
        <v>666</v>
      </c>
      <c r="M152">
        <f t="shared" si="5"/>
        <v>9</v>
      </c>
      <c r="N152" t="s">
        <v>650</v>
      </c>
    </row>
    <row r="153" spans="1:14" hidden="1" x14ac:dyDescent="0.3">
      <c r="A153" s="1" t="s">
        <v>1162</v>
      </c>
      <c r="B153" s="1" t="s">
        <v>642</v>
      </c>
      <c r="C153" s="1" t="s">
        <v>1163</v>
      </c>
      <c r="D153" s="1" t="s">
        <v>746</v>
      </c>
      <c r="E153" s="1" t="s">
        <v>747</v>
      </c>
      <c r="F153" s="1" t="s">
        <v>748</v>
      </c>
      <c r="G153" s="1">
        <v>208</v>
      </c>
      <c r="H153">
        <v>2019</v>
      </c>
      <c r="I153">
        <v>2020</v>
      </c>
      <c r="J153">
        <f t="shared" si="4"/>
        <v>2</v>
      </c>
      <c r="K153" s="1" t="s">
        <v>741</v>
      </c>
      <c r="L153" s="1" t="s">
        <v>666</v>
      </c>
      <c r="M153">
        <f t="shared" si="5"/>
        <v>6</v>
      </c>
      <c r="N153" t="s">
        <v>650</v>
      </c>
    </row>
    <row r="154" spans="1:14" hidden="1" x14ac:dyDescent="0.3">
      <c r="A154" t="s">
        <v>12156</v>
      </c>
      <c r="B154" t="s">
        <v>642</v>
      </c>
      <c r="C154" t="s">
        <v>12157</v>
      </c>
      <c r="E154" s="1" t="e">
        <v>#N/A</v>
      </c>
      <c r="F154" s="1" t="e">
        <v>#N/A</v>
      </c>
      <c r="G154" s="1">
        <v>208</v>
      </c>
      <c r="H154">
        <v>2025</v>
      </c>
      <c r="I154">
        <v>2026</v>
      </c>
      <c r="J154">
        <f t="shared" si="4"/>
        <v>2</v>
      </c>
      <c r="K154" s="1" t="s">
        <v>4668</v>
      </c>
      <c r="L154" s="1" t="s">
        <v>659</v>
      </c>
      <c r="M154">
        <f t="shared" si="5"/>
        <v>0</v>
      </c>
    </row>
    <row r="155" spans="1:14" hidden="1" x14ac:dyDescent="0.3">
      <c r="A155" t="s">
        <v>12158</v>
      </c>
      <c r="B155" t="s">
        <v>642</v>
      </c>
      <c r="C155" t="s">
        <v>12159</v>
      </c>
      <c r="E155" s="1" t="e">
        <v>#N/A</v>
      </c>
      <c r="F155" s="1" t="e">
        <v>#N/A</v>
      </c>
      <c r="G155" s="1">
        <v>208</v>
      </c>
      <c r="H155">
        <v>2025</v>
      </c>
      <c r="I155">
        <v>2026</v>
      </c>
      <c r="J155">
        <f t="shared" si="4"/>
        <v>2</v>
      </c>
      <c r="K155" s="1" t="s">
        <v>4668</v>
      </c>
      <c r="L155" s="1" t="s">
        <v>659</v>
      </c>
      <c r="M155">
        <f t="shared" si="5"/>
        <v>0</v>
      </c>
    </row>
    <row r="156" spans="1:14" hidden="1" x14ac:dyDescent="0.3">
      <c r="A156" s="1" t="s">
        <v>4970</v>
      </c>
      <c r="B156" s="1" t="s">
        <v>642</v>
      </c>
      <c r="C156" s="1" t="s">
        <v>4971</v>
      </c>
      <c r="D156" s="1" t="s">
        <v>746</v>
      </c>
      <c r="E156" s="1" t="s">
        <v>747</v>
      </c>
      <c r="F156" s="1" t="s">
        <v>748</v>
      </c>
      <c r="G156" s="1">
        <v>208</v>
      </c>
      <c r="H156">
        <v>2016</v>
      </c>
      <c r="I156">
        <v>2020</v>
      </c>
      <c r="J156">
        <f t="shared" si="4"/>
        <v>5</v>
      </c>
      <c r="K156" s="1" t="s">
        <v>4668</v>
      </c>
      <c r="L156" s="1" t="s">
        <v>659</v>
      </c>
      <c r="M156">
        <f t="shared" si="5"/>
        <v>6</v>
      </c>
      <c r="N156" t="s">
        <v>650</v>
      </c>
    </row>
    <row r="157" spans="1:14" hidden="1" x14ac:dyDescent="0.3">
      <c r="A157" s="1" t="s">
        <v>1158</v>
      </c>
      <c r="B157" s="1" t="s">
        <v>642</v>
      </c>
      <c r="C157" s="1" t="s">
        <v>1159</v>
      </c>
      <c r="D157" s="1" t="s">
        <v>746</v>
      </c>
      <c r="E157" s="1" t="s">
        <v>747</v>
      </c>
      <c r="F157" s="1" t="s">
        <v>748</v>
      </c>
      <c r="G157" s="1">
        <v>208</v>
      </c>
      <c r="H157">
        <v>2017</v>
      </c>
      <c r="I157">
        <v>2022</v>
      </c>
      <c r="J157">
        <f t="shared" si="4"/>
        <v>6</v>
      </c>
      <c r="K157" s="1" t="s">
        <v>741</v>
      </c>
      <c r="L157" s="1" t="s">
        <v>666</v>
      </c>
      <c r="M157">
        <f t="shared" si="5"/>
        <v>4</v>
      </c>
      <c r="N157" t="s">
        <v>650</v>
      </c>
    </row>
    <row r="158" spans="1:14" hidden="1" x14ac:dyDescent="0.3">
      <c r="A158" t="s">
        <v>12160</v>
      </c>
      <c r="B158" t="s">
        <v>642</v>
      </c>
      <c r="C158" t="s">
        <v>12161</v>
      </c>
      <c r="E158" s="1" t="e">
        <v>#N/A</v>
      </c>
      <c r="F158" s="1" t="e">
        <v>#N/A</v>
      </c>
      <c r="G158" s="1">
        <v>208</v>
      </c>
      <c r="H158">
        <v>2023</v>
      </c>
      <c r="I158">
        <v>2024</v>
      </c>
      <c r="J158">
        <f t="shared" si="4"/>
        <v>2</v>
      </c>
      <c r="K158" s="1" t="s">
        <v>741</v>
      </c>
      <c r="L158" s="1" t="s">
        <v>666</v>
      </c>
      <c r="M158">
        <f t="shared" si="5"/>
        <v>2</v>
      </c>
    </row>
    <row r="159" spans="1:14" hidden="1" x14ac:dyDescent="0.3">
      <c r="A159" s="1" t="s">
        <v>1154</v>
      </c>
      <c r="B159" s="1" t="s">
        <v>642</v>
      </c>
      <c r="C159" s="1" t="s">
        <v>1155</v>
      </c>
      <c r="D159" s="1" t="s">
        <v>746</v>
      </c>
      <c r="E159" s="1" t="s">
        <v>747</v>
      </c>
      <c r="F159" s="1" t="s">
        <v>748</v>
      </c>
      <c r="G159" s="1">
        <v>208</v>
      </c>
      <c r="H159">
        <v>2020</v>
      </c>
      <c r="I159">
        <v>2022</v>
      </c>
      <c r="J159">
        <f t="shared" si="4"/>
        <v>3</v>
      </c>
      <c r="K159" s="1" t="s">
        <v>741</v>
      </c>
      <c r="L159" s="1" t="s">
        <v>666</v>
      </c>
      <c r="M159">
        <f t="shared" si="5"/>
        <v>4</v>
      </c>
      <c r="N159" t="s">
        <v>650</v>
      </c>
    </row>
    <row r="160" spans="1:14" hidden="1" x14ac:dyDescent="0.3">
      <c r="A160" s="1" t="s">
        <v>1156</v>
      </c>
      <c r="B160" s="1" t="s">
        <v>642</v>
      </c>
      <c r="C160" s="1" t="s">
        <v>1157</v>
      </c>
      <c r="D160" s="1" t="s">
        <v>746</v>
      </c>
      <c r="E160" s="1" t="s">
        <v>747</v>
      </c>
      <c r="F160" s="1" t="s">
        <v>748</v>
      </c>
      <c r="G160" s="1">
        <v>208</v>
      </c>
      <c r="H160">
        <v>2020</v>
      </c>
      <c r="I160">
        <v>2022</v>
      </c>
      <c r="J160">
        <f t="shared" si="4"/>
        <v>3</v>
      </c>
      <c r="K160" s="1" t="s">
        <v>741</v>
      </c>
      <c r="L160" s="1" t="s">
        <v>666</v>
      </c>
      <c r="M160">
        <f t="shared" si="5"/>
        <v>4</v>
      </c>
      <c r="N160" t="s">
        <v>650</v>
      </c>
    </row>
    <row r="161" spans="1:14" hidden="1" x14ac:dyDescent="0.3">
      <c r="A161" s="1" t="s">
        <v>1178</v>
      </c>
      <c r="B161" s="1" t="s">
        <v>642</v>
      </c>
      <c r="C161" s="1" t="s">
        <v>1179</v>
      </c>
      <c r="D161" s="1" t="s">
        <v>746</v>
      </c>
      <c r="E161" s="1" t="s">
        <v>747</v>
      </c>
      <c r="F161" s="1" t="s">
        <v>748</v>
      </c>
      <c r="G161" s="1">
        <v>208</v>
      </c>
      <c r="H161">
        <v>2014</v>
      </c>
      <c r="I161">
        <v>2014</v>
      </c>
      <c r="J161">
        <f t="shared" si="4"/>
        <v>1</v>
      </c>
      <c r="K161" s="1" t="s">
        <v>741</v>
      </c>
      <c r="L161" s="1" t="s">
        <v>666</v>
      </c>
      <c r="M161">
        <f t="shared" si="5"/>
        <v>12</v>
      </c>
      <c r="N161" t="s">
        <v>650</v>
      </c>
    </row>
    <row r="162" spans="1:14" hidden="1" x14ac:dyDescent="0.3">
      <c r="A162" t="s">
        <v>12162</v>
      </c>
      <c r="B162" t="s">
        <v>642</v>
      </c>
      <c r="C162" t="s">
        <v>12163</v>
      </c>
      <c r="E162" s="1" t="e">
        <v>#N/A</v>
      </c>
      <c r="F162" s="1" t="e">
        <v>#N/A</v>
      </c>
      <c r="G162" s="1">
        <v>208</v>
      </c>
      <c r="H162">
        <v>2023</v>
      </c>
      <c r="I162">
        <v>2024</v>
      </c>
      <c r="J162">
        <f t="shared" si="4"/>
        <v>2</v>
      </c>
      <c r="K162" s="1" t="s">
        <v>741</v>
      </c>
      <c r="L162" s="1" t="s">
        <v>666</v>
      </c>
      <c r="M162">
        <f t="shared" si="5"/>
        <v>2</v>
      </c>
    </row>
    <row r="163" spans="1:14" hidden="1" x14ac:dyDescent="0.3">
      <c r="A163" s="1" t="s">
        <v>1170</v>
      </c>
      <c r="B163" s="1" t="s">
        <v>642</v>
      </c>
      <c r="C163" s="1" t="s">
        <v>1171</v>
      </c>
      <c r="D163" s="1" t="s">
        <v>746</v>
      </c>
      <c r="E163" s="1" t="s">
        <v>747</v>
      </c>
      <c r="F163" s="1" t="s">
        <v>748</v>
      </c>
      <c r="G163" s="1">
        <v>208</v>
      </c>
      <c r="H163">
        <v>2017</v>
      </c>
      <c r="I163">
        <v>2018</v>
      </c>
      <c r="J163">
        <f t="shared" si="4"/>
        <v>2</v>
      </c>
      <c r="K163" s="1" t="s">
        <v>741</v>
      </c>
      <c r="L163" s="1" t="s">
        <v>666</v>
      </c>
      <c r="M163">
        <f t="shared" si="5"/>
        <v>8</v>
      </c>
      <c r="N163" t="s">
        <v>650</v>
      </c>
    </row>
    <row r="164" spans="1:14" hidden="1" x14ac:dyDescent="0.3">
      <c r="A164" t="s">
        <v>12164</v>
      </c>
      <c r="B164" t="s">
        <v>642</v>
      </c>
      <c r="C164" t="s">
        <v>12165</v>
      </c>
      <c r="E164" s="1" t="e">
        <v>#N/A</v>
      </c>
      <c r="F164" s="1" t="e">
        <v>#N/A</v>
      </c>
      <c r="G164" s="1">
        <v>208</v>
      </c>
      <c r="H164">
        <v>2023</v>
      </c>
      <c r="I164">
        <v>2026</v>
      </c>
      <c r="J164">
        <f t="shared" si="4"/>
        <v>4</v>
      </c>
      <c r="K164" s="1" t="s">
        <v>741</v>
      </c>
      <c r="L164" s="1" t="s">
        <v>666</v>
      </c>
      <c r="M164">
        <f t="shared" si="5"/>
        <v>0</v>
      </c>
    </row>
    <row r="165" spans="1:14" hidden="1" x14ac:dyDescent="0.3">
      <c r="A165" t="s">
        <v>12166</v>
      </c>
      <c r="B165" t="s">
        <v>642</v>
      </c>
      <c r="C165" t="s">
        <v>12167</v>
      </c>
      <c r="E165" s="1" t="e">
        <v>#N/A</v>
      </c>
      <c r="F165" s="1" t="e">
        <v>#N/A</v>
      </c>
      <c r="G165" s="1">
        <v>208</v>
      </c>
      <c r="H165">
        <v>2024</v>
      </c>
      <c r="I165">
        <v>2024</v>
      </c>
      <c r="J165">
        <f t="shared" si="4"/>
        <v>1</v>
      </c>
      <c r="K165" s="1" t="s">
        <v>741</v>
      </c>
      <c r="L165" s="1" t="s">
        <v>666</v>
      </c>
      <c r="M165">
        <f t="shared" si="5"/>
        <v>2</v>
      </c>
    </row>
    <row r="166" spans="1:14" hidden="1" x14ac:dyDescent="0.3">
      <c r="A166" s="1" t="s">
        <v>1168</v>
      </c>
      <c r="B166" s="1" t="s">
        <v>642</v>
      </c>
      <c r="C166" s="1" t="s">
        <v>1169</v>
      </c>
      <c r="D166" s="1" t="s">
        <v>746</v>
      </c>
      <c r="E166" s="1" t="s">
        <v>747</v>
      </c>
      <c r="F166" s="1" t="s">
        <v>748</v>
      </c>
      <c r="G166" s="1">
        <v>208</v>
      </c>
      <c r="H166">
        <v>2018</v>
      </c>
      <c r="I166">
        <v>2018</v>
      </c>
      <c r="J166">
        <f t="shared" si="4"/>
        <v>1</v>
      </c>
      <c r="K166" s="1" t="s">
        <v>741</v>
      </c>
      <c r="L166" s="1" t="s">
        <v>666</v>
      </c>
      <c r="M166">
        <f t="shared" si="5"/>
        <v>8</v>
      </c>
      <c r="N166" t="s">
        <v>650</v>
      </c>
    </row>
    <row r="167" spans="1:14" x14ac:dyDescent="0.3">
      <c r="A167" s="1" t="s">
        <v>7029</v>
      </c>
      <c r="B167" s="1" t="s">
        <v>12756</v>
      </c>
      <c r="C167" s="1" t="s">
        <v>7030</v>
      </c>
      <c r="D167" s="1" t="s">
        <v>738</v>
      </c>
      <c r="E167" s="1" t="s">
        <v>6076</v>
      </c>
      <c r="F167" s="1" t="s">
        <v>6076</v>
      </c>
      <c r="G167" s="1">
        <v>21</v>
      </c>
      <c r="H167">
        <v>1992</v>
      </c>
      <c r="I167">
        <v>1994</v>
      </c>
      <c r="J167">
        <f t="shared" si="4"/>
        <v>3</v>
      </c>
      <c r="K167" s="1" t="s">
        <v>6076</v>
      </c>
      <c r="L167" s="1" t="s">
        <v>6076</v>
      </c>
      <c r="M167">
        <f t="shared" si="5"/>
        <v>32</v>
      </c>
      <c r="N167" t="s">
        <v>640</v>
      </c>
    </row>
    <row r="168" spans="1:14" x14ac:dyDescent="0.3">
      <c r="A168" s="1" t="s">
        <v>7031</v>
      </c>
      <c r="B168" s="1" t="s">
        <v>12756</v>
      </c>
      <c r="C168" s="1" t="s">
        <v>7032</v>
      </c>
      <c r="D168" s="1" t="s">
        <v>738</v>
      </c>
      <c r="E168" s="1" t="s">
        <v>6076</v>
      </c>
      <c r="F168" s="1" t="s">
        <v>6076</v>
      </c>
      <c r="G168" s="1">
        <v>21</v>
      </c>
      <c r="H168">
        <v>1992</v>
      </c>
      <c r="I168">
        <v>1994</v>
      </c>
      <c r="J168">
        <f t="shared" si="4"/>
        <v>3</v>
      </c>
      <c r="K168" s="1" t="s">
        <v>6076</v>
      </c>
      <c r="L168" s="1" t="s">
        <v>6076</v>
      </c>
      <c r="M168">
        <f t="shared" si="5"/>
        <v>32</v>
      </c>
      <c r="N168" t="s">
        <v>640</v>
      </c>
    </row>
    <row r="169" spans="1:14" x14ac:dyDescent="0.3">
      <c r="A169" s="1" t="s">
        <v>7033</v>
      </c>
      <c r="B169" s="1" t="s">
        <v>12756</v>
      </c>
      <c r="C169" s="1" t="s">
        <v>7034</v>
      </c>
      <c r="D169" s="1" t="s">
        <v>738</v>
      </c>
      <c r="E169" s="1" t="s">
        <v>6076</v>
      </c>
      <c r="F169" s="1" t="s">
        <v>6076</v>
      </c>
      <c r="G169" s="1">
        <v>21</v>
      </c>
      <c r="H169">
        <v>1992</v>
      </c>
      <c r="I169">
        <v>1994</v>
      </c>
      <c r="J169">
        <f t="shared" si="4"/>
        <v>3</v>
      </c>
      <c r="K169" s="1" t="s">
        <v>6076</v>
      </c>
      <c r="L169" s="1" t="s">
        <v>6076</v>
      </c>
      <c r="M169">
        <f t="shared" si="5"/>
        <v>32</v>
      </c>
      <c r="N169" t="s">
        <v>640</v>
      </c>
    </row>
    <row r="170" spans="1:14" x14ac:dyDescent="0.3">
      <c r="A170" s="1" t="s">
        <v>7035</v>
      </c>
      <c r="B170" s="1" t="s">
        <v>12756</v>
      </c>
      <c r="C170" s="1" t="s">
        <v>7036</v>
      </c>
      <c r="D170" s="1" t="s">
        <v>738</v>
      </c>
      <c r="E170" s="1" t="s">
        <v>6076</v>
      </c>
      <c r="F170" s="1" t="s">
        <v>6076</v>
      </c>
      <c r="G170" s="1">
        <v>21</v>
      </c>
      <c r="H170">
        <v>1992</v>
      </c>
      <c r="I170">
        <v>1994</v>
      </c>
      <c r="J170">
        <f t="shared" si="4"/>
        <v>3</v>
      </c>
      <c r="K170" s="1" t="s">
        <v>6076</v>
      </c>
      <c r="L170" s="1" t="s">
        <v>6076</v>
      </c>
      <c r="M170">
        <f t="shared" si="5"/>
        <v>32</v>
      </c>
      <c r="N170" t="s">
        <v>640</v>
      </c>
    </row>
    <row r="171" spans="1:14" x14ac:dyDescent="0.3">
      <c r="A171" t="s">
        <v>10922</v>
      </c>
      <c r="B171" t="s">
        <v>5913</v>
      </c>
      <c r="C171" t="s">
        <v>10923</v>
      </c>
      <c r="E171" s="1" t="s">
        <v>6076</v>
      </c>
      <c r="F171" s="1" t="s">
        <v>6076</v>
      </c>
      <c r="G171" s="1" t="s">
        <v>12765</v>
      </c>
      <c r="H171">
        <v>2024</v>
      </c>
      <c r="I171">
        <v>2026</v>
      </c>
      <c r="J171">
        <f t="shared" si="4"/>
        <v>3</v>
      </c>
      <c r="K171" s="1" t="s">
        <v>6076</v>
      </c>
      <c r="L171" s="1" t="s">
        <v>6076</v>
      </c>
      <c r="M171">
        <f t="shared" si="5"/>
        <v>0</v>
      </c>
    </row>
    <row r="172" spans="1:14" x14ac:dyDescent="0.3">
      <c r="A172" s="1" t="s">
        <v>6105</v>
      </c>
      <c r="B172" s="1" t="s">
        <v>5913</v>
      </c>
      <c r="C172" s="1" t="s">
        <v>6106</v>
      </c>
      <c r="D172" s="1" t="s">
        <v>3850</v>
      </c>
      <c r="E172" s="1" t="s">
        <v>6076</v>
      </c>
      <c r="F172" s="1" t="s">
        <v>6076</v>
      </c>
      <c r="G172" s="1" t="s">
        <v>6107</v>
      </c>
      <c r="H172">
        <v>2020</v>
      </c>
      <c r="I172">
        <v>2022</v>
      </c>
      <c r="J172">
        <f t="shared" si="4"/>
        <v>3</v>
      </c>
      <c r="K172" s="1" t="s">
        <v>6076</v>
      </c>
      <c r="L172" s="1" t="s">
        <v>6076</v>
      </c>
      <c r="M172">
        <f t="shared" si="5"/>
        <v>4</v>
      </c>
    </row>
    <row r="173" spans="1:14" x14ac:dyDescent="0.3">
      <c r="A173" t="s">
        <v>10924</v>
      </c>
      <c r="B173" t="s">
        <v>5913</v>
      </c>
      <c r="C173" t="s">
        <v>10925</v>
      </c>
      <c r="E173" s="1" t="s">
        <v>6076</v>
      </c>
      <c r="F173" s="1" t="s">
        <v>6076</v>
      </c>
      <c r="G173" s="1" t="s">
        <v>12766</v>
      </c>
      <c r="H173">
        <v>2025</v>
      </c>
      <c r="I173">
        <v>2026</v>
      </c>
      <c r="J173">
        <f t="shared" si="4"/>
        <v>2</v>
      </c>
      <c r="K173" s="1" t="s">
        <v>6076</v>
      </c>
      <c r="L173" s="1" t="s">
        <v>6076</v>
      </c>
      <c r="M173">
        <f t="shared" si="5"/>
        <v>0</v>
      </c>
    </row>
    <row r="174" spans="1:14" x14ac:dyDescent="0.3">
      <c r="A174" s="1" t="s">
        <v>6108</v>
      </c>
      <c r="B174" s="1" t="s">
        <v>5913</v>
      </c>
      <c r="C174" s="1" t="s">
        <v>6109</v>
      </c>
      <c r="D174" s="1" t="s">
        <v>3850</v>
      </c>
      <c r="E174" s="1" t="s">
        <v>6076</v>
      </c>
      <c r="F174" s="1" t="s">
        <v>6076</v>
      </c>
      <c r="G174" s="1" t="s">
        <v>6107</v>
      </c>
      <c r="H174">
        <v>2016</v>
      </c>
      <c r="I174">
        <v>2018</v>
      </c>
      <c r="J174">
        <f t="shared" si="4"/>
        <v>3</v>
      </c>
      <c r="K174" s="1" t="s">
        <v>6076</v>
      </c>
      <c r="L174" s="1" t="s">
        <v>6076</v>
      </c>
      <c r="M174">
        <f t="shared" si="5"/>
        <v>8</v>
      </c>
    </row>
    <row r="175" spans="1:14" x14ac:dyDescent="0.3">
      <c r="A175" s="1" t="s">
        <v>6110</v>
      </c>
      <c r="B175" s="1" t="s">
        <v>5913</v>
      </c>
      <c r="C175" s="1" t="s">
        <v>6111</v>
      </c>
      <c r="D175" s="1" t="s">
        <v>3850</v>
      </c>
      <c r="E175" s="1" t="s">
        <v>6076</v>
      </c>
      <c r="F175" s="1" t="s">
        <v>6076</v>
      </c>
      <c r="G175" s="1" t="s">
        <v>6107</v>
      </c>
      <c r="H175">
        <v>2015</v>
      </c>
      <c r="I175">
        <v>2016</v>
      </c>
      <c r="J175">
        <f t="shared" si="4"/>
        <v>2</v>
      </c>
      <c r="K175" s="1" t="s">
        <v>6076</v>
      </c>
      <c r="L175" s="1" t="s">
        <v>6076</v>
      </c>
      <c r="M175">
        <f t="shared" si="5"/>
        <v>10</v>
      </c>
    </row>
    <row r="176" spans="1:14" x14ac:dyDescent="0.3">
      <c r="A176" s="1" t="s">
        <v>7237</v>
      </c>
      <c r="B176" s="1" t="s">
        <v>5931</v>
      </c>
      <c r="C176" s="1" t="s">
        <v>7238</v>
      </c>
      <c r="D176" s="1" t="s">
        <v>738</v>
      </c>
      <c r="E176" s="1" t="s">
        <v>6076</v>
      </c>
      <c r="F176" s="1" t="s">
        <v>6076</v>
      </c>
      <c r="G176" s="1" t="s">
        <v>7239</v>
      </c>
      <c r="H176">
        <v>1988</v>
      </c>
      <c r="I176">
        <v>1993</v>
      </c>
      <c r="J176">
        <f t="shared" si="4"/>
        <v>6</v>
      </c>
      <c r="K176" s="1" t="s">
        <v>6076</v>
      </c>
      <c r="L176" s="1" t="s">
        <v>6076</v>
      </c>
      <c r="M176">
        <f t="shared" si="5"/>
        <v>33</v>
      </c>
    </row>
    <row r="177" spans="1:14" hidden="1" x14ac:dyDescent="0.3">
      <c r="A177" t="s">
        <v>12204</v>
      </c>
      <c r="B177" t="s">
        <v>11000</v>
      </c>
      <c r="C177" t="s">
        <v>12205</v>
      </c>
      <c r="E177" s="1" t="e">
        <v>#N/A</v>
      </c>
      <c r="F177" s="1" t="e">
        <v>#N/A</v>
      </c>
      <c r="G177" s="1">
        <v>2500</v>
      </c>
      <c r="H177">
        <v>2022</v>
      </c>
      <c r="I177">
        <v>2026</v>
      </c>
      <c r="J177">
        <f t="shared" si="4"/>
        <v>5</v>
      </c>
      <c r="K177" s="1" t="s">
        <v>12912</v>
      </c>
      <c r="L177" s="1" t="s">
        <v>12912</v>
      </c>
      <c r="M177">
        <f t="shared" si="5"/>
        <v>0</v>
      </c>
    </row>
    <row r="178" spans="1:14" hidden="1" x14ac:dyDescent="0.3">
      <c r="A178" t="s">
        <v>12206</v>
      </c>
      <c r="B178" t="s">
        <v>11000</v>
      </c>
      <c r="C178" t="s">
        <v>12207</v>
      </c>
      <c r="E178" s="1" t="e">
        <v>#N/A</v>
      </c>
      <c r="F178" s="1" t="e">
        <v>#N/A</v>
      </c>
      <c r="G178" s="1">
        <v>2500</v>
      </c>
      <c r="H178">
        <v>2020</v>
      </c>
      <c r="I178">
        <v>2026</v>
      </c>
      <c r="J178">
        <f t="shared" si="4"/>
        <v>7</v>
      </c>
      <c r="K178" s="1" t="s">
        <v>12912</v>
      </c>
      <c r="L178" s="1" t="s">
        <v>12912</v>
      </c>
      <c r="M178">
        <f t="shared" si="5"/>
        <v>0</v>
      </c>
    </row>
    <row r="179" spans="1:14" hidden="1" x14ac:dyDescent="0.3">
      <c r="A179" t="s">
        <v>12208</v>
      </c>
      <c r="B179" t="s">
        <v>11000</v>
      </c>
      <c r="C179" t="s">
        <v>12209</v>
      </c>
      <c r="E179" s="1" t="e">
        <v>#N/A</v>
      </c>
      <c r="F179" s="1" t="e">
        <v>#N/A</v>
      </c>
      <c r="G179" s="1">
        <v>2500</v>
      </c>
      <c r="H179">
        <v>2021</v>
      </c>
      <c r="I179">
        <v>2024</v>
      </c>
      <c r="J179">
        <f t="shared" si="4"/>
        <v>4</v>
      </c>
      <c r="K179" s="1" t="s">
        <v>12912</v>
      </c>
      <c r="L179" s="1" t="s">
        <v>12912</v>
      </c>
      <c r="M179">
        <f t="shared" si="5"/>
        <v>2</v>
      </c>
    </row>
    <row r="180" spans="1:14" hidden="1" x14ac:dyDescent="0.3">
      <c r="A180" t="s">
        <v>12210</v>
      </c>
      <c r="B180" t="s">
        <v>11000</v>
      </c>
      <c r="C180" t="s">
        <v>12211</v>
      </c>
      <c r="E180" s="1" t="e">
        <v>#N/A</v>
      </c>
      <c r="F180" s="1" t="e">
        <v>#N/A</v>
      </c>
      <c r="G180" s="1">
        <v>2500</v>
      </c>
      <c r="H180">
        <v>2012</v>
      </c>
      <c r="I180">
        <v>2026</v>
      </c>
      <c r="J180">
        <f t="shared" si="4"/>
        <v>15</v>
      </c>
      <c r="K180" s="1" t="s">
        <v>12912</v>
      </c>
      <c r="L180" s="1" t="s">
        <v>12912</v>
      </c>
      <c r="M180">
        <f t="shared" si="5"/>
        <v>0</v>
      </c>
    </row>
    <row r="181" spans="1:14" x14ac:dyDescent="0.3">
      <c r="A181" t="s">
        <v>12212</v>
      </c>
      <c r="B181" t="s">
        <v>11000</v>
      </c>
      <c r="C181" t="s">
        <v>12213</v>
      </c>
      <c r="E181" s="1" t="s">
        <v>6076</v>
      </c>
      <c r="F181" s="1" t="s">
        <v>6076</v>
      </c>
      <c r="G181" s="1">
        <v>2500</v>
      </c>
      <c r="H181">
        <v>2012</v>
      </c>
      <c r="I181">
        <v>2012</v>
      </c>
      <c r="J181">
        <f t="shared" si="4"/>
        <v>1</v>
      </c>
      <c r="K181" s="1" t="s">
        <v>6076</v>
      </c>
      <c r="L181" s="1" t="s">
        <v>6076</v>
      </c>
      <c r="M181">
        <f t="shared" si="5"/>
        <v>14</v>
      </c>
    </row>
    <row r="182" spans="1:14" x14ac:dyDescent="0.3">
      <c r="A182" s="1" t="s">
        <v>7240</v>
      </c>
      <c r="B182" s="1" t="s">
        <v>5931</v>
      </c>
      <c r="C182" s="1" t="s">
        <v>7241</v>
      </c>
      <c r="D182" s="1" t="s">
        <v>738</v>
      </c>
      <c r="E182" s="1" t="s">
        <v>6076</v>
      </c>
      <c r="F182" s="1" t="s">
        <v>6076</v>
      </c>
      <c r="G182" s="1" t="s">
        <v>7242</v>
      </c>
      <c r="H182">
        <v>1991</v>
      </c>
      <c r="I182">
        <v>1993</v>
      </c>
      <c r="J182">
        <f t="shared" si="4"/>
        <v>3</v>
      </c>
      <c r="K182" s="1" t="s">
        <v>6076</v>
      </c>
      <c r="L182" s="1" t="s">
        <v>6076</v>
      </c>
      <c r="M182">
        <f t="shared" si="5"/>
        <v>33</v>
      </c>
    </row>
    <row r="183" spans="1:14" x14ac:dyDescent="0.3">
      <c r="A183" t="s">
        <v>11115</v>
      </c>
      <c r="B183" t="s">
        <v>10997</v>
      </c>
      <c r="C183" t="s">
        <v>11116</v>
      </c>
      <c r="E183" s="1" t="s">
        <v>6076</v>
      </c>
      <c r="F183" s="1" t="s">
        <v>6076</v>
      </c>
      <c r="G183" s="1">
        <v>300</v>
      </c>
      <c r="H183">
        <v>2007</v>
      </c>
      <c r="I183">
        <v>2009</v>
      </c>
      <c r="J183">
        <f t="shared" si="4"/>
        <v>3</v>
      </c>
      <c r="K183" s="1" t="s">
        <v>6076</v>
      </c>
      <c r="L183" s="1" t="s">
        <v>6076</v>
      </c>
      <c r="M183">
        <f t="shared" si="5"/>
        <v>17</v>
      </c>
    </row>
    <row r="184" spans="1:14" x14ac:dyDescent="0.3">
      <c r="A184" t="s">
        <v>11117</v>
      </c>
      <c r="B184" t="s">
        <v>10997</v>
      </c>
      <c r="C184" t="s">
        <v>11118</v>
      </c>
      <c r="E184" s="1" t="s">
        <v>6076</v>
      </c>
      <c r="F184" s="1" t="s">
        <v>6076</v>
      </c>
      <c r="G184" s="1">
        <v>300</v>
      </c>
      <c r="H184">
        <v>2012</v>
      </c>
      <c r="I184">
        <v>2016</v>
      </c>
      <c r="J184">
        <f t="shared" si="4"/>
        <v>5</v>
      </c>
      <c r="K184" s="1" t="s">
        <v>6076</v>
      </c>
      <c r="L184" s="1" t="s">
        <v>6076</v>
      </c>
      <c r="M184">
        <f t="shared" si="5"/>
        <v>10</v>
      </c>
    </row>
    <row r="185" spans="1:14" x14ac:dyDescent="0.3">
      <c r="A185" t="s">
        <v>11119</v>
      </c>
      <c r="B185" t="s">
        <v>10997</v>
      </c>
      <c r="C185" t="s">
        <v>11120</v>
      </c>
      <c r="E185" s="1" t="s">
        <v>6076</v>
      </c>
      <c r="F185" s="1" t="s">
        <v>6076</v>
      </c>
      <c r="G185" s="1">
        <v>300</v>
      </c>
      <c r="H185">
        <v>2005</v>
      </c>
      <c r="I185">
        <v>2009</v>
      </c>
      <c r="J185">
        <f t="shared" si="4"/>
        <v>5</v>
      </c>
      <c r="K185" s="1" t="s">
        <v>6076</v>
      </c>
      <c r="L185" s="1" t="s">
        <v>6076</v>
      </c>
      <c r="M185">
        <f t="shared" si="5"/>
        <v>17</v>
      </c>
    </row>
    <row r="186" spans="1:14" x14ac:dyDescent="0.3">
      <c r="A186" t="s">
        <v>11121</v>
      </c>
      <c r="B186" t="s">
        <v>10997</v>
      </c>
      <c r="C186" t="s">
        <v>11122</v>
      </c>
      <c r="E186" s="1" t="s">
        <v>6076</v>
      </c>
      <c r="F186" s="1" t="s">
        <v>6076</v>
      </c>
      <c r="G186" s="1">
        <v>300</v>
      </c>
      <c r="H186">
        <v>2006</v>
      </c>
      <c r="I186">
        <v>2010</v>
      </c>
      <c r="J186">
        <f t="shared" si="4"/>
        <v>5</v>
      </c>
      <c r="K186" s="1" t="s">
        <v>6076</v>
      </c>
      <c r="L186" s="1" t="s">
        <v>6076</v>
      </c>
      <c r="M186">
        <f t="shared" si="5"/>
        <v>16</v>
      </c>
    </row>
    <row r="187" spans="1:14" x14ac:dyDescent="0.3">
      <c r="A187" t="s">
        <v>11123</v>
      </c>
      <c r="B187" t="s">
        <v>10997</v>
      </c>
      <c r="C187" t="s">
        <v>11124</v>
      </c>
      <c r="E187" s="1" t="s">
        <v>6076</v>
      </c>
      <c r="F187" s="1" t="s">
        <v>6076</v>
      </c>
      <c r="G187" s="1">
        <v>300</v>
      </c>
      <c r="H187">
        <v>2005</v>
      </c>
      <c r="I187">
        <v>2009</v>
      </c>
      <c r="J187">
        <f t="shared" si="4"/>
        <v>5</v>
      </c>
      <c r="K187" s="1" t="s">
        <v>6076</v>
      </c>
      <c r="L187" s="1" t="s">
        <v>6076</v>
      </c>
      <c r="M187">
        <f t="shared" si="5"/>
        <v>17</v>
      </c>
    </row>
    <row r="188" spans="1:14" x14ac:dyDescent="0.3">
      <c r="A188" t="s">
        <v>11125</v>
      </c>
      <c r="B188" t="s">
        <v>10997</v>
      </c>
      <c r="C188" t="s">
        <v>11126</v>
      </c>
      <c r="E188" s="1" t="s">
        <v>6076</v>
      </c>
      <c r="F188" s="1" t="s">
        <v>6076</v>
      </c>
      <c r="G188" s="1">
        <v>300</v>
      </c>
      <c r="H188">
        <v>1998</v>
      </c>
      <c r="I188">
        <v>2001</v>
      </c>
      <c r="J188">
        <f t="shared" si="4"/>
        <v>4</v>
      </c>
      <c r="K188" s="1" t="s">
        <v>6076</v>
      </c>
      <c r="L188" s="1" t="s">
        <v>6076</v>
      </c>
      <c r="M188">
        <f t="shared" si="5"/>
        <v>25</v>
      </c>
    </row>
    <row r="189" spans="1:14" x14ac:dyDescent="0.3">
      <c r="A189" s="1" t="s">
        <v>7223</v>
      </c>
      <c r="B189" s="1" t="s">
        <v>4561</v>
      </c>
      <c r="C189" s="1" t="s">
        <v>7224</v>
      </c>
      <c r="D189" s="1" t="s">
        <v>3850</v>
      </c>
      <c r="E189" s="1" t="s">
        <v>6076</v>
      </c>
      <c r="F189" s="1" t="s">
        <v>6076</v>
      </c>
      <c r="G189" s="1">
        <v>3000</v>
      </c>
      <c r="H189">
        <v>1991</v>
      </c>
      <c r="I189">
        <v>1994</v>
      </c>
      <c r="J189">
        <f t="shared" si="4"/>
        <v>4</v>
      </c>
      <c r="K189" s="1" t="s">
        <v>6076</v>
      </c>
      <c r="L189" s="1" t="s">
        <v>6076</v>
      </c>
      <c r="M189">
        <f t="shared" si="5"/>
        <v>32</v>
      </c>
      <c r="N189" t="s">
        <v>640</v>
      </c>
    </row>
    <row r="190" spans="1:14" x14ac:dyDescent="0.3">
      <c r="A190" s="1" t="s">
        <v>7221</v>
      </c>
      <c r="B190" s="1" t="s">
        <v>4561</v>
      </c>
      <c r="C190" s="1" t="s">
        <v>7222</v>
      </c>
      <c r="D190" s="1" t="s">
        <v>3850</v>
      </c>
      <c r="E190" s="1" t="s">
        <v>6076</v>
      </c>
      <c r="F190" s="1" t="s">
        <v>6076</v>
      </c>
      <c r="G190" s="1">
        <v>3000</v>
      </c>
      <c r="H190">
        <v>1991</v>
      </c>
      <c r="I190">
        <v>1998</v>
      </c>
      <c r="J190">
        <f t="shared" si="4"/>
        <v>8</v>
      </c>
      <c r="K190" s="1" t="s">
        <v>6076</v>
      </c>
      <c r="L190" s="1" t="s">
        <v>6076</v>
      </c>
      <c r="M190">
        <f t="shared" si="5"/>
        <v>28</v>
      </c>
      <c r="N190" t="s">
        <v>640</v>
      </c>
    </row>
    <row r="191" spans="1:14" hidden="1" x14ac:dyDescent="0.3">
      <c r="A191" s="1" t="s">
        <v>4900</v>
      </c>
      <c r="B191" s="1" t="s">
        <v>642</v>
      </c>
      <c r="C191" s="1" t="s">
        <v>4901</v>
      </c>
      <c r="D191" s="1" t="s">
        <v>1395</v>
      </c>
      <c r="E191" s="1" t="s">
        <v>3905</v>
      </c>
      <c r="F191" s="1" t="s">
        <v>3906</v>
      </c>
      <c r="G191" s="1">
        <v>3008</v>
      </c>
      <c r="H191">
        <v>2011</v>
      </c>
      <c r="I191">
        <v>2022</v>
      </c>
      <c r="J191">
        <f t="shared" si="4"/>
        <v>12</v>
      </c>
      <c r="K191" s="1" t="s">
        <v>4668</v>
      </c>
      <c r="L191" s="1" t="s">
        <v>666</v>
      </c>
      <c r="M191">
        <f t="shared" si="5"/>
        <v>4</v>
      </c>
      <c r="N191" t="s">
        <v>650</v>
      </c>
    </row>
    <row r="192" spans="1:14" hidden="1" x14ac:dyDescent="0.3">
      <c r="A192" s="1" t="s">
        <v>4902</v>
      </c>
      <c r="B192" s="1" t="s">
        <v>642</v>
      </c>
      <c r="C192" s="1" t="s">
        <v>4903</v>
      </c>
      <c r="D192" s="1" t="s">
        <v>1395</v>
      </c>
      <c r="E192" s="1" t="s">
        <v>3905</v>
      </c>
      <c r="F192" s="1" t="s">
        <v>3906</v>
      </c>
      <c r="G192" s="1">
        <v>3008</v>
      </c>
      <c r="H192">
        <v>2011</v>
      </c>
      <c r="I192">
        <v>2022</v>
      </c>
      <c r="J192">
        <f t="shared" si="4"/>
        <v>12</v>
      </c>
      <c r="K192" s="1" t="s">
        <v>4668</v>
      </c>
      <c r="L192" s="1" t="s">
        <v>798</v>
      </c>
      <c r="M192">
        <f t="shared" si="5"/>
        <v>4</v>
      </c>
      <c r="N192" t="s">
        <v>650</v>
      </c>
    </row>
    <row r="193" spans="1:14" hidden="1" x14ac:dyDescent="0.3">
      <c r="A193" s="1" t="s">
        <v>4898</v>
      </c>
      <c r="B193" s="1" t="s">
        <v>642</v>
      </c>
      <c r="C193" s="1" t="s">
        <v>4899</v>
      </c>
      <c r="D193" s="1" t="s">
        <v>1395</v>
      </c>
      <c r="E193" s="1" t="s">
        <v>3905</v>
      </c>
      <c r="F193" s="1" t="s">
        <v>3906</v>
      </c>
      <c r="G193" s="1">
        <v>3008</v>
      </c>
      <c r="H193">
        <v>2017</v>
      </c>
      <c r="I193">
        <v>2022</v>
      </c>
      <c r="J193">
        <f t="shared" si="4"/>
        <v>6</v>
      </c>
      <c r="K193" s="1" t="s">
        <v>4668</v>
      </c>
      <c r="L193" s="1" t="s">
        <v>798</v>
      </c>
      <c r="M193">
        <f t="shared" si="5"/>
        <v>4</v>
      </c>
      <c r="N193" t="s">
        <v>650</v>
      </c>
    </row>
    <row r="194" spans="1:14" hidden="1" x14ac:dyDescent="0.3">
      <c r="A194" s="1" t="s">
        <v>5000</v>
      </c>
      <c r="B194" s="1" t="s">
        <v>642</v>
      </c>
      <c r="C194" s="1" t="s">
        <v>5001</v>
      </c>
      <c r="D194" s="1" t="s">
        <v>1395</v>
      </c>
      <c r="E194" s="1" t="s">
        <v>3905</v>
      </c>
      <c r="F194" s="1" t="s">
        <v>3906</v>
      </c>
      <c r="G194" s="1">
        <v>3008</v>
      </c>
      <c r="H194">
        <v>2022</v>
      </c>
      <c r="I194">
        <v>2022</v>
      </c>
      <c r="J194">
        <f t="shared" si="4"/>
        <v>1</v>
      </c>
      <c r="K194" s="1" t="s">
        <v>4668</v>
      </c>
      <c r="L194" s="1" t="s">
        <v>659</v>
      </c>
      <c r="M194">
        <f t="shared" si="5"/>
        <v>4</v>
      </c>
      <c r="N194" t="s">
        <v>650</v>
      </c>
    </row>
    <row r="195" spans="1:14" hidden="1" x14ac:dyDescent="0.3">
      <c r="A195" s="1" t="s">
        <v>5002</v>
      </c>
      <c r="B195" s="1" t="s">
        <v>642</v>
      </c>
      <c r="C195" s="1" t="s">
        <v>5003</v>
      </c>
      <c r="D195" s="1" t="s">
        <v>1395</v>
      </c>
      <c r="E195" s="1" t="s">
        <v>3905</v>
      </c>
      <c r="F195" s="1" t="s">
        <v>3906</v>
      </c>
      <c r="G195" s="1">
        <v>3008</v>
      </c>
      <c r="H195">
        <v>2014</v>
      </c>
      <c r="I195">
        <v>2014</v>
      </c>
      <c r="J195">
        <f t="shared" si="4"/>
        <v>1</v>
      </c>
      <c r="K195" s="1" t="s">
        <v>4668</v>
      </c>
      <c r="L195" s="1" t="s">
        <v>659</v>
      </c>
      <c r="M195">
        <f t="shared" si="5"/>
        <v>12</v>
      </c>
      <c r="N195" t="s">
        <v>650</v>
      </c>
    </row>
    <row r="196" spans="1:14" x14ac:dyDescent="0.3">
      <c r="A196" s="1" t="s">
        <v>7252</v>
      </c>
      <c r="B196" s="1" t="s">
        <v>5931</v>
      </c>
      <c r="C196" s="1" t="s">
        <v>7253</v>
      </c>
      <c r="D196" s="1" t="s">
        <v>738</v>
      </c>
      <c r="E196" s="1" t="s">
        <v>6076</v>
      </c>
      <c r="F196" s="1" t="s">
        <v>6076</v>
      </c>
      <c r="G196" s="1" t="s">
        <v>7245</v>
      </c>
      <c r="H196">
        <v>1991</v>
      </c>
      <c r="I196">
        <v>1992</v>
      </c>
      <c r="J196">
        <f t="shared" si="4"/>
        <v>2</v>
      </c>
      <c r="K196" s="1" t="s">
        <v>6076</v>
      </c>
      <c r="L196" s="1" t="s">
        <v>6076</v>
      </c>
      <c r="M196">
        <f t="shared" si="5"/>
        <v>34</v>
      </c>
    </row>
    <row r="197" spans="1:14" x14ac:dyDescent="0.3">
      <c r="A197" s="1" t="s">
        <v>7246</v>
      </c>
      <c r="B197" s="1" t="s">
        <v>5931</v>
      </c>
      <c r="C197" s="1" t="s">
        <v>7247</v>
      </c>
      <c r="D197" s="1" t="s">
        <v>738</v>
      </c>
      <c r="E197" s="1" t="s">
        <v>6076</v>
      </c>
      <c r="F197" s="1" t="s">
        <v>6076</v>
      </c>
      <c r="G197" s="1" t="s">
        <v>7245</v>
      </c>
      <c r="H197">
        <v>1991</v>
      </c>
      <c r="I197">
        <v>1993</v>
      </c>
      <c r="J197">
        <f t="shared" si="4"/>
        <v>3</v>
      </c>
      <c r="K197" s="1" t="s">
        <v>6076</v>
      </c>
      <c r="L197" s="1" t="s">
        <v>6076</v>
      </c>
      <c r="M197">
        <f t="shared" si="5"/>
        <v>33</v>
      </c>
    </row>
    <row r="198" spans="1:14" x14ac:dyDescent="0.3">
      <c r="A198" s="1" t="s">
        <v>7248</v>
      </c>
      <c r="B198" s="1" t="s">
        <v>5931</v>
      </c>
      <c r="C198" s="1" t="s">
        <v>7249</v>
      </c>
      <c r="D198" s="1" t="s">
        <v>738</v>
      </c>
      <c r="E198" s="1" t="s">
        <v>6076</v>
      </c>
      <c r="F198" s="1" t="s">
        <v>6076</v>
      </c>
      <c r="G198" s="1" t="s">
        <v>7245</v>
      </c>
      <c r="H198">
        <v>1991</v>
      </c>
      <c r="I198">
        <v>1993</v>
      </c>
      <c r="J198">
        <f t="shared" ref="J198:J261" si="6">1+(I198-H198)</f>
        <v>3</v>
      </c>
      <c r="K198" s="1" t="s">
        <v>6076</v>
      </c>
      <c r="L198" s="1" t="s">
        <v>6076</v>
      </c>
      <c r="M198">
        <f t="shared" ref="M198:M261" si="7">IF(I198=0,0,$B$2-I198)</f>
        <v>33</v>
      </c>
    </row>
    <row r="199" spans="1:14" x14ac:dyDescent="0.3">
      <c r="A199" s="1" t="s">
        <v>7250</v>
      </c>
      <c r="B199" s="1" t="s">
        <v>5931</v>
      </c>
      <c r="C199" s="1" t="s">
        <v>7251</v>
      </c>
      <c r="D199" s="1" t="s">
        <v>738</v>
      </c>
      <c r="E199" s="1" t="s">
        <v>6076</v>
      </c>
      <c r="F199" s="1" t="s">
        <v>6076</v>
      </c>
      <c r="G199" s="1" t="s">
        <v>7245</v>
      </c>
      <c r="H199">
        <v>1991</v>
      </c>
      <c r="I199">
        <v>1993</v>
      </c>
      <c r="J199">
        <f t="shared" si="6"/>
        <v>3</v>
      </c>
      <c r="K199" s="1" t="s">
        <v>6076</v>
      </c>
      <c r="L199" s="1" t="s">
        <v>6076</v>
      </c>
      <c r="M199">
        <f t="shared" si="7"/>
        <v>33</v>
      </c>
    </row>
    <row r="200" spans="1:14" x14ac:dyDescent="0.3">
      <c r="A200" s="1" t="s">
        <v>7243</v>
      </c>
      <c r="B200" s="1" t="s">
        <v>5931</v>
      </c>
      <c r="C200" s="1" t="s">
        <v>7244</v>
      </c>
      <c r="D200" s="1" t="s">
        <v>738</v>
      </c>
      <c r="E200" s="1" t="s">
        <v>6076</v>
      </c>
      <c r="F200" s="1" t="s">
        <v>6076</v>
      </c>
      <c r="G200" s="1" t="s">
        <v>7245</v>
      </c>
      <c r="H200">
        <v>1992</v>
      </c>
      <c r="I200">
        <v>1995</v>
      </c>
      <c r="J200">
        <f t="shared" si="6"/>
        <v>4</v>
      </c>
      <c r="K200" s="1" t="s">
        <v>6076</v>
      </c>
      <c r="L200" s="1" t="s">
        <v>6076</v>
      </c>
      <c r="M200">
        <f t="shared" si="7"/>
        <v>31</v>
      </c>
    </row>
    <row r="201" spans="1:14" x14ac:dyDescent="0.3">
      <c r="A201" s="1" t="s">
        <v>7079</v>
      </c>
      <c r="B201" s="1" t="s">
        <v>642</v>
      </c>
      <c r="C201" s="1" t="s">
        <v>7080</v>
      </c>
      <c r="D201" s="1" t="s">
        <v>746</v>
      </c>
      <c r="E201" s="1" t="s">
        <v>6076</v>
      </c>
      <c r="F201" s="1" t="s">
        <v>6076</v>
      </c>
      <c r="G201" s="1">
        <v>306</v>
      </c>
      <c r="H201">
        <v>1998</v>
      </c>
      <c r="I201">
        <v>2001</v>
      </c>
      <c r="J201">
        <f t="shared" si="6"/>
        <v>4</v>
      </c>
      <c r="K201" s="1" t="s">
        <v>6076</v>
      </c>
      <c r="L201" s="1" t="s">
        <v>6076</v>
      </c>
      <c r="M201">
        <f t="shared" si="7"/>
        <v>25</v>
      </c>
      <c r="N201" t="s">
        <v>640</v>
      </c>
    </row>
    <row r="202" spans="1:14" x14ac:dyDescent="0.3">
      <c r="A202" s="1" t="s">
        <v>7101</v>
      </c>
      <c r="B202" s="1" t="s">
        <v>642</v>
      </c>
      <c r="C202" s="1" t="s">
        <v>7102</v>
      </c>
      <c r="D202" s="1" t="s">
        <v>746</v>
      </c>
      <c r="E202" s="1" t="s">
        <v>6076</v>
      </c>
      <c r="F202" s="1" t="s">
        <v>6076</v>
      </c>
      <c r="G202" s="1">
        <v>306</v>
      </c>
      <c r="H202">
        <v>1994</v>
      </c>
      <c r="I202">
        <v>1998</v>
      </c>
      <c r="J202">
        <f t="shared" si="6"/>
        <v>5</v>
      </c>
      <c r="K202" s="1" t="s">
        <v>6076</v>
      </c>
      <c r="L202" s="1" t="s">
        <v>6076</v>
      </c>
      <c r="M202">
        <f t="shared" si="7"/>
        <v>28</v>
      </c>
      <c r="N202" t="s">
        <v>640</v>
      </c>
    </row>
    <row r="203" spans="1:14" x14ac:dyDescent="0.3">
      <c r="A203" s="1" t="s">
        <v>7093</v>
      </c>
      <c r="B203" s="1" t="s">
        <v>642</v>
      </c>
      <c r="C203" s="1" t="s">
        <v>7094</v>
      </c>
      <c r="D203" s="1" t="s">
        <v>746</v>
      </c>
      <c r="E203" s="1" t="s">
        <v>6076</v>
      </c>
      <c r="F203" s="1" t="s">
        <v>6076</v>
      </c>
      <c r="G203" s="1">
        <v>306</v>
      </c>
      <c r="H203">
        <v>1994</v>
      </c>
      <c r="I203">
        <v>2000</v>
      </c>
      <c r="J203">
        <f t="shared" si="6"/>
        <v>7</v>
      </c>
      <c r="K203" s="1" t="s">
        <v>6076</v>
      </c>
      <c r="L203" s="1" t="s">
        <v>6076</v>
      </c>
      <c r="M203">
        <f t="shared" si="7"/>
        <v>26</v>
      </c>
      <c r="N203" t="s">
        <v>640</v>
      </c>
    </row>
    <row r="204" spans="1:14" x14ac:dyDescent="0.3">
      <c r="A204" s="1" t="s">
        <v>7087</v>
      </c>
      <c r="B204" s="1" t="s">
        <v>642</v>
      </c>
      <c r="C204" s="1" t="s">
        <v>7088</v>
      </c>
      <c r="D204" s="1" t="s">
        <v>746</v>
      </c>
      <c r="E204" s="1" t="s">
        <v>6076</v>
      </c>
      <c r="F204" s="1" t="s">
        <v>6076</v>
      </c>
      <c r="G204" s="1">
        <v>306</v>
      </c>
      <c r="H204">
        <v>1998</v>
      </c>
      <c r="I204">
        <v>2000</v>
      </c>
      <c r="J204">
        <f t="shared" si="6"/>
        <v>3</v>
      </c>
      <c r="K204" s="1" t="s">
        <v>6076</v>
      </c>
      <c r="L204" s="1" t="s">
        <v>6076</v>
      </c>
      <c r="M204">
        <f t="shared" si="7"/>
        <v>26</v>
      </c>
      <c r="N204" t="s">
        <v>640</v>
      </c>
    </row>
    <row r="205" spans="1:14" x14ac:dyDescent="0.3">
      <c r="A205" s="1" t="s">
        <v>7081</v>
      </c>
      <c r="B205" s="1" t="s">
        <v>642</v>
      </c>
      <c r="C205" s="1" t="s">
        <v>7082</v>
      </c>
      <c r="D205" s="1" t="s">
        <v>746</v>
      </c>
      <c r="E205" s="1" t="s">
        <v>6076</v>
      </c>
      <c r="F205" s="1" t="s">
        <v>6076</v>
      </c>
      <c r="G205" s="1">
        <v>306</v>
      </c>
      <c r="H205">
        <v>1998</v>
      </c>
      <c r="I205">
        <v>2001</v>
      </c>
      <c r="J205">
        <f t="shared" si="6"/>
        <v>4</v>
      </c>
      <c r="K205" s="1" t="s">
        <v>6076</v>
      </c>
      <c r="L205" s="1" t="s">
        <v>6076</v>
      </c>
      <c r="M205">
        <f t="shared" si="7"/>
        <v>25</v>
      </c>
      <c r="N205" t="s">
        <v>640</v>
      </c>
    </row>
    <row r="206" spans="1:14" x14ac:dyDescent="0.3">
      <c r="A206" s="1" t="s">
        <v>7083</v>
      </c>
      <c r="B206" s="1" t="s">
        <v>642</v>
      </c>
      <c r="C206" s="1" t="s">
        <v>7084</v>
      </c>
      <c r="D206" s="1" t="s">
        <v>746</v>
      </c>
      <c r="E206" s="1" t="s">
        <v>6076</v>
      </c>
      <c r="F206" s="1" t="s">
        <v>6076</v>
      </c>
      <c r="G206" s="1">
        <v>306</v>
      </c>
      <c r="H206">
        <v>1998</v>
      </c>
      <c r="I206">
        <v>2001</v>
      </c>
      <c r="J206">
        <f t="shared" si="6"/>
        <v>4</v>
      </c>
      <c r="K206" s="1" t="s">
        <v>6076</v>
      </c>
      <c r="L206" s="1" t="s">
        <v>6076</v>
      </c>
      <c r="M206">
        <f t="shared" si="7"/>
        <v>25</v>
      </c>
      <c r="N206" t="s">
        <v>640</v>
      </c>
    </row>
    <row r="207" spans="1:14" x14ac:dyDescent="0.3">
      <c r="A207" s="1" t="s">
        <v>7085</v>
      </c>
      <c r="B207" s="1" t="s">
        <v>642</v>
      </c>
      <c r="C207" s="1" t="s">
        <v>7086</v>
      </c>
      <c r="D207" s="1" t="s">
        <v>746</v>
      </c>
      <c r="E207" s="1" t="s">
        <v>6076</v>
      </c>
      <c r="F207" s="1" t="s">
        <v>6076</v>
      </c>
      <c r="G207" s="1">
        <v>306</v>
      </c>
      <c r="H207">
        <v>1998</v>
      </c>
      <c r="I207">
        <v>2001</v>
      </c>
      <c r="J207">
        <f t="shared" si="6"/>
        <v>4</v>
      </c>
      <c r="K207" s="1" t="s">
        <v>6076</v>
      </c>
      <c r="L207" s="1" t="s">
        <v>6076</v>
      </c>
      <c r="M207">
        <f t="shared" si="7"/>
        <v>25</v>
      </c>
      <c r="N207" t="s">
        <v>640</v>
      </c>
    </row>
    <row r="208" spans="1:14" x14ac:dyDescent="0.3">
      <c r="A208" s="1" t="s">
        <v>7109</v>
      </c>
      <c r="B208" s="1" t="s">
        <v>642</v>
      </c>
      <c r="C208" s="1" t="s">
        <v>7110</v>
      </c>
      <c r="D208" s="1" t="s">
        <v>746</v>
      </c>
      <c r="E208" s="1" t="s">
        <v>6076</v>
      </c>
      <c r="F208" s="1" t="s">
        <v>6076</v>
      </c>
      <c r="G208" s="1">
        <v>306</v>
      </c>
      <c r="H208">
        <v>1994</v>
      </c>
      <c r="I208">
        <v>1995</v>
      </c>
      <c r="J208">
        <f t="shared" si="6"/>
        <v>2</v>
      </c>
      <c r="K208" s="1" t="s">
        <v>6076</v>
      </c>
      <c r="L208" s="1" t="s">
        <v>6076</v>
      </c>
      <c r="M208">
        <f t="shared" si="7"/>
        <v>31</v>
      </c>
      <c r="N208" t="s">
        <v>640</v>
      </c>
    </row>
    <row r="209" spans="1:14" x14ac:dyDescent="0.3">
      <c r="A209" s="1" t="s">
        <v>7089</v>
      </c>
      <c r="B209" s="1" t="s">
        <v>642</v>
      </c>
      <c r="C209" s="1" t="s">
        <v>7090</v>
      </c>
      <c r="D209" s="1" t="s">
        <v>746</v>
      </c>
      <c r="E209" s="1" t="s">
        <v>6076</v>
      </c>
      <c r="F209" s="1" t="s">
        <v>6076</v>
      </c>
      <c r="G209" s="1">
        <v>306</v>
      </c>
      <c r="H209">
        <v>1998</v>
      </c>
      <c r="I209">
        <v>2000</v>
      </c>
      <c r="J209">
        <f t="shared" si="6"/>
        <v>3</v>
      </c>
      <c r="K209" s="1" t="s">
        <v>6076</v>
      </c>
      <c r="L209" s="1" t="s">
        <v>6076</v>
      </c>
      <c r="M209">
        <f t="shared" si="7"/>
        <v>26</v>
      </c>
      <c r="N209" t="s">
        <v>640</v>
      </c>
    </row>
    <row r="210" spans="1:14" x14ac:dyDescent="0.3">
      <c r="A210" s="1" t="s">
        <v>7091</v>
      </c>
      <c r="B210" s="1" t="s">
        <v>642</v>
      </c>
      <c r="C210" s="1" t="s">
        <v>7092</v>
      </c>
      <c r="D210" s="1" t="s">
        <v>746</v>
      </c>
      <c r="E210" s="1" t="s">
        <v>6076</v>
      </c>
      <c r="F210" s="1" t="s">
        <v>6076</v>
      </c>
      <c r="G210" s="1">
        <v>306</v>
      </c>
      <c r="H210">
        <v>1998</v>
      </c>
      <c r="I210">
        <v>2000</v>
      </c>
      <c r="J210">
        <f t="shared" si="6"/>
        <v>3</v>
      </c>
      <c r="K210" s="1" t="s">
        <v>6076</v>
      </c>
      <c r="L210" s="1" t="s">
        <v>6076</v>
      </c>
      <c r="M210">
        <f t="shared" si="7"/>
        <v>26</v>
      </c>
      <c r="N210" t="s">
        <v>640</v>
      </c>
    </row>
    <row r="211" spans="1:14" x14ac:dyDescent="0.3">
      <c r="A211" s="1" t="s">
        <v>7095</v>
      </c>
      <c r="B211" s="1" t="s">
        <v>642</v>
      </c>
      <c r="C211" s="1" t="s">
        <v>7096</v>
      </c>
      <c r="D211" s="1" t="s">
        <v>746</v>
      </c>
      <c r="E211" s="1" t="s">
        <v>6076</v>
      </c>
      <c r="F211" s="1" t="s">
        <v>6076</v>
      </c>
      <c r="G211" s="1">
        <v>306</v>
      </c>
      <c r="H211">
        <v>1997</v>
      </c>
      <c r="I211">
        <v>1998</v>
      </c>
      <c r="J211">
        <f t="shared" si="6"/>
        <v>2</v>
      </c>
      <c r="K211" s="1" t="s">
        <v>6076</v>
      </c>
      <c r="L211" s="1" t="s">
        <v>6076</v>
      </c>
      <c r="M211">
        <f t="shared" si="7"/>
        <v>28</v>
      </c>
      <c r="N211" t="s">
        <v>640</v>
      </c>
    </row>
    <row r="212" spans="1:14" x14ac:dyDescent="0.3">
      <c r="A212" s="1" t="s">
        <v>7075</v>
      </c>
      <c r="B212" s="1" t="s">
        <v>642</v>
      </c>
      <c r="C212" s="1" t="s">
        <v>7076</v>
      </c>
      <c r="D212" s="1" t="s">
        <v>746</v>
      </c>
      <c r="E212" s="1" t="s">
        <v>6076</v>
      </c>
      <c r="F212" s="1" t="s">
        <v>6076</v>
      </c>
      <c r="G212" s="1">
        <v>306</v>
      </c>
      <c r="H212">
        <v>1999</v>
      </c>
      <c r="I212">
        <v>2001</v>
      </c>
      <c r="J212">
        <f t="shared" si="6"/>
        <v>3</v>
      </c>
      <c r="K212" s="1" t="s">
        <v>6076</v>
      </c>
      <c r="L212" s="1" t="s">
        <v>6076</v>
      </c>
      <c r="M212">
        <f t="shared" si="7"/>
        <v>25</v>
      </c>
      <c r="N212" t="s">
        <v>640</v>
      </c>
    </row>
    <row r="213" spans="1:14" x14ac:dyDescent="0.3">
      <c r="A213" s="1" t="s">
        <v>7077</v>
      </c>
      <c r="B213" s="1" t="s">
        <v>642</v>
      </c>
      <c r="C213" s="1" t="s">
        <v>7078</v>
      </c>
      <c r="D213" s="1" t="s">
        <v>746</v>
      </c>
      <c r="E213" s="1" t="s">
        <v>6076</v>
      </c>
      <c r="F213" s="1" t="s">
        <v>6076</v>
      </c>
      <c r="G213" s="1">
        <v>306</v>
      </c>
      <c r="H213">
        <v>1999</v>
      </c>
      <c r="I213">
        <v>2001</v>
      </c>
      <c r="J213">
        <f t="shared" si="6"/>
        <v>3</v>
      </c>
      <c r="K213" s="1" t="s">
        <v>6076</v>
      </c>
      <c r="L213" s="1" t="s">
        <v>6076</v>
      </c>
      <c r="M213">
        <f t="shared" si="7"/>
        <v>25</v>
      </c>
      <c r="N213" t="s">
        <v>640</v>
      </c>
    </row>
    <row r="214" spans="1:14" x14ac:dyDescent="0.3">
      <c r="A214" s="1" t="s">
        <v>7071</v>
      </c>
      <c r="B214" s="1" t="s">
        <v>642</v>
      </c>
      <c r="C214" s="1" t="s">
        <v>7072</v>
      </c>
      <c r="D214" s="1" t="s">
        <v>746</v>
      </c>
      <c r="E214" s="1" t="s">
        <v>6076</v>
      </c>
      <c r="F214" s="1" t="s">
        <v>6076</v>
      </c>
      <c r="G214" s="1">
        <v>306</v>
      </c>
      <c r="H214">
        <v>2000</v>
      </c>
      <c r="I214">
        <v>2001</v>
      </c>
      <c r="J214">
        <f t="shared" si="6"/>
        <v>2</v>
      </c>
      <c r="K214" s="1" t="s">
        <v>6076</v>
      </c>
      <c r="L214" s="1" t="s">
        <v>6076</v>
      </c>
      <c r="M214">
        <f t="shared" si="7"/>
        <v>25</v>
      </c>
      <c r="N214" t="s">
        <v>640</v>
      </c>
    </row>
    <row r="215" spans="1:14" x14ac:dyDescent="0.3">
      <c r="A215" s="1" t="s">
        <v>7073</v>
      </c>
      <c r="B215" s="1" t="s">
        <v>642</v>
      </c>
      <c r="C215" s="1" t="s">
        <v>7074</v>
      </c>
      <c r="D215" s="1" t="s">
        <v>746</v>
      </c>
      <c r="E215" s="1" t="s">
        <v>6076</v>
      </c>
      <c r="F215" s="1" t="s">
        <v>6076</v>
      </c>
      <c r="G215" s="1">
        <v>306</v>
      </c>
      <c r="H215">
        <v>2000</v>
      </c>
      <c r="I215">
        <v>2001</v>
      </c>
      <c r="J215">
        <f t="shared" si="6"/>
        <v>2</v>
      </c>
      <c r="K215" s="1" t="s">
        <v>6076</v>
      </c>
      <c r="L215" s="1" t="s">
        <v>6076</v>
      </c>
      <c r="M215">
        <f t="shared" si="7"/>
        <v>25</v>
      </c>
      <c r="N215" t="s">
        <v>640</v>
      </c>
    </row>
    <row r="216" spans="1:14" x14ac:dyDescent="0.3">
      <c r="A216" s="1" t="s">
        <v>7103</v>
      </c>
      <c r="B216" s="1" t="s">
        <v>642</v>
      </c>
      <c r="C216" s="1" t="s">
        <v>7104</v>
      </c>
      <c r="D216" s="1" t="s">
        <v>746</v>
      </c>
      <c r="E216" s="1" t="s">
        <v>6076</v>
      </c>
      <c r="F216" s="1" t="s">
        <v>6076</v>
      </c>
      <c r="G216" s="1">
        <v>306</v>
      </c>
      <c r="H216">
        <v>1997</v>
      </c>
      <c r="I216">
        <v>1997</v>
      </c>
      <c r="J216">
        <f t="shared" si="6"/>
        <v>1</v>
      </c>
      <c r="K216" s="1" t="s">
        <v>6076</v>
      </c>
      <c r="L216" s="1" t="s">
        <v>6076</v>
      </c>
      <c r="M216">
        <f t="shared" si="7"/>
        <v>29</v>
      </c>
      <c r="N216" t="s">
        <v>640</v>
      </c>
    </row>
    <row r="217" spans="1:14" x14ac:dyDescent="0.3">
      <c r="A217" s="1" t="s">
        <v>7097</v>
      </c>
      <c r="B217" s="1" t="s">
        <v>642</v>
      </c>
      <c r="C217" s="1" t="s">
        <v>7098</v>
      </c>
      <c r="D217" s="1" t="s">
        <v>746</v>
      </c>
      <c r="E217" s="1" t="s">
        <v>6076</v>
      </c>
      <c r="F217" s="1" t="s">
        <v>6076</v>
      </c>
      <c r="G217" s="1">
        <v>306</v>
      </c>
      <c r="H217">
        <v>1997</v>
      </c>
      <c r="I217">
        <v>1998</v>
      </c>
      <c r="J217">
        <f t="shared" si="6"/>
        <v>2</v>
      </c>
      <c r="K217" s="1" t="s">
        <v>6076</v>
      </c>
      <c r="L217" s="1" t="s">
        <v>6076</v>
      </c>
      <c r="M217">
        <f t="shared" si="7"/>
        <v>28</v>
      </c>
      <c r="N217" t="s">
        <v>640</v>
      </c>
    </row>
    <row r="218" spans="1:14" x14ac:dyDescent="0.3">
      <c r="A218" s="1" t="s">
        <v>7099</v>
      </c>
      <c r="B218" s="1" t="s">
        <v>642</v>
      </c>
      <c r="C218" s="1" t="s">
        <v>7100</v>
      </c>
      <c r="D218" s="1" t="s">
        <v>746</v>
      </c>
      <c r="E218" s="1" t="s">
        <v>6076</v>
      </c>
      <c r="F218" s="1" t="s">
        <v>6076</v>
      </c>
      <c r="G218" s="1">
        <v>306</v>
      </c>
      <c r="H218">
        <v>1996</v>
      </c>
      <c r="I218">
        <v>1998</v>
      </c>
      <c r="J218">
        <f t="shared" si="6"/>
        <v>3</v>
      </c>
      <c r="K218" s="1" t="s">
        <v>6076</v>
      </c>
      <c r="L218" s="1" t="s">
        <v>6076</v>
      </c>
      <c r="M218">
        <f t="shared" si="7"/>
        <v>28</v>
      </c>
      <c r="N218" t="s">
        <v>640</v>
      </c>
    </row>
    <row r="219" spans="1:14" x14ac:dyDescent="0.3">
      <c r="A219" s="1" t="s">
        <v>7105</v>
      </c>
      <c r="B219" s="1" t="s">
        <v>642</v>
      </c>
      <c r="C219" s="1" t="s">
        <v>7106</v>
      </c>
      <c r="D219" s="1" t="s">
        <v>746</v>
      </c>
      <c r="E219" s="1" t="s">
        <v>6076</v>
      </c>
      <c r="F219" s="1" t="s">
        <v>6076</v>
      </c>
      <c r="G219" s="1">
        <v>306</v>
      </c>
      <c r="H219">
        <v>1995</v>
      </c>
      <c r="I219">
        <v>1997</v>
      </c>
      <c r="J219">
        <f t="shared" si="6"/>
        <v>3</v>
      </c>
      <c r="K219" s="1" t="s">
        <v>6076</v>
      </c>
      <c r="L219" s="1" t="s">
        <v>6076</v>
      </c>
      <c r="M219">
        <f t="shared" si="7"/>
        <v>29</v>
      </c>
      <c r="N219" t="s">
        <v>640</v>
      </c>
    </row>
    <row r="220" spans="1:14" x14ac:dyDescent="0.3">
      <c r="A220" s="1" t="s">
        <v>7107</v>
      </c>
      <c r="B220" s="1" t="s">
        <v>642</v>
      </c>
      <c r="C220" s="1" t="s">
        <v>7108</v>
      </c>
      <c r="D220" s="1" t="s">
        <v>746</v>
      </c>
      <c r="E220" s="1" t="s">
        <v>6076</v>
      </c>
      <c r="F220" s="1" t="s">
        <v>6076</v>
      </c>
      <c r="G220" s="1">
        <v>306</v>
      </c>
      <c r="H220">
        <v>1994</v>
      </c>
      <c r="I220">
        <v>1996</v>
      </c>
      <c r="J220">
        <f t="shared" si="6"/>
        <v>3</v>
      </c>
      <c r="K220" s="1" t="s">
        <v>6076</v>
      </c>
      <c r="L220" s="1" t="s">
        <v>6076</v>
      </c>
      <c r="M220">
        <f t="shared" si="7"/>
        <v>30</v>
      </c>
      <c r="N220" t="s">
        <v>640</v>
      </c>
    </row>
    <row r="221" spans="1:14" x14ac:dyDescent="0.3">
      <c r="A221" s="1" t="s">
        <v>7114</v>
      </c>
      <c r="B221" s="1" t="s">
        <v>642</v>
      </c>
      <c r="C221" s="1" t="s">
        <v>7115</v>
      </c>
      <c r="D221" s="1" t="s">
        <v>7113</v>
      </c>
      <c r="E221" s="1" t="s">
        <v>6076</v>
      </c>
      <c r="F221" s="1" t="s">
        <v>6076</v>
      </c>
      <c r="G221" s="1">
        <v>307</v>
      </c>
      <c r="H221">
        <v>2005</v>
      </c>
      <c r="I221">
        <v>2005</v>
      </c>
      <c r="J221">
        <f t="shared" si="6"/>
        <v>1</v>
      </c>
      <c r="K221" s="1" t="s">
        <v>6076</v>
      </c>
      <c r="L221" s="1" t="s">
        <v>6076</v>
      </c>
      <c r="M221">
        <f t="shared" si="7"/>
        <v>21</v>
      </c>
      <c r="N221" t="s">
        <v>640</v>
      </c>
    </row>
    <row r="222" spans="1:14" x14ac:dyDescent="0.3">
      <c r="A222" s="1" t="s">
        <v>7111</v>
      </c>
      <c r="B222" s="1" t="s">
        <v>642</v>
      </c>
      <c r="C222" s="1" t="s">
        <v>7112</v>
      </c>
      <c r="D222" s="1" t="s">
        <v>7113</v>
      </c>
      <c r="E222" s="1" t="s">
        <v>6076</v>
      </c>
      <c r="F222" s="1" t="s">
        <v>6076</v>
      </c>
      <c r="G222" s="1">
        <v>307</v>
      </c>
      <c r="H222">
        <v>2004</v>
      </c>
      <c r="I222">
        <v>2008</v>
      </c>
      <c r="J222">
        <f t="shared" si="6"/>
        <v>5</v>
      </c>
      <c r="K222" s="1" t="s">
        <v>6076</v>
      </c>
      <c r="L222" s="1" t="s">
        <v>6076</v>
      </c>
      <c r="M222">
        <f t="shared" si="7"/>
        <v>18</v>
      </c>
      <c r="N222" t="s">
        <v>640</v>
      </c>
    </row>
    <row r="223" spans="1:14" hidden="1" x14ac:dyDescent="0.3">
      <c r="A223" s="1" t="s">
        <v>3933</v>
      </c>
      <c r="B223" s="1" t="s">
        <v>642</v>
      </c>
      <c r="C223" s="1" t="s">
        <v>3934</v>
      </c>
      <c r="D223" s="1" t="s">
        <v>746</v>
      </c>
      <c r="E223" s="1" t="s">
        <v>1358</v>
      </c>
      <c r="F223" s="1" t="s">
        <v>1359</v>
      </c>
      <c r="G223" s="1">
        <v>307</v>
      </c>
      <c r="H223">
        <v>2004</v>
      </c>
      <c r="I223">
        <v>2010</v>
      </c>
      <c r="J223">
        <f t="shared" si="6"/>
        <v>7</v>
      </c>
      <c r="K223" s="1" t="s">
        <v>3665</v>
      </c>
      <c r="L223" s="1" t="s">
        <v>649</v>
      </c>
      <c r="M223">
        <f t="shared" si="7"/>
        <v>16</v>
      </c>
      <c r="N223" t="s">
        <v>640</v>
      </c>
    </row>
    <row r="224" spans="1:14" hidden="1" x14ac:dyDescent="0.3">
      <c r="A224" s="1" t="s">
        <v>3804</v>
      </c>
      <c r="B224" s="1" t="s">
        <v>642</v>
      </c>
      <c r="C224" s="1" t="s">
        <v>3805</v>
      </c>
      <c r="D224" s="1" t="s">
        <v>746</v>
      </c>
      <c r="E224" s="1" t="s">
        <v>1358</v>
      </c>
      <c r="F224" s="1" t="s">
        <v>1359</v>
      </c>
      <c r="G224" s="1">
        <v>307</v>
      </c>
      <c r="H224">
        <v>2004</v>
      </c>
      <c r="I224">
        <v>2012</v>
      </c>
      <c r="J224">
        <f t="shared" si="6"/>
        <v>9</v>
      </c>
      <c r="K224" s="1" t="s">
        <v>3665</v>
      </c>
      <c r="L224" s="1" t="s">
        <v>649</v>
      </c>
      <c r="M224">
        <f t="shared" si="7"/>
        <v>14</v>
      </c>
      <c r="N224" t="s">
        <v>650</v>
      </c>
    </row>
    <row r="225" spans="1:14" hidden="1" x14ac:dyDescent="0.3">
      <c r="A225" s="1" t="s">
        <v>3931</v>
      </c>
      <c r="B225" s="1" t="s">
        <v>642</v>
      </c>
      <c r="C225" s="1" t="s">
        <v>3932</v>
      </c>
      <c r="D225" s="1" t="s">
        <v>746</v>
      </c>
      <c r="E225" s="1" t="s">
        <v>1358</v>
      </c>
      <c r="F225" s="1" t="s">
        <v>1359</v>
      </c>
      <c r="G225" s="1">
        <v>307</v>
      </c>
      <c r="H225">
        <v>2011</v>
      </c>
      <c r="I225">
        <v>2011</v>
      </c>
      <c r="J225">
        <f t="shared" si="6"/>
        <v>1</v>
      </c>
      <c r="K225" s="1" t="s">
        <v>3665</v>
      </c>
      <c r="L225" s="1" t="s">
        <v>649</v>
      </c>
      <c r="M225">
        <f t="shared" si="7"/>
        <v>15</v>
      </c>
      <c r="N225" t="s">
        <v>640</v>
      </c>
    </row>
    <row r="226" spans="1:14" hidden="1" x14ac:dyDescent="0.3">
      <c r="A226" s="1" t="s">
        <v>3939</v>
      </c>
      <c r="B226" s="1" t="s">
        <v>642</v>
      </c>
      <c r="C226" s="1" t="s">
        <v>3940</v>
      </c>
      <c r="D226" s="1" t="s">
        <v>746</v>
      </c>
      <c r="E226" s="1" t="s">
        <v>1358</v>
      </c>
      <c r="F226" s="1" t="s">
        <v>1359</v>
      </c>
      <c r="G226" s="1">
        <v>307</v>
      </c>
      <c r="H226">
        <v>2001</v>
      </c>
      <c r="I226">
        <v>2004</v>
      </c>
      <c r="J226">
        <f t="shared" si="6"/>
        <v>4</v>
      </c>
      <c r="K226" s="1" t="s">
        <v>3665</v>
      </c>
      <c r="L226" s="1" t="s">
        <v>649</v>
      </c>
      <c r="M226">
        <f t="shared" si="7"/>
        <v>22</v>
      </c>
      <c r="N226" t="s">
        <v>640</v>
      </c>
    </row>
    <row r="227" spans="1:14" hidden="1" x14ac:dyDescent="0.3">
      <c r="A227" s="1" t="s">
        <v>3941</v>
      </c>
      <c r="B227" s="1" t="s">
        <v>642</v>
      </c>
      <c r="C227" s="1" t="s">
        <v>3942</v>
      </c>
      <c r="D227" s="1" t="s">
        <v>746</v>
      </c>
      <c r="E227" s="1" t="s">
        <v>1358</v>
      </c>
      <c r="F227" s="1" t="s">
        <v>1359</v>
      </c>
      <c r="G227" s="1">
        <v>307</v>
      </c>
      <c r="H227">
        <v>2003</v>
      </c>
      <c r="I227">
        <v>2003</v>
      </c>
      <c r="J227">
        <f t="shared" si="6"/>
        <v>1</v>
      </c>
      <c r="K227" s="1" t="s">
        <v>3665</v>
      </c>
      <c r="L227" s="1" t="s">
        <v>649</v>
      </c>
      <c r="M227">
        <f t="shared" si="7"/>
        <v>23</v>
      </c>
      <c r="N227" t="s">
        <v>640</v>
      </c>
    </row>
    <row r="228" spans="1:14" hidden="1" x14ac:dyDescent="0.3">
      <c r="A228" s="1" t="s">
        <v>3929</v>
      </c>
      <c r="B228" s="1" t="s">
        <v>642</v>
      </c>
      <c r="C228" s="1" t="s">
        <v>3930</v>
      </c>
      <c r="D228" s="1" t="s">
        <v>746</v>
      </c>
      <c r="E228" s="1" t="s">
        <v>1358</v>
      </c>
      <c r="F228" s="1" t="s">
        <v>1359</v>
      </c>
      <c r="G228" s="1">
        <v>307</v>
      </c>
      <c r="H228">
        <v>2008</v>
      </c>
      <c r="I228">
        <v>2012</v>
      </c>
      <c r="J228">
        <f t="shared" si="6"/>
        <v>5</v>
      </c>
      <c r="K228" s="1" t="s">
        <v>3665</v>
      </c>
      <c r="L228" s="1" t="s">
        <v>649</v>
      </c>
      <c r="M228">
        <f t="shared" si="7"/>
        <v>14</v>
      </c>
      <c r="N228" t="s">
        <v>650</v>
      </c>
    </row>
    <row r="229" spans="1:14" hidden="1" x14ac:dyDescent="0.3">
      <c r="A229" s="1" t="s">
        <v>3943</v>
      </c>
      <c r="B229" s="1" t="s">
        <v>642</v>
      </c>
      <c r="C229" s="1" t="s">
        <v>3944</v>
      </c>
      <c r="D229" s="1" t="s">
        <v>746</v>
      </c>
      <c r="E229" s="1" t="s">
        <v>1358</v>
      </c>
      <c r="F229" s="1" t="s">
        <v>1359</v>
      </c>
      <c r="G229" s="1">
        <v>307</v>
      </c>
      <c r="H229">
        <v>2001</v>
      </c>
      <c r="I229">
        <v>2003</v>
      </c>
      <c r="J229">
        <f t="shared" si="6"/>
        <v>3</v>
      </c>
      <c r="K229" s="1" t="s">
        <v>3665</v>
      </c>
      <c r="L229" s="1" t="s">
        <v>649</v>
      </c>
      <c r="M229">
        <f t="shared" si="7"/>
        <v>23</v>
      </c>
      <c r="N229" t="s">
        <v>640</v>
      </c>
    </row>
    <row r="230" spans="1:14" hidden="1" x14ac:dyDescent="0.3">
      <c r="A230" s="1" t="s">
        <v>3935</v>
      </c>
      <c r="B230" s="1" t="s">
        <v>642</v>
      </c>
      <c r="C230" s="1" t="s">
        <v>3936</v>
      </c>
      <c r="D230" s="1" t="s">
        <v>746</v>
      </c>
      <c r="E230" s="1" t="s">
        <v>1358</v>
      </c>
      <c r="F230" s="1" t="s">
        <v>1359</v>
      </c>
      <c r="G230" s="1">
        <v>307</v>
      </c>
      <c r="H230">
        <v>2003</v>
      </c>
      <c r="I230">
        <v>2005</v>
      </c>
      <c r="J230">
        <f t="shared" si="6"/>
        <v>3</v>
      </c>
      <c r="K230" s="1" t="s">
        <v>3665</v>
      </c>
      <c r="L230" s="1" t="s">
        <v>649</v>
      </c>
      <c r="M230">
        <f t="shared" si="7"/>
        <v>21</v>
      </c>
      <c r="N230" t="s">
        <v>640</v>
      </c>
    </row>
    <row r="231" spans="1:14" hidden="1" x14ac:dyDescent="0.3">
      <c r="A231" s="1" t="s">
        <v>3937</v>
      </c>
      <c r="B231" s="1" t="s">
        <v>642</v>
      </c>
      <c r="C231" s="1" t="s">
        <v>3938</v>
      </c>
      <c r="D231" s="1" t="s">
        <v>746</v>
      </c>
      <c r="E231" s="1" t="s">
        <v>1358</v>
      </c>
      <c r="F231" s="1" t="s">
        <v>1359</v>
      </c>
      <c r="G231" s="1">
        <v>307</v>
      </c>
      <c r="H231">
        <v>2003</v>
      </c>
      <c r="I231">
        <v>2005</v>
      </c>
      <c r="J231">
        <f t="shared" si="6"/>
        <v>3</v>
      </c>
      <c r="K231" s="1" t="s">
        <v>3665</v>
      </c>
      <c r="L231" s="1" t="s">
        <v>649</v>
      </c>
      <c r="M231">
        <f t="shared" si="7"/>
        <v>21</v>
      </c>
      <c r="N231" t="s">
        <v>640</v>
      </c>
    </row>
    <row r="232" spans="1:14" hidden="1" x14ac:dyDescent="0.3">
      <c r="A232" s="1" t="s">
        <v>3951</v>
      </c>
      <c r="B232" s="1" t="s">
        <v>642</v>
      </c>
      <c r="C232" s="1" t="s">
        <v>3952</v>
      </c>
      <c r="D232" s="1" t="s">
        <v>738</v>
      </c>
      <c r="E232" s="1" t="s">
        <v>812</v>
      </c>
      <c r="F232" s="1" t="s">
        <v>813</v>
      </c>
      <c r="G232" s="1">
        <v>307</v>
      </c>
      <c r="H232">
        <v>2007</v>
      </c>
      <c r="I232">
        <v>2010</v>
      </c>
      <c r="J232">
        <f t="shared" si="6"/>
        <v>4</v>
      </c>
      <c r="K232" s="1" t="s">
        <v>3665</v>
      </c>
      <c r="L232" s="1" t="s">
        <v>649</v>
      </c>
      <c r="M232">
        <f t="shared" si="7"/>
        <v>16</v>
      </c>
      <c r="N232" t="s">
        <v>640</v>
      </c>
    </row>
    <row r="233" spans="1:14" hidden="1" x14ac:dyDescent="0.3">
      <c r="A233" s="1" t="s">
        <v>3945</v>
      </c>
      <c r="B233" s="1" t="s">
        <v>642</v>
      </c>
      <c r="C233" s="1" t="s">
        <v>3946</v>
      </c>
      <c r="D233" s="1" t="s">
        <v>738</v>
      </c>
      <c r="E233" s="1" t="s">
        <v>812</v>
      </c>
      <c r="F233" s="1" t="s">
        <v>813</v>
      </c>
      <c r="G233" s="1">
        <v>307</v>
      </c>
      <c r="H233">
        <v>2007</v>
      </c>
      <c r="I233">
        <v>2012</v>
      </c>
      <c r="J233">
        <f t="shared" si="6"/>
        <v>6</v>
      </c>
      <c r="K233" s="1" t="s">
        <v>3665</v>
      </c>
      <c r="L233" s="1" t="s">
        <v>649</v>
      </c>
      <c r="M233">
        <f t="shared" si="7"/>
        <v>14</v>
      </c>
      <c r="N233" t="s">
        <v>650</v>
      </c>
    </row>
    <row r="234" spans="1:14" hidden="1" x14ac:dyDescent="0.3">
      <c r="A234" s="1" t="s">
        <v>3947</v>
      </c>
      <c r="B234" s="1" t="s">
        <v>642</v>
      </c>
      <c r="C234" s="1" t="s">
        <v>3948</v>
      </c>
      <c r="D234" s="1" t="s">
        <v>738</v>
      </c>
      <c r="E234" s="1" t="s">
        <v>812</v>
      </c>
      <c r="F234" s="1" t="s">
        <v>813</v>
      </c>
      <c r="G234" s="1">
        <v>307</v>
      </c>
      <c r="H234">
        <v>2009</v>
      </c>
      <c r="I234">
        <v>2011</v>
      </c>
      <c r="J234">
        <f t="shared" si="6"/>
        <v>3</v>
      </c>
      <c r="K234" s="1" t="s">
        <v>3665</v>
      </c>
      <c r="L234" s="1" t="s">
        <v>649</v>
      </c>
      <c r="M234">
        <f t="shared" si="7"/>
        <v>15</v>
      </c>
      <c r="N234" t="s">
        <v>640</v>
      </c>
    </row>
    <row r="235" spans="1:14" hidden="1" x14ac:dyDescent="0.3">
      <c r="A235" s="1" t="s">
        <v>3949</v>
      </c>
      <c r="B235" s="1" t="s">
        <v>642</v>
      </c>
      <c r="C235" s="1" t="s">
        <v>3950</v>
      </c>
      <c r="D235" s="1" t="s">
        <v>738</v>
      </c>
      <c r="E235" s="1" t="s">
        <v>812</v>
      </c>
      <c r="F235" s="1" t="s">
        <v>813</v>
      </c>
      <c r="G235" s="1">
        <v>307</v>
      </c>
      <c r="H235">
        <v>2007</v>
      </c>
      <c r="I235">
        <v>2011</v>
      </c>
      <c r="J235">
        <f t="shared" si="6"/>
        <v>5</v>
      </c>
      <c r="K235" s="1" t="s">
        <v>3665</v>
      </c>
      <c r="L235" s="1" t="s">
        <v>649</v>
      </c>
      <c r="M235">
        <f t="shared" si="7"/>
        <v>15</v>
      </c>
      <c r="N235" t="s">
        <v>640</v>
      </c>
    </row>
    <row r="236" spans="1:14" hidden="1" x14ac:dyDescent="0.3">
      <c r="A236" s="1" t="s">
        <v>3806</v>
      </c>
      <c r="B236" s="1" t="s">
        <v>642</v>
      </c>
      <c r="C236" s="1" t="s">
        <v>3807</v>
      </c>
      <c r="D236" s="1" t="s">
        <v>738</v>
      </c>
      <c r="E236" s="1" t="s">
        <v>812</v>
      </c>
      <c r="F236" s="1" t="s">
        <v>813</v>
      </c>
      <c r="G236" s="1">
        <v>307</v>
      </c>
      <c r="H236">
        <v>2003</v>
      </c>
      <c r="I236">
        <v>2003</v>
      </c>
      <c r="J236">
        <f t="shared" si="6"/>
        <v>1</v>
      </c>
      <c r="K236" s="1" t="s">
        <v>3665</v>
      </c>
      <c r="L236" s="1" t="s">
        <v>649</v>
      </c>
      <c r="M236">
        <f t="shared" si="7"/>
        <v>23</v>
      </c>
      <c r="N236" t="s">
        <v>640</v>
      </c>
    </row>
    <row r="237" spans="1:14" hidden="1" x14ac:dyDescent="0.3">
      <c r="A237" s="1" t="s">
        <v>3927</v>
      </c>
      <c r="B237" s="1" t="s">
        <v>642</v>
      </c>
      <c r="C237" s="1" t="s">
        <v>3928</v>
      </c>
      <c r="D237" s="1" t="s">
        <v>738</v>
      </c>
      <c r="E237" s="1" t="s">
        <v>812</v>
      </c>
      <c r="F237" s="1" t="s">
        <v>3803</v>
      </c>
      <c r="G237" s="1">
        <v>307</v>
      </c>
      <c r="H237">
        <v>2003</v>
      </c>
      <c r="I237">
        <v>2005</v>
      </c>
      <c r="J237">
        <f t="shared" si="6"/>
        <v>3</v>
      </c>
      <c r="K237" s="1" t="s">
        <v>3665</v>
      </c>
      <c r="L237" s="1" t="s">
        <v>649</v>
      </c>
      <c r="M237">
        <f t="shared" si="7"/>
        <v>21</v>
      </c>
      <c r="N237" t="s">
        <v>640</v>
      </c>
    </row>
    <row r="238" spans="1:14" hidden="1" x14ac:dyDescent="0.3">
      <c r="A238" s="1" t="s">
        <v>3925</v>
      </c>
      <c r="B238" s="1" t="s">
        <v>642</v>
      </c>
      <c r="C238" s="1" t="s">
        <v>3926</v>
      </c>
      <c r="D238" s="1" t="s">
        <v>738</v>
      </c>
      <c r="E238" s="1" t="s">
        <v>812</v>
      </c>
      <c r="F238" s="1" t="s">
        <v>3803</v>
      </c>
      <c r="G238" s="1">
        <v>307</v>
      </c>
      <c r="H238">
        <v>2004</v>
      </c>
      <c r="I238">
        <v>2007</v>
      </c>
      <c r="J238">
        <f t="shared" si="6"/>
        <v>4</v>
      </c>
      <c r="K238" s="1" t="s">
        <v>3665</v>
      </c>
      <c r="L238" s="1" t="s">
        <v>649</v>
      </c>
      <c r="M238">
        <f t="shared" si="7"/>
        <v>19</v>
      </c>
      <c r="N238" t="s">
        <v>640</v>
      </c>
    </row>
    <row r="239" spans="1:14" hidden="1" x14ac:dyDescent="0.3">
      <c r="A239" s="1" t="s">
        <v>3921</v>
      </c>
      <c r="B239" s="1" t="s">
        <v>642</v>
      </c>
      <c r="C239" s="1" t="s">
        <v>3922</v>
      </c>
      <c r="D239" s="1" t="s">
        <v>738</v>
      </c>
      <c r="E239" s="1" t="s">
        <v>812</v>
      </c>
      <c r="F239" s="1" t="s">
        <v>3803</v>
      </c>
      <c r="G239" s="1">
        <v>307</v>
      </c>
      <c r="H239">
        <v>2007</v>
      </c>
      <c r="I239">
        <v>2008</v>
      </c>
      <c r="J239">
        <f t="shared" si="6"/>
        <v>2</v>
      </c>
      <c r="K239" s="1" t="s">
        <v>3665</v>
      </c>
      <c r="L239" s="1" t="s">
        <v>649</v>
      </c>
      <c r="M239">
        <f t="shared" si="7"/>
        <v>18</v>
      </c>
      <c r="N239" t="s">
        <v>640</v>
      </c>
    </row>
    <row r="240" spans="1:14" hidden="1" x14ac:dyDescent="0.3">
      <c r="A240" s="1" t="s">
        <v>3923</v>
      </c>
      <c r="B240" s="1" t="s">
        <v>642</v>
      </c>
      <c r="C240" s="1" t="s">
        <v>3924</v>
      </c>
      <c r="D240" s="1" t="s">
        <v>738</v>
      </c>
      <c r="E240" s="1" t="s">
        <v>812</v>
      </c>
      <c r="F240" s="1" t="s">
        <v>3803</v>
      </c>
      <c r="G240" s="1">
        <v>307</v>
      </c>
      <c r="H240">
        <v>2007</v>
      </c>
      <c r="I240">
        <v>2008</v>
      </c>
      <c r="J240">
        <f t="shared" si="6"/>
        <v>2</v>
      </c>
      <c r="K240" s="1" t="s">
        <v>3665</v>
      </c>
      <c r="L240" s="1" t="s">
        <v>649</v>
      </c>
      <c r="M240">
        <f t="shared" si="7"/>
        <v>18</v>
      </c>
      <c r="N240" t="s">
        <v>640</v>
      </c>
    </row>
    <row r="241" spans="1:14" hidden="1" x14ac:dyDescent="0.3">
      <c r="A241" s="1" t="s">
        <v>3801</v>
      </c>
      <c r="B241" s="1" t="s">
        <v>642</v>
      </c>
      <c r="C241" s="1" t="s">
        <v>3802</v>
      </c>
      <c r="D241" s="1" t="s">
        <v>738</v>
      </c>
      <c r="E241" s="1" t="s">
        <v>812</v>
      </c>
      <c r="F241" s="1" t="s">
        <v>3803</v>
      </c>
      <c r="G241" s="1">
        <v>307</v>
      </c>
      <c r="H241">
        <v>2007</v>
      </c>
      <c r="I241">
        <v>2008</v>
      </c>
      <c r="J241">
        <f t="shared" si="6"/>
        <v>2</v>
      </c>
      <c r="K241" s="1" t="s">
        <v>3665</v>
      </c>
      <c r="L241" s="1" t="s">
        <v>649</v>
      </c>
      <c r="M241">
        <f t="shared" si="7"/>
        <v>18</v>
      </c>
      <c r="N241" t="s">
        <v>640</v>
      </c>
    </row>
    <row r="242" spans="1:14" hidden="1" x14ac:dyDescent="0.3">
      <c r="A242" s="1" t="s">
        <v>3814</v>
      </c>
      <c r="B242" s="1" t="s">
        <v>642</v>
      </c>
      <c r="C242" s="1" t="s">
        <v>3815</v>
      </c>
      <c r="D242" s="1" t="s">
        <v>746</v>
      </c>
      <c r="E242" s="1" t="s">
        <v>1358</v>
      </c>
      <c r="F242" s="1" t="s">
        <v>1359</v>
      </c>
      <c r="G242" s="1">
        <v>308</v>
      </c>
      <c r="H242">
        <v>2013</v>
      </c>
      <c r="I242">
        <v>2015</v>
      </c>
      <c r="J242">
        <f t="shared" si="6"/>
        <v>3</v>
      </c>
      <c r="K242" s="1" t="s">
        <v>3665</v>
      </c>
      <c r="L242" s="1" t="s">
        <v>798</v>
      </c>
      <c r="M242">
        <f t="shared" si="7"/>
        <v>11</v>
      </c>
      <c r="N242" t="s">
        <v>650</v>
      </c>
    </row>
    <row r="243" spans="1:14" hidden="1" x14ac:dyDescent="0.3">
      <c r="A243" s="1" t="s">
        <v>3810</v>
      </c>
      <c r="B243" s="1" t="s">
        <v>642</v>
      </c>
      <c r="C243" s="1" t="s">
        <v>3811</v>
      </c>
      <c r="D243" s="1" t="s">
        <v>746</v>
      </c>
      <c r="E243" s="1" t="s">
        <v>1358</v>
      </c>
      <c r="F243" s="1" t="s">
        <v>1359</v>
      </c>
      <c r="G243" s="1">
        <v>308</v>
      </c>
      <c r="H243">
        <v>2012</v>
      </c>
      <c r="I243">
        <v>2016</v>
      </c>
      <c r="J243">
        <f t="shared" si="6"/>
        <v>5</v>
      </c>
      <c r="K243" s="1" t="s">
        <v>3665</v>
      </c>
      <c r="L243" s="1" t="s">
        <v>666</v>
      </c>
      <c r="M243">
        <f t="shared" si="7"/>
        <v>10</v>
      </c>
      <c r="N243" t="s">
        <v>650</v>
      </c>
    </row>
    <row r="244" spans="1:14" hidden="1" x14ac:dyDescent="0.3">
      <c r="A244" s="1" t="s">
        <v>4978</v>
      </c>
      <c r="B244" s="1" t="s">
        <v>642</v>
      </c>
      <c r="C244" s="1" t="s">
        <v>4979</v>
      </c>
      <c r="D244" s="1" t="s">
        <v>746</v>
      </c>
      <c r="E244" s="1" t="s">
        <v>1358</v>
      </c>
      <c r="F244" s="1" t="s">
        <v>1359</v>
      </c>
      <c r="G244" s="1">
        <v>308</v>
      </c>
      <c r="H244">
        <v>2017</v>
      </c>
      <c r="I244">
        <v>2018</v>
      </c>
      <c r="J244">
        <f t="shared" si="6"/>
        <v>2</v>
      </c>
      <c r="K244" s="1" t="s">
        <v>4668</v>
      </c>
      <c r="L244" s="1" t="s">
        <v>659</v>
      </c>
      <c r="M244">
        <f t="shared" si="7"/>
        <v>8</v>
      </c>
      <c r="N244" t="s">
        <v>650</v>
      </c>
    </row>
    <row r="245" spans="1:14" hidden="1" x14ac:dyDescent="0.3">
      <c r="A245" s="1" t="s">
        <v>3808</v>
      </c>
      <c r="B245" s="1" t="s">
        <v>642</v>
      </c>
      <c r="C245" s="1" t="s">
        <v>3809</v>
      </c>
      <c r="D245" s="1" t="s">
        <v>746</v>
      </c>
      <c r="E245" s="1" t="s">
        <v>1358</v>
      </c>
      <c r="F245" s="1" t="s">
        <v>1359</v>
      </c>
      <c r="G245" s="1">
        <v>308</v>
      </c>
      <c r="H245">
        <v>2013</v>
      </c>
      <c r="I245">
        <v>2016</v>
      </c>
      <c r="J245">
        <f t="shared" si="6"/>
        <v>4</v>
      </c>
      <c r="K245" s="1" t="s">
        <v>3665</v>
      </c>
      <c r="L245" s="1" t="s">
        <v>666</v>
      </c>
      <c r="M245">
        <f t="shared" si="7"/>
        <v>10</v>
      </c>
      <c r="N245" t="s">
        <v>650</v>
      </c>
    </row>
    <row r="246" spans="1:14" hidden="1" x14ac:dyDescent="0.3">
      <c r="A246" s="1" t="s">
        <v>3816</v>
      </c>
      <c r="B246" s="1" t="s">
        <v>642</v>
      </c>
      <c r="C246" s="1" t="s">
        <v>3817</v>
      </c>
      <c r="D246" s="1" t="s">
        <v>746</v>
      </c>
      <c r="E246" s="1" t="s">
        <v>1358</v>
      </c>
      <c r="F246" s="1" t="s">
        <v>1359</v>
      </c>
      <c r="G246" s="1">
        <v>308</v>
      </c>
      <c r="H246">
        <v>2012</v>
      </c>
      <c r="I246">
        <v>2015</v>
      </c>
      <c r="J246">
        <f t="shared" si="6"/>
        <v>4</v>
      </c>
      <c r="K246" s="1" t="s">
        <v>3665</v>
      </c>
      <c r="L246" s="1" t="s">
        <v>666</v>
      </c>
      <c r="M246">
        <f t="shared" si="7"/>
        <v>11</v>
      </c>
      <c r="N246" t="s">
        <v>650</v>
      </c>
    </row>
    <row r="247" spans="1:14" hidden="1" x14ac:dyDescent="0.3">
      <c r="A247" s="1" t="s">
        <v>4972</v>
      </c>
      <c r="B247" s="1" t="s">
        <v>642</v>
      </c>
      <c r="C247" s="1" t="s">
        <v>4973</v>
      </c>
      <c r="D247" s="1" t="s">
        <v>746</v>
      </c>
      <c r="E247" s="1" t="s">
        <v>1358</v>
      </c>
      <c r="F247" s="1" t="s">
        <v>1359</v>
      </c>
      <c r="G247" s="1">
        <v>308</v>
      </c>
      <c r="H247">
        <v>2018</v>
      </c>
      <c r="I247">
        <v>2022</v>
      </c>
      <c r="J247">
        <f t="shared" si="6"/>
        <v>5</v>
      </c>
      <c r="K247" s="1" t="s">
        <v>4668</v>
      </c>
      <c r="L247" s="1" t="s">
        <v>659</v>
      </c>
      <c r="M247">
        <f t="shared" si="7"/>
        <v>4</v>
      </c>
      <c r="N247" t="s">
        <v>650</v>
      </c>
    </row>
    <row r="248" spans="1:14" hidden="1" x14ac:dyDescent="0.3">
      <c r="A248" s="1" t="s">
        <v>4974</v>
      </c>
      <c r="B248" s="1" t="s">
        <v>642</v>
      </c>
      <c r="C248" s="1" t="s">
        <v>4975</v>
      </c>
      <c r="D248" s="1" t="s">
        <v>746</v>
      </c>
      <c r="E248" s="1" t="s">
        <v>1358</v>
      </c>
      <c r="F248" s="1" t="s">
        <v>1359</v>
      </c>
      <c r="G248" s="1">
        <v>308</v>
      </c>
      <c r="H248">
        <v>2017</v>
      </c>
      <c r="I248">
        <v>2019</v>
      </c>
      <c r="J248">
        <f t="shared" si="6"/>
        <v>3</v>
      </c>
      <c r="K248" s="1" t="s">
        <v>4668</v>
      </c>
      <c r="L248" s="1" t="s">
        <v>659</v>
      </c>
      <c r="M248">
        <f t="shared" si="7"/>
        <v>7</v>
      </c>
      <c r="N248" t="s">
        <v>650</v>
      </c>
    </row>
    <row r="249" spans="1:14" x14ac:dyDescent="0.3">
      <c r="A249" s="1" t="s">
        <v>7116</v>
      </c>
      <c r="B249" s="1" t="s">
        <v>642</v>
      </c>
      <c r="C249" s="1" t="s">
        <v>7117</v>
      </c>
      <c r="D249" s="1" t="s">
        <v>746</v>
      </c>
      <c r="E249" s="1" t="s">
        <v>6076</v>
      </c>
      <c r="F249" s="1" t="s">
        <v>6076</v>
      </c>
      <c r="G249" s="1">
        <v>308</v>
      </c>
      <c r="H249">
        <v>2012</v>
      </c>
      <c r="I249">
        <v>2015</v>
      </c>
      <c r="J249">
        <f t="shared" si="6"/>
        <v>4</v>
      </c>
      <c r="K249" s="1" t="s">
        <v>6076</v>
      </c>
      <c r="L249" s="1" t="s">
        <v>6076</v>
      </c>
      <c r="M249">
        <f t="shared" si="7"/>
        <v>11</v>
      </c>
      <c r="N249" t="s">
        <v>650</v>
      </c>
    </row>
    <row r="250" spans="1:14" x14ac:dyDescent="0.3">
      <c r="A250" s="1" t="s">
        <v>7118</v>
      </c>
      <c r="B250" s="1" t="s">
        <v>642</v>
      </c>
      <c r="C250" s="1" t="s">
        <v>7119</v>
      </c>
      <c r="D250" s="1" t="s">
        <v>746</v>
      </c>
      <c r="E250" s="1" t="s">
        <v>6076</v>
      </c>
      <c r="F250" s="1" t="s">
        <v>6076</v>
      </c>
      <c r="G250" s="1">
        <v>308</v>
      </c>
      <c r="H250">
        <v>2014</v>
      </c>
      <c r="I250">
        <v>2014</v>
      </c>
      <c r="J250">
        <f t="shared" si="6"/>
        <v>1</v>
      </c>
      <c r="K250" s="1" t="s">
        <v>6076</v>
      </c>
      <c r="L250" s="1" t="s">
        <v>6076</v>
      </c>
      <c r="M250">
        <f t="shared" si="7"/>
        <v>12</v>
      </c>
      <c r="N250" t="s">
        <v>650</v>
      </c>
    </row>
    <row r="251" spans="1:14" hidden="1" x14ac:dyDescent="0.3">
      <c r="A251" s="1" t="s">
        <v>3818</v>
      </c>
      <c r="B251" s="1" t="s">
        <v>642</v>
      </c>
      <c r="C251" s="1" t="s">
        <v>3819</v>
      </c>
      <c r="D251" s="1" t="s">
        <v>746</v>
      </c>
      <c r="E251" s="1" t="s">
        <v>1358</v>
      </c>
      <c r="F251" s="1" t="s">
        <v>1359</v>
      </c>
      <c r="G251" s="1">
        <v>308</v>
      </c>
      <c r="H251">
        <v>2012</v>
      </c>
      <c r="I251">
        <v>2013</v>
      </c>
      <c r="J251">
        <f t="shared" si="6"/>
        <v>2</v>
      </c>
      <c r="K251" s="1" t="s">
        <v>3665</v>
      </c>
      <c r="L251" s="1" t="s">
        <v>666</v>
      </c>
      <c r="M251">
        <f t="shared" si="7"/>
        <v>13</v>
      </c>
      <c r="N251" t="s">
        <v>650</v>
      </c>
    </row>
    <row r="252" spans="1:14" hidden="1" x14ac:dyDescent="0.3">
      <c r="A252" s="1" t="s">
        <v>4982</v>
      </c>
      <c r="B252" s="1" t="s">
        <v>642</v>
      </c>
      <c r="C252" s="1" t="s">
        <v>4983</v>
      </c>
      <c r="D252" s="1" t="s">
        <v>746</v>
      </c>
      <c r="E252" s="1" t="s">
        <v>1358</v>
      </c>
      <c r="F252" s="1" t="s">
        <v>1359</v>
      </c>
      <c r="G252" s="1">
        <v>308</v>
      </c>
      <c r="H252">
        <v>2013</v>
      </c>
      <c r="I252">
        <v>2016</v>
      </c>
      <c r="J252">
        <f t="shared" si="6"/>
        <v>4</v>
      </c>
      <c r="K252" s="1" t="s">
        <v>4668</v>
      </c>
      <c r="L252" s="1" t="s">
        <v>659</v>
      </c>
      <c r="M252">
        <f t="shared" si="7"/>
        <v>10</v>
      </c>
      <c r="N252" t="s">
        <v>650</v>
      </c>
    </row>
    <row r="253" spans="1:14" hidden="1" x14ac:dyDescent="0.3">
      <c r="A253" s="1" t="s">
        <v>4980</v>
      </c>
      <c r="B253" s="1" t="s">
        <v>642</v>
      </c>
      <c r="C253" s="1" t="s">
        <v>4981</v>
      </c>
      <c r="D253" s="1" t="s">
        <v>746</v>
      </c>
      <c r="E253" s="1" t="s">
        <v>1358</v>
      </c>
      <c r="F253" s="1" t="s">
        <v>1359</v>
      </c>
      <c r="G253" s="1">
        <v>308</v>
      </c>
      <c r="H253">
        <v>2016</v>
      </c>
      <c r="I253">
        <v>2016</v>
      </c>
      <c r="J253">
        <f t="shared" si="6"/>
        <v>1</v>
      </c>
      <c r="K253" s="1" t="s">
        <v>4668</v>
      </c>
      <c r="L253" s="1" t="s">
        <v>659</v>
      </c>
      <c r="M253">
        <f t="shared" si="7"/>
        <v>10</v>
      </c>
      <c r="N253" t="s">
        <v>650</v>
      </c>
    </row>
    <row r="254" spans="1:14" hidden="1" x14ac:dyDescent="0.3">
      <c r="A254" s="1" t="s">
        <v>3812</v>
      </c>
      <c r="B254" s="1" t="s">
        <v>642</v>
      </c>
      <c r="C254" s="1" t="s">
        <v>3813</v>
      </c>
      <c r="D254" s="1" t="s">
        <v>746</v>
      </c>
      <c r="E254" s="1" t="s">
        <v>1358</v>
      </c>
      <c r="F254" s="1" t="s">
        <v>1359</v>
      </c>
      <c r="G254" s="1">
        <v>308</v>
      </c>
      <c r="H254">
        <v>2015</v>
      </c>
      <c r="I254">
        <v>2015</v>
      </c>
      <c r="J254">
        <f t="shared" si="6"/>
        <v>1</v>
      </c>
      <c r="K254" s="1" t="s">
        <v>3665</v>
      </c>
      <c r="L254" s="1" t="s">
        <v>666</v>
      </c>
      <c r="M254">
        <f t="shared" si="7"/>
        <v>11</v>
      </c>
      <c r="N254" t="s">
        <v>650</v>
      </c>
    </row>
    <row r="255" spans="1:14" hidden="1" x14ac:dyDescent="0.3">
      <c r="A255" s="1" t="s">
        <v>4976</v>
      </c>
      <c r="B255" s="1" t="s">
        <v>642</v>
      </c>
      <c r="C255" s="1" t="s">
        <v>4977</v>
      </c>
      <c r="D255" s="1" t="s">
        <v>746</v>
      </c>
      <c r="E255" s="1" t="s">
        <v>1358</v>
      </c>
      <c r="F255" s="1" t="s">
        <v>1359</v>
      </c>
      <c r="G255" s="1">
        <v>308</v>
      </c>
      <c r="H255">
        <v>2018</v>
      </c>
      <c r="I255">
        <v>2018</v>
      </c>
      <c r="J255">
        <f t="shared" si="6"/>
        <v>1</v>
      </c>
      <c r="K255" s="1" t="s">
        <v>4668</v>
      </c>
      <c r="L255" s="1" t="s">
        <v>659</v>
      </c>
      <c r="M255">
        <f t="shared" si="7"/>
        <v>8</v>
      </c>
      <c r="N255" t="s">
        <v>650</v>
      </c>
    </row>
    <row r="256" spans="1:14" hidden="1" x14ac:dyDescent="0.3">
      <c r="A256" s="1" t="s">
        <v>4984</v>
      </c>
      <c r="B256" s="1" t="s">
        <v>642</v>
      </c>
      <c r="C256" s="1" t="s">
        <v>4985</v>
      </c>
      <c r="D256" s="1" t="s">
        <v>746</v>
      </c>
      <c r="E256" s="1" t="s">
        <v>1358</v>
      </c>
      <c r="F256" s="1" t="s">
        <v>1359</v>
      </c>
      <c r="G256" s="1">
        <v>308</v>
      </c>
      <c r="H256">
        <v>2014</v>
      </c>
      <c r="I256">
        <v>2015</v>
      </c>
      <c r="J256">
        <f t="shared" si="6"/>
        <v>2</v>
      </c>
      <c r="K256" s="1" t="s">
        <v>4668</v>
      </c>
      <c r="L256" s="1" t="s">
        <v>659</v>
      </c>
      <c r="M256">
        <f t="shared" si="7"/>
        <v>11</v>
      </c>
      <c r="N256" t="s">
        <v>650</v>
      </c>
    </row>
    <row r="257" spans="1:14" x14ac:dyDescent="0.3">
      <c r="A257" s="1" t="s">
        <v>6112</v>
      </c>
      <c r="B257" s="1" t="s">
        <v>5913</v>
      </c>
      <c r="C257" s="1" t="s">
        <v>6113</v>
      </c>
      <c r="D257" s="1" t="s">
        <v>738</v>
      </c>
      <c r="E257" s="1" t="s">
        <v>6076</v>
      </c>
      <c r="F257" s="1" t="s">
        <v>6076</v>
      </c>
      <c r="G257" s="1" t="s">
        <v>5921</v>
      </c>
      <c r="H257">
        <v>1986</v>
      </c>
      <c r="I257">
        <v>1995</v>
      </c>
      <c r="J257">
        <f t="shared" si="6"/>
        <v>10</v>
      </c>
      <c r="K257" s="1" t="s">
        <v>6076</v>
      </c>
      <c r="L257" s="1" t="s">
        <v>6076</v>
      </c>
      <c r="M257">
        <f t="shared" si="7"/>
        <v>31</v>
      </c>
    </row>
    <row r="258" spans="1:14" x14ac:dyDescent="0.3">
      <c r="A258" s="1" t="s">
        <v>6114</v>
      </c>
      <c r="B258" s="1" t="s">
        <v>5913</v>
      </c>
      <c r="C258" s="1" t="s">
        <v>6115</v>
      </c>
      <c r="D258" s="1" t="s">
        <v>738</v>
      </c>
      <c r="E258" s="1" t="s">
        <v>6076</v>
      </c>
      <c r="F258" s="1" t="s">
        <v>6076</v>
      </c>
      <c r="G258" s="1" t="s">
        <v>5921</v>
      </c>
      <c r="H258">
        <v>2014</v>
      </c>
      <c r="I258">
        <v>2015</v>
      </c>
      <c r="J258">
        <f t="shared" si="6"/>
        <v>2</v>
      </c>
      <c r="K258" s="1" t="s">
        <v>6076</v>
      </c>
      <c r="L258" s="1" t="s">
        <v>6076</v>
      </c>
      <c r="M258">
        <f t="shared" si="7"/>
        <v>11</v>
      </c>
    </row>
    <row r="259" spans="1:14" x14ac:dyDescent="0.3">
      <c r="A259" s="1" t="s">
        <v>6116</v>
      </c>
      <c r="B259" s="1" t="s">
        <v>5913</v>
      </c>
      <c r="C259" s="1" t="s">
        <v>6117</v>
      </c>
      <c r="D259" s="1" t="s">
        <v>738</v>
      </c>
      <c r="E259" s="1" t="s">
        <v>6076</v>
      </c>
      <c r="F259" s="1" t="s">
        <v>6076</v>
      </c>
      <c r="G259" s="1" t="s">
        <v>5921</v>
      </c>
      <c r="H259">
        <v>1994</v>
      </c>
      <c r="I259">
        <v>1995</v>
      </c>
      <c r="J259">
        <f t="shared" si="6"/>
        <v>2</v>
      </c>
      <c r="K259" s="1" t="s">
        <v>6076</v>
      </c>
      <c r="L259" s="1" t="s">
        <v>6076</v>
      </c>
      <c r="M259">
        <f t="shared" si="7"/>
        <v>31</v>
      </c>
    </row>
    <row r="260" spans="1:14" x14ac:dyDescent="0.3">
      <c r="A260" s="1" t="s">
        <v>6118</v>
      </c>
      <c r="B260" s="1" t="s">
        <v>5913</v>
      </c>
      <c r="C260" s="1" t="s">
        <v>6119</v>
      </c>
      <c r="D260" s="1" t="s">
        <v>738</v>
      </c>
      <c r="E260" s="1" t="s">
        <v>6076</v>
      </c>
      <c r="F260" s="1" t="s">
        <v>6076</v>
      </c>
      <c r="G260" s="1" t="s">
        <v>5921</v>
      </c>
      <c r="H260">
        <v>1991</v>
      </c>
      <c r="I260">
        <v>1998</v>
      </c>
      <c r="J260">
        <f t="shared" si="6"/>
        <v>8</v>
      </c>
      <c r="K260" s="1" t="s">
        <v>6076</v>
      </c>
      <c r="L260" s="1" t="s">
        <v>6076</v>
      </c>
      <c r="M260">
        <f t="shared" si="7"/>
        <v>28</v>
      </c>
    </row>
    <row r="261" spans="1:14" x14ac:dyDescent="0.3">
      <c r="A261" s="1" t="s">
        <v>6120</v>
      </c>
      <c r="B261" s="1" t="s">
        <v>5913</v>
      </c>
      <c r="C261" s="1" t="s">
        <v>6121</v>
      </c>
      <c r="D261" s="1" t="s">
        <v>738</v>
      </c>
      <c r="E261" s="1" t="s">
        <v>6076</v>
      </c>
      <c r="F261" s="1" t="s">
        <v>6076</v>
      </c>
      <c r="G261" s="1" t="s">
        <v>5921</v>
      </c>
      <c r="H261">
        <v>1991</v>
      </c>
      <c r="I261">
        <v>1998</v>
      </c>
      <c r="J261">
        <f t="shared" si="6"/>
        <v>8</v>
      </c>
      <c r="K261" s="1" t="s">
        <v>6076</v>
      </c>
      <c r="L261" s="1" t="s">
        <v>6076</v>
      </c>
      <c r="M261">
        <f t="shared" si="7"/>
        <v>28</v>
      </c>
    </row>
    <row r="262" spans="1:14" x14ac:dyDescent="0.3">
      <c r="A262" s="1" t="s">
        <v>6122</v>
      </c>
      <c r="B262" s="1" t="s">
        <v>5913</v>
      </c>
      <c r="C262" s="1" t="s">
        <v>6123</v>
      </c>
      <c r="D262" s="1" t="s">
        <v>738</v>
      </c>
      <c r="E262" s="1" t="s">
        <v>6076</v>
      </c>
      <c r="F262" s="1" t="s">
        <v>6076</v>
      </c>
      <c r="G262" s="1" t="s">
        <v>5921</v>
      </c>
      <c r="H262">
        <v>2011</v>
      </c>
      <c r="I262">
        <v>2012</v>
      </c>
      <c r="J262">
        <f t="shared" ref="J262:J325" si="8">1+(I262-H262)</f>
        <v>2</v>
      </c>
      <c r="K262" s="1" t="s">
        <v>6076</v>
      </c>
      <c r="L262" s="1" t="s">
        <v>6076</v>
      </c>
      <c r="M262">
        <f t="shared" ref="M262:M325" si="9">IF(I262=0,0,$B$2-I262)</f>
        <v>14</v>
      </c>
    </row>
    <row r="263" spans="1:14" x14ac:dyDescent="0.3">
      <c r="A263" s="1" t="s">
        <v>6124</v>
      </c>
      <c r="B263" s="1" t="s">
        <v>5913</v>
      </c>
      <c r="C263" s="1" t="s">
        <v>6125</v>
      </c>
      <c r="D263" s="1" t="s">
        <v>738</v>
      </c>
      <c r="E263" s="1" t="s">
        <v>6076</v>
      </c>
      <c r="F263" s="1" t="s">
        <v>6076</v>
      </c>
      <c r="G263" s="1" t="s">
        <v>5921</v>
      </c>
      <c r="H263">
        <v>1993</v>
      </c>
      <c r="I263">
        <v>1998</v>
      </c>
      <c r="J263">
        <f t="shared" si="8"/>
        <v>6</v>
      </c>
      <c r="K263" s="1" t="s">
        <v>6076</v>
      </c>
      <c r="L263" s="1" t="s">
        <v>6076</v>
      </c>
      <c r="M263">
        <f t="shared" si="9"/>
        <v>28</v>
      </c>
    </row>
    <row r="264" spans="1:14" x14ac:dyDescent="0.3">
      <c r="A264" s="1" t="s">
        <v>6126</v>
      </c>
      <c r="B264" s="1" t="s">
        <v>5913</v>
      </c>
      <c r="C264" s="1" t="s">
        <v>6127</v>
      </c>
      <c r="D264" s="1" t="s">
        <v>738</v>
      </c>
      <c r="E264" s="1" t="s">
        <v>6076</v>
      </c>
      <c r="F264" s="1" t="s">
        <v>6076</v>
      </c>
      <c r="G264" s="1" t="s">
        <v>5921</v>
      </c>
      <c r="H264">
        <v>1995</v>
      </c>
      <c r="I264">
        <v>1998</v>
      </c>
      <c r="J264">
        <f t="shared" si="8"/>
        <v>4</v>
      </c>
      <c r="K264" s="1" t="s">
        <v>6076</v>
      </c>
      <c r="L264" s="1" t="s">
        <v>6076</v>
      </c>
      <c r="M264">
        <f t="shared" si="9"/>
        <v>28</v>
      </c>
    </row>
    <row r="265" spans="1:14" x14ac:dyDescent="0.3">
      <c r="A265" s="1" t="s">
        <v>6128</v>
      </c>
      <c r="B265" s="1" t="s">
        <v>5913</v>
      </c>
      <c r="C265" s="1" t="s">
        <v>6129</v>
      </c>
      <c r="D265" s="1" t="s">
        <v>738</v>
      </c>
      <c r="E265" s="1" t="s">
        <v>6076</v>
      </c>
      <c r="F265" s="1" t="s">
        <v>6076</v>
      </c>
      <c r="G265" s="1" t="s">
        <v>5921</v>
      </c>
      <c r="H265">
        <v>1995</v>
      </c>
      <c r="I265">
        <v>1999</v>
      </c>
      <c r="J265">
        <f t="shared" si="8"/>
        <v>5</v>
      </c>
      <c r="K265" s="1" t="s">
        <v>6076</v>
      </c>
      <c r="L265" s="1" t="s">
        <v>6076</v>
      </c>
      <c r="M265">
        <f t="shared" si="9"/>
        <v>27</v>
      </c>
    </row>
    <row r="266" spans="1:14" x14ac:dyDescent="0.3">
      <c r="A266" s="1" t="s">
        <v>7120</v>
      </c>
      <c r="B266" s="1" t="s">
        <v>7121</v>
      </c>
      <c r="C266" s="1" t="s">
        <v>7122</v>
      </c>
      <c r="D266" s="1" t="s">
        <v>746</v>
      </c>
      <c r="E266" s="1" t="s">
        <v>6076</v>
      </c>
      <c r="F266" s="1" t="s">
        <v>6076</v>
      </c>
      <c r="G266" s="1">
        <v>320</v>
      </c>
      <c r="H266">
        <v>2009</v>
      </c>
      <c r="I266">
        <v>2012</v>
      </c>
      <c r="J266">
        <f t="shared" si="8"/>
        <v>4</v>
      </c>
      <c r="K266" s="1" t="s">
        <v>6076</v>
      </c>
      <c r="L266" s="1" t="s">
        <v>6076</v>
      </c>
      <c r="M266">
        <f t="shared" si="9"/>
        <v>14</v>
      </c>
      <c r="N266" t="s">
        <v>650</v>
      </c>
    </row>
    <row r="267" spans="1:14" x14ac:dyDescent="0.3">
      <c r="A267" s="1" t="s">
        <v>6130</v>
      </c>
      <c r="B267" s="1" t="s">
        <v>5913</v>
      </c>
      <c r="C267" s="1" t="s">
        <v>6131</v>
      </c>
      <c r="D267" s="1" t="s">
        <v>738</v>
      </c>
      <c r="E267" s="1" t="s">
        <v>6076</v>
      </c>
      <c r="F267" s="1" t="s">
        <v>6076</v>
      </c>
      <c r="G267" s="1" t="s">
        <v>5921</v>
      </c>
      <c r="H267">
        <v>1991</v>
      </c>
      <c r="I267">
        <v>2007</v>
      </c>
      <c r="J267">
        <f t="shared" si="8"/>
        <v>17</v>
      </c>
      <c r="K267" s="1" t="s">
        <v>6076</v>
      </c>
      <c r="L267" s="1" t="s">
        <v>6076</v>
      </c>
      <c r="M267">
        <f t="shared" si="9"/>
        <v>19</v>
      </c>
    </row>
    <row r="268" spans="1:14" x14ac:dyDescent="0.3">
      <c r="A268" s="1" t="s">
        <v>6132</v>
      </c>
      <c r="B268" s="1" t="s">
        <v>5913</v>
      </c>
      <c r="C268" s="1" t="s">
        <v>6133</v>
      </c>
      <c r="D268" s="1" t="s">
        <v>738</v>
      </c>
      <c r="E268" s="1" t="s">
        <v>6076</v>
      </c>
      <c r="F268" s="1" t="s">
        <v>6076</v>
      </c>
      <c r="G268" s="1" t="s">
        <v>5921</v>
      </c>
      <c r="H268">
        <v>1991</v>
      </c>
      <c r="I268">
        <v>2007</v>
      </c>
      <c r="J268">
        <f t="shared" si="8"/>
        <v>17</v>
      </c>
      <c r="K268" s="1" t="s">
        <v>6076</v>
      </c>
      <c r="L268" s="1" t="s">
        <v>6076</v>
      </c>
      <c r="M268">
        <f t="shared" si="9"/>
        <v>19</v>
      </c>
    </row>
    <row r="269" spans="1:14" x14ac:dyDescent="0.3">
      <c r="A269" s="1" t="s">
        <v>6134</v>
      </c>
      <c r="B269" s="1" t="s">
        <v>5913</v>
      </c>
      <c r="C269" s="1" t="s">
        <v>6135</v>
      </c>
      <c r="D269" s="1" t="s">
        <v>738</v>
      </c>
      <c r="E269" s="1" t="s">
        <v>6076</v>
      </c>
      <c r="F269" s="1" t="s">
        <v>6076</v>
      </c>
      <c r="G269" s="1" t="s">
        <v>5921</v>
      </c>
      <c r="H269">
        <v>2015</v>
      </c>
      <c r="I269">
        <v>2022</v>
      </c>
      <c r="J269">
        <f t="shared" si="8"/>
        <v>8</v>
      </c>
      <c r="K269" s="1" t="s">
        <v>6076</v>
      </c>
      <c r="L269" s="1" t="s">
        <v>6076</v>
      </c>
      <c r="M269">
        <f t="shared" si="9"/>
        <v>4</v>
      </c>
    </row>
    <row r="270" spans="1:14" x14ac:dyDescent="0.3">
      <c r="A270" s="1" t="s">
        <v>5918</v>
      </c>
      <c r="B270" s="1" t="s">
        <v>5913</v>
      </c>
      <c r="C270" s="1" t="s">
        <v>5919</v>
      </c>
      <c r="D270" s="1" t="s">
        <v>738</v>
      </c>
      <c r="E270" s="1" t="s">
        <v>6076</v>
      </c>
      <c r="F270" s="1" t="s">
        <v>6076</v>
      </c>
      <c r="G270" s="1" t="s">
        <v>5921</v>
      </c>
      <c r="H270">
        <v>2013</v>
      </c>
      <c r="I270">
        <v>2022</v>
      </c>
      <c r="J270">
        <f t="shared" si="8"/>
        <v>10</v>
      </c>
      <c r="K270" s="1" t="s">
        <v>6076</v>
      </c>
      <c r="L270" s="1" t="s">
        <v>6076</v>
      </c>
      <c r="M270">
        <f t="shared" si="9"/>
        <v>4</v>
      </c>
    </row>
    <row r="271" spans="1:14" x14ac:dyDescent="0.3">
      <c r="A271" s="1" t="s">
        <v>6136</v>
      </c>
      <c r="B271" s="1" t="s">
        <v>5913</v>
      </c>
      <c r="C271" s="1" t="s">
        <v>6137</v>
      </c>
      <c r="D271" s="1" t="s">
        <v>738</v>
      </c>
      <c r="E271" s="1" t="s">
        <v>6076</v>
      </c>
      <c r="F271" s="1" t="s">
        <v>6076</v>
      </c>
      <c r="G271" s="1" t="s">
        <v>5921</v>
      </c>
      <c r="H271">
        <v>2014</v>
      </c>
      <c r="I271">
        <v>2017</v>
      </c>
      <c r="J271">
        <f t="shared" si="8"/>
        <v>4</v>
      </c>
      <c r="K271" s="1" t="s">
        <v>6076</v>
      </c>
      <c r="L271" s="1" t="s">
        <v>6076</v>
      </c>
      <c r="M271">
        <f t="shared" si="9"/>
        <v>9</v>
      </c>
    </row>
    <row r="272" spans="1:14" x14ac:dyDescent="0.3">
      <c r="A272" s="1" t="s">
        <v>6138</v>
      </c>
      <c r="B272" s="1" t="s">
        <v>5913</v>
      </c>
      <c r="C272" s="1" t="s">
        <v>6139</v>
      </c>
      <c r="D272" s="1" t="s">
        <v>738</v>
      </c>
      <c r="E272" s="1" t="s">
        <v>6076</v>
      </c>
      <c r="F272" s="1" t="s">
        <v>6076</v>
      </c>
      <c r="G272" s="1" t="s">
        <v>5921</v>
      </c>
      <c r="H272">
        <v>2013</v>
      </c>
      <c r="I272">
        <v>2022</v>
      </c>
      <c r="J272">
        <f t="shared" si="8"/>
        <v>10</v>
      </c>
      <c r="K272" s="1" t="s">
        <v>6076</v>
      </c>
      <c r="L272" s="1" t="s">
        <v>6076</v>
      </c>
      <c r="M272">
        <f t="shared" si="9"/>
        <v>4</v>
      </c>
    </row>
    <row r="273" spans="1:13" x14ac:dyDescent="0.3">
      <c r="A273" s="1" t="s">
        <v>6140</v>
      </c>
      <c r="B273" s="1" t="s">
        <v>5913</v>
      </c>
      <c r="C273" s="1" t="s">
        <v>6141</v>
      </c>
      <c r="D273" s="1" t="s">
        <v>738</v>
      </c>
      <c r="E273" s="1" t="s">
        <v>6076</v>
      </c>
      <c r="F273" s="1" t="s">
        <v>6076</v>
      </c>
      <c r="G273" s="1" t="s">
        <v>5921</v>
      </c>
      <c r="H273">
        <v>1999</v>
      </c>
      <c r="I273">
        <v>2000</v>
      </c>
      <c r="J273">
        <f t="shared" si="8"/>
        <v>2</v>
      </c>
      <c r="K273" s="1" t="s">
        <v>6076</v>
      </c>
      <c r="L273" s="1" t="s">
        <v>6076</v>
      </c>
      <c r="M273">
        <f t="shared" si="9"/>
        <v>26</v>
      </c>
    </row>
    <row r="274" spans="1:13" x14ac:dyDescent="0.3">
      <c r="A274" s="1" t="s">
        <v>6142</v>
      </c>
      <c r="B274" s="1" t="s">
        <v>5913</v>
      </c>
      <c r="C274" s="1" t="s">
        <v>6143</v>
      </c>
      <c r="D274" s="1" t="s">
        <v>738</v>
      </c>
      <c r="E274" s="1" t="s">
        <v>6076</v>
      </c>
      <c r="F274" s="1" t="s">
        <v>6076</v>
      </c>
      <c r="G274" s="1" t="s">
        <v>5921</v>
      </c>
      <c r="H274">
        <v>1999</v>
      </c>
      <c r="I274">
        <v>2000</v>
      </c>
      <c r="J274">
        <f t="shared" si="8"/>
        <v>2</v>
      </c>
      <c r="K274" s="1" t="s">
        <v>6076</v>
      </c>
      <c r="L274" s="1" t="s">
        <v>6076</v>
      </c>
      <c r="M274">
        <f t="shared" si="9"/>
        <v>26</v>
      </c>
    </row>
    <row r="275" spans="1:13" x14ac:dyDescent="0.3">
      <c r="A275" s="1" t="s">
        <v>6144</v>
      </c>
      <c r="B275" s="1" t="s">
        <v>5913</v>
      </c>
      <c r="C275" s="1" t="s">
        <v>6145</v>
      </c>
      <c r="D275" s="1" t="s">
        <v>738</v>
      </c>
      <c r="E275" s="1" t="s">
        <v>6076</v>
      </c>
      <c r="F275" s="1" t="s">
        <v>6076</v>
      </c>
      <c r="G275" s="1" t="s">
        <v>5921</v>
      </c>
      <c r="H275">
        <v>1998</v>
      </c>
      <c r="I275">
        <v>2001</v>
      </c>
      <c r="J275">
        <f t="shared" si="8"/>
        <v>4</v>
      </c>
      <c r="K275" s="1" t="s">
        <v>6076</v>
      </c>
      <c r="L275" s="1" t="s">
        <v>6076</v>
      </c>
      <c r="M275">
        <f t="shared" si="9"/>
        <v>25</v>
      </c>
    </row>
    <row r="276" spans="1:13" x14ac:dyDescent="0.3">
      <c r="A276" s="1" t="s">
        <v>6146</v>
      </c>
      <c r="B276" s="1" t="s">
        <v>5913</v>
      </c>
      <c r="C276" s="1" t="s">
        <v>6147</v>
      </c>
      <c r="D276" s="1" t="s">
        <v>738</v>
      </c>
      <c r="E276" s="1" t="s">
        <v>6076</v>
      </c>
      <c r="F276" s="1" t="s">
        <v>6076</v>
      </c>
      <c r="G276" s="1" t="s">
        <v>5921</v>
      </c>
      <c r="H276">
        <v>1998</v>
      </c>
      <c r="I276">
        <v>2000</v>
      </c>
      <c r="J276">
        <f t="shared" si="8"/>
        <v>3</v>
      </c>
      <c r="K276" s="1" t="s">
        <v>6076</v>
      </c>
      <c r="L276" s="1" t="s">
        <v>6076</v>
      </c>
      <c r="M276">
        <f t="shared" si="9"/>
        <v>26</v>
      </c>
    </row>
    <row r="277" spans="1:13" x14ac:dyDescent="0.3">
      <c r="A277" s="1" t="s">
        <v>6148</v>
      </c>
      <c r="B277" s="1" t="s">
        <v>5913</v>
      </c>
      <c r="C277" s="1" t="s">
        <v>6149</v>
      </c>
      <c r="D277" s="1" t="s">
        <v>738</v>
      </c>
      <c r="E277" s="1" t="s">
        <v>6076</v>
      </c>
      <c r="F277" s="1" t="s">
        <v>6076</v>
      </c>
      <c r="G277" s="1" t="s">
        <v>5921</v>
      </c>
      <c r="H277">
        <v>1998</v>
      </c>
      <c r="I277">
        <v>1998</v>
      </c>
      <c r="J277">
        <f t="shared" si="8"/>
        <v>1</v>
      </c>
      <c r="K277" s="1" t="s">
        <v>6076</v>
      </c>
      <c r="L277" s="1" t="s">
        <v>6076</v>
      </c>
      <c r="M277">
        <f t="shared" si="9"/>
        <v>28</v>
      </c>
    </row>
    <row r="278" spans="1:13" x14ac:dyDescent="0.3">
      <c r="A278" s="1" t="s">
        <v>6150</v>
      </c>
      <c r="B278" s="1" t="s">
        <v>5913</v>
      </c>
      <c r="C278" s="1" t="s">
        <v>6151</v>
      </c>
      <c r="D278" s="1" t="s">
        <v>738</v>
      </c>
      <c r="E278" s="1" t="s">
        <v>6076</v>
      </c>
      <c r="F278" s="1" t="s">
        <v>6076</v>
      </c>
      <c r="G278" s="1" t="s">
        <v>5921</v>
      </c>
      <c r="H278">
        <v>1998</v>
      </c>
      <c r="I278">
        <v>2000</v>
      </c>
      <c r="J278">
        <f t="shared" si="8"/>
        <v>3</v>
      </c>
      <c r="K278" s="1" t="s">
        <v>6076</v>
      </c>
      <c r="L278" s="1" t="s">
        <v>6076</v>
      </c>
      <c r="M278">
        <f t="shared" si="9"/>
        <v>26</v>
      </c>
    </row>
    <row r="279" spans="1:13" x14ac:dyDescent="0.3">
      <c r="A279" s="1" t="s">
        <v>6152</v>
      </c>
      <c r="B279" s="1" t="s">
        <v>5913</v>
      </c>
      <c r="C279" s="1" t="s">
        <v>6153</v>
      </c>
      <c r="D279" s="1" t="s">
        <v>738</v>
      </c>
      <c r="E279" s="1" t="s">
        <v>6076</v>
      </c>
      <c r="F279" s="1" t="s">
        <v>6076</v>
      </c>
      <c r="G279" s="1" t="s">
        <v>5921</v>
      </c>
      <c r="H279">
        <v>1997</v>
      </c>
      <c r="I279">
        <v>2000</v>
      </c>
      <c r="J279">
        <f t="shared" si="8"/>
        <v>4</v>
      </c>
      <c r="K279" s="1" t="s">
        <v>6076</v>
      </c>
      <c r="L279" s="1" t="s">
        <v>6076</v>
      </c>
      <c r="M279">
        <f t="shared" si="9"/>
        <v>26</v>
      </c>
    </row>
    <row r="280" spans="1:13" x14ac:dyDescent="0.3">
      <c r="A280" s="1" t="s">
        <v>6154</v>
      </c>
      <c r="B280" s="1" t="s">
        <v>5913</v>
      </c>
      <c r="C280" s="1" t="s">
        <v>6155</v>
      </c>
      <c r="D280" s="1" t="s">
        <v>738</v>
      </c>
      <c r="E280" s="1" t="s">
        <v>6076</v>
      </c>
      <c r="F280" s="1" t="s">
        <v>6076</v>
      </c>
      <c r="G280" s="1" t="s">
        <v>5921</v>
      </c>
      <c r="H280">
        <v>1998</v>
      </c>
      <c r="I280">
        <v>2001</v>
      </c>
      <c r="J280">
        <f t="shared" si="8"/>
        <v>4</v>
      </c>
      <c r="K280" s="1" t="s">
        <v>6076</v>
      </c>
      <c r="L280" s="1" t="s">
        <v>6076</v>
      </c>
      <c r="M280">
        <f t="shared" si="9"/>
        <v>25</v>
      </c>
    </row>
    <row r="281" spans="1:13" x14ac:dyDescent="0.3">
      <c r="A281" s="1" t="s">
        <v>6156</v>
      </c>
      <c r="B281" s="1" t="s">
        <v>5913</v>
      </c>
      <c r="C281" s="1" t="s">
        <v>6157</v>
      </c>
      <c r="D281" s="1" t="s">
        <v>738</v>
      </c>
      <c r="E281" s="1" t="s">
        <v>6076</v>
      </c>
      <c r="F281" s="1" t="s">
        <v>6076</v>
      </c>
      <c r="G281" s="1" t="s">
        <v>5921</v>
      </c>
      <c r="H281">
        <v>1998</v>
      </c>
      <c r="I281">
        <v>2000</v>
      </c>
      <c r="J281">
        <f t="shared" si="8"/>
        <v>3</v>
      </c>
      <c r="K281" s="1" t="s">
        <v>6076</v>
      </c>
      <c r="L281" s="1" t="s">
        <v>6076</v>
      </c>
      <c r="M281">
        <f t="shared" si="9"/>
        <v>26</v>
      </c>
    </row>
    <row r="282" spans="1:13" x14ac:dyDescent="0.3">
      <c r="A282" s="1" t="s">
        <v>6158</v>
      </c>
      <c r="B282" s="1" t="s">
        <v>5913</v>
      </c>
      <c r="C282" s="1" t="s">
        <v>6159</v>
      </c>
      <c r="D282" s="1" t="s">
        <v>738</v>
      </c>
      <c r="E282" s="1" t="s">
        <v>6076</v>
      </c>
      <c r="F282" s="1" t="s">
        <v>6076</v>
      </c>
      <c r="G282" s="1" t="s">
        <v>5921</v>
      </c>
      <c r="H282">
        <v>2000</v>
      </c>
      <c r="I282">
        <v>2000</v>
      </c>
      <c r="J282">
        <f t="shared" si="8"/>
        <v>1</v>
      </c>
      <c r="K282" s="1" t="s">
        <v>6076</v>
      </c>
      <c r="L282" s="1" t="s">
        <v>6076</v>
      </c>
      <c r="M282">
        <f t="shared" si="9"/>
        <v>26</v>
      </c>
    </row>
    <row r="283" spans="1:13" x14ac:dyDescent="0.3">
      <c r="A283" s="1" t="s">
        <v>6160</v>
      </c>
      <c r="B283" s="1" t="s">
        <v>5913</v>
      </c>
      <c r="C283" s="1" t="s">
        <v>6161</v>
      </c>
      <c r="D283" s="1" t="s">
        <v>738</v>
      </c>
      <c r="E283" s="1" t="s">
        <v>6076</v>
      </c>
      <c r="F283" s="1" t="s">
        <v>6076</v>
      </c>
      <c r="G283" s="1" t="s">
        <v>5921</v>
      </c>
      <c r="H283">
        <v>1998</v>
      </c>
      <c r="I283">
        <v>2001</v>
      </c>
      <c r="J283">
        <f t="shared" si="8"/>
        <v>4</v>
      </c>
      <c r="K283" s="1" t="s">
        <v>6076</v>
      </c>
      <c r="L283" s="1" t="s">
        <v>6076</v>
      </c>
      <c r="M283">
        <f t="shared" si="9"/>
        <v>25</v>
      </c>
    </row>
    <row r="284" spans="1:13" x14ac:dyDescent="0.3">
      <c r="A284" s="1" t="s">
        <v>6162</v>
      </c>
      <c r="B284" s="1" t="s">
        <v>5913</v>
      </c>
      <c r="C284" s="1" t="s">
        <v>6163</v>
      </c>
      <c r="D284" s="1" t="s">
        <v>738</v>
      </c>
      <c r="E284" s="1" t="s">
        <v>6076</v>
      </c>
      <c r="F284" s="1" t="s">
        <v>6076</v>
      </c>
      <c r="G284" s="1" t="s">
        <v>5921</v>
      </c>
      <c r="H284">
        <v>1999</v>
      </c>
      <c r="I284">
        <v>2002</v>
      </c>
      <c r="J284">
        <f t="shared" si="8"/>
        <v>4</v>
      </c>
      <c r="K284" s="1" t="s">
        <v>6076</v>
      </c>
      <c r="L284" s="1" t="s">
        <v>6076</v>
      </c>
      <c r="M284">
        <f t="shared" si="9"/>
        <v>24</v>
      </c>
    </row>
    <row r="285" spans="1:13" x14ac:dyDescent="0.3">
      <c r="A285" s="1" t="s">
        <v>6164</v>
      </c>
      <c r="B285" s="1" t="s">
        <v>5913</v>
      </c>
      <c r="C285" s="1" t="s">
        <v>6165</v>
      </c>
      <c r="D285" s="1" t="s">
        <v>738</v>
      </c>
      <c r="E285" s="1" t="s">
        <v>6076</v>
      </c>
      <c r="F285" s="1" t="s">
        <v>6076</v>
      </c>
      <c r="G285" s="1" t="s">
        <v>5921</v>
      </c>
      <c r="H285">
        <v>1998</v>
      </c>
      <c r="I285">
        <v>1999</v>
      </c>
      <c r="J285">
        <f t="shared" si="8"/>
        <v>2</v>
      </c>
      <c r="K285" s="1" t="s">
        <v>6076</v>
      </c>
      <c r="L285" s="1" t="s">
        <v>6076</v>
      </c>
      <c r="M285">
        <f t="shared" si="9"/>
        <v>27</v>
      </c>
    </row>
    <row r="286" spans="1:13" x14ac:dyDescent="0.3">
      <c r="A286" s="1" t="s">
        <v>6166</v>
      </c>
      <c r="B286" s="1" t="s">
        <v>5913</v>
      </c>
      <c r="C286" s="1" t="s">
        <v>6167</v>
      </c>
      <c r="D286" s="1" t="s">
        <v>738</v>
      </c>
      <c r="E286" s="1" t="s">
        <v>6076</v>
      </c>
      <c r="F286" s="1" t="s">
        <v>6076</v>
      </c>
      <c r="G286" s="1" t="s">
        <v>5921</v>
      </c>
      <c r="H286">
        <v>1998</v>
      </c>
      <c r="I286">
        <v>2000</v>
      </c>
      <c r="J286">
        <f t="shared" si="8"/>
        <v>3</v>
      </c>
      <c r="K286" s="1" t="s">
        <v>6076</v>
      </c>
      <c r="L286" s="1" t="s">
        <v>6076</v>
      </c>
      <c r="M286">
        <f t="shared" si="9"/>
        <v>26</v>
      </c>
    </row>
    <row r="287" spans="1:13" x14ac:dyDescent="0.3">
      <c r="A287" s="1" t="s">
        <v>6168</v>
      </c>
      <c r="B287" s="1" t="s">
        <v>5913</v>
      </c>
      <c r="C287" s="1" t="s">
        <v>6169</v>
      </c>
      <c r="D287" s="1" t="s">
        <v>738</v>
      </c>
      <c r="E287" s="1" t="s">
        <v>6076</v>
      </c>
      <c r="F287" s="1" t="s">
        <v>6076</v>
      </c>
      <c r="G287" s="1" t="s">
        <v>5921</v>
      </c>
      <c r="H287">
        <v>1998</v>
      </c>
      <c r="I287">
        <v>2000</v>
      </c>
      <c r="J287">
        <f t="shared" si="8"/>
        <v>3</v>
      </c>
      <c r="K287" s="1" t="s">
        <v>6076</v>
      </c>
      <c r="L287" s="1" t="s">
        <v>6076</v>
      </c>
      <c r="M287">
        <f t="shared" si="9"/>
        <v>26</v>
      </c>
    </row>
    <row r="288" spans="1:13" x14ac:dyDescent="0.3">
      <c r="A288" s="1" t="s">
        <v>6170</v>
      </c>
      <c r="B288" s="1" t="s">
        <v>5913</v>
      </c>
      <c r="C288" s="1" t="s">
        <v>6171</v>
      </c>
      <c r="D288" s="1" t="s">
        <v>738</v>
      </c>
      <c r="E288" s="1" t="s">
        <v>6076</v>
      </c>
      <c r="F288" s="1" t="s">
        <v>6076</v>
      </c>
      <c r="G288" s="1" t="s">
        <v>5921</v>
      </c>
      <c r="H288">
        <v>1998</v>
      </c>
      <c r="I288">
        <v>1999</v>
      </c>
      <c r="J288">
        <f t="shared" si="8"/>
        <v>2</v>
      </c>
      <c r="K288" s="1" t="s">
        <v>6076</v>
      </c>
      <c r="L288" s="1" t="s">
        <v>6076</v>
      </c>
      <c r="M288">
        <f t="shared" si="9"/>
        <v>27</v>
      </c>
    </row>
    <row r="289" spans="1:13" x14ac:dyDescent="0.3">
      <c r="A289" s="1" t="s">
        <v>6172</v>
      </c>
      <c r="B289" s="1" t="s">
        <v>5913</v>
      </c>
      <c r="C289" s="1" t="s">
        <v>6173</v>
      </c>
      <c r="D289" s="1" t="s">
        <v>738</v>
      </c>
      <c r="E289" s="1" t="s">
        <v>6076</v>
      </c>
      <c r="F289" s="1" t="s">
        <v>6076</v>
      </c>
      <c r="G289" s="1" t="s">
        <v>5921</v>
      </c>
      <c r="H289">
        <v>1986</v>
      </c>
      <c r="I289">
        <v>2001</v>
      </c>
      <c r="J289">
        <f t="shared" si="8"/>
        <v>16</v>
      </c>
      <c r="K289" s="1" t="s">
        <v>6076</v>
      </c>
      <c r="L289" s="1" t="s">
        <v>6076</v>
      </c>
      <c r="M289">
        <f t="shared" si="9"/>
        <v>25</v>
      </c>
    </row>
    <row r="290" spans="1:13" x14ac:dyDescent="0.3">
      <c r="A290" s="1" t="s">
        <v>6174</v>
      </c>
      <c r="B290" s="1" t="s">
        <v>5913</v>
      </c>
      <c r="C290" s="1" t="s">
        <v>6175</v>
      </c>
      <c r="D290" s="1" t="s">
        <v>738</v>
      </c>
      <c r="E290" s="1" t="s">
        <v>6076</v>
      </c>
      <c r="F290" s="1" t="s">
        <v>6076</v>
      </c>
      <c r="G290" s="1" t="s">
        <v>5921</v>
      </c>
      <c r="H290">
        <v>1993</v>
      </c>
      <c r="I290">
        <v>1996</v>
      </c>
      <c r="J290">
        <f t="shared" si="8"/>
        <v>4</v>
      </c>
      <c r="K290" s="1" t="s">
        <v>6076</v>
      </c>
      <c r="L290" s="1" t="s">
        <v>6076</v>
      </c>
      <c r="M290">
        <f t="shared" si="9"/>
        <v>30</v>
      </c>
    </row>
    <row r="291" spans="1:13" x14ac:dyDescent="0.3">
      <c r="A291" s="1" t="s">
        <v>6176</v>
      </c>
      <c r="B291" s="1" t="s">
        <v>5913</v>
      </c>
      <c r="C291" s="1" t="s">
        <v>6177</v>
      </c>
      <c r="D291" s="1" t="s">
        <v>738</v>
      </c>
      <c r="E291" s="1" t="s">
        <v>6076</v>
      </c>
      <c r="F291" s="1" t="s">
        <v>6076</v>
      </c>
      <c r="G291" s="1" t="s">
        <v>5921</v>
      </c>
      <c r="H291">
        <v>1989</v>
      </c>
      <c r="I291">
        <v>2012</v>
      </c>
      <c r="J291">
        <f t="shared" si="8"/>
        <v>24</v>
      </c>
      <c r="K291" s="1" t="s">
        <v>6076</v>
      </c>
      <c r="L291" s="1" t="s">
        <v>6076</v>
      </c>
      <c r="M291">
        <f t="shared" si="9"/>
        <v>14</v>
      </c>
    </row>
    <row r="292" spans="1:13" x14ac:dyDescent="0.3">
      <c r="A292" s="1" t="s">
        <v>6178</v>
      </c>
      <c r="B292" s="1" t="s">
        <v>5913</v>
      </c>
      <c r="C292" s="1" t="s">
        <v>6179</v>
      </c>
      <c r="D292" s="1" t="s">
        <v>738</v>
      </c>
      <c r="E292" s="1" t="s">
        <v>6076</v>
      </c>
      <c r="F292" s="1" t="s">
        <v>6076</v>
      </c>
      <c r="G292" s="1" t="s">
        <v>5921</v>
      </c>
      <c r="H292">
        <v>2001</v>
      </c>
      <c r="I292">
        <v>2003</v>
      </c>
      <c r="J292">
        <f t="shared" si="8"/>
        <v>3</v>
      </c>
      <c r="K292" s="1" t="s">
        <v>6076</v>
      </c>
      <c r="L292" s="1" t="s">
        <v>6076</v>
      </c>
      <c r="M292">
        <f t="shared" si="9"/>
        <v>23</v>
      </c>
    </row>
    <row r="293" spans="1:13" x14ac:dyDescent="0.3">
      <c r="A293" s="1" t="s">
        <v>6180</v>
      </c>
      <c r="B293" s="1" t="s">
        <v>5913</v>
      </c>
      <c r="C293" s="1" t="s">
        <v>6181</v>
      </c>
      <c r="D293" s="1" t="s">
        <v>738</v>
      </c>
      <c r="E293" s="1" t="s">
        <v>6076</v>
      </c>
      <c r="F293" s="1" t="s">
        <v>6076</v>
      </c>
      <c r="G293" s="1" t="s">
        <v>5921</v>
      </c>
      <c r="H293">
        <v>2001</v>
      </c>
      <c r="I293">
        <v>2010</v>
      </c>
      <c r="J293">
        <f t="shared" si="8"/>
        <v>10</v>
      </c>
      <c r="K293" s="1" t="s">
        <v>6076</v>
      </c>
      <c r="L293" s="1" t="s">
        <v>6076</v>
      </c>
      <c r="M293">
        <f t="shared" si="9"/>
        <v>16</v>
      </c>
    </row>
    <row r="294" spans="1:13" x14ac:dyDescent="0.3">
      <c r="A294" s="1" t="s">
        <v>6182</v>
      </c>
      <c r="B294" s="1" t="s">
        <v>5913</v>
      </c>
      <c r="C294" s="1" t="s">
        <v>6183</v>
      </c>
      <c r="D294" s="1" t="s">
        <v>738</v>
      </c>
      <c r="E294" s="1" t="s">
        <v>6076</v>
      </c>
      <c r="F294" s="1" t="s">
        <v>6076</v>
      </c>
      <c r="G294" s="1" t="s">
        <v>5921</v>
      </c>
      <c r="H294">
        <v>2006</v>
      </c>
      <c r="I294">
        <v>2009</v>
      </c>
      <c r="J294">
        <f t="shared" si="8"/>
        <v>4</v>
      </c>
      <c r="K294" s="1" t="s">
        <v>6076</v>
      </c>
      <c r="L294" s="1" t="s">
        <v>6076</v>
      </c>
      <c r="M294">
        <f t="shared" si="9"/>
        <v>17</v>
      </c>
    </row>
    <row r="295" spans="1:13" x14ac:dyDescent="0.3">
      <c r="A295" s="1" t="s">
        <v>6184</v>
      </c>
      <c r="B295" s="1" t="s">
        <v>5913</v>
      </c>
      <c r="C295" s="1" t="s">
        <v>6185</v>
      </c>
      <c r="D295" s="1" t="s">
        <v>738</v>
      </c>
      <c r="E295" s="1" t="s">
        <v>6076</v>
      </c>
      <c r="F295" s="1" t="s">
        <v>6076</v>
      </c>
      <c r="G295" s="1" t="s">
        <v>5921</v>
      </c>
      <c r="H295">
        <v>1997</v>
      </c>
      <c r="I295">
        <v>2000</v>
      </c>
      <c r="J295">
        <f t="shared" si="8"/>
        <v>4</v>
      </c>
      <c r="K295" s="1" t="s">
        <v>6076</v>
      </c>
      <c r="L295" s="1" t="s">
        <v>6076</v>
      </c>
      <c r="M295">
        <f t="shared" si="9"/>
        <v>26</v>
      </c>
    </row>
    <row r="296" spans="1:13" x14ac:dyDescent="0.3">
      <c r="A296" s="1" t="s">
        <v>6186</v>
      </c>
      <c r="B296" s="1" t="s">
        <v>5913</v>
      </c>
      <c r="C296" s="1" t="s">
        <v>6187</v>
      </c>
      <c r="D296" s="1" t="s">
        <v>738</v>
      </c>
      <c r="E296" s="1" t="s">
        <v>6076</v>
      </c>
      <c r="F296" s="1" t="s">
        <v>6076</v>
      </c>
      <c r="G296" s="1" t="s">
        <v>5921</v>
      </c>
      <c r="H296">
        <v>1996</v>
      </c>
      <c r="I296">
        <v>1999</v>
      </c>
      <c r="J296">
        <f t="shared" si="8"/>
        <v>4</v>
      </c>
      <c r="K296" s="1" t="s">
        <v>6076</v>
      </c>
      <c r="L296" s="1" t="s">
        <v>6076</v>
      </c>
      <c r="M296">
        <f t="shared" si="9"/>
        <v>27</v>
      </c>
    </row>
    <row r="297" spans="1:13" x14ac:dyDescent="0.3">
      <c r="A297" s="1" t="s">
        <v>6188</v>
      </c>
      <c r="B297" s="1" t="s">
        <v>5913</v>
      </c>
      <c r="C297" s="1" t="s">
        <v>6189</v>
      </c>
      <c r="D297" s="1" t="s">
        <v>738</v>
      </c>
      <c r="E297" s="1" t="s">
        <v>6076</v>
      </c>
      <c r="F297" s="1" t="s">
        <v>6076</v>
      </c>
      <c r="G297" s="1" t="s">
        <v>5921</v>
      </c>
      <c r="H297">
        <v>1996</v>
      </c>
      <c r="I297">
        <v>1998</v>
      </c>
      <c r="J297">
        <f t="shared" si="8"/>
        <v>3</v>
      </c>
      <c r="K297" s="1" t="s">
        <v>6076</v>
      </c>
      <c r="L297" s="1" t="s">
        <v>6076</v>
      </c>
      <c r="M297">
        <f t="shared" si="9"/>
        <v>28</v>
      </c>
    </row>
    <row r="298" spans="1:13" x14ac:dyDescent="0.3">
      <c r="A298" s="1" t="s">
        <v>6190</v>
      </c>
      <c r="B298" s="1" t="s">
        <v>5913</v>
      </c>
      <c r="C298" s="1" t="s">
        <v>6191</v>
      </c>
      <c r="D298" s="1" t="s">
        <v>738</v>
      </c>
      <c r="E298" s="1" t="s">
        <v>6076</v>
      </c>
      <c r="F298" s="1" t="s">
        <v>6076</v>
      </c>
      <c r="G298" s="1" t="s">
        <v>5921</v>
      </c>
      <c r="H298">
        <v>1998</v>
      </c>
      <c r="I298">
        <v>2000</v>
      </c>
      <c r="J298">
        <f t="shared" si="8"/>
        <v>3</v>
      </c>
      <c r="K298" s="1" t="s">
        <v>6076</v>
      </c>
      <c r="L298" s="1" t="s">
        <v>6076</v>
      </c>
      <c r="M298">
        <f t="shared" si="9"/>
        <v>26</v>
      </c>
    </row>
    <row r="299" spans="1:13" x14ac:dyDescent="0.3">
      <c r="A299" s="1" t="s">
        <v>6192</v>
      </c>
      <c r="B299" s="1" t="s">
        <v>5913</v>
      </c>
      <c r="C299" s="1" t="s">
        <v>6193</v>
      </c>
      <c r="D299" s="1" t="s">
        <v>738</v>
      </c>
      <c r="E299" s="1" t="s">
        <v>6076</v>
      </c>
      <c r="F299" s="1" t="s">
        <v>6076</v>
      </c>
      <c r="G299" s="1" t="s">
        <v>5921</v>
      </c>
      <c r="H299">
        <v>1996</v>
      </c>
      <c r="I299">
        <v>1998</v>
      </c>
      <c r="J299">
        <f t="shared" si="8"/>
        <v>3</v>
      </c>
      <c r="K299" s="1" t="s">
        <v>6076</v>
      </c>
      <c r="L299" s="1" t="s">
        <v>6076</v>
      </c>
      <c r="M299">
        <f t="shared" si="9"/>
        <v>28</v>
      </c>
    </row>
    <row r="300" spans="1:13" x14ac:dyDescent="0.3">
      <c r="A300" s="1" t="s">
        <v>6194</v>
      </c>
      <c r="B300" s="1" t="s">
        <v>5913</v>
      </c>
      <c r="C300" s="1" t="s">
        <v>6195</v>
      </c>
      <c r="D300" s="1" t="s">
        <v>738</v>
      </c>
      <c r="E300" s="1" t="s">
        <v>6076</v>
      </c>
      <c r="F300" s="1" t="s">
        <v>6076</v>
      </c>
      <c r="G300" s="1" t="s">
        <v>5921</v>
      </c>
      <c r="H300">
        <v>2012</v>
      </c>
      <c r="I300">
        <v>2014</v>
      </c>
      <c r="J300">
        <f t="shared" si="8"/>
        <v>3</v>
      </c>
      <c r="K300" s="1" t="s">
        <v>6076</v>
      </c>
      <c r="L300" s="1" t="s">
        <v>6076</v>
      </c>
      <c r="M300">
        <f t="shared" si="9"/>
        <v>12</v>
      </c>
    </row>
    <row r="301" spans="1:13" x14ac:dyDescent="0.3">
      <c r="A301" s="1" t="s">
        <v>6196</v>
      </c>
      <c r="B301" s="1" t="s">
        <v>5913</v>
      </c>
      <c r="C301" s="1" t="s">
        <v>6197</v>
      </c>
      <c r="D301" s="1" t="s">
        <v>738</v>
      </c>
      <c r="E301" s="1" t="s">
        <v>6076</v>
      </c>
      <c r="F301" s="1" t="s">
        <v>6076</v>
      </c>
      <c r="G301" s="1" t="s">
        <v>5921</v>
      </c>
      <c r="H301">
        <v>1997</v>
      </c>
      <c r="I301">
        <v>2000</v>
      </c>
      <c r="J301">
        <f t="shared" si="8"/>
        <v>4</v>
      </c>
      <c r="K301" s="1" t="s">
        <v>6076</v>
      </c>
      <c r="L301" s="1" t="s">
        <v>6076</v>
      </c>
      <c r="M301">
        <f t="shared" si="9"/>
        <v>26</v>
      </c>
    </row>
    <row r="302" spans="1:13" x14ac:dyDescent="0.3">
      <c r="A302" s="1" t="s">
        <v>6198</v>
      </c>
      <c r="B302" s="1" t="s">
        <v>5913</v>
      </c>
      <c r="C302" s="1" t="s">
        <v>6199</v>
      </c>
      <c r="D302" s="1" t="s">
        <v>738</v>
      </c>
      <c r="E302" s="1" t="s">
        <v>6076</v>
      </c>
      <c r="F302" s="1" t="s">
        <v>6076</v>
      </c>
      <c r="G302" s="1" t="s">
        <v>5921</v>
      </c>
      <c r="H302">
        <v>2014</v>
      </c>
      <c r="I302">
        <v>2016</v>
      </c>
      <c r="J302">
        <f t="shared" si="8"/>
        <v>3</v>
      </c>
      <c r="K302" s="1" t="s">
        <v>6076</v>
      </c>
      <c r="L302" s="1" t="s">
        <v>6076</v>
      </c>
      <c r="M302">
        <f t="shared" si="9"/>
        <v>10</v>
      </c>
    </row>
    <row r="303" spans="1:13" x14ac:dyDescent="0.3">
      <c r="A303" s="1" t="s">
        <v>6200</v>
      </c>
      <c r="B303" s="1" t="s">
        <v>5913</v>
      </c>
      <c r="C303" s="1" t="s">
        <v>6201</v>
      </c>
      <c r="D303" s="1" t="s">
        <v>738</v>
      </c>
      <c r="E303" s="1" t="s">
        <v>6076</v>
      </c>
      <c r="F303" s="1" t="s">
        <v>6076</v>
      </c>
      <c r="G303" s="1" t="s">
        <v>5921</v>
      </c>
      <c r="H303">
        <v>2012</v>
      </c>
      <c r="I303">
        <v>2013</v>
      </c>
      <c r="J303">
        <f t="shared" si="8"/>
        <v>2</v>
      </c>
      <c r="K303" s="1" t="s">
        <v>6076</v>
      </c>
      <c r="L303" s="1" t="s">
        <v>6076</v>
      </c>
      <c r="M303">
        <f t="shared" si="9"/>
        <v>13</v>
      </c>
    </row>
    <row r="304" spans="1:13" x14ac:dyDescent="0.3">
      <c r="A304" s="1" t="s">
        <v>6202</v>
      </c>
      <c r="B304" s="1" t="s">
        <v>5913</v>
      </c>
      <c r="C304" s="1" t="s">
        <v>6203</v>
      </c>
      <c r="D304" s="1" t="s">
        <v>738</v>
      </c>
      <c r="E304" s="1" t="s">
        <v>6076</v>
      </c>
      <c r="F304" s="1" t="s">
        <v>6076</v>
      </c>
      <c r="G304" s="1" t="s">
        <v>5921</v>
      </c>
      <c r="H304">
        <v>2015</v>
      </c>
      <c r="I304">
        <v>2018</v>
      </c>
      <c r="J304">
        <f t="shared" si="8"/>
        <v>4</v>
      </c>
      <c r="K304" s="1" t="s">
        <v>6076</v>
      </c>
      <c r="L304" s="1" t="s">
        <v>6076</v>
      </c>
      <c r="M304">
        <f t="shared" si="9"/>
        <v>8</v>
      </c>
    </row>
    <row r="305" spans="1:13" x14ac:dyDescent="0.3">
      <c r="A305" s="1" t="s">
        <v>6204</v>
      </c>
      <c r="B305" s="1" t="s">
        <v>5913</v>
      </c>
      <c r="C305" s="1" t="s">
        <v>6205</v>
      </c>
      <c r="D305" s="1" t="s">
        <v>738</v>
      </c>
      <c r="E305" s="1" t="s">
        <v>6076</v>
      </c>
      <c r="F305" s="1" t="s">
        <v>6076</v>
      </c>
      <c r="G305" s="1" t="s">
        <v>5921</v>
      </c>
      <c r="H305">
        <v>2013</v>
      </c>
      <c r="I305">
        <v>2013</v>
      </c>
      <c r="J305">
        <f t="shared" si="8"/>
        <v>1</v>
      </c>
      <c r="K305" s="1" t="s">
        <v>6076</v>
      </c>
      <c r="L305" s="1" t="s">
        <v>6076</v>
      </c>
      <c r="M305">
        <f t="shared" si="9"/>
        <v>13</v>
      </c>
    </row>
    <row r="306" spans="1:13" x14ac:dyDescent="0.3">
      <c r="A306" s="1" t="s">
        <v>6206</v>
      </c>
      <c r="B306" s="1" t="s">
        <v>5913</v>
      </c>
      <c r="C306" s="1" t="s">
        <v>6207</v>
      </c>
      <c r="D306" s="1" t="s">
        <v>738</v>
      </c>
      <c r="E306" s="1" t="s">
        <v>6076</v>
      </c>
      <c r="F306" s="1" t="s">
        <v>6076</v>
      </c>
      <c r="G306" s="1" t="s">
        <v>5921</v>
      </c>
      <c r="H306">
        <v>2013</v>
      </c>
      <c r="I306">
        <v>2018</v>
      </c>
      <c r="J306">
        <f t="shared" si="8"/>
        <v>6</v>
      </c>
      <c r="K306" s="1" t="s">
        <v>6076</v>
      </c>
      <c r="L306" s="1" t="s">
        <v>6076</v>
      </c>
      <c r="M306">
        <f t="shared" si="9"/>
        <v>8</v>
      </c>
    </row>
    <row r="307" spans="1:13" x14ac:dyDescent="0.3">
      <c r="A307" s="1" t="s">
        <v>6208</v>
      </c>
      <c r="B307" s="1" t="s">
        <v>5913</v>
      </c>
      <c r="C307" s="1" t="s">
        <v>6209</v>
      </c>
      <c r="D307" s="1" t="s">
        <v>738</v>
      </c>
      <c r="E307" s="1" t="s">
        <v>6076</v>
      </c>
      <c r="F307" s="1" t="s">
        <v>6076</v>
      </c>
      <c r="G307" s="1" t="s">
        <v>5921</v>
      </c>
      <c r="H307">
        <v>1996</v>
      </c>
      <c r="I307">
        <v>1999</v>
      </c>
      <c r="J307">
        <f t="shared" si="8"/>
        <v>4</v>
      </c>
      <c r="K307" s="1" t="s">
        <v>6076</v>
      </c>
      <c r="L307" s="1" t="s">
        <v>6076</v>
      </c>
      <c r="M307">
        <f t="shared" si="9"/>
        <v>27</v>
      </c>
    </row>
    <row r="308" spans="1:13" x14ac:dyDescent="0.3">
      <c r="A308" s="1" t="s">
        <v>6210</v>
      </c>
      <c r="B308" s="1" t="s">
        <v>5913</v>
      </c>
      <c r="C308" s="1" t="s">
        <v>6211</v>
      </c>
      <c r="D308" s="1" t="s">
        <v>738</v>
      </c>
      <c r="E308" s="1" t="s">
        <v>6076</v>
      </c>
      <c r="F308" s="1" t="s">
        <v>6076</v>
      </c>
      <c r="G308" s="1" t="s">
        <v>5921</v>
      </c>
      <c r="H308">
        <v>2000</v>
      </c>
      <c r="I308">
        <v>2004</v>
      </c>
      <c r="J308">
        <f t="shared" si="8"/>
        <v>5</v>
      </c>
      <c r="K308" s="1" t="s">
        <v>6076</v>
      </c>
      <c r="L308" s="1" t="s">
        <v>6076</v>
      </c>
      <c r="M308">
        <f t="shared" si="9"/>
        <v>22</v>
      </c>
    </row>
    <row r="309" spans="1:13" x14ac:dyDescent="0.3">
      <c r="A309" s="1" t="s">
        <v>6212</v>
      </c>
      <c r="B309" s="1" t="s">
        <v>5913</v>
      </c>
      <c r="C309" s="1" t="s">
        <v>6213</v>
      </c>
      <c r="D309" s="1" t="s">
        <v>738</v>
      </c>
      <c r="E309" s="1" t="s">
        <v>6076</v>
      </c>
      <c r="F309" s="1" t="s">
        <v>6076</v>
      </c>
      <c r="G309" s="1" t="s">
        <v>5921</v>
      </c>
      <c r="H309">
        <v>2001</v>
      </c>
      <c r="I309">
        <v>2006</v>
      </c>
      <c r="J309">
        <f t="shared" si="8"/>
        <v>6</v>
      </c>
      <c r="K309" s="1" t="s">
        <v>6076</v>
      </c>
      <c r="L309" s="1" t="s">
        <v>6076</v>
      </c>
      <c r="M309">
        <f t="shared" si="9"/>
        <v>20</v>
      </c>
    </row>
    <row r="310" spans="1:13" x14ac:dyDescent="0.3">
      <c r="A310" s="1" t="s">
        <v>6214</v>
      </c>
      <c r="B310" s="1" t="s">
        <v>5913</v>
      </c>
      <c r="C310" s="1" t="s">
        <v>6215</v>
      </c>
      <c r="D310" s="1" t="s">
        <v>738</v>
      </c>
      <c r="E310" s="1" t="s">
        <v>6076</v>
      </c>
      <c r="F310" s="1" t="s">
        <v>6076</v>
      </c>
      <c r="G310" s="1" t="s">
        <v>5921</v>
      </c>
      <c r="H310">
        <v>2020</v>
      </c>
      <c r="I310">
        <v>2022</v>
      </c>
      <c r="J310">
        <f t="shared" si="8"/>
        <v>3</v>
      </c>
      <c r="K310" s="1" t="s">
        <v>6076</v>
      </c>
      <c r="L310" s="1" t="s">
        <v>6076</v>
      </c>
      <c r="M310">
        <f t="shared" si="9"/>
        <v>4</v>
      </c>
    </row>
    <row r="311" spans="1:13" x14ac:dyDescent="0.3">
      <c r="A311" s="1" t="s">
        <v>6216</v>
      </c>
      <c r="B311" s="1" t="s">
        <v>5913</v>
      </c>
      <c r="C311" s="1" t="s">
        <v>6217</v>
      </c>
      <c r="D311" s="1" t="s">
        <v>738</v>
      </c>
      <c r="E311" s="1" t="s">
        <v>6076</v>
      </c>
      <c r="F311" s="1" t="s">
        <v>6076</v>
      </c>
      <c r="G311" s="1" t="s">
        <v>5921</v>
      </c>
      <c r="H311">
        <v>2019</v>
      </c>
      <c r="I311">
        <v>2022</v>
      </c>
      <c r="J311">
        <f t="shared" si="8"/>
        <v>4</v>
      </c>
      <c r="K311" s="1" t="s">
        <v>6076</v>
      </c>
      <c r="L311" s="1" t="s">
        <v>6076</v>
      </c>
      <c r="M311">
        <f t="shared" si="9"/>
        <v>4</v>
      </c>
    </row>
    <row r="312" spans="1:13" x14ac:dyDescent="0.3">
      <c r="A312" s="1" t="s">
        <v>6218</v>
      </c>
      <c r="B312" s="1" t="s">
        <v>5913</v>
      </c>
      <c r="C312" s="1" t="s">
        <v>6219</v>
      </c>
      <c r="D312" s="1" t="s">
        <v>738</v>
      </c>
      <c r="E312" s="1" t="s">
        <v>6076</v>
      </c>
      <c r="F312" s="1" t="s">
        <v>6076</v>
      </c>
      <c r="G312" s="1" t="s">
        <v>5921</v>
      </c>
      <c r="H312">
        <v>2001</v>
      </c>
      <c r="I312">
        <v>2003</v>
      </c>
      <c r="J312">
        <f t="shared" si="8"/>
        <v>3</v>
      </c>
      <c r="K312" s="1" t="s">
        <v>6076</v>
      </c>
      <c r="L312" s="1" t="s">
        <v>6076</v>
      </c>
      <c r="M312">
        <f t="shared" si="9"/>
        <v>23</v>
      </c>
    </row>
    <row r="313" spans="1:13" x14ac:dyDescent="0.3">
      <c r="A313" s="1" t="s">
        <v>6220</v>
      </c>
      <c r="B313" s="1" t="s">
        <v>5913</v>
      </c>
      <c r="C313" s="1" t="s">
        <v>6221</v>
      </c>
      <c r="D313" s="1" t="s">
        <v>738</v>
      </c>
      <c r="E313" s="1" t="s">
        <v>6076</v>
      </c>
      <c r="F313" s="1" t="s">
        <v>6076</v>
      </c>
      <c r="G313" s="1" t="s">
        <v>5921</v>
      </c>
      <c r="H313">
        <v>2019</v>
      </c>
      <c r="I313">
        <v>2020</v>
      </c>
      <c r="J313">
        <f t="shared" si="8"/>
        <v>2</v>
      </c>
      <c r="K313" s="1" t="s">
        <v>6076</v>
      </c>
      <c r="L313" s="1" t="s">
        <v>6076</v>
      </c>
      <c r="M313">
        <f t="shared" si="9"/>
        <v>6</v>
      </c>
    </row>
    <row r="314" spans="1:13" x14ac:dyDescent="0.3">
      <c r="A314" s="1" t="s">
        <v>6222</v>
      </c>
      <c r="B314" s="1" t="s">
        <v>5913</v>
      </c>
      <c r="C314" s="1" t="s">
        <v>6223</v>
      </c>
      <c r="D314" s="1" t="s">
        <v>738</v>
      </c>
      <c r="E314" s="1" t="s">
        <v>6076</v>
      </c>
      <c r="F314" s="1" t="s">
        <v>6076</v>
      </c>
      <c r="G314" s="1" t="s">
        <v>5921</v>
      </c>
      <c r="H314">
        <v>2006</v>
      </c>
      <c r="I314">
        <v>2006</v>
      </c>
      <c r="J314">
        <f t="shared" si="8"/>
        <v>1</v>
      </c>
      <c r="K314" s="1" t="s">
        <v>6076</v>
      </c>
      <c r="L314" s="1" t="s">
        <v>6076</v>
      </c>
      <c r="M314">
        <f t="shared" si="9"/>
        <v>20</v>
      </c>
    </row>
    <row r="315" spans="1:13" x14ac:dyDescent="0.3">
      <c r="A315" s="1" t="s">
        <v>6224</v>
      </c>
      <c r="B315" s="1" t="s">
        <v>5913</v>
      </c>
      <c r="C315" s="1" t="s">
        <v>6225</v>
      </c>
      <c r="D315" s="1" t="s">
        <v>738</v>
      </c>
      <c r="E315" s="1" t="s">
        <v>6076</v>
      </c>
      <c r="F315" s="1" t="s">
        <v>6076</v>
      </c>
      <c r="G315" s="1" t="s">
        <v>5921</v>
      </c>
      <c r="H315">
        <v>2001</v>
      </c>
      <c r="I315">
        <v>2007</v>
      </c>
      <c r="J315">
        <f t="shared" si="8"/>
        <v>7</v>
      </c>
      <c r="K315" s="1" t="s">
        <v>6076</v>
      </c>
      <c r="L315" s="1" t="s">
        <v>6076</v>
      </c>
      <c r="M315">
        <f t="shared" si="9"/>
        <v>19</v>
      </c>
    </row>
    <row r="316" spans="1:13" x14ac:dyDescent="0.3">
      <c r="A316" s="1" t="s">
        <v>6226</v>
      </c>
      <c r="B316" s="1" t="s">
        <v>5913</v>
      </c>
      <c r="C316" s="1" t="s">
        <v>6227</v>
      </c>
      <c r="D316" s="1" t="s">
        <v>738</v>
      </c>
      <c r="E316" s="1" t="s">
        <v>6076</v>
      </c>
      <c r="F316" s="1" t="s">
        <v>6076</v>
      </c>
      <c r="G316" s="1" t="s">
        <v>5921</v>
      </c>
      <c r="H316">
        <v>2001</v>
      </c>
      <c r="I316">
        <v>2003</v>
      </c>
      <c r="J316">
        <f t="shared" si="8"/>
        <v>3</v>
      </c>
      <c r="K316" s="1" t="s">
        <v>6076</v>
      </c>
      <c r="L316" s="1" t="s">
        <v>6076</v>
      </c>
      <c r="M316">
        <f t="shared" si="9"/>
        <v>23</v>
      </c>
    </row>
    <row r="317" spans="1:13" x14ac:dyDescent="0.3">
      <c r="A317" s="1" t="s">
        <v>6228</v>
      </c>
      <c r="B317" s="1" t="s">
        <v>5913</v>
      </c>
      <c r="C317" s="1" t="s">
        <v>6229</v>
      </c>
      <c r="D317" s="1" t="s">
        <v>738</v>
      </c>
      <c r="E317" s="1" t="s">
        <v>6076</v>
      </c>
      <c r="F317" s="1" t="s">
        <v>6076</v>
      </c>
      <c r="G317" s="1" t="s">
        <v>5921</v>
      </c>
      <c r="H317">
        <v>2014</v>
      </c>
      <c r="I317">
        <v>2014</v>
      </c>
      <c r="J317">
        <f t="shared" si="8"/>
        <v>1</v>
      </c>
      <c r="K317" s="1" t="s">
        <v>6076</v>
      </c>
      <c r="L317" s="1" t="s">
        <v>6076</v>
      </c>
      <c r="M317">
        <f t="shared" si="9"/>
        <v>12</v>
      </c>
    </row>
    <row r="318" spans="1:13" x14ac:dyDescent="0.3">
      <c r="A318" s="1" t="s">
        <v>6230</v>
      </c>
      <c r="B318" s="1" t="s">
        <v>5913</v>
      </c>
      <c r="C318" s="1" t="s">
        <v>6231</v>
      </c>
      <c r="D318" s="1" t="s">
        <v>738</v>
      </c>
      <c r="E318" s="1" t="s">
        <v>6076</v>
      </c>
      <c r="F318" s="1" t="s">
        <v>6076</v>
      </c>
      <c r="G318" s="1" t="s">
        <v>5921</v>
      </c>
      <c r="H318">
        <v>2007</v>
      </c>
      <c r="I318">
        <v>2012</v>
      </c>
      <c r="J318">
        <f t="shared" si="8"/>
        <v>6</v>
      </c>
      <c r="K318" s="1" t="s">
        <v>6076</v>
      </c>
      <c r="L318" s="1" t="s">
        <v>6076</v>
      </c>
      <c r="M318">
        <f t="shared" si="9"/>
        <v>14</v>
      </c>
    </row>
    <row r="319" spans="1:13" x14ac:dyDescent="0.3">
      <c r="A319" s="1" t="s">
        <v>6232</v>
      </c>
      <c r="B319" s="1" t="s">
        <v>5913</v>
      </c>
      <c r="C319" s="1" t="s">
        <v>6233</v>
      </c>
      <c r="D319" s="1" t="s">
        <v>738</v>
      </c>
      <c r="E319" s="1" t="s">
        <v>6076</v>
      </c>
      <c r="F319" s="1" t="s">
        <v>6076</v>
      </c>
      <c r="G319" s="1" t="s">
        <v>5921</v>
      </c>
      <c r="H319">
        <v>2008</v>
      </c>
      <c r="I319">
        <v>2012</v>
      </c>
      <c r="J319">
        <f t="shared" si="8"/>
        <v>5</v>
      </c>
      <c r="K319" s="1" t="s">
        <v>6076</v>
      </c>
      <c r="L319" s="1" t="s">
        <v>6076</v>
      </c>
      <c r="M319">
        <f t="shared" si="9"/>
        <v>14</v>
      </c>
    </row>
    <row r="320" spans="1:13" x14ac:dyDescent="0.3">
      <c r="A320" s="1" t="s">
        <v>6234</v>
      </c>
      <c r="B320" s="1" t="s">
        <v>5913</v>
      </c>
      <c r="C320" s="1" t="s">
        <v>6235</v>
      </c>
      <c r="D320" s="1" t="s">
        <v>738</v>
      </c>
      <c r="E320" s="1" t="s">
        <v>6076</v>
      </c>
      <c r="F320" s="1" t="s">
        <v>6076</v>
      </c>
      <c r="G320" s="1" t="s">
        <v>5921</v>
      </c>
      <c r="H320">
        <v>2007</v>
      </c>
      <c r="I320">
        <v>2012</v>
      </c>
      <c r="J320">
        <f t="shared" si="8"/>
        <v>6</v>
      </c>
      <c r="K320" s="1" t="s">
        <v>6076</v>
      </c>
      <c r="L320" s="1" t="s">
        <v>6076</v>
      </c>
      <c r="M320">
        <f t="shared" si="9"/>
        <v>14</v>
      </c>
    </row>
    <row r="321" spans="1:14" x14ac:dyDescent="0.3">
      <c r="A321" s="1" t="s">
        <v>6236</v>
      </c>
      <c r="B321" s="1" t="s">
        <v>5913</v>
      </c>
      <c r="C321" s="1" t="s">
        <v>6237</v>
      </c>
      <c r="D321" s="1" t="s">
        <v>738</v>
      </c>
      <c r="E321" s="1" t="s">
        <v>6076</v>
      </c>
      <c r="F321" s="1" t="s">
        <v>6076</v>
      </c>
      <c r="G321" s="1" t="s">
        <v>5921</v>
      </c>
      <c r="H321">
        <v>2012</v>
      </c>
      <c r="I321">
        <v>2013</v>
      </c>
      <c r="J321">
        <f t="shared" si="8"/>
        <v>2</v>
      </c>
      <c r="K321" s="1" t="s">
        <v>6076</v>
      </c>
      <c r="L321" s="1" t="s">
        <v>6076</v>
      </c>
      <c r="M321">
        <f t="shared" si="9"/>
        <v>13</v>
      </c>
    </row>
    <row r="322" spans="1:14" x14ac:dyDescent="0.3">
      <c r="A322" t="s">
        <v>12214</v>
      </c>
      <c r="B322" t="s">
        <v>11000</v>
      </c>
      <c r="C322" t="s">
        <v>12215</v>
      </c>
      <c r="E322" s="1" t="s">
        <v>6076</v>
      </c>
      <c r="F322" s="1" t="s">
        <v>6076</v>
      </c>
      <c r="G322" s="1">
        <v>3500</v>
      </c>
      <c r="H322">
        <v>2022</v>
      </c>
      <c r="I322">
        <v>2026</v>
      </c>
      <c r="J322">
        <f t="shared" si="8"/>
        <v>5</v>
      </c>
      <c r="K322" s="1" t="s">
        <v>6076</v>
      </c>
      <c r="L322" s="1" t="s">
        <v>6076</v>
      </c>
      <c r="M322">
        <f t="shared" si="9"/>
        <v>0</v>
      </c>
    </row>
    <row r="323" spans="1:14" x14ac:dyDescent="0.3">
      <c r="A323" t="s">
        <v>12216</v>
      </c>
      <c r="B323" t="s">
        <v>11000</v>
      </c>
      <c r="C323" t="s">
        <v>12217</v>
      </c>
      <c r="E323" s="1" t="s">
        <v>6076</v>
      </c>
      <c r="F323" s="1" t="s">
        <v>6076</v>
      </c>
      <c r="G323" s="1">
        <v>3500</v>
      </c>
      <c r="H323">
        <v>2022</v>
      </c>
      <c r="I323">
        <v>2026</v>
      </c>
      <c r="J323">
        <f t="shared" si="8"/>
        <v>5</v>
      </c>
      <c r="K323" s="1" t="s">
        <v>6076</v>
      </c>
      <c r="L323" s="1" t="s">
        <v>6076</v>
      </c>
      <c r="M323">
        <f t="shared" si="9"/>
        <v>0</v>
      </c>
    </row>
    <row r="324" spans="1:14" x14ac:dyDescent="0.3">
      <c r="A324" t="s">
        <v>12218</v>
      </c>
      <c r="B324" t="s">
        <v>11000</v>
      </c>
      <c r="C324" t="s">
        <v>12219</v>
      </c>
      <c r="E324" s="1" t="s">
        <v>6076</v>
      </c>
      <c r="F324" s="1" t="s">
        <v>6076</v>
      </c>
      <c r="G324" s="1">
        <v>3500</v>
      </c>
      <c r="H324">
        <v>2022</v>
      </c>
      <c r="I324">
        <v>2026</v>
      </c>
      <c r="J324">
        <f t="shared" si="8"/>
        <v>5</v>
      </c>
      <c r="K324" s="1" t="s">
        <v>6076</v>
      </c>
      <c r="L324" s="1" t="s">
        <v>6076</v>
      </c>
      <c r="M324">
        <f t="shared" si="9"/>
        <v>0</v>
      </c>
    </row>
    <row r="325" spans="1:14" x14ac:dyDescent="0.3">
      <c r="A325" t="s">
        <v>12220</v>
      </c>
      <c r="B325" t="s">
        <v>11000</v>
      </c>
      <c r="C325" t="s">
        <v>12221</v>
      </c>
      <c r="E325" s="1" t="s">
        <v>6076</v>
      </c>
      <c r="F325" s="1" t="s">
        <v>6076</v>
      </c>
      <c r="G325" s="1">
        <v>3500</v>
      </c>
      <c r="H325">
        <v>2022</v>
      </c>
      <c r="I325">
        <v>2022</v>
      </c>
      <c r="J325">
        <f t="shared" si="8"/>
        <v>1</v>
      </c>
      <c r="K325" s="1" t="s">
        <v>6076</v>
      </c>
      <c r="L325" s="1" t="s">
        <v>6076</v>
      </c>
      <c r="M325">
        <f t="shared" si="9"/>
        <v>4</v>
      </c>
    </row>
    <row r="326" spans="1:14" x14ac:dyDescent="0.3">
      <c r="A326" s="1" t="s">
        <v>7254</v>
      </c>
      <c r="B326" s="1" t="s">
        <v>2154</v>
      </c>
      <c r="C326" s="1" t="s">
        <v>7255</v>
      </c>
      <c r="D326" s="1" t="s">
        <v>3850</v>
      </c>
      <c r="E326" s="1" t="s">
        <v>6076</v>
      </c>
      <c r="F326" s="1" t="s">
        <v>6076</v>
      </c>
      <c r="G326" s="1" t="s">
        <v>7256</v>
      </c>
      <c r="H326">
        <v>2004</v>
      </c>
      <c r="I326">
        <v>2009</v>
      </c>
      <c r="J326">
        <f t="shared" ref="J326:J389" si="10">1+(I326-H326)</f>
        <v>6</v>
      </c>
      <c r="K326" s="1" t="s">
        <v>6076</v>
      </c>
      <c r="L326" s="1" t="s">
        <v>6076</v>
      </c>
      <c r="M326">
        <f t="shared" ref="M326:M389" si="11">IF(I326=0,0,$B$2-I326)</f>
        <v>17</v>
      </c>
      <c r="N326" t="s">
        <v>640</v>
      </c>
    </row>
    <row r="327" spans="1:14" x14ac:dyDescent="0.3">
      <c r="A327" s="1" t="s">
        <v>7129</v>
      </c>
      <c r="B327" s="1" t="s">
        <v>642</v>
      </c>
      <c r="C327" s="1" t="s">
        <v>7130</v>
      </c>
      <c r="D327" s="1" t="s">
        <v>738</v>
      </c>
      <c r="E327" s="1" t="s">
        <v>6076</v>
      </c>
      <c r="F327" s="1" t="s">
        <v>6076</v>
      </c>
      <c r="G327" s="1">
        <v>405</v>
      </c>
      <c r="H327">
        <v>1992</v>
      </c>
      <c r="I327">
        <v>1996</v>
      </c>
      <c r="J327">
        <f t="shared" si="10"/>
        <v>5</v>
      </c>
      <c r="K327" s="1" t="s">
        <v>6076</v>
      </c>
      <c r="L327" s="1" t="s">
        <v>6076</v>
      </c>
      <c r="M327">
        <f t="shared" si="11"/>
        <v>30</v>
      </c>
      <c r="N327" t="s">
        <v>640</v>
      </c>
    </row>
    <row r="328" spans="1:14" x14ac:dyDescent="0.3">
      <c r="A328" s="1" t="s">
        <v>7125</v>
      </c>
      <c r="B328" s="1" t="s">
        <v>642</v>
      </c>
      <c r="C328" s="1" t="s">
        <v>7126</v>
      </c>
      <c r="D328" s="1" t="s">
        <v>738</v>
      </c>
      <c r="E328" s="1" t="s">
        <v>6076</v>
      </c>
      <c r="F328" s="1" t="s">
        <v>6076</v>
      </c>
      <c r="G328" s="1">
        <v>405</v>
      </c>
      <c r="H328">
        <v>1993</v>
      </c>
      <c r="I328">
        <v>1996</v>
      </c>
      <c r="J328">
        <f t="shared" si="10"/>
        <v>4</v>
      </c>
      <c r="K328" s="1" t="s">
        <v>6076</v>
      </c>
      <c r="L328" s="1" t="s">
        <v>6076</v>
      </c>
      <c r="M328">
        <f t="shared" si="11"/>
        <v>30</v>
      </c>
      <c r="N328" t="s">
        <v>640</v>
      </c>
    </row>
    <row r="329" spans="1:14" x14ac:dyDescent="0.3">
      <c r="A329" s="1" t="s">
        <v>7131</v>
      </c>
      <c r="B329" s="1" t="s">
        <v>642</v>
      </c>
      <c r="C329" s="1" t="s">
        <v>7132</v>
      </c>
      <c r="D329" s="1" t="s">
        <v>738</v>
      </c>
      <c r="E329" s="1" t="s">
        <v>6076</v>
      </c>
      <c r="F329" s="1" t="s">
        <v>6076</v>
      </c>
      <c r="G329" s="1">
        <v>405</v>
      </c>
      <c r="H329">
        <v>1994</v>
      </c>
      <c r="I329">
        <v>1995</v>
      </c>
      <c r="J329">
        <f t="shared" si="10"/>
        <v>2</v>
      </c>
      <c r="K329" s="1" t="s">
        <v>6076</v>
      </c>
      <c r="L329" s="1" t="s">
        <v>6076</v>
      </c>
      <c r="M329">
        <f t="shared" si="11"/>
        <v>31</v>
      </c>
      <c r="N329" t="s">
        <v>640</v>
      </c>
    </row>
    <row r="330" spans="1:14" x14ac:dyDescent="0.3">
      <c r="A330" s="1" t="s">
        <v>7127</v>
      </c>
      <c r="B330" s="1" t="s">
        <v>642</v>
      </c>
      <c r="C330" s="1" t="s">
        <v>7128</v>
      </c>
      <c r="D330" s="1" t="s">
        <v>738</v>
      </c>
      <c r="E330" s="1" t="s">
        <v>6076</v>
      </c>
      <c r="F330" s="1" t="s">
        <v>6076</v>
      </c>
      <c r="G330" s="1">
        <v>405</v>
      </c>
      <c r="H330">
        <v>1993</v>
      </c>
      <c r="I330">
        <v>1996</v>
      </c>
      <c r="J330">
        <f t="shared" si="10"/>
        <v>4</v>
      </c>
      <c r="K330" s="1" t="s">
        <v>6076</v>
      </c>
      <c r="L330" s="1" t="s">
        <v>6076</v>
      </c>
      <c r="M330">
        <f t="shared" si="11"/>
        <v>30</v>
      </c>
      <c r="N330" t="s">
        <v>640</v>
      </c>
    </row>
    <row r="331" spans="1:14" x14ac:dyDescent="0.3">
      <c r="A331" s="1" t="s">
        <v>7123</v>
      </c>
      <c r="B331" s="1" t="s">
        <v>642</v>
      </c>
      <c r="C331" s="1" t="s">
        <v>7124</v>
      </c>
      <c r="D331" s="1" t="s">
        <v>738</v>
      </c>
      <c r="E331" s="1" t="s">
        <v>6076</v>
      </c>
      <c r="F331" s="1" t="s">
        <v>6076</v>
      </c>
      <c r="G331" s="1">
        <v>405</v>
      </c>
      <c r="H331">
        <v>1994</v>
      </c>
      <c r="I331">
        <v>1999</v>
      </c>
      <c r="J331">
        <f t="shared" si="10"/>
        <v>6</v>
      </c>
      <c r="K331" s="1" t="s">
        <v>6076</v>
      </c>
      <c r="L331" s="1" t="s">
        <v>6076</v>
      </c>
      <c r="M331">
        <f t="shared" si="11"/>
        <v>27</v>
      </c>
      <c r="N331" t="s">
        <v>640</v>
      </c>
    </row>
    <row r="332" spans="1:14" x14ac:dyDescent="0.3">
      <c r="A332" s="1" t="s">
        <v>7135</v>
      </c>
      <c r="B332" s="1" t="s">
        <v>642</v>
      </c>
      <c r="C332" s="1" t="s">
        <v>7136</v>
      </c>
      <c r="D332" s="1" t="s">
        <v>738</v>
      </c>
      <c r="E332" s="1" t="s">
        <v>6076</v>
      </c>
      <c r="F332" s="1" t="s">
        <v>6076</v>
      </c>
      <c r="G332" s="1">
        <v>405</v>
      </c>
      <c r="H332">
        <v>1993</v>
      </c>
      <c r="I332">
        <v>1995</v>
      </c>
      <c r="J332">
        <f t="shared" si="10"/>
        <v>3</v>
      </c>
      <c r="K332" s="1" t="s">
        <v>6076</v>
      </c>
      <c r="L332" s="1" t="s">
        <v>6076</v>
      </c>
      <c r="M332">
        <f t="shared" si="11"/>
        <v>31</v>
      </c>
      <c r="N332" t="s">
        <v>640</v>
      </c>
    </row>
    <row r="333" spans="1:14" x14ac:dyDescent="0.3">
      <c r="A333" s="1" t="s">
        <v>7133</v>
      </c>
      <c r="B333" s="1" t="s">
        <v>642</v>
      </c>
      <c r="C333" s="1" t="s">
        <v>7134</v>
      </c>
      <c r="D333" s="1" t="s">
        <v>738</v>
      </c>
      <c r="E333" s="1" t="s">
        <v>6076</v>
      </c>
      <c r="F333" s="1" t="s">
        <v>6076</v>
      </c>
      <c r="G333" s="1">
        <v>405</v>
      </c>
      <c r="H333">
        <v>1994</v>
      </c>
      <c r="I333">
        <v>1995</v>
      </c>
      <c r="J333">
        <f t="shared" si="10"/>
        <v>2</v>
      </c>
      <c r="K333" s="1" t="s">
        <v>6076</v>
      </c>
      <c r="L333" s="1" t="s">
        <v>6076</v>
      </c>
      <c r="M333">
        <f t="shared" si="11"/>
        <v>31</v>
      </c>
      <c r="N333" t="s">
        <v>640</v>
      </c>
    </row>
    <row r="334" spans="1:14" x14ac:dyDescent="0.3">
      <c r="A334" s="1" t="s">
        <v>7159</v>
      </c>
      <c r="B334" s="1" t="s">
        <v>642</v>
      </c>
      <c r="C334" s="1" t="s">
        <v>7160</v>
      </c>
      <c r="D334" s="1" t="s">
        <v>738</v>
      </c>
      <c r="E334" s="1" t="s">
        <v>6076</v>
      </c>
      <c r="F334" s="1" t="s">
        <v>6076</v>
      </c>
      <c r="G334" s="1">
        <v>406</v>
      </c>
      <c r="H334">
        <v>1999</v>
      </c>
      <c r="I334">
        <v>1999</v>
      </c>
      <c r="J334">
        <f t="shared" si="10"/>
        <v>1</v>
      </c>
      <c r="K334" s="1" t="s">
        <v>6076</v>
      </c>
      <c r="L334" s="1" t="s">
        <v>6076</v>
      </c>
      <c r="M334">
        <f t="shared" si="11"/>
        <v>27</v>
      </c>
      <c r="N334" t="s">
        <v>640</v>
      </c>
    </row>
    <row r="335" spans="1:14" x14ac:dyDescent="0.3">
      <c r="A335" s="1" t="s">
        <v>7161</v>
      </c>
      <c r="B335" s="1" t="s">
        <v>642</v>
      </c>
      <c r="C335" s="1" t="s">
        <v>7162</v>
      </c>
      <c r="D335" s="1" t="s">
        <v>738</v>
      </c>
      <c r="E335" s="1" t="s">
        <v>6076</v>
      </c>
      <c r="F335" s="1" t="s">
        <v>6076</v>
      </c>
      <c r="G335" s="1">
        <v>406</v>
      </c>
      <c r="H335">
        <v>1998</v>
      </c>
      <c r="I335">
        <v>1999</v>
      </c>
      <c r="J335">
        <f t="shared" si="10"/>
        <v>2</v>
      </c>
      <c r="K335" s="1" t="s">
        <v>6076</v>
      </c>
      <c r="L335" s="1" t="s">
        <v>6076</v>
      </c>
      <c r="M335">
        <f t="shared" si="11"/>
        <v>27</v>
      </c>
      <c r="N335" t="s">
        <v>640</v>
      </c>
    </row>
    <row r="336" spans="1:14" x14ac:dyDescent="0.3">
      <c r="A336" s="1" t="s">
        <v>7163</v>
      </c>
      <c r="B336" s="1" t="s">
        <v>642</v>
      </c>
      <c r="C336" s="1" t="s">
        <v>7164</v>
      </c>
      <c r="D336" s="1" t="s">
        <v>738</v>
      </c>
      <c r="E336" s="1" t="s">
        <v>6076</v>
      </c>
      <c r="F336" s="1" t="s">
        <v>6076</v>
      </c>
      <c r="G336" s="1">
        <v>406</v>
      </c>
      <c r="H336">
        <v>1998</v>
      </c>
      <c r="I336">
        <v>1999</v>
      </c>
      <c r="J336">
        <f t="shared" si="10"/>
        <v>2</v>
      </c>
      <c r="K336" s="1" t="s">
        <v>6076</v>
      </c>
      <c r="L336" s="1" t="s">
        <v>6076</v>
      </c>
      <c r="M336">
        <f t="shared" si="11"/>
        <v>27</v>
      </c>
      <c r="N336" t="s">
        <v>640</v>
      </c>
    </row>
    <row r="337" spans="1:14" x14ac:dyDescent="0.3">
      <c r="A337" s="1" t="s">
        <v>7139</v>
      </c>
      <c r="B337" s="1" t="s">
        <v>642</v>
      </c>
      <c r="C337" s="1" t="s">
        <v>7140</v>
      </c>
      <c r="D337" s="1" t="s">
        <v>738</v>
      </c>
      <c r="E337" s="1" t="s">
        <v>6076</v>
      </c>
      <c r="F337" s="1" t="s">
        <v>6076</v>
      </c>
      <c r="G337" s="1">
        <v>406</v>
      </c>
      <c r="H337">
        <v>1998</v>
      </c>
      <c r="I337">
        <v>2004</v>
      </c>
      <c r="J337">
        <f t="shared" si="10"/>
        <v>7</v>
      </c>
      <c r="K337" s="1" t="s">
        <v>6076</v>
      </c>
      <c r="L337" s="1" t="s">
        <v>6076</v>
      </c>
      <c r="M337">
        <f t="shared" si="11"/>
        <v>22</v>
      </c>
      <c r="N337" t="s">
        <v>640</v>
      </c>
    </row>
    <row r="338" spans="1:14" x14ac:dyDescent="0.3">
      <c r="A338" s="1" t="s">
        <v>7141</v>
      </c>
      <c r="B338" s="1" t="s">
        <v>642</v>
      </c>
      <c r="C338" s="1" t="s">
        <v>7142</v>
      </c>
      <c r="D338" s="1" t="s">
        <v>738</v>
      </c>
      <c r="E338" s="1" t="s">
        <v>6076</v>
      </c>
      <c r="F338" s="1" t="s">
        <v>6076</v>
      </c>
      <c r="G338" s="1">
        <v>406</v>
      </c>
      <c r="H338">
        <v>1998</v>
      </c>
      <c r="I338">
        <v>2004</v>
      </c>
      <c r="J338">
        <f t="shared" si="10"/>
        <v>7</v>
      </c>
      <c r="K338" s="1" t="s">
        <v>6076</v>
      </c>
      <c r="L338" s="1" t="s">
        <v>6076</v>
      </c>
      <c r="M338">
        <f t="shared" si="11"/>
        <v>22</v>
      </c>
      <c r="N338" t="s">
        <v>640</v>
      </c>
    </row>
    <row r="339" spans="1:14" x14ac:dyDescent="0.3">
      <c r="A339" s="1" t="s">
        <v>7147</v>
      </c>
      <c r="B339" s="1" t="s">
        <v>642</v>
      </c>
      <c r="C339" s="1" t="s">
        <v>7148</v>
      </c>
      <c r="D339" s="1" t="s">
        <v>738</v>
      </c>
      <c r="E339" s="1" t="s">
        <v>6076</v>
      </c>
      <c r="F339" s="1" t="s">
        <v>6076</v>
      </c>
      <c r="G339" s="1">
        <v>406</v>
      </c>
      <c r="H339">
        <v>2000</v>
      </c>
      <c r="I339">
        <v>2001</v>
      </c>
      <c r="J339">
        <f t="shared" si="10"/>
        <v>2</v>
      </c>
      <c r="K339" s="1" t="s">
        <v>6076</v>
      </c>
      <c r="L339" s="1" t="s">
        <v>6076</v>
      </c>
      <c r="M339">
        <f t="shared" si="11"/>
        <v>25</v>
      </c>
      <c r="N339" t="s">
        <v>640</v>
      </c>
    </row>
    <row r="340" spans="1:14" x14ac:dyDescent="0.3">
      <c r="A340" s="1" t="s">
        <v>7143</v>
      </c>
      <c r="B340" s="1" t="s">
        <v>642</v>
      </c>
      <c r="C340" s="1" t="s">
        <v>7144</v>
      </c>
      <c r="D340" s="1" t="s">
        <v>738</v>
      </c>
      <c r="E340" s="1" t="s">
        <v>6076</v>
      </c>
      <c r="F340" s="1" t="s">
        <v>6076</v>
      </c>
      <c r="G340" s="1">
        <v>406</v>
      </c>
      <c r="H340">
        <v>2000</v>
      </c>
      <c r="I340">
        <v>2003</v>
      </c>
      <c r="J340">
        <f t="shared" si="10"/>
        <v>4</v>
      </c>
      <c r="K340" s="1" t="s">
        <v>6076</v>
      </c>
      <c r="L340" s="1" t="s">
        <v>6076</v>
      </c>
      <c r="M340">
        <f t="shared" si="11"/>
        <v>23</v>
      </c>
      <c r="N340" t="s">
        <v>640</v>
      </c>
    </row>
    <row r="341" spans="1:14" x14ac:dyDescent="0.3">
      <c r="A341" s="1" t="s">
        <v>7149</v>
      </c>
      <c r="B341" s="1" t="s">
        <v>642</v>
      </c>
      <c r="C341" s="1" t="s">
        <v>7150</v>
      </c>
      <c r="D341" s="1" t="s">
        <v>738</v>
      </c>
      <c r="E341" s="1" t="s">
        <v>6076</v>
      </c>
      <c r="F341" s="1" t="s">
        <v>6076</v>
      </c>
      <c r="G341" s="1">
        <v>406</v>
      </c>
      <c r="H341">
        <v>1999</v>
      </c>
      <c r="I341">
        <v>2001</v>
      </c>
      <c r="J341">
        <f t="shared" si="10"/>
        <v>3</v>
      </c>
      <c r="K341" s="1" t="s">
        <v>6076</v>
      </c>
      <c r="L341" s="1" t="s">
        <v>6076</v>
      </c>
      <c r="M341">
        <f t="shared" si="11"/>
        <v>25</v>
      </c>
      <c r="N341" t="s">
        <v>640</v>
      </c>
    </row>
    <row r="342" spans="1:14" x14ac:dyDescent="0.3">
      <c r="A342" s="1" t="s">
        <v>7145</v>
      </c>
      <c r="B342" s="1" t="s">
        <v>642</v>
      </c>
      <c r="C342" s="1" t="s">
        <v>7146</v>
      </c>
      <c r="D342" s="1" t="s">
        <v>738</v>
      </c>
      <c r="E342" s="1" t="s">
        <v>6076</v>
      </c>
      <c r="F342" s="1" t="s">
        <v>6076</v>
      </c>
      <c r="G342" s="1">
        <v>406</v>
      </c>
      <c r="H342">
        <v>1999</v>
      </c>
      <c r="I342">
        <v>2003</v>
      </c>
      <c r="J342">
        <f t="shared" si="10"/>
        <v>5</v>
      </c>
      <c r="K342" s="1" t="s">
        <v>6076</v>
      </c>
      <c r="L342" s="1" t="s">
        <v>6076</v>
      </c>
      <c r="M342">
        <f t="shared" si="11"/>
        <v>23</v>
      </c>
      <c r="N342" t="s">
        <v>640</v>
      </c>
    </row>
    <row r="343" spans="1:14" x14ac:dyDescent="0.3">
      <c r="A343" s="1" t="s">
        <v>7137</v>
      </c>
      <c r="B343" s="1" t="s">
        <v>642</v>
      </c>
      <c r="C343" s="1" t="s">
        <v>7138</v>
      </c>
      <c r="D343" s="1" t="s">
        <v>738</v>
      </c>
      <c r="E343" s="1" t="s">
        <v>6076</v>
      </c>
      <c r="F343" s="1" t="s">
        <v>6076</v>
      </c>
      <c r="G343" s="1">
        <v>406</v>
      </c>
      <c r="H343">
        <v>2000</v>
      </c>
      <c r="I343">
        <v>2004</v>
      </c>
      <c r="J343">
        <f t="shared" si="10"/>
        <v>5</v>
      </c>
      <c r="K343" s="1" t="s">
        <v>6076</v>
      </c>
      <c r="L343" s="1" t="s">
        <v>6076</v>
      </c>
      <c r="M343">
        <f t="shared" si="11"/>
        <v>22</v>
      </c>
      <c r="N343" t="s">
        <v>640</v>
      </c>
    </row>
    <row r="344" spans="1:14" x14ac:dyDescent="0.3">
      <c r="A344" s="1" t="s">
        <v>7151</v>
      </c>
      <c r="B344" s="1" t="s">
        <v>642</v>
      </c>
      <c r="C344" s="1" t="s">
        <v>7152</v>
      </c>
      <c r="D344" s="1" t="s">
        <v>738</v>
      </c>
      <c r="E344" s="1" t="s">
        <v>6076</v>
      </c>
      <c r="F344" s="1" t="s">
        <v>6076</v>
      </c>
      <c r="G344" s="1">
        <v>406</v>
      </c>
      <c r="H344">
        <v>1997</v>
      </c>
      <c r="I344">
        <v>2001</v>
      </c>
      <c r="J344">
        <f t="shared" si="10"/>
        <v>5</v>
      </c>
      <c r="K344" s="1" t="s">
        <v>6076</v>
      </c>
      <c r="L344" s="1" t="s">
        <v>6076</v>
      </c>
      <c r="M344">
        <f t="shared" si="11"/>
        <v>25</v>
      </c>
      <c r="N344" t="s">
        <v>640</v>
      </c>
    </row>
    <row r="345" spans="1:14" x14ac:dyDescent="0.3">
      <c r="A345" s="1" t="s">
        <v>7153</v>
      </c>
      <c r="B345" s="1" t="s">
        <v>642</v>
      </c>
      <c r="C345" s="1" t="s">
        <v>7154</v>
      </c>
      <c r="D345" s="1" t="s">
        <v>738</v>
      </c>
      <c r="E345" s="1" t="s">
        <v>6076</v>
      </c>
      <c r="F345" s="1" t="s">
        <v>6076</v>
      </c>
      <c r="G345" s="1">
        <v>406</v>
      </c>
      <c r="H345">
        <v>1997</v>
      </c>
      <c r="I345">
        <v>2001</v>
      </c>
      <c r="J345">
        <f t="shared" si="10"/>
        <v>5</v>
      </c>
      <c r="K345" s="1" t="s">
        <v>6076</v>
      </c>
      <c r="L345" s="1" t="s">
        <v>6076</v>
      </c>
      <c r="M345">
        <f t="shared" si="11"/>
        <v>25</v>
      </c>
      <c r="N345" t="s">
        <v>640</v>
      </c>
    </row>
    <row r="346" spans="1:14" x14ac:dyDescent="0.3">
      <c r="A346" s="1" t="s">
        <v>7157</v>
      </c>
      <c r="B346" s="1" t="s">
        <v>642</v>
      </c>
      <c r="C346" s="1" t="s">
        <v>7158</v>
      </c>
      <c r="D346" s="1" t="s">
        <v>738</v>
      </c>
      <c r="E346" s="1" t="s">
        <v>6076</v>
      </c>
      <c r="F346" s="1" t="s">
        <v>6076</v>
      </c>
      <c r="G346" s="1">
        <v>406</v>
      </c>
      <c r="H346">
        <v>1997</v>
      </c>
      <c r="I346">
        <v>2000</v>
      </c>
      <c r="J346">
        <f t="shared" si="10"/>
        <v>4</v>
      </c>
      <c r="K346" s="1" t="s">
        <v>6076</v>
      </c>
      <c r="L346" s="1" t="s">
        <v>6076</v>
      </c>
      <c r="M346">
        <f t="shared" si="11"/>
        <v>26</v>
      </c>
      <c r="N346" t="s">
        <v>640</v>
      </c>
    </row>
    <row r="347" spans="1:14" x14ac:dyDescent="0.3">
      <c r="A347" s="1" t="s">
        <v>7155</v>
      </c>
      <c r="B347" s="1" t="s">
        <v>642</v>
      </c>
      <c r="C347" s="1" t="s">
        <v>7156</v>
      </c>
      <c r="D347" s="1" t="s">
        <v>738</v>
      </c>
      <c r="E347" s="1" t="s">
        <v>6076</v>
      </c>
      <c r="F347" s="1" t="s">
        <v>6076</v>
      </c>
      <c r="G347" s="1">
        <v>406</v>
      </c>
      <c r="H347">
        <v>1998</v>
      </c>
      <c r="I347">
        <v>2000</v>
      </c>
      <c r="J347">
        <f t="shared" si="10"/>
        <v>3</v>
      </c>
      <c r="K347" s="1" t="s">
        <v>6076</v>
      </c>
      <c r="L347" s="1" t="s">
        <v>6076</v>
      </c>
      <c r="M347">
        <f t="shared" si="11"/>
        <v>26</v>
      </c>
      <c r="N347" t="s">
        <v>640</v>
      </c>
    </row>
    <row r="348" spans="1:14" x14ac:dyDescent="0.3">
      <c r="A348" s="1" t="s">
        <v>7165</v>
      </c>
      <c r="B348" s="1" t="s">
        <v>642</v>
      </c>
      <c r="C348" s="1" t="s">
        <v>7166</v>
      </c>
      <c r="D348" s="1" t="s">
        <v>738</v>
      </c>
      <c r="E348" s="1" t="s">
        <v>6076</v>
      </c>
      <c r="F348" s="1" t="s">
        <v>6076</v>
      </c>
      <c r="G348" s="1">
        <v>406</v>
      </c>
      <c r="H348">
        <v>1998</v>
      </c>
      <c r="I348">
        <v>1999</v>
      </c>
      <c r="J348">
        <f t="shared" si="10"/>
        <v>2</v>
      </c>
      <c r="K348" s="1" t="s">
        <v>6076</v>
      </c>
      <c r="L348" s="1" t="s">
        <v>6076</v>
      </c>
      <c r="M348">
        <f t="shared" si="11"/>
        <v>27</v>
      </c>
      <c r="N348" t="s">
        <v>640</v>
      </c>
    </row>
    <row r="349" spans="1:14" x14ac:dyDescent="0.3">
      <c r="A349" s="1" t="s">
        <v>7175</v>
      </c>
      <c r="B349" s="1" t="s">
        <v>642</v>
      </c>
      <c r="C349" s="1" t="s">
        <v>7176</v>
      </c>
      <c r="D349" s="1" t="s">
        <v>738</v>
      </c>
      <c r="E349" s="1" t="s">
        <v>6076</v>
      </c>
      <c r="F349" s="1" t="s">
        <v>6076</v>
      </c>
      <c r="G349" s="1">
        <v>407</v>
      </c>
      <c r="H349">
        <v>2007</v>
      </c>
      <c r="I349">
        <v>2009</v>
      </c>
      <c r="J349">
        <f t="shared" si="10"/>
        <v>3</v>
      </c>
      <c r="K349" s="1" t="s">
        <v>6076</v>
      </c>
      <c r="L349" s="1" t="s">
        <v>6076</v>
      </c>
      <c r="M349">
        <f t="shared" si="11"/>
        <v>17</v>
      </c>
      <c r="N349" t="s">
        <v>640</v>
      </c>
    </row>
    <row r="350" spans="1:14" x14ac:dyDescent="0.3">
      <c r="A350" s="1" t="s">
        <v>7177</v>
      </c>
      <c r="B350" s="1" t="s">
        <v>642</v>
      </c>
      <c r="C350" s="1" t="s">
        <v>7178</v>
      </c>
      <c r="D350" s="1" t="s">
        <v>738</v>
      </c>
      <c r="E350" s="1" t="s">
        <v>6076</v>
      </c>
      <c r="F350" s="1" t="s">
        <v>6076</v>
      </c>
      <c r="G350" s="1">
        <v>407</v>
      </c>
      <c r="H350">
        <v>2007</v>
      </c>
      <c r="I350">
        <v>2009</v>
      </c>
      <c r="J350">
        <f t="shared" si="10"/>
        <v>3</v>
      </c>
      <c r="K350" s="1" t="s">
        <v>6076</v>
      </c>
      <c r="L350" s="1" t="s">
        <v>6076</v>
      </c>
      <c r="M350">
        <f t="shared" si="11"/>
        <v>17</v>
      </c>
      <c r="N350" t="s">
        <v>640</v>
      </c>
    </row>
    <row r="351" spans="1:14" x14ac:dyDescent="0.3">
      <c r="A351" s="1" t="s">
        <v>7179</v>
      </c>
      <c r="B351" s="1" t="s">
        <v>642</v>
      </c>
      <c r="C351" s="1" t="s">
        <v>7180</v>
      </c>
      <c r="D351" s="1" t="s">
        <v>738</v>
      </c>
      <c r="E351" s="1" t="s">
        <v>6076</v>
      </c>
      <c r="F351" s="1" t="s">
        <v>6076</v>
      </c>
      <c r="G351" s="1">
        <v>407</v>
      </c>
      <c r="H351">
        <v>2007</v>
      </c>
      <c r="I351">
        <v>2009</v>
      </c>
      <c r="J351">
        <f t="shared" si="10"/>
        <v>3</v>
      </c>
      <c r="K351" s="1" t="s">
        <v>6076</v>
      </c>
      <c r="L351" s="1" t="s">
        <v>6076</v>
      </c>
      <c r="M351">
        <f t="shared" si="11"/>
        <v>17</v>
      </c>
      <c r="N351" t="s">
        <v>640</v>
      </c>
    </row>
    <row r="352" spans="1:14" x14ac:dyDescent="0.3">
      <c r="A352" s="1" t="s">
        <v>7181</v>
      </c>
      <c r="B352" s="1" t="s">
        <v>642</v>
      </c>
      <c r="C352" s="1" t="s">
        <v>7182</v>
      </c>
      <c r="D352" s="1" t="s">
        <v>738</v>
      </c>
      <c r="E352" s="1" t="s">
        <v>6076</v>
      </c>
      <c r="F352" s="1" t="s">
        <v>6076</v>
      </c>
      <c r="G352" s="1">
        <v>407</v>
      </c>
      <c r="H352">
        <v>2005</v>
      </c>
      <c r="I352">
        <v>2007</v>
      </c>
      <c r="J352">
        <f t="shared" si="10"/>
        <v>3</v>
      </c>
      <c r="K352" s="1" t="s">
        <v>6076</v>
      </c>
      <c r="L352" s="1" t="s">
        <v>6076</v>
      </c>
      <c r="M352">
        <f t="shared" si="11"/>
        <v>19</v>
      </c>
      <c r="N352" t="s">
        <v>640</v>
      </c>
    </row>
    <row r="353" spans="1:14" x14ac:dyDescent="0.3">
      <c r="A353" s="1" t="s">
        <v>7183</v>
      </c>
      <c r="B353" s="1" t="s">
        <v>642</v>
      </c>
      <c r="C353" s="1" t="s">
        <v>7184</v>
      </c>
      <c r="D353" s="1" t="s">
        <v>738</v>
      </c>
      <c r="E353" s="1" t="s">
        <v>6076</v>
      </c>
      <c r="F353" s="1" t="s">
        <v>6076</v>
      </c>
      <c r="G353" s="1">
        <v>407</v>
      </c>
      <c r="H353">
        <v>2005</v>
      </c>
      <c r="I353">
        <v>2007</v>
      </c>
      <c r="J353">
        <f t="shared" si="10"/>
        <v>3</v>
      </c>
      <c r="K353" s="1" t="s">
        <v>6076</v>
      </c>
      <c r="L353" s="1" t="s">
        <v>6076</v>
      </c>
      <c r="M353">
        <f t="shared" si="11"/>
        <v>19</v>
      </c>
      <c r="N353" t="s">
        <v>640</v>
      </c>
    </row>
    <row r="354" spans="1:14" x14ac:dyDescent="0.3">
      <c r="A354" s="1" t="s">
        <v>7171</v>
      </c>
      <c r="B354" s="1" t="s">
        <v>642</v>
      </c>
      <c r="C354" s="1" t="s">
        <v>7172</v>
      </c>
      <c r="D354" s="1" t="s">
        <v>738</v>
      </c>
      <c r="E354" s="1" t="s">
        <v>6076</v>
      </c>
      <c r="F354" s="1" t="s">
        <v>6076</v>
      </c>
      <c r="G354" s="1">
        <v>407</v>
      </c>
      <c r="H354">
        <v>2006</v>
      </c>
      <c r="I354">
        <v>2007</v>
      </c>
      <c r="J354">
        <f t="shared" si="10"/>
        <v>2</v>
      </c>
      <c r="K354" s="1" t="s">
        <v>6076</v>
      </c>
      <c r="L354" s="1" t="s">
        <v>6076</v>
      </c>
      <c r="M354">
        <f t="shared" si="11"/>
        <v>19</v>
      </c>
      <c r="N354" t="s">
        <v>640</v>
      </c>
    </row>
    <row r="355" spans="1:14" x14ac:dyDescent="0.3">
      <c r="A355" s="1" t="s">
        <v>7173</v>
      </c>
      <c r="B355" s="1" t="s">
        <v>642</v>
      </c>
      <c r="C355" s="1" t="s">
        <v>7174</v>
      </c>
      <c r="D355" s="1" t="s">
        <v>738</v>
      </c>
      <c r="E355" s="1" t="s">
        <v>6076</v>
      </c>
      <c r="F355" s="1" t="s">
        <v>6076</v>
      </c>
      <c r="G355" s="1">
        <v>407</v>
      </c>
      <c r="H355">
        <v>2004</v>
      </c>
      <c r="I355">
        <v>2007</v>
      </c>
      <c r="J355">
        <f t="shared" si="10"/>
        <v>4</v>
      </c>
      <c r="K355" s="1" t="s">
        <v>6076</v>
      </c>
      <c r="L355" s="1" t="s">
        <v>6076</v>
      </c>
      <c r="M355">
        <f t="shared" si="11"/>
        <v>19</v>
      </c>
      <c r="N355" t="s">
        <v>640</v>
      </c>
    </row>
    <row r="356" spans="1:14" x14ac:dyDescent="0.3">
      <c r="A356" s="1" t="s">
        <v>7167</v>
      </c>
      <c r="B356" s="1" t="s">
        <v>642</v>
      </c>
      <c r="C356" s="1" t="s">
        <v>7168</v>
      </c>
      <c r="D356" s="1" t="s">
        <v>738</v>
      </c>
      <c r="E356" s="1" t="s">
        <v>6076</v>
      </c>
      <c r="F356" s="1" t="s">
        <v>6076</v>
      </c>
      <c r="G356" s="1">
        <v>407</v>
      </c>
      <c r="H356">
        <v>2007</v>
      </c>
      <c r="I356">
        <v>2009</v>
      </c>
      <c r="J356">
        <f t="shared" si="10"/>
        <v>3</v>
      </c>
      <c r="K356" s="1" t="s">
        <v>6076</v>
      </c>
      <c r="L356" s="1" t="s">
        <v>6076</v>
      </c>
      <c r="M356">
        <f t="shared" si="11"/>
        <v>17</v>
      </c>
      <c r="N356" t="s">
        <v>640</v>
      </c>
    </row>
    <row r="357" spans="1:14" x14ac:dyDescent="0.3">
      <c r="A357" s="1" t="s">
        <v>7169</v>
      </c>
      <c r="B357" s="1" t="s">
        <v>642</v>
      </c>
      <c r="C357" s="1" t="s">
        <v>7170</v>
      </c>
      <c r="D357" s="1" t="s">
        <v>738</v>
      </c>
      <c r="E357" s="1" t="s">
        <v>6076</v>
      </c>
      <c r="F357" s="1" t="s">
        <v>6076</v>
      </c>
      <c r="G357" s="1">
        <v>407</v>
      </c>
      <c r="H357">
        <v>2007</v>
      </c>
      <c r="I357">
        <v>2009</v>
      </c>
      <c r="J357">
        <f t="shared" si="10"/>
        <v>3</v>
      </c>
      <c r="K357" s="1" t="s">
        <v>6076</v>
      </c>
      <c r="L357" s="1" t="s">
        <v>6076</v>
      </c>
      <c r="M357">
        <f t="shared" si="11"/>
        <v>17</v>
      </c>
      <c r="N357" t="s">
        <v>640</v>
      </c>
    </row>
    <row r="358" spans="1:14" hidden="1" x14ac:dyDescent="0.3">
      <c r="A358" s="1" t="s">
        <v>4986</v>
      </c>
      <c r="B358" s="1" t="s">
        <v>642</v>
      </c>
      <c r="C358" s="1" t="s">
        <v>4987</v>
      </c>
      <c r="D358" s="1" t="s">
        <v>738</v>
      </c>
      <c r="E358" s="1" t="s">
        <v>4892</v>
      </c>
      <c r="F358" s="1" t="s">
        <v>4893</v>
      </c>
      <c r="G358" s="1">
        <v>408</v>
      </c>
      <c r="H358">
        <v>2018</v>
      </c>
      <c r="I358">
        <v>2019</v>
      </c>
      <c r="J358">
        <f t="shared" si="10"/>
        <v>2</v>
      </c>
      <c r="K358" s="1" t="s">
        <v>4668</v>
      </c>
      <c r="L358" s="1" t="s">
        <v>649</v>
      </c>
      <c r="M358">
        <f t="shared" si="11"/>
        <v>7</v>
      </c>
      <c r="N358" t="s">
        <v>650</v>
      </c>
    </row>
    <row r="359" spans="1:14" hidden="1" x14ac:dyDescent="0.3">
      <c r="A359" s="1" t="s">
        <v>4992</v>
      </c>
      <c r="B359" s="1" t="s">
        <v>642</v>
      </c>
      <c r="C359" s="1" t="s">
        <v>4993</v>
      </c>
      <c r="D359" s="1" t="s">
        <v>738</v>
      </c>
      <c r="E359" s="1" t="s">
        <v>4892</v>
      </c>
      <c r="F359" s="1" t="s">
        <v>4893</v>
      </c>
      <c r="G359" s="1">
        <v>408</v>
      </c>
      <c r="H359">
        <v>2018</v>
      </c>
      <c r="I359">
        <v>2018</v>
      </c>
      <c r="J359">
        <f t="shared" si="10"/>
        <v>1</v>
      </c>
      <c r="K359" s="1" t="s">
        <v>4668</v>
      </c>
      <c r="L359" s="1" t="s">
        <v>649</v>
      </c>
      <c r="M359">
        <f t="shared" si="11"/>
        <v>8</v>
      </c>
      <c r="N359" t="s">
        <v>650</v>
      </c>
    </row>
    <row r="360" spans="1:14" hidden="1" x14ac:dyDescent="0.3">
      <c r="A360" s="1" t="s">
        <v>4994</v>
      </c>
      <c r="B360" s="1" t="s">
        <v>642</v>
      </c>
      <c r="C360" s="1" t="s">
        <v>4995</v>
      </c>
      <c r="D360" s="1" t="s">
        <v>738</v>
      </c>
      <c r="E360" s="1" t="s">
        <v>4892</v>
      </c>
      <c r="F360" s="1" t="s">
        <v>4893</v>
      </c>
      <c r="G360" s="1">
        <v>408</v>
      </c>
      <c r="H360">
        <v>2018</v>
      </c>
      <c r="I360">
        <v>2018</v>
      </c>
      <c r="J360">
        <f t="shared" si="10"/>
        <v>1</v>
      </c>
      <c r="K360" s="1" t="s">
        <v>4668</v>
      </c>
      <c r="L360" s="1" t="s">
        <v>649</v>
      </c>
      <c r="M360">
        <f t="shared" si="11"/>
        <v>8</v>
      </c>
      <c r="N360" t="s">
        <v>650</v>
      </c>
    </row>
    <row r="361" spans="1:14" hidden="1" x14ac:dyDescent="0.3">
      <c r="A361" s="1" t="s">
        <v>4890</v>
      </c>
      <c r="B361" s="1" t="s">
        <v>642</v>
      </c>
      <c r="C361" s="1" t="s">
        <v>4891</v>
      </c>
      <c r="D361" s="1" t="s">
        <v>738</v>
      </c>
      <c r="E361" s="1" t="s">
        <v>4892</v>
      </c>
      <c r="F361" s="1" t="s">
        <v>4893</v>
      </c>
      <c r="G361" s="1">
        <v>408</v>
      </c>
      <c r="H361">
        <v>2011</v>
      </c>
      <c r="I361">
        <v>2016</v>
      </c>
      <c r="J361">
        <f t="shared" si="10"/>
        <v>6</v>
      </c>
      <c r="K361" s="1" t="s">
        <v>4668</v>
      </c>
      <c r="L361" s="1" t="s">
        <v>649</v>
      </c>
      <c r="M361">
        <f t="shared" si="11"/>
        <v>10</v>
      </c>
      <c r="N361" t="s">
        <v>650</v>
      </c>
    </row>
    <row r="362" spans="1:14" hidden="1" x14ac:dyDescent="0.3">
      <c r="A362" s="1" t="s">
        <v>4894</v>
      </c>
      <c r="B362" s="1" t="s">
        <v>642</v>
      </c>
      <c r="C362" s="1" t="s">
        <v>4895</v>
      </c>
      <c r="D362" s="1" t="s">
        <v>738</v>
      </c>
      <c r="E362" s="1" t="s">
        <v>4892</v>
      </c>
      <c r="F362" s="1" t="s">
        <v>4893</v>
      </c>
      <c r="G362" s="1">
        <v>408</v>
      </c>
      <c r="H362">
        <v>2011</v>
      </c>
      <c r="I362">
        <v>2016</v>
      </c>
      <c r="J362">
        <f t="shared" si="10"/>
        <v>6</v>
      </c>
      <c r="K362" s="1" t="s">
        <v>4668</v>
      </c>
      <c r="L362" s="1" t="s">
        <v>649</v>
      </c>
      <c r="M362">
        <f t="shared" si="11"/>
        <v>10</v>
      </c>
      <c r="N362" t="s">
        <v>650</v>
      </c>
    </row>
    <row r="363" spans="1:14" hidden="1" x14ac:dyDescent="0.3">
      <c r="A363" s="1" t="s">
        <v>4996</v>
      </c>
      <c r="B363" s="1" t="s">
        <v>642</v>
      </c>
      <c r="C363" s="1" t="s">
        <v>4997</v>
      </c>
      <c r="D363" s="1" t="s">
        <v>738</v>
      </c>
      <c r="E363" s="1" t="s">
        <v>4892</v>
      </c>
      <c r="F363" s="1" t="s">
        <v>4893</v>
      </c>
      <c r="G363" s="1">
        <v>408</v>
      </c>
      <c r="H363">
        <v>2011</v>
      </c>
      <c r="I363">
        <v>2013</v>
      </c>
      <c r="J363">
        <f t="shared" si="10"/>
        <v>3</v>
      </c>
      <c r="K363" s="1" t="s">
        <v>4668</v>
      </c>
      <c r="L363" s="1" t="s">
        <v>649</v>
      </c>
      <c r="M363">
        <f t="shared" si="11"/>
        <v>13</v>
      </c>
      <c r="N363" t="s">
        <v>650</v>
      </c>
    </row>
    <row r="364" spans="1:14" hidden="1" x14ac:dyDescent="0.3">
      <c r="A364" s="1" t="s">
        <v>4988</v>
      </c>
      <c r="B364" s="1" t="s">
        <v>642</v>
      </c>
      <c r="C364" s="1" t="s">
        <v>4989</v>
      </c>
      <c r="D364" s="1" t="s">
        <v>738</v>
      </c>
      <c r="E364" s="1" t="s">
        <v>4892</v>
      </c>
      <c r="F364" s="1" t="s">
        <v>4893</v>
      </c>
      <c r="G364" s="1">
        <v>408</v>
      </c>
      <c r="H364">
        <v>2016</v>
      </c>
      <c r="I364">
        <v>2019</v>
      </c>
      <c r="J364">
        <f t="shared" si="10"/>
        <v>4</v>
      </c>
      <c r="K364" s="1" t="s">
        <v>4668</v>
      </c>
      <c r="L364" s="1" t="s">
        <v>649</v>
      </c>
      <c r="M364">
        <f t="shared" si="11"/>
        <v>7</v>
      </c>
      <c r="N364" t="s">
        <v>650</v>
      </c>
    </row>
    <row r="365" spans="1:14" hidden="1" x14ac:dyDescent="0.3">
      <c r="A365" s="1" t="s">
        <v>4990</v>
      </c>
      <c r="B365" s="1" t="s">
        <v>642</v>
      </c>
      <c r="C365" s="1" t="s">
        <v>4991</v>
      </c>
      <c r="D365" s="1" t="s">
        <v>738</v>
      </c>
      <c r="E365" s="1" t="s">
        <v>4892</v>
      </c>
      <c r="F365" s="1" t="s">
        <v>4893</v>
      </c>
      <c r="G365" s="1">
        <v>408</v>
      </c>
      <c r="H365">
        <v>2016</v>
      </c>
      <c r="I365">
        <v>2019</v>
      </c>
      <c r="J365">
        <f t="shared" si="10"/>
        <v>4</v>
      </c>
      <c r="K365" s="1" t="s">
        <v>4668</v>
      </c>
      <c r="L365" s="1" t="s">
        <v>649</v>
      </c>
      <c r="M365">
        <f t="shared" si="11"/>
        <v>7</v>
      </c>
      <c r="N365" t="s">
        <v>650</v>
      </c>
    </row>
    <row r="366" spans="1:14" hidden="1" x14ac:dyDescent="0.3">
      <c r="A366" s="1" t="s">
        <v>4896</v>
      </c>
      <c r="B366" s="1" t="s">
        <v>642</v>
      </c>
      <c r="C366" s="1" t="s">
        <v>4897</v>
      </c>
      <c r="D366" s="1" t="s">
        <v>738</v>
      </c>
      <c r="E366" s="1" t="s">
        <v>4892</v>
      </c>
      <c r="F366" s="1" t="s">
        <v>4893</v>
      </c>
      <c r="G366" s="1">
        <v>408</v>
      </c>
      <c r="H366">
        <v>2011</v>
      </c>
      <c r="I366">
        <v>2012</v>
      </c>
      <c r="J366">
        <f t="shared" si="10"/>
        <v>2</v>
      </c>
      <c r="K366" s="1" t="s">
        <v>4668</v>
      </c>
      <c r="L366" s="1" t="s">
        <v>649</v>
      </c>
      <c r="M366">
        <f t="shared" si="11"/>
        <v>14</v>
      </c>
      <c r="N366" t="s">
        <v>650</v>
      </c>
    </row>
    <row r="367" spans="1:14" hidden="1" x14ac:dyDescent="0.3">
      <c r="A367" s="1" t="s">
        <v>4998</v>
      </c>
      <c r="B367" s="1" t="s">
        <v>642</v>
      </c>
      <c r="C367" s="1" t="s">
        <v>4999</v>
      </c>
      <c r="D367" s="1" t="s">
        <v>738</v>
      </c>
      <c r="E367" s="1" t="s">
        <v>4892</v>
      </c>
      <c r="F367" s="1" t="s">
        <v>4893</v>
      </c>
      <c r="G367" s="1">
        <v>408</v>
      </c>
      <c r="H367">
        <v>2012</v>
      </c>
      <c r="I367">
        <v>2012</v>
      </c>
      <c r="J367">
        <f t="shared" si="10"/>
        <v>1</v>
      </c>
      <c r="K367" s="1" t="s">
        <v>4668</v>
      </c>
      <c r="L367" s="1" t="s">
        <v>649</v>
      </c>
      <c r="M367">
        <f t="shared" si="11"/>
        <v>14</v>
      </c>
      <c r="N367" t="s">
        <v>650</v>
      </c>
    </row>
    <row r="368" spans="1:14" x14ac:dyDescent="0.3">
      <c r="A368" t="s">
        <v>10926</v>
      </c>
      <c r="B368" t="s">
        <v>5913</v>
      </c>
      <c r="C368" t="s">
        <v>10927</v>
      </c>
      <c r="E368" s="1" t="s">
        <v>6076</v>
      </c>
      <c r="F368" s="1" t="s">
        <v>6076</v>
      </c>
      <c r="G368" s="1" t="s">
        <v>12767</v>
      </c>
      <c r="H368">
        <v>2022</v>
      </c>
      <c r="I368">
        <v>2026</v>
      </c>
      <c r="J368">
        <f t="shared" si="10"/>
        <v>5</v>
      </c>
      <c r="K368" s="1" t="s">
        <v>6076</v>
      </c>
      <c r="L368" s="1" t="s">
        <v>6076</v>
      </c>
      <c r="M368">
        <f t="shared" si="11"/>
        <v>0</v>
      </c>
    </row>
    <row r="369" spans="1:14" x14ac:dyDescent="0.3">
      <c r="A369" s="1" t="s">
        <v>6238</v>
      </c>
      <c r="B369" s="1" t="s">
        <v>5913</v>
      </c>
      <c r="C369" s="1" t="s">
        <v>6239</v>
      </c>
      <c r="D369" s="1" t="s">
        <v>3850</v>
      </c>
      <c r="E369" s="1" t="s">
        <v>6076</v>
      </c>
      <c r="F369" s="1" t="s">
        <v>6076</v>
      </c>
      <c r="G369" s="1" t="s">
        <v>6240</v>
      </c>
      <c r="H369">
        <v>2015</v>
      </c>
      <c r="I369">
        <v>2016</v>
      </c>
      <c r="J369">
        <f t="shared" si="10"/>
        <v>2</v>
      </c>
      <c r="K369" s="1" t="s">
        <v>6076</v>
      </c>
      <c r="L369" s="1" t="s">
        <v>6076</v>
      </c>
      <c r="M369">
        <f t="shared" si="11"/>
        <v>10</v>
      </c>
    </row>
    <row r="370" spans="1:14" x14ac:dyDescent="0.3">
      <c r="A370" s="1" t="s">
        <v>6241</v>
      </c>
      <c r="B370" s="1" t="s">
        <v>5913</v>
      </c>
      <c r="C370" s="1" t="s">
        <v>6242</v>
      </c>
      <c r="D370" s="1" t="s">
        <v>3850</v>
      </c>
      <c r="E370" s="1" t="s">
        <v>6076</v>
      </c>
      <c r="F370" s="1" t="s">
        <v>6076</v>
      </c>
      <c r="G370" s="1" t="s">
        <v>6240</v>
      </c>
      <c r="H370">
        <v>2014</v>
      </c>
      <c r="I370">
        <v>2016</v>
      </c>
      <c r="J370">
        <f t="shared" si="10"/>
        <v>3</v>
      </c>
      <c r="K370" s="1" t="s">
        <v>6076</v>
      </c>
      <c r="L370" s="1" t="s">
        <v>6076</v>
      </c>
      <c r="M370">
        <f t="shared" si="11"/>
        <v>10</v>
      </c>
    </row>
    <row r="371" spans="1:14" x14ac:dyDescent="0.3">
      <c r="A371" s="1" t="s">
        <v>6243</v>
      </c>
      <c r="B371" s="1" t="s">
        <v>5913</v>
      </c>
      <c r="C371" s="1" t="s">
        <v>6244</v>
      </c>
      <c r="D371" s="1" t="s">
        <v>738</v>
      </c>
      <c r="E371" s="1" t="s">
        <v>6076</v>
      </c>
      <c r="F371" s="1" t="s">
        <v>6076</v>
      </c>
      <c r="G371" s="1" t="s">
        <v>6240</v>
      </c>
      <c r="H371">
        <v>2015</v>
      </c>
      <c r="I371">
        <v>2015</v>
      </c>
      <c r="J371">
        <f t="shared" si="10"/>
        <v>1</v>
      </c>
      <c r="K371" s="1" t="s">
        <v>6076</v>
      </c>
      <c r="L371" s="1" t="s">
        <v>6076</v>
      </c>
      <c r="M371">
        <f t="shared" si="11"/>
        <v>11</v>
      </c>
    </row>
    <row r="372" spans="1:14" x14ac:dyDescent="0.3">
      <c r="A372" s="1" t="s">
        <v>6245</v>
      </c>
      <c r="B372" s="1" t="s">
        <v>5913</v>
      </c>
      <c r="C372" s="1" t="s">
        <v>6246</v>
      </c>
      <c r="D372" s="1" t="s">
        <v>738</v>
      </c>
      <c r="E372" s="1" t="s">
        <v>6076</v>
      </c>
      <c r="F372" s="1" t="s">
        <v>6076</v>
      </c>
      <c r="G372" s="1" t="s">
        <v>6240</v>
      </c>
      <c r="H372">
        <v>2015</v>
      </c>
      <c r="I372">
        <v>2015</v>
      </c>
      <c r="J372">
        <f t="shared" si="10"/>
        <v>1</v>
      </c>
      <c r="K372" s="1" t="s">
        <v>6076</v>
      </c>
      <c r="L372" s="1" t="s">
        <v>6076</v>
      </c>
      <c r="M372">
        <f t="shared" si="11"/>
        <v>11</v>
      </c>
    </row>
    <row r="373" spans="1:14" x14ac:dyDescent="0.3">
      <c r="A373" s="1" t="s">
        <v>6247</v>
      </c>
      <c r="B373" s="1" t="s">
        <v>5913</v>
      </c>
      <c r="C373" s="1" t="s">
        <v>6248</v>
      </c>
      <c r="D373" s="1" t="s">
        <v>3850</v>
      </c>
      <c r="E373" s="1" t="s">
        <v>6076</v>
      </c>
      <c r="F373" s="1" t="s">
        <v>6076</v>
      </c>
      <c r="G373" s="1" t="s">
        <v>6240</v>
      </c>
      <c r="H373">
        <v>2017</v>
      </c>
      <c r="I373">
        <v>2017</v>
      </c>
      <c r="J373">
        <f t="shared" si="10"/>
        <v>1</v>
      </c>
      <c r="K373" s="1" t="s">
        <v>6076</v>
      </c>
      <c r="L373" s="1" t="s">
        <v>6076</v>
      </c>
      <c r="M373">
        <f t="shared" si="11"/>
        <v>9</v>
      </c>
    </row>
    <row r="374" spans="1:14" x14ac:dyDescent="0.3">
      <c r="A374" s="1" t="s">
        <v>6249</v>
      </c>
      <c r="B374" s="1" t="s">
        <v>5913</v>
      </c>
      <c r="C374" s="1" t="s">
        <v>6250</v>
      </c>
      <c r="D374" s="1" t="s">
        <v>3850</v>
      </c>
      <c r="E374" s="1" t="s">
        <v>6076</v>
      </c>
      <c r="F374" s="1" t="s">
        <v>6076</v>
      </c>
      <c r="G374" s="1" t="s">
        <v>6240</v>
      </c>
      <c r="H374">
        <v>2021</v>
      </c>
      <c r="I374">
        <v>2022</v>
      </c>
      <c r="J374">
        <f t="shared" si="10"/>
        <v>2</v>
      </c>
      <c r="K374" s="1" t="s">
        <v>6076</v>
      </c>
      <c r="L374" s="1" t="s">
        <v>6076</v>
      </c>
      <c r="M374">
        <f t="shared" si="11"/>
        <v>4</v>
      </c>
    </row>
    <row r="375" spans="1:14" x14ac:dyDescent="0.3">
      <c r="A375" s="1" t="s">
        <v>6251</v>
      </c>
      <c r="B375" s="1" t="s">
        <v>5913</v>
      </c>
      <c r="C375" s="1" t="s">
        <v>6252</v>
      </c>
      <c r="D375" s="1" t="s">
        <v>3850</v>
      </c>
      <c r="E375" s="1" t="s">
        <v>6076</v>
      </c>
      <c r="F375" s="1" t="s">
        <v>6076</v>
      </c>
      <c r="G375" s="1" t="s">
        <v>6240</v>
      </c>
      <c r="H375">
        <v>2017</v>
      </c>
      <c r="I375">
        <v>2020</v>
      </c>
      <c r="J375">
        <f t="shared" si="10"/>
        <v>4</v>
      </c>
      <c r="K375" s="1" t="s">
        <v>6076</v>
      </c>
      <c r="L375" s="1" t="s">
        <v>6076</v>
      </c>
      <c r="M375">
        <f t="shared" si="11"/>
        <v>6</v>
      </c>
    </row>
    <row r="376" spans="1:14" x14ac:dyDescent="0.3">
      <c r="A376" s="1" t="s">
        <v>6253</v>
      </c>
      <c r="B376" s="1" t="s">
        <v>5913</v>
      </c>
      <c r="C376" s="1" t="s">
        <v>6254</v>
      </c>
      <c r="D376" s="1" t="s">
        <v>738</v>
      </c>
      <c r="E376" s="1" t="s">
        <v>6076</v>
      </c>
      <c r="F376" s="1" t="s">
        <v>6076</v>
      </c>
      <c r="G376" s="1" t="s">
        <v>6240</v>
      </c>
      <c r="H376">
        <v>2017</v>
      </c>
      <c r="I376">
        <v>2017</v>
      </c>
      <c r="J376">
        <f t="shared" si="10"/>
        <v>1</v>
      </c>
      <c r="K376" s="1" t="s">
        <v>6076</v>
      </c>
      <c r="L376" s="1" t="s">
        <v>6076</v>
      </c>
      <c r="M376">
        <f t="shared" si="11"/>
        <v>9</v>
      </c>
    </row>
    <row r="377" spans="1:14" x14ac:dyDescent="0.3">
      <c r="A377" s="1" t="s">
        <v>6255</v>
      </c>
      <c r="B377" s="1" t="s">
        <v>5913</v>
      </c>
      <c r="C377" s="1" t="s">
        <v>6256</v>
      </c>
      <c r="D377" s="1" t="s">
        <v>738</v>
      </c>
      <c r="E377" s="1" t="s">
        <v>6076</v>
      </c>
      <c r="F377" s="1" t="s">
        <v>6076</v>
      </c>
      <c r="G377" s="1" t="s">
        <v>6240</v>
      </c>
      <c r="H377">
        <v>2014</v>
      </c>
      <c r="I377">
        <v>2015</v>
      </c>
      <c r="J377">
        <f t="shared" si="10"/>
        <v>2</v>
      </c>
      <c r="K377" s="1" t="s">
        <v>6076</v>
      </c>
      <c r="L377" s="1" t="s">
        <v>6076</v>
      </c>
      <c r="M377">
        <f t="shared" si="11"/>
        <v>11</v>
      </c>
    </row>
    <row r="378" spans="1:14" x14ac:dyDescent="0.3">
      <c r="A378" t="s">
        <v>12349</v>
      </c>
      <c r="B378" t="s">
        <v>12697</v>
      </c>
      <c r="C378" t="s">
        <v>12350</v>
      </c>
      <c r="E378" s="1" t="s">
        <v>6076</v>
      </c>
      <c r="F378" s="1" t="s">
        <v>6076</v>
      </c>
      <c r="G378" s="1">
        <v>440</v>
      </c>
      <c r="H378">
        <v>1992</v>
      </c>
      <c r="I378">
        <v>1993</v>
      </c>
      <c r="J378">
        <f t="shared" si="10"/>
        <v>2</v>
      </c>
      <c r="K378" s="1" t="s">
        <v>6076</v>
      </c>
      <c r="L378" s="1" t="s">
        <v>6076</v>
      </c>
      <c r="M378">
        <f t="shared" si="11"/>
        <v>33</v>
      </c>
    </row>
    <row r="379" spans="1:14" x14ac:dyDescent="0.3">
      <c r="A379" t="s">
        <v>12351</v>
      </c>
      <c r="B379" t="s">
        <v>12697</v>
      </c>
      <c r="C379" t="s">
        <v>12352</v>
      </c>
      <c r="E379" s="1" t="s">
        <v>6076</v>
      </c>
      <c r="F379" s="1" t="s">
        <v>6076</v>
      </c>
      <c r="G379" s="1">
        <v>460</v>
      </c>
      <c r="H379">
        <v>1992</v>
      </c>
      <c r="I379">
        <v>1996</v>
      </c>
      <c r="J379">
        <f t="shared" si="10"/>
        <v>5</v>
      </c>
      <c r="K379" s="1" t="s">
        <v>6076</v>
      </c>
      <c r="L379" s="1" t="s">
        <v>6076</v>
      </c>
      <c r="M379">
        <f t="shared" si="11"/>
        <v>30</v>
      </c>
    </row>
    <row r="380" spans="1:14" x14ac:dyDescent="0.3">
      <c r="A380" s="1" t="s">
        <v>7187</v>
      </c>
      <c r="B380" s="1" t="s">
        <v>802</v>
      </c>
      <c r="C380" s="1" t="s">
        <v>7188</v>
      </c>
      <c r="D380" s="1" t="s">
        <v>746</v>
      </c>
      <c r="E380" s="1" t="s">
        <v>6076</v>
      </c>
      <c r="F380" s="1" t="s">
        <v>6076</v>
      </c>
      <c r="G380" s="1">
        <v>500</v>
      </c>
      <c r="H380">
        <v>2014</v>
      </c>
      <c r="I380">
        <v>2014</v>
      </c>
      <c r="J380">
        <f t="shared" si="10"/>
        <v>1</v>
      </c>
      <c r="K380" s="1" t="s">
        <v>6076</v>
      </c>
      <c r="L380" s="1" t="s">
        <v>6076</v>
      </c>
      <c r="M380">
        <f t="shared" si="11"/>
        <v>12</v>
      </c>
      <c r="N380" t="s">
        <v>650</v>
      </c>
    </row>
    <row r="381" spans="1:14" hidden="1" x14ac:dyDescent="0.3">
      <c r="A381" s="1" t="s">
        <v>5948</v>
      </c>
      <c r="B381" s="1" t="s">
        <v>802</v>
      </c>
      <c r="C381" s="1" t="s">
        <v>5949</v>
      </c>
      <c r="D381" s="1" t="s">
        <v>746</v>
      </c>
      <c r="E381" s="1" t="s">
        <v>747</v>
      </c>
      <c r="F381" s="1" t="s">
        <v>3822</v>
      </c>
      <c r="G381" s="1">
        <v>500</v>
      </c>
      <c r="H381">
        <v>2012</v>
      </c>
      <c r="I381">
        <v>2012</v>
      </c>
      <c r="J381">
        <f t="shared" si="10"/>
        <v>1</v>
      </c>
      <c r="K381" s="1" t="s">
        <v>5909</v>
      </c>
      <c r="L381" s="1" t="s">
        <v>3793</v>
      </c>
      <c r="M381">
        <f t="shared" si="11"/>
        <v>14</v>
      </c>
      <c r="N381" t="s">
        <v>650</v>
      </c>
    </row>
    <row r="382" spans="1:14" hidden="1" x14ac:dyDescent="0.3">
      <c r="A382" s="1" t="s">
        <v>5946</v>
      </c>
      <c r="B382" s="1" t="s">
        <v>802</v>
      </c>
      <c r="C382" s="1" t="s">
        <v>5947</v>
      </c>
      <c r="D382" s="1" t="s">
        <v>746</v>
      </c>
      <c r="E382" s="1" t="s">
        <v>747</v>
      </c>
      <c r="F382" s="1" t="s">
        <v>3822</v>
      </c>
      <c r="G382" s="1">
        <v>500</v>
      </c>
      <c r="H382">
        <v>2014</v>
      </c>
      <c r="I382">
        <v>2014</v>
      </c>
      <c r="J382">
        <f t="shared" si="10"/>
        <v>1</v>
      </c>
      <c r="K382" s="1" t="s">
        <v>5909</v>
      </c>
      <c r="L382" s="1" t="s">
        <v>3793</v>
      </c>
      <c r="M382">
        <f t="shared" si="11"/>
        <v>12</v>
      </c>
      <c r="N382" t="s">
        <v>650</v>
      </c>
    </row>
    <row r="383" spans="1:14" hidden="1" x14ac:dyDescent="0.3">
      <c r="A383" s="1" t="s">
        <v>5950</v>
      </c>
      <c r="B383" s="1" t="s">
        <v>802</v>
      </c>
      <c r="C383" s="1" t="s">
        <v>5951</v>
      </c>
      <c r="D383" s="1" t="s">
        <v>746</v>
      </c>
      <c r="E383" s="1" t="s">
        <v>747</v>
      </c>
      <c r="F383" s="1" t="s">
        <v>3822</v>
      </c>
      <c r="G383" s="1">
        <v>500</v>
      </c>
      <c r="H383">
        <v>2012</v>
      </c>
      <c r="I383">
        <v>2012</v>
      </c>
      <c r="J383">
        <f t="shared" si="10"/>
        <v>1</v>
      </c>
      <c r="K383" s="1" t="s">
        <v>5909</v>
      </c>
      <c r="L383" s="1" t="s">
        <v>3793</v>
      </c>
      <c r="M383">
        <f t="shared" si="11"/>
        <v>14</v>
      </c>
      <c r="N383" t="s">
        <v>650</v>
      </c>
    </row>
    <row r="384" spans="1:14" hidden="1" x14ac:dyDescent="0.3">
      <c r="A384" s="1" t="s">
        <v>3820</v>
      </c>
      <c r="B384" s="1" t="s">
        <v>802</v>
      </c>
      <c r="C384" s="1" t="s">
        <v>3821</v>
      </c>
      <c r="D384" s="1" t="s">
        <v>746</v>
      </c>
      <c r="E384" s="1" t="s">
        <v>747</v>
      </c>
      <c r="F384" s="1" t="s">
        <v>3822</v>
      </c>
      <c r="G384" s="1">
        <v>500</v>
      </c>
      <c r="H384">
        <v>2012</v>
      </c>
      <c r="I384">
        <v>2012</v>
      </c>
      <c r="J384">
        <f t="shared" si="10"/>
        <v>1</v>
      </c>
      <c r="K384" s="1" t="s">
        <v>3665</v>
      </c>
      <c r="L384" s="1" t="s">
        <v>666</v>
      </c>
      <c r="M384">
        <f t="shared" si="11"/>
        <v>14</v>
      </c>
      <c r="N384" t="s">
        <v>650</v>
      </c>
    </row>
    <row r="385" spans="1:14" hidden="1" x14ac:dyDescent="0.3">
      <c r="A385" s="1" t="s">
        <v>3953</v>
      </c>
      <c r="B385" s="1" t="s">
        <v>802</v>
      </c>
      <c r="C385" s="1" t="s">
        <v>3954</v>
      </c>
      <c r="D385" s="1" t="s">
        <v>746</v>
      </c>
      <c r="E385" s="1" t="s">
        <v>747</v>
      </c>
      <c r="F385" s="1" t="s">
        <v>3822</v>
      </c>
      <c r="G385" s="1">
        <v>500</v>
      </c>
      <c r="H385">
        <v>2012</v>
      </c>
      <c r="I385">
        <v>2012</v>
      </c>
      <c r="J385">
        <f t="shared" si="10"/>
        <v>1</v>
      </c>
      <c r="K385" s="1" t="s">
        <v>3665</v>
      </c>
      <c r="L385" s="1" t="s">
        <v>666</v>
      </c>
      <c r="M385">
        <f t="shared" si="11"/>
        <v>14</v>
      </c>
      <c r="N385" t="s">
        <v>650</v>
      </c>
    </row>
    <row r="386" spans="1:14" hidden="1" x14ac:dyDescent="0.3">
      <c r="A386" s="1" t="s">
        <v>5958</v>
      </c>
      <c r="B386" s="1" t="s">
        <v>802</v>
      </c>
      <c r="C386" s="1" t="s">
        <v>5959</v>
      </c>
      <c r="D386" s="1" t="s">
        <v>746</v>
      </c>
      <c r="E386" s="1" t="s">
        <v>747</v>
      </c>
      <c r="F386" s="1" t="s">
        <v>3822</v>
      </c>
      <c r="G386" s="1">
        <v>500</v>
      </c>
      <c r="H386">
        <v>2010</v>
      </c>
      <c r="I386">
        <v>2010</v>
      </c>
      <c r="J386">
        <f t="shared" si="10"/>
        <v>1</v>
      </c>
      <c r="K386" s="1" t="s">
        <v>5909</v>
      </c>
      <c r="L386" s="1" t="s">
        <v>3793</v>
      </c>
      <c r="M386">
        <f t="shared" si="11"/>
        <v>16</v>
      </c>
      <c r="N386" t="s">
        <v>640</v>
      </c>
    </row>
    <row r="387" spans="1:14" hidden="1" x14ac:dyDescent="0.3">
      <c r="A387" s="1" t="s">
        <v>5960</v>
      </c>
      <c r="B387" s="1" t="s">
        <v>802</v>
      </c>
      <c r="C387" s="1" t="s">
        <v>5961</v>
      </c>
      <c r="D387" s="1" t="s">
        <v>746</v>
      </c>
      <c r="E387" s="1" t="s">
        <v>747</v>
      </c>
      <c r="F387" s="1" t="s">
        <v>3822</v>
      </c>
      <c r="G387" s="1">
        <v>500</v>
      </c>
      <c r="H387">
        <v>2010</v>
      </c>
      <c r="I387">
        <v>2010</v>
      </c>
      <c r="J387">
        <f t="shared" si="10"/>
        <v>1</v>
      </c>
      <c r="K387" s="1" t="s">
        <v>5909</v>
      </c>
      <c r="L387" s="1" t="s">
        <v>3793</v>
      </c>
      <c r="M387">
        <f t="shared" si="11"/>
        <v>16</v>
      </c>
      <c r="N387" t="s">
        <v>640</v>
      </c>
    </row>
    <row r="388" spans="1:14" hidden="1" x14ac:dyDescent="0.3">
      <c r="A388" s="1" t="s">
        <v>5952</v>
      </c>
      <c r="B388" s="1" t="s">
        <v>802</v>
      </c>
      <c r="C388" s="1" t="s">
        <v>5953</v>
      </c>
      <c r="D388" s="1" t="s">
        <v>746</v>
      </c>
      <c r="E388" s="1" t="s">
        <v>747</v>
      </c>
      <c r="F388" s="1" t="s">
        <v>3822</v>
      </c>
      <c r="G388" s="1">
        <v>500</v>
      </c>
      <c r="H388">
        <v>2012</v>
      </c>
      <c r="I388">
        <v>2012</v>
      </c>
      <c r="J388">
        <f t="shared" si="10"/>
        <v>1</v>
      </c>
      <c r="K388" s="1" t="s">
        <v>5909</v>
      </c>
      <c r="L388" s="1" t="s">
        <v>3793</v>
      </c>
      <c r="M388">
        <f t="shared" si="11"/>
        <v>14</v>
      </c>
      <c r="N388" t="s">
        <v>650</v>
      </c>
    </row>
    <row r="389" spans="1:14" hidden="1" x14ac:dyDescent="0.3">
      <c r="A389" s="1" t="s">
        <v>5962</v>
      </c>
      <c r="B389" s="1" t="s">
        <v>802</v>
      </c>
      <c r="C389" s="1" t="s">
        <v>5963</v>
      </c>
      <c r="D389" s="1" t="s">
        <v>746</v>
      </c>
      <c r="E389" s="1" t="s">
        <v>747</v>
      </c>
      <c r="F389" s="1" t="s">
        <v>3822</v>
      </c>
      <c r="G389" s="1">
        <v>500</v>
      </c>
      <c r="H389">
        <v>2010</v>
      </c>
      <c r="I389">
        <v>2010</v>
      </c>
      <c r="J389">
        <f t="shared" si="10"/>
        <v>1</v>
      </c>
      <c r="K389" s="1" t="s">
        <v>5909</v>
      </c>
      <c r="L389" s="1" t="s">
        <v>3793</v>
      </c>
      <c r="M389">
        <f t="shared" si="11"/>
        <v>16</v>
      </c>
      <c r="N389" t="s">
        <v>640</v>
      </c>
    </row>
    <row r="390" spans="1:14" hidden="1" x14ac:dyDescent="0.3">
      <c r="A390" s="1" t="s">
        <v>5964</v>
      </c>
      <c r="B390" s="1" t="s">
        <v>802</v>
      </c>
      <c r="C390" s="1" t="s">
        <v>5965</v>
      </c>
      <c r="D390" s="1" t="s">
        <v>746</v>
      </c>
      <c r="E390" s="1" t="s">
        <v>747</v>
      </c>
      <c r="F390" s="1" t="s">
        <v>3822</v>
      </c>
      <c r="G390" s="1">
        <v>500</v>
      </c>
      <c r="H390">
        <v>2008</v>
      </c>
      <c r="I390">
        <v>2008</v>
      </c>
      <c r="J390">
        <f t="shared" ref="J390:J453" si="12">1+(I390-H390)</f>
        <v>1</v>
      </c>
      <c r="K390" s="1" t="s">
        <v>5909</v>
      </c>
      <c r="L390" s="1" t="s">
        <v>3793</v>
      </c>
      <c r="M390">
        <f t="shared" ref="M390:M453" si="13">IF(I390=0,0,$B$2-I390)</f>
        <v>18</v>
      </c>
      <c r="N390" t="s">
        <v>640</v>
      </c>
    </row>
    <row r="391" spans="1:14" hidden="1" x14ac:dyDescent="0.3">
      <c r="A391" s="1" t="s">
        <v>5954</v>
      </c>
      <c r="B391" s="1" t="s">
        <v>802</v>
      </c>
      <c r="C391" s="1" t="s">
        <v>5955</v>
      </c>
      <c r="D391" s="1" t="s">
        <v>746</v>
      </c>
      <c r="E391" s="1" t="s">
        <v>747</v>
      </c>
      <c r="F391" s="1" t="s">
        <v>3822</v>
      </c>
      <c r="G391" s="1">
        <v>500</v>
      </c>
      <c r="H391">
        <v>2012</v>
      </c>
      <c r="I391">
        <v>2012</v>
      </c>
      <c r="J391">
        <f t="shared" si="12"/>
        <v>1</v>
      </c>
      <c r="K391" s="1" t="s">
        <v>5909</v>
      </c>
      <c r="L391" s="1" t="s">
        <v>3793</v>
      </c>
      <c r="M391">
        <f t="shared" si="13"/>
        <v>14</v>
      </c>
      <c r="N391" t="s">
        <v>650</v>
      </c>
    </row>
    <row r="392" spans="1:14" hidden="1" x14ac:dyDescent="0.3">
      <c r="A392" s="1" t="s">
        <v>5956</v>
      </c>
      <c r="B392" s="1" t="s">
        <v>802</v>
      </c>
      <c r="C392" s="1" t="s">
        <v>5957</v>
      </c>
      <c r="D392" s="1" t="s">
        <v>746</v>
      </c>
      <c r="E392" s="1" t="s">
        <v>747</v>
      </c>
      <c r="F392" s="1" t="s">
        <v>3822</v>
      </c>
      <c r="G392" s="1">
        <v>500</v>
      </c>
      <c r="H392">
        <v>2012</v>
      </c>
      <c r="I392">
        <v>2012</v>
      </c>
      <c r="J392">
        <f t="shared" si="12"/>
        <v>1</v>
      </c>
      <c r="K392" s="1" t="s">
        <v>5909</v>
      </c>
      <c r="L392" s="1" t="s">
        <v>3793</v>
      </c>
      <c r="M392">
        <f t="shared" si="13"/>
        <v>14</v>
      </c>
      <c r="N392" t="s">
        <v>650</v>
      </c>
    </row>
    <row r="393" spans="1:14" x14ac:dyDescent="0.3">
      <c r="A393" s="1" t="s">
        <v>7227</v>
      </c>
      <c r="B393" s="1" t="s">
        <v>642</v>
      </c>
      <c r="C393" s="1" t="s">
        <v>7228</v>
      </c>
      <c r="D393" s="1" t="s">
        <v>1395</v>
      </c>
      <c r="E393" s="1" t="s">
        <v>6076</v>
      </c>
      <c r="F393" s="1" t="s">
        <v>6076</v>
      </c>
      <c r="G393" s="1">
        <v>5008</v>
      </c>
      <c r="H393">
        <v>2017</v>
      </c>
      <c r="I393">
        <v>2019</v>
      </c>
      <c r="J393">
        <f t="shared" si="12"/>
        <v>3</v>
      </c>
      <c r="K393" s="1" t="s">
        <v>6076</v>
      </c>
      <c r="L393" s="1" t="s">
        <v>6076</v>
      </c>
      <c r="M393">
        <f t="shared" si="13"/>
        <v>7</v>
      </c>
      <c r="N393" t="s">
        <v>650</v>
      </c>
    </row>
    <row r="394" spans="1:14" x14ac:dyDescent="0.3">
      <c r="A394" s="1" t="s">
        <v>7225</v>
      </c>
      <c r="B394" s="1" t="s">
        <v>642</v>
      </c>
      <c r="C394" s="1" t="s">
        <v>7226</v>
      </c>
      <c r="D394" s="1" t="s">
        <v>1395</v>
      </c>
      <c r="E394" s="1" t="s">
        <v>6076</v>
      </c>
      <c r="F394" s="1" t="s">
        <v>6076</v>
      </c>
      <c r="G394" s="1">
        <v>5008</v>
      </c>
      <c r="H394">
        <v>2017</v>
      </c>
      <c r="I394">
        <v>2022</v>
      </c>
      <c r="J394">
        <f t="shared" si="12"/>
        <v>6</v>
      </c>
      <c r="K394" s="1" t="s">
        <v>6076</v>
      </c>
      <c r="L394" s="1" t="s">
        <v>6076</v>
      </c>
      <c r="M394">
        <f t="shared" si="13"/>
        <v>4</v>
      </c>
      <c r="N394" t="s">
        <v>650</v>
      </c>
    </row>
    <row r="395" spans="1:14" x14ac:dyDescent="0.3">
      <c r="A395" s="1" t="s">
        <v>7262</v>
      </c>
      <c r="B395" s="1" t="s">
        <v>5931</v>
      </c>
      <c r="C395" s="1" t="s">
        <v>7263</v>
      </c>
      <c r="D395" s="1" t="s">
        <v>738</v>
      </c>
      <c r="E395" s="1" t="s">
        <v>6076</v>
      </c>
      <c r="F395" s="1" t="s">
        <v>6076</v>
      </c>
      <c r="G395" s="1" t="s">
        <v>7259</v>
      </c>
      <c r="H395">
        <v>1991</v>
      </c>
      <c r="I395">
        <v>1993</v>
      </c>
      <c r="J395">
        <f t="shared" si="12"/>
        <v>3</v>
      </c>
      <c r="K395" s="1" t="s">
        <v>6076</v>
      </c>
      <c r="L395" s="1" t="s">
        <v>6076</v>
      </c>
      <c r="M395">
        <f t="shared" si="13"/>
        <v>33</v>
      </c>
    </row>
    <row r="396" spans="1:14" x14ac:dyDescent="0.3">
      <c r="A396" s="1" t="s">
        <v>7185</v>
      </c>
      <c r="B396" s="1" t="s">
        <v>802</v>
      </c>
      <c r="C396" s="1" t="s">
        <v>7186</v>
      </c>
      <c r="D396" s="1" t="s">
        <v>746</v>
      </c>
      <c r="E396" s="1" t="s">
        <v>6076</v>
      </c>
      <c r="F396" s="1" t="s">
        <v>6076</v>
      </c>
      <c r="G396" s="1">
        <v>500</v>
      </c>
      <c r="H396">
        <v>2022</v>
      </c>
      <c r="I396">
        <v>2022</v>
      </c>
      <c r="J396">
        <f t="shared" si="12"/>
        <v>1</v>
      </c>
      <c r="K396" s="1" t="s">
        <v>6076</v>
      </c>
      <c r="L396" s="1" t="s">
        <v>6076</v>
      </c>
      <c r="M396">
        <f t="shared" si="13"/>
        <v>4</v>
      </c>
      <c r="N396" t="s">
        <v>650</v>
      </c>
    </row>
    <row r="397" spans="1:14" x14ac:dyDescent="0.3">
      <c r="A397" s="1" t="s">
        <v>7260</v>
      </c>
      <c r="B397" s="1" t="s">
        <v>5931</v>
      </c>
      <c r="C397" s="1" t="s">
        <v>7261</v>
      </c>
      <c r="D397" s="1" t="s">
        <v>738</v>
      </c>
      <c r="E397" s="1" t="s">
        <v>6076</v>
      </c>
      <c r="F397" s="1" t="s">
        <v>6076</v>
      </c>
      <c r="G397" s="1" t="s">
        <v>7259</v>
      </c>
      <c r="H397">
        <v>1986</v>
      </c>
      <c r="I397">
        <v>1994</v>
      </c>
      <c r="J397">
        <f t="shared" si="12"/>
        <v>9</v>
      </c>
      <c r="K397" s="1" t="s">
        <v>6076</v>
      </c>
      <c r="L397" s="1" t="s">
        <v>6076</v>
      </c>
      <c r="M397">
        <f t="shared" si="13"/>
        <v>32</v>
      </c>
    </row>
    <row r="398" spans="1:14" x14ac:dyDescent="0.3">
      <c r="A398" s="1" t="s">
        <v>7257</v>
      </c>
      <c r="B398" s="1" t="s">
        <v>5931</v>
      </c>
      <c r="C398" s="1" t="s">
        <v>7258</v>
      </c>
      <c r="D398" s="1" t="s">
        <v>738</v>
      </c>
      <c r="E398" s="1" t="s">
        <v>6076</v>
      </c>
      <c r="F398" s="1" t="s">
        <v>6076</v>
      </c>
      <c r="G398" s="1" t="s">
        <v>7259</v>
      </c>
      <c r="H398">
        <v>1985</v>
      </c>
      <c r="I398">
        <v>1996</v>
      </c>
      <c r="J398">
        <f t="shared" si="12"/>
        <v>12</v>
      </c>
      <c r="K398" s="1" t="s">
        <v>6076</v>
      </c>
      <c r="L398" s="1" t="s">
        <v>6076</v>
      </c>
      <c r="M398">
        <f t="shared" si="13"/>
        <v>30</v>
      </c>
    </row>
    <row r="399" spans="1:14" x14ac:dyDescent="0.3">
      <c r="A399" s="1" t="s">
        <v>7193</v>
      </c>
      <c r="B399" s="1" t="s">
        <v>642</v>
      </c>
      <c r="C399" s="1" t="s">
        <v>7194</v>
      </c>
      <c r="D399" s="1" t="s">
        <v>1242</v>
      </c>
      <c r="E399" s="1" t="s">
        <v>6076</v>
      </c>
      <c r="F399" s="1" t="s">
        <v>6076</v>
      </c>
      <c r="G399" s="1">
        <v>504</v>
      </c>
      <c r="H399">
        <v>1992</v>
      </c>
      <c r="I399">
        <v>1999</v>
      </c>
      <c r="J399">
        <f t="shared" si="12"/>
        <v>8</v>
      </c>
      <c r="K399" s="1" t="s">
        <v>6076</v>
      </c>
      <c r="L399" s="1" t="s">
        <v>6076</v>
      </c>
      <c r="M399">
        <f t="shared" si="13"/>
        <v>27</v>
      </c>
      <c r="N399" t="s">
        <v>640</v>
      </c>
    </row>
    <row r="400" spans="1:14" x14ac:dyDescent="0.3">
      <c r="A400" s="1" t="s">
        <v>7191</v>
      </c>
      <c r="B400" s="1" t="s">
        <v>642</v>
      </c>
      <c r="C400" s="1" t="s">
        <v>7192</v>
      </c>
      <c r="D400" s="1" t="s">
        <v>1242</v>
      </c>
      <c r="E400" s="1" t="s">
        <v>6076</v>
      </c>
      <c r="F400" s="1" t="s">
        <v>6076</v>
      </c>
      <c r="G400" s="1">
        <v>504</v>
      </c>
      <c r="H400">
        <v>1994</v>
      </c>
      <c r="I400">
        <v>1999</v>
      </c>
      <c r="J400">
        <f t="shared" si="12"/>
        <v>6</v>
      </c>
      <c r="K400" s="1" t="s">
        <v>6076</v>
      </c>
      <c r="L400" s="1" t="s">
        <v>6076</v>
      </c>
      <c r="M400">
        <f t="shared" si="13"/>
        <v>27</v>
      </c>
      <c r="N400" t="s">
        <v>640</v>
      </c>
    </row>
    <row r="401" spans="1:14" x14ac:dyDescent="0.3">
      <c r="A401" s="1" t="s">
        <v>7195</v>
      </c>
      <c r="B401" s="1" t="s">
        <v>642</v>
      </c>
      <c r="C401" s="1" t="s">
        <v>7196</v>
      </c>
      <c r="D401" s="1" t="s">
        <v>738</v>
      </c>
      <c r="E401" s="1" t="s">
        <v>6076</v>
      </c>
      <c r="F401" s="1" t="s">
        <v>6076</v>
      </c>
      <c r="G401" s="1">
        <v>505</v>
      </c>
      <c r="H401">
        <v>1992</v>
      </c>
      <c r="I401">
        <v>1993</v>
      </c>
      <c r="J401">
        <f t="shared" si="12"/>
        <v>2</v>
      </c>
      <c r="K401" s="1" t="s">
        <v>6076</v>
      </c>
      <c r="L401" s="1" t="s">
        <v>6076</v>
      </c>
      <c r="M401">
        <f t="shared" si="13"/>
        <v>33</v>
      </c>
      <c r="N401" t="s">
        <v>640</v>
      </c>
    </row>
    <row r="402" spans="1:14" x14ac:dyDescent="0.3">
      <c r="A402" s="1" t="s">
        <v>7197</v>
      </c>
      <c r="B402" s="1" t="s">
        <v>642</v>
      </c>
      <c r="C402" s="1" t="s">
        <v>7198</v>
      </c>
      <c r="D402" s="1" t="s">
        <v>738</v>
      </c>
      <c r="E402" s="1" t="s">
        <v>6076</v>
      </c>
      <c r="F402" s="1" t="s">
        <v>6076</v>
      </c>
      <c r="G402" s="1">
        <v>508</v>
      </c>
      <c r="H402">
        <v>2012</v>
      </c>
      <c r="I402">
        <v>2014</v>
      </c>
      <c r="J402">
        <f t="shared" si="12"/>
        <v>3</v>
      </c>
      <c r="K402" s="1" t="s">
        <v>6076</v>
      </c>
      <c r="L402" s="1" t="s">
        <v>6076</v>
      </c>
      <c r="M402">
        <f t="shared" si="13"/>
        <v>12</v>
      </c>
      <c r="N402" t="s">
        <v>650</v>
      </c>
    </row>
    <row r="403" spans="1:14" x14ac:dyDescent="0.3">
      <c r="A403" s="1" t="s">
        <v>6257</v>
      </c>
      <c r="B403" s="1" t="s">
        <v>5913</v>
      </c>
      <c r="C403" s="1" t="s">
        <v>6258</v>
      </c>
      <c r="D403" s="1" t="s">
        <v>738</v>
      </c>
      <c r="E403" s="1" t="s">
        <v>6076</v>
      </c>
      <c r="F403" s="1" t="s">
        <v>6076</v>
      </c>
      <c r="G403" s="1" t="s">
        <v>6259</v>
      </c>
      <c r="H403">
        <v>1991</v>
      </c>
      <c r="I403">
        <v>1993</v>
      </c>
      <c r="J403">
        <f t="shared" si="12"/>
        <v>3</v>
      </c>
      <c r="K403" s="1" t="s">
        <v>6076</v>
      </c>
      <c r="L403" s="1" t="s">
        <v>6076</v>
      </c>
      <c r="M403">
        <f t="shared" si="13"/>
        <v>33</v>
      </c>
    </row>
    <row r="404" spans="1:14" x14ac:dyDescent="0.3">
      <c r="A404" s="1" t="s">
        <v>6260</v>
      </c>
      <c r="B404" s="1" t="s">
        <v>5913</v>
      </c>
      <c r="C404" s="1" t="s">
        <v>6261</v>
      </c>
      <c r="D404" s="1" t="s">
        <v>738</v>
      </c>
      <c r="E404" s="1" t="s">
        <v>6076</v>
      </c>
      <c r="F404" s="1" t="s">
        <v>6076</v>
      </c>
      <c r="G404" s="1" t="s">
        <v>6259</v>
      </c>
      <c r="H404">
        <v>1990</v>
      </c>
      <c r="I404">
        <v>2003</v>
      </c>
      <c r="J404">
        <f t="shared" si="12"/>
        <v>14</v>
      </c>
      <c r="K404" s="1" t="s">
        <v>6076</v>
      </c>
      <c r="L404" s="1" t="s">
        <v>6076</v>
      </c>
      <c r="M404">
        <f t="shared" si="13"/>
        <v>23</v>
      </c>
    </row>
    <row r="405" spans="1:14" x14ac:dyDescent="0.3">
      <c r="A405" s="1" t="s">
        <v>6262</v>
      </c>
      <c r="B405" s="1" t="s">
        <v>5913</v>
      </c>
      <c r="C405" s="1" t="s">
        <v>6263</v>
      </c>
      <c r="D405" s="1" t="s">
        <v>738</v>
      </c>
      <c r="E405" s="1" t="s">
        <v>6076</v>
      </c>
      <c r="F405" s="1" t="s">
        <v>6076</v>
      </c>
      <c r="G405" s="1" t="s">
        <v>6259</v>
      </c>
      <c r="H405">
        <v>1991</v>
      </c>
      <c r="I405">
        <v>1995</v>
      </c>
      <c r="J405">
        <f t="shared" si="12"/>
        <v>5</v>
      </c>
      <c r="K405" s="1" t="s">
        <v>6076</v>
      </c>
      <c r="L405" s="1" t="s">
        <v>6076</v>
      </c>
      <c r="M405">
        <f t="shared" si="13"/>
        <v>31</v>
      </c>
    </row>
    <row r="406" spans="1:14" x14ac:dyDescent="0.3">
      <c r="A406" s="1" t="s">
        <v>6264</v>
      </c>
      <c r="B406" s="1" t="s">
        <v>5913</v>
      </c>
      <c r="C406" s="1" t="s">
        <v>6265</v>
      </c>
      <c r="D406" s="1" t="s">
        <v>738</v>
      </c>
      <c r="E406" s="1" t="s">
        <v>6076</v>
      </c>
      <c r="F406" s="1" t="s">
        <v>6076</v>
      </c>
      <c r="G406" s="1" t="s">
        <v>6259</v>
      </c>
      <c r="H406">
        <v>1996</v>
      </c>
      <c r="I406">
        <v>2000</v>
      </c>
      <c r="J406">
        <f t="shared" si="12"/>
        <v>5</v>
      </c>
      <c r="K406" s="1" t="s">
        <v>6076</v>
      </c>
      <c r="L406" s="1" t="s">
        <v>6076</v>
      </c>
      <c r="M406">
        <f t="shared" si="13"/>
        <v>26</v>
      </c>
    </row>
    <row r="407" spans="1:14" x14ac:dyDescent="0.3">
      <c r="A407" s="1" t="s">
        <v>6266</v>
      </c>
      <c r="B407" s="1" t="s">
        <v>5913</v>
      </c>
      <c r="C407" s="1" t="s">
        <v>6267</v>
      </c>
      <c r="D407" s="1" t="s">
        <v>738</v>
      </c>
      <c r="E407" s="1" t="s">
        <v>6076</v>
      </c>
      <c r="F407" s="1" t="s">
        <v>6076</v>
      </c>
      <c r="G407" s="1" t="s">
        <v>6259</v>
      </c>
      <c r="H407">
        <v>2012</v>
      </c>
      <c r="I407">
        <v>2014</v>
      </c>
      <c r="J407">
        <f t="shared" si="12"/>
        <v>3</v>
      </c>
      <c r="K407" s="1" t="s">
        <v>6076</v>
      </c>
      <c r="L407" s="1" t="s">
        <v>6076</v>
      </c>
      <c r="M407">
        <f t="shared" si="13"/>
        <v>12</v>
      </c>
    </row>
    <row r="408" spans="1:14" x14ac:dyDescent="0.3">
      <c r="A408" s="1" t="s">
        <v>6268</v>
      </c>
      <c r="B408" s="1" t="s">
        <v>5913</v>
      </c>
      <c r="C408" s="1" t="s">
        <v>6269</v>
      </c>
      <c r="D408" s="1" t="s">
        <v>738</v>
      </c>
      <c r="E408" s="1" t="s">
        <v>6076</v>
      </c>
      <c r="F408" s="1" t="s">
        <v>6076</v>
      </c>
      <c r="G408" s="1" t="s">
        <v>6259</v>
      </c>
      <c r="H408">
        <v>1996</v>
      </c>
      <c r="I408">
        <v>2001</v>
      </c>
      <c r="J408">
        <f t="shared" si="12"/>
        <v>6</v>
      </c>
      <c r="K408" s="1" t="s">
        <v>6076</v>
      </c>
      <c r="L408" s="1" t="s">
        <v>6076</v>
      </c>
      <c r="M408">
        <f t="shared" si="13"/>
        <v>25</v>
      </c>
    </row>
    <row r="409" spans="1:14" x14ac:dyDescent="0.3">
      <c r="A409" s="1" t="s">
        <v>6270</v>
      </c>
      <c r="B409" s="1" t="s">
        <v>5913</v>
      </c>
      <c r="C409" s="1" t="s">
        <v>6271</v>
      </c>
      <c r="D409" s="1" t="s">
        <v>738</v>
      </c>
      <c r="E409" s="1" t="s">
        <v>6076</v>
      </c>
      <c r="F409" s="1" t="s">
        <v>6076</v>
      </c>
      <c r="G409" s="1" t="s">
        <v>6259</v>
      </c>
      <c r="H409">
        <v>2012</v>
      </c>
      <c r="I409">
        <v>2014</v>
      </c>
      <c r="J409">
        <f t="shared" si="12"/>
        <v>3</v>
      </c>
      <c r="K409" s="1" t="s">
        <v>6076</v>
      </c>
      <c r="L409" s="1" t="s">
        <v>6076</v>
      </c>
      <c r="M409">
        <f t="shared" si="13"/>
        <v>12</v>
      </c>
    </row>
    <row r="410" spans="1:14" x14ac:dyDescent="0.3">
      <c r="A410" s="1" t="s">
        <v>6272</v>
      </c>
      <c r="B410" s="1" t="s">
        <v>5913</v>
      </c>
      <c r="C410" s="1" t="s">
        <v>6273</v>
      </c>
      <c r="D410" s="1" t="s">
        <v>738</v>
      </c>
      <c r="E410" s="1" t="s">
        <v>6076</v>
      </c>
      <c r="F410" s="1" t="s">
        <v>6076</v>
      </c>
      <c r="G410" s="1" t="s">
        <v>6259</v>
      </c>
      <c r="H410">
        <v>1996</v>
      </c>
      <c r="I410">
        <v>1999</v>
      </c>
      <c r="J410">
        <f t="shared" si="12"/>
        <v>4</v>
      </c>
      <c r="K410" s="1" t="s">
        <v>6076</v>
      </c>
      <c r="L410" s="1" t="s">
        <v>6076</v>
      </c>
      <c r="M410">
        <f t="shared" si="13"/>
        <v>27</v>
      </c>
    </row>
    <row r="411" spans="1:14" x14ac:dyDescent="0.3">
      <c r="A411" s="1" t="s">
        <v>7199</v>
      </c>
      <c r="B411" s="1" t="s">
        <v>7121</v>
      </c>
      <c r="C411" s="1" t="s">
        <v>7200</v>
      </c>
      <c r="D411" s="1" t="s">
        <v>738</v>
      </c>
      <c r="E411" s="1" t="s">
        <v>6076</v>
      </c>
      <c r="F411" s="1" t="s">
        <v>6076</v>
      </c>
      <c r="G411" s="1">
        <v>530</v>
      </c>
      <c r="H411">
        <v>2015</v>
      </c>
      <c r="I411">
        <v>2016</v>
      </c>
      <c r="J411">
        <f t="shared" si="12"/>
        <v>2</v>
      </c>
      <c r="K411" s="1" t="s">
        <v>6076</v>
      </c>
      <c r="L411" s="1" t="s">
        <v>6076</v>
      </c>
      <c r="M411">
        <f t="shared" si="13"/>
        <v>10</v>
      </c>
      <c r="N411" t="s">
        <v>650</v>
      </c>
    </row>
    <row r="412" spans="1:14" x14ac:dyDescent="0.3">
      <c r="A412" s="1" t="s">
        <v>7201</v>
      </c>
      <c r="B412" s="1" t="s">
        <v>7121</v>
      </c>
      <c r="C412" s="1" t="s">
        <v>7202</v>
      </c>
      <c r="D412" s="1" t="s">
        <v>738</v>
      </c>
      <c r="E412" s="1" t="s">
        <v>6076</v>
      </c>
      <c r="F412" s="1" t="s">
        <v>6076</v>
      </c>
      <c r="G412" s="1">
        <v>530</v>
      </c>
      <c r="H412">
        <v>2015</v>
      </c>
      <c r="I412">
        <v>2016</v>
      </c>
      <c r="J412">
        <f t="shared" si="12"/>
        <v>2</v>
      </c>
      <c r="K412" s="1" t="s">
        <v>6076</v>
      </c>
      <c r="L412" s="1" t="s">
        <v>6076</v>
      </c>
      <c r="M412">
        <f t="shared" si="13"/>
        <v>10</v>
      </c>
      <c r="N412" t="s">
        <v>650</v>
      </c>
    </row>
    <row r="413" spans="1:14" x14ac:dyDescent="0.3">
      <c r="A413" t="s">
        <v>10928</v>
      </c>
      <c r="B413" t="s">
        <v>5913</v>
      </c>
      <c r="C413" t="s">
        <v>10929</v>
      </c>
      <c r="E413" s="1" t="s">
        <v>6076</v>
      </c>
      <c r="F413" s="1" t="s">
        <v>6076</v>
      </c>
      <c r="G413" s="1" t="s">
        <v>12768</v>
      </c>
      <c r="H413">
        <v>2023</v>
      </c>
      <c r="I413">
        <v>2023</v>
      </c>
      <c r="J413">
        <f t="shared" si="12"/>
        <v>1</v>
      </c>
      <c r="K413" s="1" t="s">
        <v>6076</v>
      </c>
      <c r="L413" s="1" t="s">
        <v>6076</v>
      </c>
      <c r="M413">
        <f t="shared" si="13"/>
        <v>3</v>
      </c>
    </row>
    <row r="414" spans="1:14" x14ac:dyDescent="0.3">
      <c r="A414" s="1" t="s">
        <v>6274</v>
      </c>
      <c r="B414" s="1" t="s">
        <v>5913</v>
      </c>
      <c r="C414" s="1" t="s">
        <v>6275</v>
      </c>
      <c r="D414" s="1" t="s">
        <v>738</v>
      </c>
      <c r="E414" s="1" t="s">
        <v>6076</v>
      </c>
      <c r="F414" s="1" t="s">
        <v>6076</v>
      </c>
      <c r="G414" s="1" t="s">
        <v>6259</v>
      </c>
      <c r="H414">
        <v>1992</v>
      </c>
      <c r="I414">
        <v>2010</v>
      </c>
      <c r="J414">
        <f t="shared" si="12"/>
        <v>19</v>
      </c>
      <c r="K414" s="1" t="s">
        <v>6076</v>
      </c>
      <c r="L414" s="1" t="s">
        <v>6076</v>
      </c>
      <c r="M414">
        <f t="shared" si="13"/>
        <v>16</v>
      </c>
    </row>
    <row r="415" spans="1:14" x14ac:dyDescent="0.3">
      <c r="A415" s="1" t="s">
        <v>6276</v>
      </c>
      <c r="B415" s="1" t="s">
        <v>5913</v>
      </c>
      <c r="C415" s="1" t="s">
        <v>6277</v>
      </c>
      <c r="D415" s="1" t="s">
        <v>738</v>
      </c>
      <c r="E415" s="1" t="s">
        <v>6076</v>
      </c>
      <c r="F415" s="1" t="s">
        <v>6076</v>
      </c>
      <c r="G415" s="1" t="s">
        <v>6259</v>
      </c>
      <c r="H415">
        <v>2017</v>
      </c>
      <c r="I415">
        <v>2019</v>
      </c>
      <c r="J415">
        <f t="shared" si="12"/>
        <v>3</v>
      </c>
      <c r="K415" s="1" t="s">
        <v>6076</v>
      </c>
      <c r="L415" s="1" t="s">
        <v>6076</v>
      </c>
      <c r="M415">
        <f t="shared" si="13"/>
        <v>7</v>
      </c>
    </row>
    <row r="416" spans="1:14" x14ac:dyDescent="0.3">
      <c r="A416" s="1" t="s">
        <v>6278</v>
      </c>
      <c r="B416" s="1" t="s">
        <v>5913</v>
      </c>
      <c r="C416" s="1" t="s">
        <v>6279</v>
      </c>
      <c r="D416" s="1" t="s">
        <v>738</v>
      </c>
      <c r="E416" s="1" t="s">
        <v>6076</v>
      </c>
      <c r="F416" s="1" t="s">
        <v>6076</v>
      </c>
      <c r="G416" s="1" t="s">
        <v>6259</v>
      </c>
      <c r="H416">
        <v>2008</v>
      </c>
      <c r="I416">
        <v>2008</v>
      </c>
      <c r="J416">
        <f t="shared" si="12"/>
        <v>1</v>
      </c>
      <c r="K416" s="1" t="s">
        <v>6076</v>
      </c>
      <c r="L416" s="1" t="s">
        <v>6076</v>
      </c>
      <c r="M416">
        <f t="shared" si="13"/>
        <v>18</v>
      </c>
    </row>
    <row r="417" spans="1:13" x14ac:dyDescent="0.3">
      <c r="A417" s="1" t="s">
        <v>6280</v>
      </c>
      <c r="B417" s="1" t="s">
        <v>5913</v>
      </c>
      <c r="C417" s="1" t="s">
        <v>6281</v>
      </c>
      <c r="D417" s="1" t="s">
        <v>738</v>
      </c>
      <c r="E417" s="1" t="s">
        <v>6076</v>
      </c>
      <c r="F417" s="1" t="s">
        <v>6076</v>
      </c>
      <c r="G417" s="1" t="s">
        <v>6259</v>
      </c>
      <c r="H417">
        <v>1992</v>
      </c>
      <c r="I417">
        <v>2010</v>
      </c>
      <c r="J417">
        <f t="shared" si="12"/>
        <v>19</v>
      </c>
      <c r="K417" s="1" t="s">
        <v>6076</v>
      </c>
      <c r="L417" s="1" t="s">
        <v>6076</v>
      </c>
      <c r="M417">
        <f t="shared" si="13"/>
        <v>16</v>
      </c>
    </row>
    <row r="418" spans="1:13" x14ac:dyDescent="0.3">
      <c r="A418" s="1" t="s">
        <v>6282</v>
      </c>
      <c r="B418" s="1" t="s">
        <v>5913</v>
      </c>
      <c r="C418" s="1" t="s">
        <v>6283</v>
      </c>
      <c r="D418" s="1" t="s">
        <v>738</v>
      </c>
      <c r="E418" s="1" t="s">
        <v>6076</v>
      </c>
      <c r="F418" s="1" t="s">
        <v>6076</v>
      </c>
      <c r="G418" s="1" t="s">
        <v>6259</v>
      </c>
      <c r="H418">
        <v>1992</v>
      </c>
      <c r="I418">
        <v>1995</v>
      </c>
      <c r="J418">
        <f t="shared" si="12"/>
        <v>4</v>
      </c>
      <c r="K418" s="1" t="s">
        <v>6076</v>
      </c>
      <c r="L418" s="1" t="s">
        <v>6076</v>
      </c>
      <c r="M418">
        <f t="shared" si="13"/>
        <v>31</v>
      </c>
    </row>
    <row r="419" spans="1:13" x14ac:dyDescent="0.3">
      <c r="A419" s="1" t="s">
        <v>6284</v>
      </c>
      <c r="B419" s="1" t="s">
        <v>5913</v>
      </c>
      <c r="C419" s="1" t="s">
        <v>6285</v>
      </c>
      <c r="D419" s="1" t="s">
        <v>738</v>
      </c>
      <c r="E419" s="1" t="s">
        <v>6076</v>
      </c>
      <c r="F419" s="1" t="s">
        <v>6076</v>
      </c>
      <c r="G419" s="1" t="s">
        <v>6259</v>
      </c>
      <c r="H419">
        <v>1990</v>
      </c>
      <c r="I419">
        <v>1993</v>
      </c>
      <c r="J419">
        <f t="shared" si="12"/>
        <v>4</v>
      </c>
      <c r="K419" s="1" t="s">
        <v>6076</v>
      </c>
      <c r="L419" s="1" t="s">
        <v>6076</v>
      </c>
      <c r="M419">
        <f t="shared" si="13"/>
        <v>33</v>
      </c>
    </row>
    <row r="420" spans="1:13" x14ac:dyDescent="0.3">
      <c r="A420" s="1" t="s">
        <v>6286</v>
      </c>
      <c r="B420" s="1" t="s">
        <v>5913</v>
      </c>
      <c r="C420" s="1" t="s">
        <v>6287</v>
      </c>
      <c r="D420" s="1" t="s">
        <v>738</v>
      </c>
      <c r="E420" s="1" t="s">
        <v>6076</v>
      </c>
      <c r="F420" s="1" t="s">
        <v>6076</v>
      </c>
      <c r="G420" s="1" t="s">
        <v>6259</v>
      </c>
      <c r="H420">
        <v>2010</v>
      </c>
      <c r="I420">
        <v>2013</v>
      </c>
      <c r="J420">
        <f t="shared" si="12"/>
        <v>4</v>
      </c>
      <c r="K420" s="1" t="s">
        <v>6076</v>
      </c>
      <c r="L420" s="1" t="s">
        <v>6076</v>
      </c>
      <c r="M420">
        <f t="shared" si="13"/>
        <v>13</v>
      </c>
    </row>
    <row r="421" spans="1:13" x14ac:dyDescent="0.3">
      <c r="A421" s="1" t="s">
        <v>6288</v>
      </c>
      <c r="B421" s="1" t="s">
        <v>5913</v>
      </c>
      <c r="C421" s="1" t="s">
        <v>6289</v>
      </c>
      <c r="D421" s="1" t="s">
        <v>738</v>
      </c>
      <c r="E421" s="1" t="s">
        <v>6076</v>
      </c>
      <c r="F421" s="1" t="s">
        <v>6076</v>
      </c>
      <c r="G421" s="1" t="s">
        <v>6259</v>
      </c>
      <c r="H421">
        <v>2010</v>
      </c>
      <c r="I421">
        <v>2012</v>
      </c>
      <c r="J421">
        <f t="shared" si="12"/>
        <v>3</v>
      </c>
      <c r="K421" s="1" t="s">
        <v>6076</v>
      </c>
      <c r="L421" s="1" t="s">
        <v>6076</v>
      </c>
      <c r="M421">
        <f t="shared" si="13"/>
        <v>14</v>
      </c>
    </row>
    <row r="422" spans="1:13" x14ac:dyDescent="0.3">
      <c r="A422" s="1" t="s">
        <v>6290</v>
      </c>
      <c r="B422" s="1" t="s">
        <v>5913</v>
      </c>
      <c r="C422" s="1" t="s">
        <v>6291</v>
      </c>
      <c r="D422" s="1" t="s">
        <v>738</v>
      </c>
      <c r="E422" s="1" t="s">
        <v>6076</v>
      </c>
      <c r="F422" s="1" t="s">
        <v>6076</v>
      </c>
      <c r="G422" s="1" t="s">
        <v>6259</v>
      </c>
      <c r="H422">
        <v>2010</v>
      </c>
      <c r="I422">
        <v>2013</v>
      </c>
      <c r="J422">
        <f t="shared" si="12"/>
        <v>4</v>
      </c>
      <c r="K422" s="1" t="s">
        <v>6076</v>
      </c>
      <c r="L422" s="1" t="s">
        <v>6076</v>
      </c>
      <c r="M422">
        <f t="shared" si="13"/>
        <v>13</v>
      </c>
    </row>
    <row r="423" spans="1:13" x14ac:dyDescent="0.3">
      <c r="A423" s="1" t="s">
        <v>6292</v>
      </c>
      <c r="B423" s="1" t="s">
        <v>5913</v>
      </c>
      <c r="C423" s="1" t="s">
        <v>6293</v>
      </c>
      <c r="D423" s="1" t="s">
        <v>738</v>
      </c>
      <c r="E423" s="1" t="s">
        <v>6076</v>
      </c>
      <c r="F423" s="1" t="s">
        <v>6076</v>
      </c>
      <c r="G423" s="1" t="s">
        <v>6259</v>
      </c>
      <c r="H423">
        <v>1992</v>
      </c>
      <c r="I423">
        <v>2000</v>
      </c>
      <c r="J423">
        <f t="shared" si="12"/>
        <v>9</v>
      </c>
      <c r="K423" s="1" t="s">
        <v>6076</v>
      </c>
      <c r="L423" s="1" t="s">
        <v>6076</v>
      </c>
      <c r="M423">
        <f t="shared" si="13"/>
        <v>26</v>
      </c>
    </row>
    <row r="424" spans="1:13" x14ac:dyDescent="0.3">
      <c r="A424" s="1" t="s">
        <v>6294</v>
      </c>
      <c r="B424" s="1" t="s">
        <v>5913</v>
      </c>
      <c r="C424" s="1" t="s">
        <v>6295</v>
      </c>
      <c r="D424" s="1" t="s">
        <v>738</v>
      </c>
      <c r="E424" s="1" t="s">
        <v>6076</v>
      </c>
      <c r="F424" s="1" t="s">
        <v>6076</v>
      </c>
      <c r="G424" s="1" t="s">
        <v>6259</v>
      </c>
      <c r="H424">
        <v>1992</v>
      </c>
      <c r="I424">
        <v>2000</v>
      </c>
      <c r="J424">
        <f t="shared" si="12"/>
        <v>9</v>
      </c>
      <c r="K424" s="1" t="s">
        <v>6076</v>
      </c>
      <c r="L424" s="1" t="s">
        <v>6076</v>
      </c>
      <c r="M424">
        <f t="shared" si="13"/>
        <v>26</v>
      </c>
    </row>
    <row r="425" spans="1:13" x14ac:dyDescent="0.3">
      <c r="A425" s="1" t="s">
        <v>6296</v>
      </c>
      <c r="B425" s="1" t="s">
        <v>5913</v>
      </c>
      <c r="C425" s="1" t="s">
        <v>6297</v>
      </c>
      <c r="D425" s="1" t="s">
        <v>738</v>
      </c>
      <c r="E425" s="1" t="s">
        <v>6076</v>
      </c>
      <c r="F425" s="1" t="s">
        <v>6076</v>
      </c>
      <c r="G425" s="1" t="s">
        <v>6259</v>
      </c>
      <c r="H425">
        <v>1994</v>
      </c>
      <c r="I425">
        <v>2001</v>
      </c>
      <c r="J425">
        <f t="shared" si="12"/>
        <v>8</v>
      </c>
      <c r="K425" s="1" t="s">
        <v>6076</v>
      </c>
      <c r="L425" s="1" t="s">
        <v>6076</v>
      </c>
      <c r="M425">
        <f t="shared" si="13"/>
        <v>25</v>
      </c>
    </row>
    <row r="426" spans="1:13" x14ac:dyDescent="0.3">
      <c r="A426" s="1" t="s">
        <v>6298</v>
      </c>
      <c r="B426" s="1" t="s">
        <v>5913</v>
      </c>
      <c r="C426" s="1" t="s">
        <v>6299</v>
      </c>
      <c r="D426" s="1" t="s">
        <v>738</v>
      </c>
      <c r="E426" s="1" t="s">
        <v>6076</v>
      </c>
      <c r="F426" s="1" t="s">
        <v>6076</v>
      </c>
      <c r="G426" s="1" t="s">
        <v>6259</v>
      </c>
      <c r="H426">
        <v>1992</v>
      </c>
      <c r="I426">
        <v>2003</v>
      </c>
      <c r="J426">
        <f t="shared" si="12"/>
        <v>12</v>
      </c>
      <c r="K426" s="1" t="s">
        <v>6076</v>
      </c>
      <c r="L426" s="1" t="s">
        <v>6076</v>
      </c>
      <c r="M426">
        <f t="shared" si="13"/>
        <v>23</v>
      </c>
    </row>
    <row r="427" spans="1:13" x14ac:dyDescent="0.3">
      <c r="A427" s="1" t="s">
        <v>6300</v>
      </c>
      <c r="B427" s="1" t="s">
        <v>5913</v>
      </c>
      <c r="C427" s="1" t="s">
        <v>6301</v>
      </c>
      <c r="D427" s="1" t="s">
        <v>738</v>
      </c>
      <c r="E427" s="1" t="s">
        <v>6076</v>
      </c>
      <c r="F427" s="1" t="s">
        <v>6076</v>
      </c>
      <c r="G427" s="1" t="s">
        <v>6259</v>
      </c>
      <c r="H427">
        <v>2001</v>
      </c>
      <c r="I427">
        <v>2003</v>
      </c>
      <c r="J427">
        <f t="shared" si="12"/>
        <v>3</v>
      </c>
      <c r="K427" s="1" t="s">
        <v>6076</v>
      </c>
      <c r="L427" s="1" t="s">
        <v>6076</v>
      </c>
      <c r="M427">
        <f t="shared" si="13"/>
        <v>23</v>
      </c>
    </row>
    <row r="428" spans="1:13" x14ac:dyDescent="0.3">
      <c r="A428" s="1" t="s">
        <v>6302</v>
      </c>
      <c r="B428" s="1" t="s">
        <v>5913</v>
      </c>
      <c r="C428" s="1" t="s">
        <v>6303</v>
      </c>
      <c r="D428" s="1" t="s">
        <v>738</v>
      </c>
      <c r="E428" s="1" t="s">
        <v>6076</v>
      </c>
      <c r="F428" s="1" t="s">
        <v>6076</v>
      </c>
      <c r="G428" s="1" t="s">
        <v>6259</v>
      </c>
      <c r="H428">
        <v>1998</v>
      </c>
      <c r="I428">
        <v>2003</v>
      </c>
      <c r="J428">
        <f t="shared" si="12"/>
        <v>6</v>
      </c>
      <c r="K428" s="1" t="s">
        <v>6076</v>
      </c>
      <c r="L428" s="1" t="s">
        <v>6076</v>
      </c>
      <c r="M428">
        <f t="shared" si="13"/>
        <v>23</v>
      </c>
    </row>
    <row r="429" spans="1:13" x14ac:dyDescent="0.3">
      <c r="A429" s="1" t="s">
        <v>6304</v>
      </c>
      <c r="B429" s="1" t="s">
        <v>5913</v>
      </c>
      <c r="C429" s="1" t="s">
        <v>6305</v>
      </c>
      <c r="D429" s="1" t="s">
        <v>738</v>
      </c>
      <c r="E429" s="1" t="s">
        <v>6076</v>
      </c>
      <c r="F429" s="1" t="s">
        <v>6076</v>
      </c>
      <c r="G429" s="1" t="s">
        <v>6259</v>
      </c>
      <c r="H429">
        <v>1994</v>
      </c>
      <c r="I429">
        <v>2001</v>
      </c>
      <c r="J429">
        <f t="shared" si="12"/>
        <v>8</v>
      </c>
      <c r="K429" s="1" t="s">
        <v>6076</v>
      </c>
      <c r="L429" s="1" t="s">
        <v>6076</v>
      </c>
      <c r="M429">
        <f t="shared" si="13"/>
        <v>25</v>
      </c>
    </row>
    <row r="430" spans="1:13" x14ac:dyDescent="0.3">
      <c r="A430" s="1" t="s">
        <v>6306</v>
      </c>
      <c r="B430" s="1" t="s">
        <v>5913</v>
      </c>
      <c r="C430" s="1" t="s">
        <v>6307</v>
      </c>
      <c r="D430" s="1" t="s">
        <v>738</v>
      </c>
      <c r="E430" s="1" t="s">
        <v>6076</v>
      </c>
      <c r="F430" s="1" t="s">
        <v>6076</v>
      </c>
      <c r="G430" s="1" t="s">
        <v>6259</v>
      </c>
      <c r="H430">
        <v>2004</v>
      </c>
      <c r="I430">
        <v>2006</v>
      </c>
      <c r="J430">
        <f t="shared" si="12"/>
        <v>3</v>
      </c>
      <c r="K430" s="1" t="s">
        <v>6076</v>
      </c>
      <c r="L430" s="1" t="s">
        <v>6076</v>
      </c>
      <c r="M430">
        <f t="shared" si="13"/>
        <v>20</v>
      </c>
    </row>
    <row r="431" spans="1:13" x14ac:dyDescent="0.3">
      <c r="A431" s="1" t="s">
        <v>6308</v>
      </c>
      <c r="B431" s="1" t="s">
        <v>5913</v>
      </c>
      <c r="C431" s="1" t="s">
        <v>6309</v>
      </c>
      <c r="D431" s="1" t="s">
        <v>738</v>
      </c>
      <c r="E431" s="1" t="s">
        <v>6076</v>
      </c>
      <c r="F431" s="1" t="s">
        <v>6076</v>
      </c>
      <c r="G431" s="1" t="s">
        <v>6259</v>
      </c>
      <c r="H431">
        <v>2010</v>
      </c>
      <c r="I431">
        <v>2012</v>
      </c>
      <c r="J431">
        <f t="shared" si="12"/>
        <v>3</v>
      </c>
      <c r="K431" s="1" t="s">
        <v>6076</v>
      </c>
      <c r="L431" s="1" t="s">
        <v>6076</v>
      </c>
      <c r="M431">
        <f t="shared" si="13"/>
        <v>14</v>
      </c>
    </row>
    <row r="432" spans="1:13" x14ac:dyDescent="0.3">
      <c r="A432" s="1" t="s">
        <v>6310</v>
      </c>
      <c r="B432" s="1" t="s">
        <v>5913</v>
      </c>
      <c r="C432" s="1" t="s">
        <v>6311</v>
      </c>
      <c r="D432" s="1" t="s">
        <v>738</v>
      </c>
      <c r="E432" s="1" t="s">
        <v>6076</v>
      </c>
      <c r="F432" s="1" t="s">
        <v>6076</v>
      </c>
      <c r="G432" s="1" t="s">
        <v>6259</v>
      </c>
      <c r="H432">
        <v>2006</v>
      </c>
      <c r="I432">
        <v>2009</v>
      </c>
      <c r="J432">
        <f t="shared" si="12"/>
        <v>4</v>
      </c>
      <c r="K432" s="1" t="s">
        <v>6076</v>
      </c>
      <c r="L432" s="1" t="s">
        <v>6076</v>
      </c>
      <c r="M432">
        <f t="shared" si="13"/>
        <v>17</v>
      </c>
    </row>
    <row r="433" spans="1:14" x14ac:dyDescent="0.3">
      <c r="A433" s="1" t="s">
        <v>6312</v>
      </c>
      <c r="B433" s="1" t="s">
        <v>5913</v>
      </c>
      <c r="C433" s="1" t="s">
        <v>6313</v>
      </c>
      <c r="D433" s="1" t="s">
        <v>738</v>
      </c>
      <c r="E433" s="1" t="s">
        <v>6076</v>
      </c>
      <c r="F433" s="1" t="s">
        <v>6076</v>
      </c>
      <c r="G433" s="1" t="s">
        <v>6259</v>
      </c>
      <c r="H433">
        <v>2010</v>
      </c>
      <c r="I433">
        <v>2010</v>
      </c>
      <c r="J433">
        <f t="shared" si="12"/>
        <v>1</v>
      </c>
      <c r="K433" s="1" t="s">
        <v>6076</v>
      </c>
      <c r="L433" s="1" t="s">
        <v>6076</v>
      </c>
      <c r="M433">
        <f t="shared" si="13"/>
        <v>16</v>
      </c>
    </row>
    <row r="434" spans="1:14" x14ac:dyDescent="0.3">
      <c r="A434" s="1" t="s">
        <v>6314</v>
      </c>
      <c r="B434" s="1" t="s">
        <v>5913</v>
      </c>
      <c r="C434" s="1" t="s">
        <v>6315</v>
      </c>
      <c r="D434" s="1" t="s">
        <v>738</v>
      </c>
      <c r="E434" s="1" t="s">
        <v>6076</v>
      </c>
      <c r="F434" s="1" t="s">
        <v>6076</v>
      </c>
      <c r="G434" s="1" t="s">
        <v>6259</v>
      </c>
      <c r="H434">
        <v>2006</v>
      </c>
      <c r="I434">
        <v>2009</v>
      </c>
      <c r="J434">
        <f t="shared" si="12"/>
        <v>4</v>
      </c>
      <c r="K434" s="1" t="s">
        <v>6076</v>
      </c>
      <c r="L434" s="1" t="s">
        <v>6076</v>
      </c>
      <c r="M434">
        <f t="shared" si="13"/>
        <v>17</v>
      </c>
    </row>
    <row r="435" spans="1:14" x14ac:dyDescent="0.3">
      <c r="A435" s="1" t="s">
        <v>7264</v>
      </c>
      <c r="B435" s="1" t="s">
        <v>5931</v>
      </c>
      <c r="C435" s="1" t="s">
        <v>7265</v>
      </c>
      <c r="D435" s="1" t="s">
        <v>738</v>
      </c>
      <c r="E435" s="1" t="s">
        <v>6076</v>
      </c>
      <c r="F435" s="1" t="s">
        <v>6076</v>
      </c>
      <c r="G435" s="1" t="s">
        <v>7266</v>
      </c>
      <c r="H435">
        <v>1987</v>
      </c>
      <c r="I435">
        <v>1992</v>
      </c>
      <c r="J435">
        <f t="shared" si="12"/>
        <v>6</v>
      </c>
      <c r="K435" s="1" t="s">
        <v>6076</v>
      </c>
      <c r="L435" s="1" t="s">
        <v>6076</v>
      </c>
      <c r="M435">
        <f t="shared" si="13"/>
        <v>34</v>
      </c>
    </row>
    <row r="436" spans="1:14" x14ac:dyDescent="0.3">
      <c r="A436" s="1" t="s">
        <v>7207</v>
      </c>
      <c r="B436" s="1" t="s">
        <v>642</v>
      </c>
      <c r="C436" s="1" t="s">
        <v>7208</v>
      </c>
      <c r="D436" s="1" t="s">
        <v>738</v>
      </c>
      <c r="E436" s="1" t="s">
        <v>6076</v>
      </c>
      <c r="F436" s="1" t="s">
        <v>6076</v>
      </c>
      <c r="G436" s="1">
        <v>605</v>
      </c>
      <c r="H436">
        <v>1992</v>
      </c>
      <c r="I436">
        <v>1995</v>
      </c>
      <c r="J436">
        <f t="shared" si="12"/>
        <v>4</v>
      </c>
      <c r="K436" s="1" t="s">
        <v>6076</v>
      </c>
      <c r="L436" s="1" t="s">
        <v>6076</v>
      </c>
      <c r="M436">
        <f t="shared" si="13"/>
        <v>31</v>
      </c>
      <c r="N436" t="s">
        <v>640</v>
      </c>
    </row>
    <row r="437" spans="1:14" x14ac:dyDescent="0.3">
      <c r="A437" s="1" t="s">
        <v>7205</v>
      </c>
      <c r="B437" s="1" t="s">
        <v>642</v>
      </c>
      <c r="C437" s="1" t="s">
        <v>7206</v>
      </c>
      <c r="D437" s="1" t="s">
        <v>738</v>
      </c>
      <c r="E437" s="1" t="s">
        <v>6076</v>
      </c>
      <c r="F437" s="1" t="s">
        <v>6076</v>
      </c>
      <c r="G437" s="1">
        <v>605</v>
      </c>
      <c r="H437">
        <v>1994</v>
      </c>
      <c r="I437">
        <v>1995</v>
      </c>
      <c r="J437">
        <f t="shared" si="12"/>
        <v>2</v>
      </c>
      <c r="K437" s="1" t="s">
        <v>6076</v>
      </c>
      <c r="L437" s="1" t="s">
        <v>6076</v>
      </c>
      <c r="M437">
        <f t="shared" si="13"/>
        <v>31</v>
      </c>
      <c r="N437" t="s">
        <v>640</v>
      </c>
    </row>
    <row r="438" spans="1:14" x14ac:dyDescent="0.3">
      <c r="A438" s="1" t="s">
        <v>7209</v>
      </c>
      <c r="B438" s="1" t="s">
        <v>642</v>
      </c>
      <c r="C438" s="1" t="s">
        <v>7210</v>
      </c>
      <c r="D438" s="1" t="s">
        <v>738</v>
      </c>
      <c r="E438" s="1" t="s">
        <v>6076</v>
      </c>
      <c r="F438" s="1" t="s">
        <v>6076</v>
      </c>
      <c r="G438" s="1">
        <v>605</v>
      </c>
      <c r="H438">
        <v>1992</v>
      </c>
      <c r="I438">
        <v>1995</v>
      </c>
      <c r="J438">
        <f t="shared" si="12"/>
        <v>4</v>
      </c>
      <c r="K438" s="1" t="s">
        <v>6076</v>
      </c>
      <c r="L438" s="1" t="s">
        <v>6076</v>
      </c>
      <c r="M438">
        <f t="shared" si="13"/>
        <v>31</v>
      </c>
      <c r="N438" t="s">
        <v>640</v>
      </c>
    </row>
    <row r="439" spans="1:14" x14ac:dyDescent="0.3">
      <c r="A439" s="1" t="s">
        <v>7203</v>
      </c>
      <c r="B439" s="1" t="s">
        <v>642</v>
      </c>
      <c r="C439" s="1" t="s">
        <v>7204</v>
      </c>
      <c r="D439" s="1" t="s">
        <v>738</v>
      </c>
      <c r="E439" s="1" t="s">
        <v>6076</v>
      </c>
      <c r="F439" s="1" t="s">
        <v>6076</v>
      </c>
      <c r="G439" s="1">
        <v>605</v>
      </c>
      <c r="H439">
        <v>1994</v>
      </c>
      <c r="I439">
        <v>2000</v>
      </c>
      <c r="J439">
        <f t="shared" si="12"/>
        <v>7</v>
      </c>
      <c r="K439" s="1" t="s">
        <v>6076</v>
      </c>
      <c r="L439" s="1" t="s">
        <v>6076</v>
      </c>
      <c r="M439">
        <f t="shared" si="13"/>
        <v>26</v>
      </c>
      <c r="N439" t="s">
        <v>640</v>
      </c>
    </row>
    <row r="440" spans="1:14" x14ac:dyDescent="0.3">
      <c r="A440" s="1" t="s">
        <v>7211</v>
      </c>
      <c r="B440" s="1" t="s">
        <v>642</v>
      </c>
      <c r="C440" s="1" t="s">
        <v>7212</v>
      </c>
      <c r="D440" s="1" t="s">
        <v>738</v>
      </c>
      <c r="E440" s="1" t="s">
        <v>6076</v>
      </c>
      <c r="F440" s="1" t="s">
        <v>6076</v>
      </c>
      <c r="G440" s="1">
        <v>607</v>
      </c>
      <c r="H440">
        <v>2000</v>
      </c>
      <c r="I440">
        <v>2005</v>
      </c>
      <c r="J440">
        <f t="shared" si="12"/>
        <v>6</v>
      </c>
      <c r="K440" s="1" t="s">
        <v>6076</v>
      </c>
      <c r="L440" s="1" t="s">
        <v>6076</v>
      </c>
      <c r="M440">
        <f t="shared" si="13"/>
        <v>21</v>
      </c>
      <c r="N440" t="s">
        <v>640</v>
      </c>
    </row>
    <row r="441" spans="1:14" x14ac:dyDescent="0.3">
      <c r="A441" s="1" t="s">
        <v>7213</v>
      </c>
      <c r="B441" s="1" t="s">
        <v>7121</v>
      </c>
      <c r="C441" s="1" t="s">
        <v>7214</v>
      </c>
      <c r="D441" s="1" t="s">
        <v>738</v>
      </c>
      <c r="E441" s="1" t="s">
        <v>6076</v>
      </c>
      <c r="F441" s="1" t="s">
        <v>6076</v>
      </c>
      <c r="G441" s="1">
        <v>620</v>
      </c>
      <c r="H441">
        <v>2009</v>
      </c>
      <c r="I441">
        <v>2012</v>
      </c>
      <c r="J441">
        <f t="shared" si="12"/>
        <v>4</v>
      </c>
      <c r="K441" s="1" t="s">
        <v>6076</v>
      </c>
      <c r="L441" s="1" t="s">
        <v>6076</v>
      </c>
      <c r="M441">
        <f t="shared" si="13"/>
        <v>14</v>
      </c>
      <c r="N441" t="s">
        <v>650</v>
      </c>
    </row>
    <row r="442" spans="1:14" x14ac:dyDescent="0.3">
      <c r="A442" s="1" t="s">
        <v>6316</v>
      </c>
      <c r="B442" s="1" t="s">
        <v>5913</v>
      </c>
      <c r="C442" s="1" t="s">
        <v>6317</v>
      </c>
      <c r="D442" s="1" t="s">
        <v>3850</v>
      </c>
      <c r="E442" s="1" t="s">
        <v>6076</v>
      </c>
      <c r="F442" s="1" t="s">
        <v>6076</v>
      </c>
      <c r="G442" s="1" t="s">
        <v>6318</v>
      </c>
      <c r="H442">
        <v>2013</v>
      </c>
      <c r="I442">
        <v>2015</v>
      </c>
      <c r="J442">
        <f t="shared" si="12"/>
        <v>3</v>
      </c>
      <c r="K442" s="1" t="s">
        <v>6076</v>
      </c>
      <c r="L442" s="1" t="s">
        <v>6076</v>
      </c>
      <c r="M442">
        <f t="shared" si="13"/>
        <v>11</v>
      </c>
    </row>
    <row r="443" spans="1:14" x14ac:dyDescent="0.3">
      <c r="A443" s="1" t="s">
        <v>6319</v>
      </c>
      <c r="B443" s="1" t="s">
        <v>5913</v>
      </c>
      <c r="C443" s="1" t="s">
        <v>6320</v>
      </c>
      <c r="D443" s="1" t="s">
        <v>3850</v>
      </c>
      <c r="E443" s="1" t="s">
        <v>6076</v>
      </c>
      <c r="F443" s="1" t="s">
        <v>6076</v>
      </c>
      <c r="G443" s="1" t="s">
        <v>6318</v>
      </c>
      <c r="H443">
        <v>2005</v>
      </c>
      <c r="I443">
        <v>2005</v>
      </c>
      <c r="J443">
        <f t="shared" si="12"/>
        <v>1</v>
      </c>
      <c r="K443" s="1" t="s">
        <v>6076</v>
      </c>
      <c r="L443" s="1" t="s">
        <v>6076</v>
      </c>
      <c r="M443">
        <f t="shared" si="13"/>
        <v>21</v>
      </c>
    </row>
    <row r="444" spans="1:14" x14ac:dyDescent="0.3">
      <c r="A444" s="1" t="s">
        <v>6321</v>
      </c>
      <c r="B444" s="1" t="s">
        <v>5913</v>
      </c>
      <c r="C444" s="1" t="s">
        <v>6322</v>
      </c>
      <c r="D444" s="1" t="s">
        <v>3850</v>
      </c>
      <c r="E444" s="1" t="s">
        <v>6076</v>
      </c>
      <c r="F444" s="1" t="s">
        <v>6076</v>
      </c>
      <c r="G444" s="1" t="s">
        <v>6318</v>
      </c>
      <c r="H444">
        <v>2004</v>
      </c>
      <c r="I444">
        <v>2005</v>
      </c>
      <c r="J444">
        <f t="shared" si="12"/>
        <v>2</v>
      </c>
      <c r="K444" s="1" t="s">
        <v>6076</v>
      </c>
      <c r="L444" s="1" t="s">
        <v>6076</v>
      </c>
      <c r="M444">
        <f t="shared" si="13"/>
        <v>21</v>
      </c>
    </row>
    <row r="445" spans="1:14" x14ac:dyDescent="0.3">
      <c r="A445" s="1" t="s">
        <v>6323</v>
      </c>
      <c r="B445" s="1" t="s">
        <v>5913</v>
      </c>
      <c r="C445" s="1" t="s">
        <v>6324</v>
      </c>
      <c r="D445" s="1" t="s">
        <v>3850</v>
      </c>
      <c r="E445" s="1" t="s">
        <v>6076</v>
      </c>
      <c r="F445" s="1" t="s">
        <v>6076</v>
      </c>
      <c r="G445" s="1" t="s">
        <v>6318</v>
      </c>
      <c r="H445">
        <v>2012</v>
      </c>
      <c r="I445">
        <v>2012</v>
      </c>
      <c r="J445">
        <f t="shared" si="12"/>
        <v>1</v>
      </c>
      <c r="K445" s="1" t="s">
        <v>6076</v>
      </c>
      <c r="L445" s="1" t="s">
        <v>6076</v>
      </c>
      <c r="M445">
        <f t="shared" si="13"/>
        <v>14</v>
      </c>
    </row>
    <row r="446" spans="1:14" x14ac:dyDescent="0.3">
      <c r="A446" s="1" t="s">
        <v>6325</v>
      </c>
      <c r="B446" s="1" t="s">
        <v>5913</v>
      </c>
      <c r="C446" s="1" t="s">
        <v>6326</v>
      </c>
      <c r="D446" s="1" t="s">
        <v>3850</v>
      </c>
      <c r="E446" s="1" t="s">
        <v>6076</v>
      </c>
      <c r="F446" s="1" t="s">
        <v>6076</v>
      </c>
      <c r="G446" s="1" t="s">
        <v>6318</v>
      </c>
      <c r="H446">
        <v>2006</v>
      </c>
      <c r="I446">
        <v>2012</v>
      </c>
      <c r="J446">
        <f t="shared" si="12"/>
        <v>7</v>
      </c>
      <c r="K446" s="1" t="s">
        <v>6076</v>
      </c>
      <c r="L446" s="1" t="s">
        <v>6076</v>
      </c>
      <c r="M446">
        <f t="shared" si="13"/>
        <v>14</v>
      </c>
    </row>
    <row r="447" spans="1:14" x14ac:dyDescent="0.3">
      <c r="A447" s="1" t="s">
        <v>6327</v>
      </c>
      <c r="B447" s="1" t="s">
        <v>5913</v>
      </c>
      <c r="C447" s="1" t="s">
        <v>6328</v>
      </c>
      <c r="D447" s="1" t="s">
        <v>3850</v>
      </c>
      <c r="E447" s="1" t="s">
        <v>6076</v>
      </c>
      <c r="F447" s="1" t="s">
        <v>6076</v>
      </c>
      <c r="G447" s="1" t="s">
        <v>6318</v>
      </c>
      <c r="H447">
        <v>2012</v>
      </c>
      <c r="I447">
        <v>2016</v>
      </c>
      <c r="J447">
        <f t="shared" si="12"/>
        <v>5</v>
      </c>
      <c r="K447" s="1" t="s">
        <v>6076</v>
      </c>
      <c r="L447" s="1" t="s">
        <v>6076</v>
      </c>
      <c r="M447">
        <f t="shared" si="13"/>
        <v>10</v>
      </c>
    </row>
    <row r="448" spans="1:14" x14ac:dyDescent="0.3">
      <c r="A448" s="1" t="s">
        <v>6329</v>
      </c>
      <c r="B448" s="1" t="s">
        <v>5913</v>
      </c>
      <c r="C448" s="1" t="s">
        <v>6330</v>
      </c>
      <c r="D448" s="1" t="s">
        <v>3850</v>
      </c>
      <c r="E448" s="1" t="s">
        <v>6076</v>
      </c>
      <c r="F448" s="1" t="s">
        <v>6076</v>
      </c>
      <c r="G448" s="1" t="s">
        <v>6318</v>
      </c>
      <c r="H448">
        <v>2012</v>
      </c>
      <c r="I448">
        <v>2012</v>
      </c>
      <c r="J448">
        <f t="shared" si="12"/>
        <v>1</v>
      </c>
      <c r="K448" s="1" t="s">
        <v>6076</v>
      </c>
      <c r="L448" s="1" t="s">
        <v>6076</v>
      </c>
      <c r="M448">
        <f t="shared" si="13"/>
        <v>14</v>
      </c>
    </row>
    <row r="449" spans="1:13" x14ac:dyDescent="0.3">
      <c r="A449" s="1" t="s">
        <v>6331</v>
      </c>
      <c r="B449" s="1" t="s">
        <v>5913</v>
      </c>
      <c r="C449" s="1" t="s">
        <v>6332</v>
      </c>
      <c r="D449" s="1" t="s">
        <v>3850</v>
      </c>
      <c r="E449" s="1" t="s">
        <v>6076</v>
      </c>
      <c r="F449" s="1" t="s">
        <v>6076</v>
      </c>
      <c r="G449" s="1" t="s">
        <v>6318</v>
      </c>
      <c r="H449">
        <v>2006</v>
      </c>
      <c r="I449">
        <v>2009</v>
      </c>
      <c r="J449">
        <f t="shared" si="12"/>
        <v>4</v>
      </c>
      <c r="K449" s="1" t="s">
        <v>6076</v>
      </c>
      <c r="L449" s="1" t="s">
        <v>6076</v>
      </c>
      <c r="M449">
        <f t="shared" si="13"/>
        <v>17</v>
      </c>
    </row>
    <row r="450" spans="1:13" x14ac:dyDescent="0.3">
      <c r="A450" s="1" t="s">
        <v>6333</v>
      </c>
      <c r="B450" s="1" t="s">
        <v>5913</v>
      </c>
      <c r="C450" s="1" t="s">
        <v>6334</v>
      </c>
      <c r="D450" s="1" t="s">
        <v>3850</v>
      </c>
      <c r="E450" s="1" t="s">
        <v>6076</v>
      </c>
      <c r="F450" s="1" t="s">
        <v>6076</v>
      </c>
      <c r="G450" s="1" t="s">
        <v>6318</v>
      </c>
      <c r="H450">
        <v>2010</v>
      </c>
      <c r="I450">
        <v>2010</v>
      </c>
      <c r="J450">
        <f t="shared" si="12"/>
        <v>1</v>
      </c>
      <c r="K450" s="1" t="s">
        <v>6076</v>
      </c>
      <c r="L450" s="1" t="s">
        <v>6076</v>
      </c>
      <c r="M450">
        <f t="shared" si="13"/>
        <v>16</v>
      </c>
    </row>
    <row r="451" spans="1:13" x14ac:dyDescent="0.3">
      <c r="A451" s="1" t="s">
        <v>6335</v>
      </c>
      <c r="B451" s="1" t="s">
        <v>5913</v>
      </c>
      <c r="C451" s="1" t="s">
        <v>6336</v>
      </c>
      <c r="D451" s="1" t="s">
        <v>738</v>
      </c>
      <c r="E451" s="1" t="s">
        <v>6076</v>
      </c>
      <c r="F451" s="1" t="s">
        <v>6076</v>
      </c>
      <c r="G451" s="1" t="s">
        <v>6337</v>
      </c>
      <c r="H451">
        <v>1991</v>
      </c>
      <c r="I451">
        <v>1992</v>
      </c>
      <c r="J451">
        <f t="shared" si="12"/>
        <v>2</v>
      </c>
      <c r="K451" s="1" t="s">
        <v>6076</v>
      </c>
      <c r="L451" s="1" t="s">
        <v>6076</v>
      </c>
      <c r="M451">
        <f t="shared" si="13"/>
        <v>34</v>
      </c>
    </row>
    <row r="452" spans="1:13" x14ac:dyDescent="0.3">
      <c r="A452" s="1" t="s">
        <v>6338</v>
      </c>
      <c r="B452" s="1" t="s">
        <v>5913</v>
      </c>
      <c r="C452" s="1" t="s">
        <v>6339</v>
      </c>
      <c r="D452" s="1" t="s">
        <v>738</v>
      </c>
      <c r="E452" s="1" t="s">
        <v>6076</v>
      </c>
      <c r="F452" s="1" t="s">
        <v>6076</v>
      </c>
      <c r="G452" s="1" t="s">
        <v>6337</v>
      </c>
      <c r="H452">
        <v>1991</v>
      </c>
      <c r="I452">
        <v>1992</v>
      </c>
      <c r="J452">
        <f t="shared" si="12"/>
        <v>2</v>
      </c>
      <c r="K452" s="1" t="s">
        <v>6076</v>
      </c>
      <c r="L452" s="1" t="s">
        <v>6076</v>
      </c>
      <c r="M452">
        <f t="shared" si="13"/>
        <v>34</v>
      </c>
    </row>
    <row r="453" spans="1:13" x14ac:dyDescent="0.3">
      <c r="A453" s="1" t="s">
        <v>6340</v>
      </c>
      <c r="B453" s="1" t="s">
        <v>5913</v>
      </c>
      <c r="C453" s="1" t="s">
        <v>6341</v>
      </c>
      <c r="D453" s="1" t="s">
        <v>738</v>
      </c>
      <c r="E453" s="1" t="s">
        <v>6076</v>
      </c>
      <c r="F453" s="1" t="s">
        <v>6076</v>
      </c>
      <c r="G453" s="1" t="s">
        <v>6337</v>
      </c>
      <c r="H453">
        <v>1987</v>
      </c>
      <c r="I453">
        <v>1992</v>
      </c>
      <c r="J453">
        <f t="shared" si="12"/>
        <v>6</v>
      </c>
      <c r="K453" s="1" t="s">
        <v>6076</v>
      </c>
      <c r="L453" s="1" t="s">
        <v>6076</v>
      </c>
      <c r="M453">
        <f t="shared" si="13"/>
        <v>34</v>
      </c>
    </row>
    <row r="454" spans="1:13" x14ac:dyDescent="0.3">
      <c r="A454" s="1" t="s">
        <v>6342</v>
      </c>
      <c r="B454" s="1" t="s">
        <v>5913</v>
      </c>
      <c r="C454" s="1" t="s">
        <v>6343</v>
      </c>
      <c r="D454" s="1" t="s">
        <v>738</v>
      </c>
      <c r="E454" s="1" t="s">
        <v>6076</v>
      </c>
      <c r="F454" s="1" t="s">
        <v>6076</v>
      </c>
      <c r="G454" s="1" t="s">
        <v>6337</v>
      </c>
      <c r="H454">
        <v>1992</v>
      </c>
      <c r="I454">
        <v>1997</v>
      </c>
      <c r="J454">
        <f t="shared" ref="J454:J517" si="14">1+(I454-H454)</f>
        <v>6</v>
      </c>
      <c r="K454" s="1" t="s">
        <v>6076</v>
      </c>
      <c r="L454" s="1" t="s">
        <v>6076</v>
      </c>
      <c r="M454">
        <f t="shared" ref="M454:M517" si="15">IF(I454=0,0,$B$2-I454)</f>
        <v>29</v>
      </c>
    </row>
    <row r="455" spans="1:13" x14ac:dyDescent="0.3">
      <c r="A455" s="1" t="s">
        <v>6344</v>
      </c>
      <c r="B455" s="1" t="s">
        <v>5913</v>
      </c>
      <c r="C455" s="1" t="s">
        <v>6345</v>
      </c>
      <c r="D455" s="1" t="s">
        <v>738</v>
      </c>
      <c r="E455" s="1" t="s">
        <v>6076</v>
      </c>
      <c r="F455" s="1" t="s">
        <v>6076</v>
      </c>
      <c r="G455" s="1" t="s">
        <v>6337</v>
      </c>
      <c r="H455">
        <v>1995</v>
      </c>
      <c r="I455">
        <v>2001</v>
      </c>
      <c r="J455">
        <f t="shared" si="14"/>
        <v>7</v>
      </c>
      <c r="K455" s="1" t="s">
        <v>6076</v>
      </c>
      <c r="L455" s="1" t="s">
        <v>6076</v>
      </c>
      <c r="M455">
        <f t="shared" si="15"/>
        <v>25</v>
      </c>
    </row>
    <row r="456" spans="1:13" x14ac:dyDescent="0.3">
      <c r="A456" s="1" t="s">
        <v>6346</v>
      </c>
      <c r="B456" s="1" t="s">
        <v>5913</v>
      </c>
      <c r="C456" s="1" t="s">
        <v>6347</v>
      </c>
      <c r="D456" s="1" t="s">
        <v>738</v>
      </c>
      <c r="E456" s="1" t="s">
        <v>6076</v>
      </c>
      <c r="F456" s="1" t="s">
        <v>6076</v>
      </c>
      <c r="G456" s="1" t="s">
        <v>6337</v>
      </c>
      <c r="H456">
        <v>1996</v>
      </c>
      <c r="I456">
        <v>1996</v>
      </c>
      <c r="J456">
        <f t="shared" si="14"/>
        <v>1</v>
      </c>
      <c r="K456" s="1" t="s">
        <v>6076</v>
      </c>
      <c r="L456" s="1" t="s">
        <v>6076</v>
      </c>
      <c r="M456">
        <f t="shared" si="15"/>
        <v>30</v>
      </c>
    </row>
    <row r="457" spans="1:13" x14ac:dyDescent="0.3">
      <c r="A457" s="1" t="s">
        <v>6348</v>
      </c>
      <c r="B457" s="1" t="s">
        <v>5913</v>
      </c>
      <c r="C457" s="1" t="s">
        <v>6349</v>
      </c>
      <c r="D457" s="1" t="s">
        <v>738</v>
      </c>
      <c r="E457" s="1" t="s">
        <v>6076</v>
      </c>
      <c r="F457" s="1" t="s">
        <v>6076</v>
      </c>
      <c r="G457" s="1" t="s">
        <v>6337</v>
      </c>
      <c r="H457">
        <v>1999</v>
      </c>
      <c r="I457">
        <v>2001</v>
      </c>
      <c r="J457">
        <f t="shared" si="14"/>
        <v>3</v>
      </c>
      <c r="K457" s="1" t="s">
        <v>6076</v>
      </c>
      <c r="L457" s="1" t="s">
        <v>6076</v>
      </c>
      <c r="M457">
        <f t="shared" si="15"/>
        <v>25</v>
      </c>
    </row>
    <row r="458" spans="1:13" x14ac:dyDescent="0.3">
      <c r="A458" s="1" t="s">
        <v>6350</v>
      </c>
      <c r="B458" s="1" t="s">
        <v>5913</v>
      </c>
      <c r="C458" s="1" t="s">
        <v>6351</v>
      </c>
      <c r="D458" s="1" t="s">
        <v>738</v>
      </c>
      <c r="E458" s="1" t="s">
        <v>6076</v>
      </c>
      <c r="F458" s="1" t="s">
        <v>6076</v>
      </c>
      <c r="G458" s="1" t="s">
        <v>6337</v>
      </c>
      <c r="H458">
        <v>2002</v>
      </c>
      <c r="I458">
        <v>2005</v>
      </c>
      <c r="J458">
        <f t="shared" si="14"/>
        <v>4</v>
      </c>
      <c r="K458" s="1" t="s">
        <v>6076</v>
      </c>
      <c r="L458" s="1" t="s">
        <v>6076</v>
      </c>
      <c r="M458">
        <f t="shared" si="15"/>
        <v>21</v>
      </c>
    </row>
    <row r="459" spans="1:13" x14ac:dyDescent="0.3">
      <c r="A459" s="1" t="s">
        <v>6352</v>
      </c>
      <c r="B459" s="1" t="s">
        <v>5913</v>
      </c>
      <c r="C459" s="1" t="s">
        <v>6353</v>
      </c>
      <c r="D459" s="1" t="s">
        <v>738</v>
      </c>
      <c r="E459" s="1" t="s">
        <v>6076</v>
      </c>
      <c r="F459" s="1" t="s">
        <v>6076</v>
      </c>
      <c r="G459" s="1" t="s">
        <v>6337</v>
      </c>
      <c r="H459">
        <v>2020</v>
      </c>
      <c r="I459">
        <v>2022</v>
      </c>
      <c r="J459">
        <f t="shared" si="14"/>
        <v>3</v>
      </c>
      <c r="K459" s="1" t="s">
        <v>6076</v>
      </c>
      <c r="L459" s="1" t="s">
        <v>6076</v>
      </c>
      <c r="M459">
        <f t="shared" si="15"/>
        <v>4</v>
      </c>
    </row>
    <row r="460" spans="1:13" x14ac:dyDescent="0.3">
      <c r="A460" s="1" t="s">
        <v>6354</v>
      </c>
      <c r="B460" s="1" t="s">
        <v>5913</v>
      </c>
      <c r="C460" s="1" t="s">
        <v>6355</v>
      </c>
      <c r="D460" s="1" t="s">
        <v>738</v>
      </c>
      <c r="E460" s="1" t="s">
        <v>6076</v>
      </c>
      <c r="F460" s="1" t="s">
        <v>6076</v>
      </c>
      <c r="G460" s="1" t="s">
        <v>6337</v>
      </c>
      <c r="H460">
        <v>1991</v>
      </c>
      <c r="I460">
        <v>1996</v>
      </c>
      <c r="J460">
        <f t="shared" si="14"/>
        <v>6</v>
      </c>
      <c r="K460" s="1" t="s">
        <v>6076</v>
      </c>
      <c r="L460" s="1" t="s">
        <v>6076</v>
      </c>
      <c r="M460">
        <f t="shared" si="15"/>
        <v>30</v>
      </c>
    </row>
    <row r="461" spans="1:13" x14ac:dyDescent="0.3">
      <c r="A461" s="1" t="s">
        <v>6356</v>
      </c>
      <c r="B461" s="1" t="s">
        <v>5913</v>
      </c>
      <c r="C461" s="1" t="s">
        <v>6357</v>
      </c>
      <c r="D461" s="1" t="s">
        <v>738</v>
      </c>
      <c r="E461" s="1" t="s">
        <v>6076</v>
      </c>
      <c r="F461" s="1" t="s">
        <v>6076</v>
      </c>
      <c r="G461" s="1" t="s">
        <v>6337</v>
      </c>
      <c r="H461">
        <v>1991</v>
      </c>
      <c r="I461">
        <v>1996</v>
      </c>
      <c r="J461">
        <f t="shared" si="14"/>
        <v>6</v>
      </c>
      <c r="K461" s="1" t="s">
        <v>6076</v>
      </c>
      <c r="L461" s="1" t="s">
        <v>6076</v>
      </c>
      <c r="M461">
        <f t="shared" si="15"/>
        <v>30</v>
      </c>
    </row>
    <row r="462" spans="1:13" x14ac:dyDescent="0.3">
      <c r="A462" s="1" t="s">
        <v>6358</v>
      </c>
      <c r="B462" s="1" t="s">
        <v>5913</v>
      </c>
      <c r="C462" s="1" t="s">
        <v>6359</v>
      </c>
      <c r="D462" s="1" t="s">
        <v>738</v>
      </c>
      <c r="E462" s="1" t="s">
        <v>6076</v>
      </c>
      <c r="F462" s="1" t="s">
        <v>6076</v>
      </c>
      <c r="G462" s="1" t="s">
        <v>6337</v>
      </c>
      <c r="H462">
        <v>1991</v>
      </c>
      <c r="I462">
        <v>2014</v>
      </c>
      <c r="J462">
        <f t="shared" si="14"/>
        <v>24</v>
      </c>
      <c r="K462" s="1" t="s">
        <v>6076</v>
      </c>
      <c r="L462" s="1" t="s">
        <v>6076</v>
      </c>
      <c r="M462">
        <f t="shared" si="15"/>
        <v>12</v>
      </c>
    </row>
    <row r="463" spans="1:13" x14ac:dyDescent="0.3">
      <c r="A463" s="1" t="s">
        <v>6360</v>
      </c>
      <c r="B463" s="1" t="s">
        <v>5913</v>
      </c>
      <c r="C463" s="1" t="s">
        <v>6361</v>
      </c>
      <c r="D463" s="1" t="s">
        <v>738</v>
      </c>
      <c r="E463" s="1" t="s">
        <v>6076</v>
      </c>
      <c r="F463" s="1" t="s">
        <v>6076</v>
      </c>
      <c r="G463" s="1" t="s">
        <v>6337</v>
      </c>
      <c r="H463">
        <v>1993</v>
      </c>
      <c r="I463">
        <v>1998</v>
      </c>
      <c r="J463">
        <f t="shared" si="14"/>
        <v>6</v>
      </c>
      <c r="K463" s="1" t="s">
        <v>6076</v>
      </c>
      <c r="L463" s="1" t="s">
        <v>6076</v>
      </c>
      <c r="M463">
        <f t="shared" si="15"/>
        <v>28</v>
      </c>
    </row>
    <row r="464" spans="1:13" x14ac:dyDescent="0.3">
      <c r="A464" s="1" t="s">
        <v>6362</v>
      </c>
      <c r="B464" s="1" t="s">
        <v>5913</v>
      </c>
      <c r="C464" s="1" t="s">
        <v>6363</v>
      </c>
      <c r="D464" s="1" t="s">
        <v>738</v>
      </c>
      <c r="E464" s="1" t="s">
        <v>6076</v>
      </c>
      <c r="F464" s="1" t="s">
        <v>6076</v>
      </c>
      <c r="G464" s="1" t="s">
        <v>6337</v>
      </c>
      <c r="H464">
        <v>2016</v>
      </c>
      <c r="I464">
        <v>2019</v>
      </c>
      <c r="J464">
        <f t="shared" si="14"/>
        <v>4</v>
      </c>
      <c r="K464" s="1" t="s">
        <v>6076</v>
      </c>
      <c r="L464" s="1" t="s">
        <v>6076</v>
      </c>
      <c r="M464">
        <f t="shared" si="15"/>
        <v>7</v>
      </c>
    </row>
    <row r="465" spans="1:14" x14ac:dyDescent="0.3">
      <c r="A465" s="1" t="s">
        <v>6364</v>
      </c>
      <c r="B465" s="1" t="s">
        <v>5913</v>
      </c>
      <c r="C465" s="1" t="s">
        <v>6365</v>
      </c>
      <c r="D465" s="1" t="s">
        <v>738</v>
      </c>
      <c r="E465" s="1" t="s">
        <v>6076</v>
      </c>
      <c r="F465" s="1" t="s">
        <v>6076</v>
      </c>
      <c r="G465" s="1" t="s">
        <v>6337</v>
      </c>
      <c r="H465">
        <v>2018</v>
      </c>
      <c r="I465">
        <v>2019</v>
      </c>
      <c r="J465">
        <f t="shared" si="14"/>
        <v>2</v>
      </c>
      <c r="K465" s="1" t="s">
        <v>6076</v>
      </c>
      <c r="L465" s="1" t="s">
        <v>6076</v>
      </c>
      <c r="M465">
        <f t="shared" si="15"/>
        <v>7</v>
      </c>
    </row>
    <row r="466" spans="1:14" x14ac:dyDescent="0.3">
      <c r="A466" s="1" t="s">
        <v>6366</v>
      </c>
      <c r="B466" s="1" t="s">
        <v>5913</v>
      </c>
      <c r="C466" s="1" t="s">
        <v>6367</v>
      </c>
      <c r="D466" s="1" t="s">
        <v>738</v>
      </c>
      <c r="E466" s="1" t="s">
        <v>6076</v>
      </c>
      <c r="F466" s="1" t="s">
        <v>6076</v>
      </c>
      <c r="G466" s="1" t="s">
        <v>6337</v>
      </c>
      <c r="H466">
        <v>2011</v>
      </c>
      <c r="I466">
        <v>2012</v>
      </c>
      <c r="J466">
        <f t="shared" si="14"/>
        <v>2</v>
      </c>
      <c r="K466" s="1" t="s">
        <v>6076</v>
      </c>
      <c r="L466" s="1" t="s">
        <v>6076</v>
      </c>
      <c r="M466">
        <f t="shared" si="15"/>
        <v>14</v>
      </c>
    </row>
    <row r="467" spans="1:14" x14ac:dyDescent="0.3">
      <c r="A467" s="1" t="s">
        <v>6368</v>
      </c>
      <c r="B467" s="1" t="s">
        <v>5913</v>
      </c>
      <c r="C467" s="1" t="s">
        <v>6369</v>
      </c>
      <c r="D467" s="1" t="s">
        <v>738</v>
      </c>
      <c r="E467" s="1" t="s">
        <v>6076</v>
      </c>
      <c r="F467" s="1" t="s">
        <v>6076</v>
      </c>
      <c r="G467" s="1" t="s">
        <v>6337</v>
      </c>
      <c r="H467">
        <v>2003</v>
      </c>
      <c r="I467">
        <v>2012</v>
      </c>
      <c r="J467">
        <f t="shared" si="14"/>
        <v>10</v>
      </c>
      <c r="K467" s="1" t="s">
        <v>6076</v>
      </c>
      <c r="L467" s="1" t="s">
        <v>6076</v>
      </c>
      <c r="M467">
        <f t="shared" si="15"/>
        <v>14</v>
      </c>
    </row>
    <row r="468" spans="1:14" x14ac:dyDescent="0.3">
      <c r="A468" s="1" t="s">
        <v>8</v>
      </c>
      <c r="B468" s="1" t="s">
        <v>5940</v>
      </c>
      <c r="C468" s="1" t="s">
        <v>9</v>
      </c>
      <c r="D468" s="1" t="s">
        <v>738</v>
      </c>
      <c r="E468" s="1" t="s">
        <v>6076</v>
      </c>
      <c r="F468" s="1" t="s">
        <v>6076</v>
      </c>
      <c r="G468" s="1" t="s">
        <v>7267</v>
      </c>
      <c r="H468">
        <v>1994</v>
      </c>
      <c r="I468">
        <v>1995</v>
      </c>
      <c r="J468">
        <f t="shared" si="14"/>
        <v>2</v>
      </c>
      <c r="K468" s="1" t="s">
        <v>6076</v>
      </c>
      <c r="L468" s="1" t="s">
        <v>6076</v>
      </c>
      <c r="M468">
        <f t="shared" si="15"/>
        <v>31</v>
      </c>
    </row>
    <row r="469" spans="1:14" x14ac:dyDescent="0.3">
      <c r="A469" s="1" t="s">
        <v>10</v>
      </c>
      <c r="B469" s="1" t="s">
        <v>5940</v>
      </c>
      <c r="C469" s="1" t="s">
        <v>11</v>
      </c>
      <c r="D469" s="1" t="s">
        <v>738</v>
      </c>
      <c r="E469" s="1" t="s">
        <v>6076</v>
      </c>
      <c r="F469" s="1" t="s">
        <v>6076</v>
      </c>
      <c r="G469" s="1" t="s">
        <v>7267</v>
      </c>
      <c r="H469">
        <v>1994</v>
      </c>
      <c r="I469">
        <v>1995</v>
      </c>
      <c r="J469">
        <f t="shared" si="14"/>
        <v>2</v>
      </c>
      <c r="K469" s="1" t="s">
        <v>6076</v>
      </c>
      <c r="L469" s="1" t="s">
        <v>6076</v>
      </c>
      <c r="M469">
        <f t="shared" si="15"/>
        <v>31</v>
      </c>
    </row>
    <row r="470" spans="1:14" x14ac:dyDescent="0.3">
      <c r="A470" s="1" t="s">
        <v>12</v>
      </c>
      <c r="B470" s="1" t="s">
        <v>5940</v>
      </c>
      <c r="C470" s="1" t="s">
        <v>13</v>
      </c>
      <c r="D470" s="1" t="s">
        <v>738</v>
      </c>
      <c r="E470" s="1" t="s">
        <v>6076</v>
      </c>
      <c r="F470" s="1" t="s">
        <v>6076</v>
      </c>
      <c r="G470" s="1" t="s">
        <v>7267</v>
      </c>
      <c r="H470">
        <v>1994</v>
      </c>
      <c r="I470">
        <v>1995</v>
      </c>
      <c r="J470">
        <f t="shared" si="14"/>
        <v>2</v>
      </c>
      <c r="K470" s="1" t="s">
        <v>6076</v>
      </c>
      <c r="L470" s="1" t="s">
        <v>6076</v>
      </c>
      <c r="M470">
        <f t="shared" si="15"/>
        <v>31</v>
      </c>
    </row>
    <row r="471" spans="1:14" x14ac:dyDescent="0.3">
      <c r="A471" s="1" t="s">
        <v>14</v>
      </c>
      <c r="B471" s="1" t="s">
        <v>5940</v>
      </c>
      <c r="C471" s="1" t="s">
        <v>15</v>
      </c>
      <c r="D471" s="1" t="s">
        <v>738</v>
      </c>
      <c r="E471" s="1" t="s">
        <v>6076</v>
      </c>
      <c r="F471" s="1" t="s">
        <v>6076</v>
      </c>
      <c r="G471" s="1" t="s">
        <v>7267</v>
      </c>
      <c r="H471">
        <v>1994</v>
      </c>
      <c r="I471">
        <v>1996</v>
      </c>
      <c r="J471">
        <f t="shared" si="14"/>
        <v>3</v>
      </c>
      <c r="K471" s="1" t="s">
        <v>6076</v>
      </c>
      <c r="L471" s="1" t="s">
        <v>6076</v>
      </c>
      <c r="M471">
        <f t="shared" si="15"/>
        <v>30</v>
      </c>
    </row>
    <row r="472" spans="1:14" x14ac:dyDescent="0.3">
      <c r="A472" s="1" t="s">
        <v>16</v>
      </c>
      <c r="B472" s="1" t="s">
        <v>5940</v>
      </c>
      <c r="C472" s="1" t="s">
        <v>17</v>
      </c>
      <c r="D472" s="1" t="s">
        <v>3850</v>
      </c>
      <c r="E472" s="1" t="s">
        <v>6076</v>
      </c>
      <c r="F472" s="1" t="s">
        <v>6076</v>
      </c>
      <c r="G472" s="1" t="s">
        <v>7267</v>
      </c>
      <c r="H472">
        <v>1994</v>
      </c>
      <c r="I472">
        <v>1999</v>
      </c>
      <c r="J472">
        <f t="shared" si="14"/>
        <v>6</v>
      </c>
      <c r="K472" s="1" t="s">
        <v>6076</v>
      </c>
      <c r="L472" s="1" t="s">
        <v>6076</v>
      </c>
      <c r="M472">
        <f t="shared" si="15"/>
        <v>27</v>
      </c>
    </row>
    <row r="473" spans="1:14" x14ac:dyDescent="0.3">
      <c r="A473" s="1" t="s">
        <v>18</v>
      </c>
      <c r="B473" s="1" t="s">
        <v>5940</v>
      </c>
      <c r="C473" s="1" t="s">
        <v>19</v>
      </c>
      <c r="D473" s="1" t="s">
        <v>738</v>
      </c>
      <c r="E473" s="1" t="s">
        <v>6076</v>
      </c>
      <c r="F473" s="1" t="s">
        <v>6076</v>
      </c>
      <c r="G473" s="1" t="s">
        <v>7267</v>
      </c>
      <c r="H473">
        <v>1994</v>
      </c>
      <c r="I473">
        <v>1995</v>
      </c>
      <c r="J473">
        <f t="shared" si="14"/>
        <v>2</v>
      </c>
      <c r="K473" s="1" t="s">
        <v>6076</v>
      </c>
      <c r="L473" s="1" t="s">
        <v>6076</v>
      </c>
      <c r="M473">
        <f t="shared" si="15"/>
        <v>31</v>
      </c>
    </row>
    <row r="474" spans="1:14" x14ac:dyDescent="0.3">
      <c r="A474" s="1" t="s">
        <v>7217</v>
      </c>
      <c r="B474" s="1" t="s">
        <v>642</v>
      </c>
      <c r="C474" s="1" t="s">
        <v>7218</v>
      </c>
      <c r="D474" s="1" t="s">
        <v>644</v>
      </c>
      <c r="E474" s="1" t="s">
        <v>6076</v>
      </c>
      <c r="F474" s="1" t="s">
        <v>6076</v>
      </c>
      <c r="G474" s="1">
        <v>806</v>
      </c>
      <c r="H474">
        <v>1995</v>
      </c>
      <c r="I474">
        <v>2000</v>
      </c>
      <c r="J474">
        <f t="shared" si="14"/>
        <v>6</v>
      </c>
      <c r="K474" s="1" t="s">
        <v>6076</v>
      </c>
      <c r="L474" s="1" t="s">
        <v>6076</v>
      </c>
      <c r="M474">
        <f t="shared" si="15"/>
        <v>26</v>
      </c>
      <c r="N474" t="s">
        <v>640</v>
      </c>
    </row>
    <row r="475" spans="1:14" x14ac:dyDescent="0.3">
      <c r="A475" s="1" t="s">
        <v>7219</v>
      </c>
      <c r="B475" s="1" t="s">
        <v>642</v>
      </c>
      <c r="C475" s="1" t="s">
        <v>7220</v>
      </c>
      <c r="D475" s="1" t="s">
        <v>644</v>
      </c>
      <c r="E475" s="1" t="s">
        <v>6076</v>
      </c>
      <c r="F475" s="1" t="s">
        <v>6076</v>
      </c>
      <c r="G475" s="1">
        <v>806</v>
      </c>
      <c r="H475">
        <v>1995</v>
      </c>
      <c r="I475">
        <v>1995</v>
      </c>
      <c r="J475">
        <f t="shared" si="14"/>
        <v>1</v>
      </c>
      <c r="K475" s="1" t="s">
        <v>6076</v>
      </c>
      <c r="L475" s="1" t="s">
        <v>6076</v>
      </c>
      <c r="M475">
        <f t="shared" si="15"/>
        <v>31</v>
      </c>
      <c r="N475" t="s">
        <v>640</v>
      </c>
    </row>
    <row r="476" spans="1:14" x14ac:dyDescent="0.3">
      <c r="A476" s="1" t="s">
        <v>7215</v>
      </c>
      <c r="B476" s="1" t="s">
        <v>642</v>
      </c>
      <c r="C476" s="1" t="s">
        <v>7216</v>
      </c>
      <c r="D476" s="1" t="s">
        <v>644</v>
      </c>
      <c r="E476" s="1" t="s">
        <v>6076</v>
      </c>
      <c r="F476" s="1" t="s">
        <v>6076</v>
      </c>
      <c r="G476" s="1">
        <v>806</v>
      </c>
      <c r="H476">
        <v>2004</v>
      </c>
      <c r="I476">
        <v>2004</v>
      </c>
      <c r="J476">
        <f t="shared" si="14"/>
        <v>1</v>
      </c>
      <c r="K476" s="1" t="s">
        <v>6076</v>
      </c>
      <c r="L476" s="1" t="s">
        <v>6076</v>
      </c>
      <c r="M476">
        <f t="shared" si="15"/>
        <v>22</v>
      </c>
      <c r="N476" t="s">
        <v>640</v>
      </c>
    </row>
    <row r="477" spans="1:14" x14ac:dyDescent="0.3">
      <c r="A477" s="1" t="s">
        <v>6370</v>
      </c>
      <c r="B477" s="1" t="s">
        <v>5913</v>
      </c>
      <c r="C477" s="1" t="s">
        <v>6371</v>
      </c>
      <c r="D477" s="1" t="s">
        <v>3850</v>
      </c>
      <c r="E477" s="1" t="s">
        <v>6076</v>
      </c>
      <c r="F477" s="1" t="s">
        <v>6076</v>
      </c>
      <c r="G477" s="1" t="s">
        <v>6372</v>
      </c>
      <c r="H477">
        <v>1992</v>
      </c>
      <c r="I477">
        <v>1997</v>
      </c>
      <c r="J477">
        <f t="shared" si="14"/>
        <v>6</v>
      </c>
      <c r="K477" s="1" t="s">
        <v>6076</v>
      </c>
      <c r="L477" s="1" t="s">
        <v>6076</v>
      </c>
      <c r="M477">
        <f t="shared" si="15"/>
        <v>29</v>
      </c>
    </row>
    <row r="478" spans="1:14" x14ac:dyDescent="0.3">
      <c r="A478" s="1" t="s">
        <v>6373</v>
      </c>
      <c r="B478" s="1" t="s">
        <v>5913</v>
      </c>
      <c r="C478" s="1" t="s">
        <v>6374</v>
      </c>
      <c r="D478" s="1" t="s">
        <v>3850</v>
      </c>
      <c r="E478" s="1" t="s">
        <v>6076</v>
      </c>
      <c r="F478" s="1" t="s">
        <v>6076</v>
      </c>
      <c r="G478" s="1" t="s">
        <v>6372</v>
      </c>
      <c r="H478">
        <v>1992</v>
      </c>
      <c r="I478">
        <v>1998</v>
      </c>
      <c r="J478">
        <f t="shared" si="14"/>
        <v>7</v>
      </c>
      <c r="K478" s="1" t="s">
        <v>6076</v>
      </c>
      <c r="L478" s="1" t="s">
        <v>6076</v>
      </c>
      <c r="M478">
        <f t="shared" si="15"/>
        <v>28</v>
      </c>
    </row>
    <row r="479" spans="1:14" x14ac:dyDescent="0.3">
      <c r="A479" t="s">
        <v>12353</v>
      </c>
      <c r="B479" t="s">
        <v>12697</v>
      </c>
      <c r="C479" t="s">
        <v>12354</v>
      </c>
      <c r="E479" s="1" t="s">
        <v>6076</v>
      </c>
      <c r="F479" s="1" t="s">
        <v>6076</v>
      </c>
      <c r="G479" s="1">
        <v>850</v>
      </c>
      <c r="H479">
        <v>1993</v>
      </c>
      <c r="I479">
        <v>1997</v>
      </c>
      <c r="J479">
        <f t="shared" si="14"/>
        <v>5</v>
      </c>
      <c r="K479" s="1" t="s">
        <v>6076</v>
      </c>
      <c r="L479" s="1" t="s">
        <v>6076</v>
      </c>
      <c r="M479">
        <f t="shared" si="15"/>
        <v>29</v>
      </c>
    </row>
    <row r="480" spans="1:14" x14ac:dyDescent="0.3">
      <c r="A480" t="s">
        <v>12355</v>
      </c>
      <c r="B480" t="s">
        <v>12697</v>
      </c>
      <c r="C480" t="s">
        <v>12356</v>
      </c>
      <c r="E480" s="1" t="s">
        <v>6076</v>
      </c>
      <c r="F480" s="1" t="s">
        <v>6076</v>
      </c>
      <c r="G480" s="1">
        <v>850</v>
      </c>
      <c r="H480">
        <v>1994</v>
      </c>
      <c r="I480">
        <v>1997</v>
      </c>
      <c r="J480">
        <f t="shared" si="14"/>
        <v>4</v>
      </c>
      <c r="K480" s="1" t="s">
        <v>6076</v>
      </c>
      <c r="L480" s="1" t="s">
        <v>6076</v>
      </c>
      <c r="M480">
        <f t="shared" si="15"/>
        <v>29</v>
      </c>
    </row>
    <row r="481" spans="1:13" x14ac:dyDescent="0.3">
      <c r="A481" t="s">
        <v>12357</v>
      </c>
      <c r="B481" t="s">
        <v>12697</v>
      </c>
      <c r="C481" t="s">
        <v>12358</v>
      </c>
      <c r="E481" s="1" t="s">
        <v>6076</v>
      </c>
      <c r="F481" s="1" t="s">
        <v>6076</v>
      </c>
      <c r="G481" s="1">
        <v>850</v>
      </c>
      <c r="H481">
        <v>1992</v>
      </c>
      <c r="I481">
        <v>1997</v>
      </c>
      <c r="J481">
        <f t="shared" si="14"/>
        <v>6</v>
      </c>
      <c r="K481" s="1" t="s">
        <v>6076</v>
      </c>
      <c r="L481" s="1" t="s">
        <v>6076</v>
      </c>
      <c r="M481">
        <f t="shared" si="15"/>
        <v>29</v>
      </c>
    </row>
    <row r="482" spans="1:13" x14ac:dyDescent="0.3">
      <c r="A482" t="s">
        <v>12359</v>
      </c>
      <c r="B482" t="s">
        <v>12697</v>
      </c>
      <c r="C482" t="s">
        <v>12360</v>
      </c>
      <c r="E482" s="1" t="s">
        <v>6076</v>
      </c>
      <c r="F482" s="1" t="s">
        <v>6076</v>
      </c>
      <c r="G482" s="1">
        <v>850</v>
      </c>
      <c r="H482">
        <v>1994</v>
      </c>
      <c r="I482">
        <v>1997</v>
      </c>
      <c r="J482">
        <f t="shared" si="14"/>
        <v>4</v>
      </c>
      <c r="K482" s="1" t="s">
        <v>6076</v>
      </c>
      <c r="L482" s="1" t="s">
        <v>6076</v>
      </c>
      <c r="M482">
        <f t="shared" si="15"/>
        <v>29</v>
      </c>
    </row>
    <row r="483" spans="1:13" x14ac:dyDescent="0.3">
      <c r="A483" t="s">
        <v>12361</v>
      </c>
      <c r="B483" t="s">
        <v>12697</v>
      </c>
      <c r="C483" t="s">
        <v>12362</v>
      </c>
      <c r="E483" s="1" t="s">
        <v>6076</v>
      </c>
      <c r="F483" s="1" t="s">
        <v>6076</v>
      </c>
      <c r="G483" s="1">
        <v>850</v>
      </c>
      <c r="H483">
        <v>1995</v>
      </c>
      <c r="I483">
        <v>1997</v>
      </c>
      <c r="J483">
        <f t="shared" si="14"/>
        <v>3</v>
      </c>
      <c r="K483" s="1" t="s">
        <v>6076</v>
      </c>
      <c r="L483" s="1" t="s">
        <v>6076</v>
      </c>
      <c r="M483">
        <f t="shared" si="15"/>
        <v>29</v>
      </c>
    </row>
    <row r="484" spans="1:13" x14ac:dyDescent="0.3">
      <c r="A484" t="s">
        <v>12363</v>
      </c>
      <c r="B484" t="s">
        <v>12697</v>
      </c>
      <c r="C484" t="s">
        <v>12364</v>
      </c>
      <c r="E484" s="1" t="s">
        <v>6076</v>
      </c>
      <c r="F484" s="1" t="s">
        <v>6076</v>
      </c>
      <c r="G484" s="1">
        <v>850</v>
      </c>
      <c r="H484">
        <v>1994</v>
      </c>
      <c r="I484">
        <v>1997</v>
      </c>
      <c r="J484">
        <f t="shared" si="14"/>
        <v>4</v>
      </c>
      <c r="K484" s="1" t="s">
        <v>6076</v>
      </c>
      <c r="L484" s="1" t="s">
        <v>6076</v>
      </c>
      <c r="M484">
        <f t="shared" si="15"/>
        <v>29</v>
      </c>
    </row>
    <row r="485" spans="1:13" x14ac:dyDescent="0.3">
      <c r="A485" t="s">
        <v>12365</v>
      </c>
      <c r="B485" t="s">
        <v>12697</v>
      </c>
      <c r="C485" t="s">
        <v>12366</v>
      </c>
      <c r="E485" s="1" t="s">
        <v>6076</v>
      </c>
      <c r="F485" s="1" t="s">
        <v>6076</v>
      </c>
      <c r="G485" s="1">
        <v>850</v>
      </c>
      <c r="H485">
        <v>1994</v>
      </c>
      <c r="I485">
        <v>1997</v>
      </c>
      <c r="J485">
        <f t="shared" si="14"/>
        <v>4</v>
      </c>
      <c r="K485" s="1" t="s">
        <v>6076</v>
      </c>
      <c r="L485" s="1" t="s">
        <v>6076</v>
      </c>
      <c r="M485">
        <f t="shared" si="15"/>
        <v>29</v>
      </c>
    </row>
    <row r="486" spans="1:13" x14ac:dyDescent="0.3">
      <c r="A486" t="s">
        <v>12367</v>
      </c>
      <c r="B486" t="s">
        <v>12697</v>
      </c>
      <c r="C486" t="s">
        <v>12368</v>
      </c>
      <c r="E486" s="1" t="s">
        <v>6076</v>
      </c>
      <c r="F486" s="1" t="s">
        <v>6076</v>
      </c>
      <c r="G486" s="1">
        <v>850</v>
      </c>
      <c r="H486">
        <v>1993</v>
      </c>
      <c r="I486">
        <v>1997</v>
      </c>
      <c r="J486">
        <f t="shared" si="14"/>
        <v>5</v>
      </c>
      <c r="K486" s="1" t="s">
        <v>6076</v>
      </c>
      <c r="L486" s="1" t="s">
        <v>6076</v>
      </c>
      <c r="M486">
        <f t="shared" si="15"/>
        <v>29</v>
      </c>
    </row>
    <row r="487" spans="1:13" x14ac:dyDescent="0.3">
      <c r="A487" s="1" t="s">
        <v>6375</v>
      </c>
      <c r="B487" s="1" t="s">
        <v>5913</v>
      </c>
      <c r="C487" s="1" t="s">
        <v>6376</v>
      </c>
      <c r="D487" s="1" t="s">
        <v>3850</v>
      </c>
      <c r="E487" s="1" t="s">
        <v>6076</v>
      </c>
      <c r="F487" s="1" t="s">
        <v>6076</v>
      </c>
      <c r="G487" s="1" t="s">
        <v>6372</v>
      </c>
      <c r="H487">
        <v>1991</v>
      </c>
      <c r="I487">
        <v>1995</v>
      </c>
      <c r="J487">
        <f t="shared" si="14"/>
        <v>5</v>
      </c>
      <c r="K487" s="1" t="s">
        <v>6076</v>
      </c>
      <c r="L487" s="1" t="s">
        <v>6076</v>
      </c>
      <c r="M487">
        <f t="shared" si="15"/>
        <v>31</v>
      </c>
    </row>
    <row r="488" spans="1:13" x14ac:dyDescent="0.3">
      <c r="A488" s="1" t="s">
        <v>6377</v>
      </c>
      <c r="B488" s="1" t="s">
        <v>5913</v>
      </c>
      <c r="C488" s="1" t="s">
        <v>6378</v>
      </c>
      <c r="D488" s="1" t="s">
        <v>3850</v>
      </c>
      <c r="E488" s="1" t="s">
        <v>6076</v>
      </c>
      <c r="F488" s="1" t="s">
        <v>6076</v>
      </c>
      <c r="G488" s="1" t="s">
        <v>6372</v>
      </c>
      <c r="H488">
        <v>1996</v>
      </c>
      <c r="I488">
        <v>1998</v>
      </c>
      <c r="J488">
        <f t="shared" si="14"/>
        <v>3</v>
      </c>
      <c r="K488" s="1" t="s">
        <v>6076</v>
      </c>
      <c r="L488" s="1" t="s">
        <v>6076</v>
      </c>
      <c r="M488">
        <f t="shared" si="15"/>
        <v>28</v>
      </c>
    </row>
    <row r="489" spans="1:13" x14ac:dyDescent="0.3">
      <c r="A489" s="1" t="s">
        <v>6379</v>
      </c>
      <c r="B489" s="1" t="s">
        <v>5913</v>
      </c>
      <c r="C489" s="1" t="s">
        <v>6380</v>
      </c>
      <c r="D489" s="1" t="s">
        <v>3850</v>
      </c>
      <c r="E489" s="1" t="s">
        <v>6076</v>
      </c>
      <c r="F489" s="1" t="s">
        <v>6076</v>
      </c>
      <c r="G489" s="1" t="s">
        <v>6372</v>
      </c>
      <c r="H489">
        <v>1992</v>
      </c>
      <c r="I489">
        <v>1995</v>
      </c>
      <c r="J489">
        <f t="shared" si="14"/>
        <v>4</v>
      </c>
      <c r="K489" s="1" t="s">
        <v>6076</v>
      </c>
      <c r="L489" s="1" t="s">
        <v>6076</v>
      </c>
      <c r="M489">
        <f t="shared" si="15"/>
        <v>31</v>
      </c>
    </row>
    <row r="490" spans="1:13" x14ac:dyDescent="0.3">
      <c r="A490" s="1" t="s">
        <v>6381</v>
      </c>
      <c r="B490" s="1" t="s">
        <v>5913</v>
      </c>
      <c r="C490" s="1" t="s">
        <v>6382</v>
      </c>
      <c r="D490" s="1" t="s">
        <v>3850</v>
      </c>
      <c r="E490" s="1" t="s">
        <v>6076</v>
      </c>
      <c r="F490" s="1" t="s">
        <v>6076</v>
      </c>
      <c r="G490" s="1" t="s">
        <v>6372</v>
      </c>
      <c r="H490">
        <v>1991</v>
      </c>
      <c r="I490">
        <v>1996</v>
      </c>
      <c r="J490">
        <f t="shared" si="14"/>
        <v>6</v>
      </c>
      <c r="K490" s="1" t="s">
        <v>6076</v>
      </c>
      <c r="L490" s="1" t="s">
        <v>6076</v>
      </c>
      <c r="M490">
        <f t="shared" si="15"/>
        <v>30</v>
      </c>
    </row>
    <row r="491" spans="1:13" x14ac:dyDescent="0.3">
      <c r="A491" t="s">
        <v>12369</v>
      </c>
      <c r="B491" t="s">
        <v>12697</v>
      </c>
      <c r="C491" t="s">
        <v>12370</v>
      </c>
      <c r="E491" s="1" t="s">
        <v>6076</v>
      </c>
      <c r="F491" s="1" t="s">
        <v>6076</v>
      </c>
      <c r="G491" s="1">
        <v>940</v>
      </c>
      <c r="H491">
        <v>1991</v>
      </c>
      <c r="I491">
        <v>1995</v>
      </c>
      <c r="J491">
        <f t="shared" si="14"/>
        <v>5</v>
      </c>
      <c r="K491" s="1" t="s">
        <v>6076</v>
      </c>
      <c r="L491" s="1" t="s">
        <v>6076</v>
      </c>
      <c r="M491">
        <f t="shared" si="15"/>
        <v>31</v>
      </c>
    </row>
    <row r="492" spans="1:13" x14ac:dyDescent="0.3">
      <c r="A492" t="s">
        <v>12371</v>
      </c>
      <c r="B492" t="s">
        <v>12697</v>
      </c>
      <c r="C492" t="s">
        <v>12372</v>
      </c>
      <c r="E492" s="1" t="s">
        <v>6076</v>
      </c>
      <c r="F492" s="1" t="s">
        <v>6076</v>
      </c>
      <c r="G492" s="1">
        <v>960</v>
      </c>
      <c r="H492">
        <v>1991</v>
      </c>
      <c r="I492">
        <v>1997</v>
      </c>
      <c r="J492">
        <f t="shared" si="14"/>
        <v>7</v>
      </c>
      <c r="K492" s="1" t="s">
        <v>6076</v>
      </c>
      <c r="L492" s="1" t="s">
        <v>6076</v>
      </c>
      <c r="M492">
        <f t="shared" si="15"/>
        <v>29</v>
      </c>
    </row>
    <row r="493" spans="1:13" hidden="1" x14ac:dyDescent="0.3">
      <c r="A493" s="1" t="s">
        <v>5966</v>
      </c>
      <c r="B493" s="1" t="s">
        <v>5931</v>
      </c>
      <c r="C493" s="1" t="s">
        <v>5967</v>
      </c>
      <c r="D493" s="1" t="s">
        <v>738</v>
      </c>
      <c r="E493" s="1" t="s">
        <v>5920</v>
      </c>
      <c r="F493" s="1" t="s">
        <v>4893</v>
      </c>
      <c r="G493" s="1" t="s">
        <v>5968</v>
      </c>
      <c r="H493">
        <v>2019</v>
      </c>
      <c r="I493">
        <v>2022</v>
      </c>
      <c r="J493">
        <f t="shared" si="14"/>
        <v>4</v>
      </c>
      <c r="K493" s="1" t="s">
        <v>5909</v>
      </c>
      <c r="L493" s="1" t="s">
        <v>3793</v>
      </c>
      <c r="M493">
        <f t="shared" si="15"/>
        <v>4</v>
      </c>
    </row>
    <row r="494" spans="1:13" hidden="1" x14ac:dyDescent="0.3">
      <c r="A494" s="1" t="s">
        <v>5971</v>
      </c>
      <c r="B494" s="1" t="s">
        <v>5931</v>
      </c>
      <c r="C494" s="1" t="s">
        <v>5972</v>
      </c>
      <c r="D494" s="1" t="s">
        <v>746</v>
      </c>
      <c r="E494" s="1" t="s">
        <v>5941</v>
      </c>
      <c r="F494" s="1" t="s">
        <v>1359</v>
      </c>
      <c r="G494" s="1" t="s">
        <v>5968</v>
      </c>
      <c r="H494">
        <v>2019</v>
      </c>
      <c r="I494">
        <v>2019</v>
      </c>
      <c r="J494">
        <f t="shared" si="14"/>
        <v>1</v>
      </c>
      <c r="K494" s="1" t="s">
        <v>5909</v>
      </c>
      <c r="L494" s="1" t="s">
        <v>3793</v>
      </c>
      <c r="M494">
        <f t="shared" si="15"/>
        <v>7</v>
      </c>
    </row>
    <row r="495" spans="1:13" hidden="1" x14ac:dyDescent="0.3">
      <c r="A495" s="1" t="s">
        <v>5969</v>
      </c>
      <c r="B495" s="1" t="s">
        <v>5931</v>
      </c>
      <c r="C495" s="1" t="s">
        <v>5970</v>
      </c>
      <c r="D495" s="1" t="s">
        <v>738</v>
      </c>
      <c r="E495" s="1" t="s">
        <v>5920</v>
      </c>
      <c r="F495" s="1" t="s">
        <v>4893</v>
      </c>
      <c r="G495" s="1" t="s">
        <v>5968</v>
      </c>
      <c r="H495">
        <v>2019</v>
      </c>
      <c r="I495">
        <v>2022</v>
      </c>
      <c r="J495">
        <f t="shared" si="14"/>
        <v>4</v>
      </c>
      <c r="K495" s="1" t="s">
        <v>5909</v>
      </c>
      <c r="L495" s="1" t="s">
        <v>3793</v>
      </c>
      <c r="M495">
        <f t="shared" si="15"/>
        <v>4</v>
      </c>
    </row>
    <row r="496" spans="1:13" hidden="1" x14ac:dyDescent="0.3">
      <c r="A496" t="s">
        <v>11758</v>
      </c>
      <c r="B496" t="s">
        <v>5931</v>
      </c>
      <c r="C496" t="s">
        <v>11759</v>
      </c>
      <c r="E496" s="1" t="e">
        <v>#N/A</v>
      </c>
      <c r="F496" s="1" t="e">
        <v>#N/A</v>
      </c>
      <c r="G496" s="1" t="s">
        <v>5968</v>
      </c>
      <c r="H496">
        <v>2023</v>
      </c>
      <c r="I496">
        <v>2024</v>
      </c>
      <c r="J496">
        <f t="shared" si="14"/>
        <v>2</v>
      </c>
      <c r="K496" s="1" t="s">
        <v>5909</v>
      </c>
      <c r="L496" s="1" t="s">
        <v>3793</v>
      </c>
      <c r="M496">
        <f t="shared" si="15"/>
        <v>2</v>
      </c>
    </row>
    <row r="497" spans="1:14" hidden="1" x14ac:dyDescent="0.3">
      <c r="A497" t="s">
        <v>11760</v>
      </c>
      <c r="B497" t="s">
        <v>5931</v>
      </c>
      <c r="C497" t="s">
        <v>11761</v>
      </c>
      <c r="E497" s="1" t="e">
        <v>#N/A</v>
      </c>
      <c r="F497" s="1" t="e">
        <v>#N/A</v>
      </c>
      <c r="G497" s="1" t="s">
        <v>5968</v>
      </c>
      <c r="H497">
        <v>2023</v>
      </c>
      <c r="I497">
        <v>2025</v>
      </c>
      <c r="J497">
        <f t="shared" si="14"/>
        <v>3</v>
      </c>
      <c r="K497" s="1" t="s">
        <v>5909</v>
      </c>
      <c r="L497" s="1" t="s">
        <v>3793</v>
      </c>
      <c r="M497">
        <f t="shared" si="15"/>
        <v>1</v>
      </c>
    </row>
    <row r="498" spans="1:14" hidden="1" x14ac:dyDescent="0.3">
      <c r="A498" s="1" t="s">
        <v>5973</v>
      </c>
      <c r="B498" s="1" t="s">
        <v>5931</v>
      </c>
      <c r="C498" s="1" t="s">
        <v>5974</v>
      </c>
      <c r="D498" s="1" t="s">
        <v>746</v>
      </c>
      <c r="E498" s="1" t="s">
        <v>5941</v>
      </c>
      <c r="F498" s="1" t="s">
        <v>1359</v>
      </c>
      <c r="G498" s="1" t="s">
        <v>5975</v>
      </c>
      <c r="H498">
        <v>2021</v>
      </c>
      <c r="I498">
        <v>2022</v>
      </c>
      <c r="J498">
        <f t="shared" si="14"/>
        <v>2</v>
      </c>
      <c r="K498" s="1" t="s">
        <v>5909</v>
      </c>
      <c r="L498" s="1" t="s">
        <v>3793</v>
      </c>
      <c r="M498">
        <f t="shared" si="15"/>
        <v>4</v>
      </c>
    </row>
    <row r="499" spans="1:14" hidden="1" x14ac:dyDescent="0.3">
      <c r="A499" s="1" t="s">
        <v>5976</v>
      </c>
      <c r="B499" s="1" t="s">
        <v>5931</v>
      </c>
      <c r="C499" s="1" t="s">
        <v>5977</v>
      </c>
      <c r="D499" s="1" t="s">
        <v>746</v>
      </c>
      <c r="E499" s="1" t="s">
        <v>5941</v>
      </c>
      <c r="F499" s="1" t="s">
        <v>1359</v>
      </c>
      <c r="G499" s="1" t="s">
        <v>5975</v>
      </c>
      <c r="H499">
        <v>2019</v>
      </c>
      <c r="I499">
        <v>2022</v>
      </c>
      <c r="J499">
        <f t="shared" si="14"/>
        <v>4</v>
      </c>
      <c r="K499" s="1" t="s">
        <v>5909</v>
      </c>
      <c r="L499" s="1" t="s">
        <v>3793</v>
      </c>
      <c r="M499">
        <f t="shared" si="15"/>
        <v>4</v>
      </c>
    </row>
    <row r="500" spans="1:14" hidden="1" x14ac:dyDescent="0.3">
      <c r="A500" s="1" t="s">
        <v>5978</v>
      </c>
      <c r="B500" s="1" t="s">
        <v>5931</v>
      </c>
      <c r="C500" s="1" t="s">
        <v>5979</v>
      </c>
      <c r="D500" s="1" t="s">
        <v>746</v>
      </c>
      <c r="E500" s="1" t="s">
        <v>5941</v>
      </c>
      <c r="F500" s="1" t="s">
        <v>1359</v>
      </c>
      <c r="G500" s="1" t="s">
        <v>5975</v>
      </c>
      <c r="H500">
        <v>2019</v>
      </c>
      <c r="I500">
        <v>2019</v>
      </c>
      <c r="J500">
        <f t="shared" si="14"/>
        <v>1</v>
      </c>
      <c r="K500" s="1" t="s">
        <v>5909</v>
      </c>
      <c r="L500" s="1" t="s">
        <v>3793</v>
      </c>
      <c r="M500">
        <f t="shared" si="15"/>
        <v>7</v>
      </c>
    </row>
    <row r="501" spans="1:14" hidden="1" x14ac:dyDescent="0.3">
      <c r="A501" s="1" t="s">
        <v>20</v>
      </c>
      <c r="B501" s="1" t="s">
        <v>5940</v>
      </c>
      <c r="C501" s="1" t="s">
        <v>21</v>
      </c>
      <c r="D501" s="1" t="s">
        <v>746</v>
      </c>
      <c r="E501" s="1" t="s">
        <v>5941</v>
      </c>
      <c r="F501" s="1" t="s">
        <v>1359</v>
      </c>
      <c r="G501" s="1" t="s">
        <v>5980</v>
      </c>
      <c r="H501">
        <v>2011</v>
      </c>
      <c r="I501">
        <v>2014</v>
      </c>
      <c r="J501">
        <f t="shared" si="14"/>
        <v>4</v>
      </c>
      <c r="K501" s="1" t="s">
        <v>5909</v>
      </c>
      <c r="L501" s="1" t="s">
        <v>659</v>
      </c>
      <c r="M501">
        <f t="shared" si="15"/>
        <v>12</v>
      </c>
    </row>
    <row r="502" spans="1:14" hidden="1" x14ac:dyDescent="0.3">
      <c r="A502" s="1" t="s">
        <v>22</v>
      </c>
      <c r="B502" s="1" t="s">
        <v>5940</v>
      </c>
      <c r="C502" s="1" t="s">
        <v>23</v>
      </c>
      <c r="D502" s="1" t="s">
        <v>746</v>
      </c>
      <c r="E502" s="1" t="s">
        <v>5941</v>
      </c>
      <c r="F502" s="1" t="s">
        <v>1359</v>
      </c>
      <c r="G502" s="1" t="s">
        <v>5980</v>
      </c>
      <c r="H502">
        <v>2013</v>
      </c>
      <c r="I502">
        <v>2013</v>
      </c>
      <c r="J502">
        <f t="shared" si="14"/>
        <v>1</v>
      </c>
      <c r="K502" s="1" t="s">
        <v>5909</v>
      </c>
      <c r="L502" s="1" t="s">
        <v>659</v>
      </c>
      <c r="M502">
        <f t="shared" si="15"/>
        <v>13</v>
      </c>
    </row>
    <row r="503" spans="1:14" hidden="1" x14ac:dyDescent="0.3">
      <c r="A503" s="1" t="s">
        <v>24</v>
      </c>
      <c r="B503" s="1" t="s">
        <v>5940</v>
      </c>
      <c r="C503" s="1" t="s">
        <v>25</v>
      </c>
      <c r="D503" s="1" t="s">
        <v>746</v>
      </c>
      <c r="E503" s="1" t="s">
        <v>5941</v>
      </c>
      <c r="F503" s="1" t="s">
        <v>1359</v>
      </c>
      <c r="G503" s="1" t="s">
        <v>5980</v>
      </c>
      <c r="H503">
        <v>2012</v>
      </c>
      <c r="I503">
        <v>2014</v>
      </c>
      <c r="J503">
        <f t="shared" si="14"/>
        <v>3</v>
      </c>
      <c r="K503" s="1" t="s">
        <v>5909</v>
      </c>
      <c r="L503" s="1" t="s">
        <v>659</v>
      </c>
      <c r="M503">
        <f t="shared" si="15"/>
        <v>12</v>
      </c>
    </row>
    <row r="504" spans="1:14" hidden="1" x14ac:dyDescent="0.3">
      <c r="A504" s="1" t="s">
        <v>26</v>
      </c>
      <c r="B504" s="1" t="s">
        <v>5940</v>
      </c>
      <c r="C504" s="1" t="s">
        <v>27</v>
      </c>
      <c r="D504" s="1" t="s">
        <v>746</v>
      </c>
      <c r="E504" s="1" t="s">
        <v>5941</v>
      </c>
      <c r="F504" s="1" t="s">
        <v>1359</v>
      </c>
      <c r="G504" s="1" t="s">
        <v>5980</v>
      </c>
      <c r="H504">
        <v>2016</v>
      </c>
      <c r="I504">
        <v>2017</v>
      </c>
      <c r="J504">
        <f t="shared" si="14"/>
        <v>2</v>
      </c>
      <c r="K504" s="1" t="s">
        <v>5909</v>
      </c>
      <c r="L504" s="1" t="s">
        <v>659</v>
      </c>
      <c r="M504">
        <f t="shared" si="15"/>
        <v>9</v>
      </c>
    </row>
    <row r="505" spans="1:14" hidden="1" x14ac:dyDescent="0.3">
      <c r="A505" s="1" t="s">
        <v>28</v>
      </c>
      <c r="B505" s="1" t="s">
        <v>5940</v>
      </c>
      <c r="C505" s="1" t="s">
        <v>29</v>
      </c>
      <c r="D505" s="1" t="s">
        <v>746</v>
      </c>
      <c r="E505" s="1" t="s">
        <v>5941</v>
      </c>
      <c r="F505" s="1" t="s">
        <v>1359</v>
      </c>
      <c r="G505" s="1" t="s">
        <v>5980</v>
      </c>
      <c r="H505">
        <v>2013</v>
      </c>
      <c r="I505">
        <v>2015</v>
      </c>
      <c r="J505">
        <f t="shared" si="14"/>
        <v>3</v>
      </c>
      <c r="K505" s="1" t="s">
        <v>5909</v>
      </c>
      <c r="L505" s="1" t="s">
        <v>659</v>
      </c>
      <c r="M505">
        <f t="shared" si="15"/>
        <v>11</v>
      </c>
    </row>
    <row r="506" spans="1:14" hidden="1" x14ac:dyDescent="0.3">
      <c r="A506" s="1" t="s">
        <v>30</v>
      </c>
      <c r="B506" s="1" t="s">
        <v>5940</v>
      </c>
      <c r="C506" s="1" t="s">
        <v>31</v>
      </c>
      <c r="D506" s="1" t="s">
        <v>746</v>
      </c>
      <c r="E506" s="1" t="s">
        <v>5941</v>
      </c>
      <c r="F506" s="1" t="s">
        <v>1359</v>
      </c>
      <c r="G506" s="1" t="s">
        <v>5980</v>
      </c>
      <c r="H506">
        <v>2013</v>
      </c>
      <c r="I506">
        <v>2018</v>
      </c>
      <c r="J506">
        <f t="shared" si="14"/>
        <v>6</v>
      </c>
      <c r="K506" s="1" t="s">
        <v>5909</v>
      </c>
      <c r="L506" s="1" t="s">
        <v>659</v>
      </c>
      <c r="M506">
        <f t="shared" si="15"/>
        <v>8</v>
      </c>
    </row>
    <row r="507" spans="1:14" hidden="1" x14ac:dyDescent="0.3">
      <c r="A507" s="1" t="s">
        <v>32</v>
      </c>
      <c r="B507" s="1" t="s">
        <v>5940</v>
      </c>
      <c r="C507" s="1" t="s">
        <v>33</v>
      </c>
      <c r="D507" s="1" t="s">
        <v>746</v>
      </c>
      <c r="E507" s="1" t="s">
        <v>5941</v>
      </c>
      <c r="F507" s="1" t="s">
        <v>1359</v>
      </c>
      <c r="G507" s="1" t="s">
        <v>5980</v>
      </c>
      <c r="H507">
        <v>2016</v>
      </c>
      <c r="I507">
        <v>2018</v>
      </c>
      <c r="J507">
        <f t="shared" si="14"/>
        <v>3</v>
      </c>
      <c r="K507" s="1" t="s">
        <v>5909</v>
      </c>
      <c r="L507" s="1" t="s">
        <v>3793</v>
      </c>
      <c r="M507">
        <f t="shared" si="15"/>
        <v>8</v>
      </c>
    </row>
    <row r="508" spans="1:14" x14ac:dyDescent="0.3">
      <c r="A508" s="1" t="s">
        <v>7275</v>
      </c>
      <c r="B508" s="1" t="s">
        <v>795</v>
      </c>
      <c r="C508" s="1" t="s">
        <v>7276</v>
      </c>
      <c r="D508" s="1" t="s">
        <v>1242</v>
      </c>
      <c r="E508" s="1" t="s">
        <v>6076</v>
      </c>
      <c r="F508" s="1" t="s">
        <v>6076</v>
      </c>
      <c r="G508" s="1" t="s">
        <v>7270</v>
      </c>
      <c r="H508">
        <v>1985</v>
      </c>
      <c r="I508">
        <v>1989</v>
      </c>
      <c r="J508">
        <f t="shared" si="14"/>
        <v>5</v>
      </c>
      <c r="K508" s="1" t="s">
        <v>6076</v>
      </c>
      <c r="L508" s="1" t="s">
        <v>6076</v>
      </c>
      <c r="M508">
        <f t="shared" si="15"/>
        <v>37</v>
      </c>
      <c r="N508" t="s">
        <v>640</v>
      </c>
    </row>
    <row r="509" spans="1:14" x14ac:dyDescent="0.3">
      <c r="A509" s="1" t="s">
        <v>7277</v>
      </c>
      <c r="B509" s="1" t="s">
        <v>795</v>
      </c>
      <c r="C509" s="1" t="s">
        <v>7278</v>
      </c>
      <c r="D509" s="1" t="s">
        <v>1242</v>
      </c>
      <c r="E509" s="1" t="s">
        <v>6076</v>
      </c>
      <c r="F509" s="1" t="s">
        <v>6076</v>
      </c>
      <c r="G509" s="1" t="s">
        <v>7270</v>
      </c>
      <c r="H509">
        <v>1985</v>
      </c>
      <c r="I509">
        <v>1989</v>
      </c>
      <c r="J509">
        <f t="shared" si="14"/>
        <v>5</v>
      </c>
      <c r="K509" s="1" t="s">
        <v>6076</v>
      </c>
      <c r="L509" s="1" t="s">
        <v>6076</v>
      </c>
      <c r="M509">
        <f t="shared" si="15"/>
        <v>37</v>
      </c>
      <c r="N509" t="s">
        <v>640</v>
      </c>
    </row>
    <row r="510" spans="1:14" x14ac:dyDescent="0.3">
      <c r="A510" s="1" t="s">
        <v>7268</v>
      </c>
      <c r="B510" s="1" t="s">
        <v>795</v>
      </c>
      <c r="C510" s="1" t="s">
        <v>7269</v>
      </c>
      <c r="D510" s="1" t="s">
        <v>1242</v>
      </c>
      <c r="E510" s="1" t="s">
        <v>6076</v>
      </c>
      <c r="F510" s="1" t="s">
        <v>6076</v>
      </c>
      <c r="G510" s="1" t="s">
        <v>7270</v>
      </c>
      <c r="H510">
        <v>1986</v>
      </c>
      <c r="I510">
        <v>1996</v>
      </c>
      <c r="J510">
        <f t="shared" si="14"/>
        <v>11</v>
      </c>
      <c r="K510" s="1" t="s">
        <v>6076</v>
      </c>
      <c r="L510" s="1" t="s">
        <v>6076</v>
      </c>
      <c r="M510">
        <f t="shared" si="15"/>
        <v>30</v>
      </c>
      <c r="N510" t="s">
        <v>640</v>
      </c>
    </row>
    <row r="511" spans="1:14" x14ac:dyDescent="0.3">
      <c r="A511" s="1" t="s">
        <v>7271</v>
      </c>
      <c r="B511" s="1" t="s">
        <v>795</v>
      </c>
      <c r="C511" s="1" t="s">
        <v>7272</v>
      </c>
      <c r="D511" s="1" t="s">
        <v>1242</v>
      </c>
      <c r="E511" s="1" t="s">
        <v>6076</v>
      </c>
      <c r="F511" s="1" t="s">
        <v>6076</v>
      </c>
      <c r="G511" s="1" t="s">
        <v>7270</v>
      </c>
      <c r="H511">
        <v>1985</v>
      </c>
      <c r="I511">
        <v>1996</v>
      </c>
      <c r="J511">
        <f t="shared" si="14"/>
        <v>12</v>
      </c>
      <c r="K511" s="1" t="s">
        <v>6076</v>
      </c>
      <c r="L511" s="1" t="s">
        <v>6076</v>
      </c>
      <c r="M511">
        <f t="shared" si="15"/>
        <v>30</v>
      </c>
      <c r="N511" t="s">
        <v>640</v>
      </c>
    </row>
    <row r="512" spans="1:14" x14ac:dyDescent="0.3">
      <c r="A512" s="1" t="s">
        <v>7273</v>
      </c>
      <c r="B512" s="1" t="s">
        <v>795</v>
      </c>
      <c r="C512" s="1" t="s">
        <v>7274</v>
      </c>
      <c r="D512" s="1" t="s">
        <v>1242</v>
      </c>
      <c r="E512" s="1" t="s">
        <v>6076</v>
      </c>
      <c r="F512" s="1" t="s">
        <v>6076</v>
      </c>
      <c r="G512" s="1" t="s">
        <v>7270</v>
      </c>
      <c r="H512">
        <v>1985</v>
      </c>
      <c r="I512">
        <v>1996</v>
      </c>
      <c r="J512">
        <f t="shared" si="14"/>
        <v>12</v>
      </c>
      <c r="K512" s="1" t="s">
        <v>6076</v>
      </c>
      <c r="L512" s="1" t="s">
        <v>6076</v>
      </c>
      <c r="M512">
        <f t="shared" si="15"/>
        <v>30</v>
      </c>
      <c r="N512" t="s">
        <v>640</v>
      </c>
    </row>
    <row r="513" spans="1:13" x14ac:dyDescent="0.3">
      <c r="A513" s="1" t="s">
        <v>34</v>
      </c>
      <c r="B513" s="1" t="s">
        <v>5940</v>
      </c>
      <c r="C513" s="1" t="s">
        <v>35</v>
      </c>
      <c r="D513" s="1" t="s">
        <v>746</v>
      </c>
      <c r="E513" s="1" t="s">
        <v>6076</v>
      </c>
      <c r="F513" s="1" t="s">
        <v>6076</v>
      </c>
      <c r="G513" s="1" t="s">
        <v>5942</v>
      </c>
      <c r="H513">
        <v>1999</v>
      </c>
      <c r="I513">
        <v>2003</v>
      </c>
      <c r="J513">
        <f t="shared" si="14"/>
        <v>5</v>
      </c>
      <c r="K513" s="1" t="s">
        <v>6076</v>
      </c>
      <c r="L513" s="1" t="s">
        <v>6076</v>
      </c>
      <c r="M513">
        <f t="shared" si="15"/>
        <v>23</v>
      </c>
    </row>
    <row r="514" spans="1:13" x14ac:dyDescent="0.3">
      <c r="A514" s="1" t="s">
        <v>36</v>
      </c>
      <c r="B514" s="1" t="s">
        <v>5940</v>
      </c>
      <c r="C514" s="1" t="s">
        <v>37</v>
      </c>
      <c r="D514" s="1" t="s">
        <v>746</v>
      </c>
      <c r="E514" s="1" t="s">
        <v>6076</v>
      </c>
      <c r="F514" s="1" t="s">
        <v>6076</v>
      </c>
      <c r="G514" s="1" t="s">
        <v>5942</v>
      </c>
      <c r="H514">
        <v>1999</v>
      </c>
      <c r="I514">
        <v>2003</v>
      </c>
      <c r="J514">
        <f t="shared" si="14"/>
        <v>5</v>
      </c>
      <c r="K514" s="1" t="s">
        <v>6076</v>
      </c>
      <c r="L514" s="1" t="s">
        <v>6076</v>
      </c>
      <c r="M514">
        <f t="shared" si="15"/>
        <v>23</v>
      </c>
    </row>
    <row r="515" spans="1:13" hidden="1" x14ac:dyDescent="0.3">
      <c r="A515" s="1" t="s">
        <v>38</v>
      </c>
      <c r="B515" s="1" t="s">
        <v>5940</v>
      </c>
      <c r="C515" s="1" t="s">
        <v>39</v>
      </c>
      <c r="D515" s="1" t="s">
        <v>746</v>
      </c>
      <c r="E515" s="1" t="s">
        <v>5941</v>
      </c>
      <c r="F515" s="1" t="s">
        <v>1359</v>
      </c>
      <c r="G515" s="1" t="s">
        <v>5942</v>
      </c>
      <c r="H515">
        <v>1999</v>
      </c>
      <c r="I515">
        <v>2006</v>
      </c>
      <c r="J515">
        <f t="shared" si="14"/>
        <v>8</v>
      </c>
      <c r="K515" s="1" t="s">
        <v>5909</v>
      </c>
      <c r="L515" s="1" t="s">
        <v>3793</v>
      </c>
      <c r="M515">
        <f t="shared" si="15"/>
        <v>20</v>
      </c>
    </row>
    <row r="516" spans="1:13" x14ac:dyDescent="0.3">
      <c r="A516" s="1" t="s">
        <v>40</v>
      </c>
      <c r="B516" s="1" t="s">
        <v>5940</v>
      </c>
      <c r="C516" s="1" t="s">
        <v>41</v>
      </c>
      <c r="D516" s="1" t="s">
        <v>746</v>
      </c>
      <c r="E516" s="1" t="s">
        <v>6076</v>
      </c>
      <c r="F516" s="1" t="s">
        <v>6076</v>
      </c>
      <c r="G516" s="1" t="s">
        <v>5942</v>
      </c>
      <c r="H516">
        <v>1999</v>
      </c>
      <c r="I516">
        <v>2003</v>
      </c>
      <c r="J516">
        <f t="shared" si="14"/>
        <v>5</v>
      </c>
      <c r="K516" s="1" t="s">
        <v>6076</v>
      </c>
      <c r="L516" s="1" t="s">
        <v>6076</v>
      </c>
      <c r="M516">
        <f t="shared" si="15"/>
        <v>23</v>
      </c>
    </row>
    <row r="517" spans="1:13" hidden="1" x14ac:dyDescent="0.3">
      <c r="A517" s="1" t="s">
        <v>42</v>
      </c>
      <c r="B517" s="1" t="s">
        <v>5940</v>
      </c>
      <c r="C517" s="1" t="s">
        <v>43</v>
      </c>
      <c r="D517" s="1" t="s">
        <v>746</v>
      </c>
      <c r="E517" s="1" t="s">
        <v>5941</v>
      </c>
      <c r="F517" s="1" t="s">
        <v>1359</v>
      </c>
      <c r="G517" s="1" t="s">
        <v>5942</v>
      </c>
      <c r="H517">
        <v>2007</v>
      </c>
      <c r="I517">
        <v>2007</v>
      </c>
      <c r="J517">
        <f t="shared" si="14"/>
        <v>1</v>
      </c>
      <c r="K517" s="1" t="s">
        <v>5909</v>
      </c>
      <c r="L517" s="1" t="s">
        <v>3793</v>
      </c>
      <c r="M517">
        <f t="shared" si="15"/>
        <v>19</v>
      </c>
    </row>
    <row r="518" spans="1:13" x14ac:dyDescent="0.3">
      <c r="A518" s="1" t="s">
        <v>44</v>
      </c>
      <c r="B518" s="1" t="s">
        <v>5940</v>
      </c>
      <c r="C518" s="1" t="s">
        <v>45</v>
      </c>
      <c r="D518" s="1" t="s">
        <v>746</v>
      </c>
      <c r="E518" s="1" t="s">
        <v>6076</v>
      </c>
      <c r="F518" s="1" t="s">
        <v>6076</v>
      </c>
      <c r="G518" s="1" t="s">
        <v>5942</v>
      </c>
      <c r="H518">
        <v>1999</v>
      </c>
      <c r="I518">
        <v>2004</v>
      </c>
      <c r="J518">
        <f t="shared" ref="J518:J581" si="16">1+(I518-H518)</f>
        <v>6</v>
      </c>
      <c r="K518" s="1" t="s">
        <v>6076</v>
      </c>
      <c r="L518" s="1" t="s">
        <v>6076</v>
      </c>
      <c r="M518">
        <f t="shared" ref="M518:M581" si="17">IF(I518=0,0,$B$2-I518)</f>
        <v>22</v>
      </c>
    </row>
    <row r="519" spans="1:13" x14ac:dyDescent="0.3">
      <c r="A519" s="1" t="s">
        <v>46</v>
      </c>
      <c r="B519" s="1" t="s">
        <v>5940</v>
      </c>
      <c r="C519" s="1" t="s">
        <v>47</v>
      </c>
      <c r="D519" s="1" t="s">
        <v>746</v>
      </c>
      <c r="E519" s="1" t="s">
        <v>6076</v>
      </c>
      <c r="F519" s="1" t="s">
        <v>6076</v>
      </c>
      <c r="G519" s="1" t="s">
        <v>5942</v>
      </c>
      <c r="H519">
        <v>1997</v>
      </c>
      <c r="I519">
        <v>2004</v>
      </c>
      <c r="J519">
        <f t="shared" si="16"/>
        <v>8</v>
      </c>
      <c r="K519" s="1" t="s">
        <v>6076</v>
      </c>
      <c r="L519" s="1" t="s">
        <v>6076</v>
      </c>
      <c r="M519">
        <f t="shared" si="17"/>
        <v>22</v>
      </c>
    </row>
    <row r="520" spans="1:13" x14ac:dyDescent="0.3">
      <c r="A520" s="1" t="s">
        <v>48</v>
      </c>
      <c r="B520" s="1" t="s">
        <v>5940</v>
      </c>
      <c r="C520" s="1" t="s">
        <v>49</v>
      </c>
      <c r="D520" s="1" t="s">
        <v>746</v>
      </c>
      <c r="E520" s="1" t="s">
        <v>6076</v>
      </c>
      <c r="F520" s="1" t="s">
        <v>6076</v>
      </c>
      <c r="G520" s="1" t="s">
        <v>5942</v>
      </c>
      <c r="H520">
        <v>1997</v>
      </c>
      <c r="I520">
        <v>2004</v>
      </c>
      <c r="J520">
        <f t="shared" si="16"/>
        <v>8</v>
      </c>
      <c r="K520" s="1" t="s">
        <v>6076</v>
      </c>
      <c r="L520" s="1" t="s">
        <v>6076</v>
      </c>
      <c r="M520">
        <f t="shared" si="17"/>
        <v>22</v>
      </c>
    </row>
    <row r="521" spans="1:13" hidden="1" x14ac:dyDescent="0.3">
      <c r="A521" s="1" t="s">
        <v>50</v>
      </c>
      <c r="B521" s="1" t="s">
        <v>5940</v>
      </c>
      <c r="C521" s="1" t="s">
        <v>51</v>
      </c>
      <c r="D521" s="1" t="s">
        <v>746</v>
      </c>
      <c r="E521" s="1" t="s">
        <v>5941</v>
      </c>
      <c r="F521" s="1" t="s">
        <v>1359</v>
      </c>
      <c r="G521" s="1" t="s">
        <v>5942</v>
      </c>
      <c r="H521">
        <v>1997</v>
      </c>
      <c r="I521">
        <v>2006</v>
      </c>
      <c r="J521">
        <f t="shared" si="16"/>
        <v>10</v>
      </c>
      <c r="K521" s="1" t="s">
        <v>5909</v>
      </c>
      <c r="L521" s="1" t="s">
        <v>3793</v>
      </c>
      <c r="M521">
        <f t="shared" si="17"/>
        <v>20</v>
      </c>
    </row>
    <row r="522" spans="1:13" x14ac:dyDescent="0.3">
      <c r="A522" s="1" t="s">
        <v>52</v>
      </c>
      <c r="B522" s="1" t="s">
        <v>5940</v>
      </c>
      <c r="C522" s="1" t="s">
        <v>53</v>
      </c>
      <c r="D522" s="1" t="s">
        <v>746</v>
      </c>
      <c r="E522" s="1" t="s">
        <v>6076</v>
      </c>
      <c r="F522" s="1" t="s">
        <v>6076</v>
      </c>
      <c r="G522" s="1" t="s">
        <v>5942</v>
      </c>
      <c r="H522">
        <v>2002</v>
      </c>
      <c r="I522">
        <v>2003</v>
      </c>
      <c r="J522">
        <f t="shared" si="16"/>
        <v>2</v>
      </c>
      <c r="K522" s="1" t="s">
        <v>6076</v>
      </c>
      <c r="L522" s="1" t="s">
        <v>6076</v>
      </c>
      <c r="M522">
        <f t="shared" si="17"/>
        <v>23</v>
      </c>
    </row>
    <row r="523" spans="1:13" x14ac:dyDescent="0.3">
      <c r="A523" s="1" t="s">
        <v>54</v>
      </c>
      <c r="B523" s="1" t="s">
        <v>5940</v>
      </c>
      <c r="C523" s="1" t="s">
        <v>55</v>
      </c>
      <c r="D523" s="1" t="s">
        <v>746</v>
      </c>
      <c r="E523" s="1" t="s">
        <v>6076</v>
      </c>
      <c r="F523" s="1" t="s">
        <v>6076</v>
      </c>
      <c r="G523" s="1" t="s">
        <v>5942</v>
      </c>
      <c r="H523">
        <v>1997</v>
      </c>
      <c r="I523">
        <v>2004</v>
      </c>
      <c r="J523">
        <f t="shared" si="16"/>
        <v>8</v>
      </c>
      <c r="K523" s="1" t="s">
        <v>6076</v>
      </c>
      <c r="L523" s="1" t="s">
        <v>6076</v>
      </c>
      <c r="M523">
        <f t="shared" si="17"/>
        <v>22</v>
      </c>
    </row>
    <row r="524" spans="1:13" hidden="1" x14ac:dyDescent="0.3">
      <c r="A524" s="1" t="s">
        <v>56</v>
      </c>
      <c r="B524" s="1" t="s">
        <v>5940</v>
      </c>
      <c r="C524" s="1" t="s">
        <v>57</v>
      </c>
      <c r="D524" s="1" t="s">
        <v>746</v>
      </c>
      <c r="E524" s="1" t="s">
        <v>5941</v>
      </c>
      <c r="F524" s="1" t="s">
        <v>1359</v>
      </c>
      <c r="G524" s="1" t="s">
        <v>5942</v>
      </c>
      <c r="H524">
        <v>2002</v>
      </c>
      <c r="I524">
        <v>2006</v>
      </c>
      <c r="J524">
        <f t="shared" si="16"/>
        <v>5</v>
      </c>
      <c r="K524" s="1" t="s">
        <v>5909</v>
      </c>
      <c r="L524" s="1" t="s">
        <v>3793</v>
      </c>
      <c r="M524">
        <f t="shared" si="17"/>
        <v>20</v>
      </c>
    </row>
    <row r="525" spans="1:13" hidden="1" x14ac:dyDescent="0.3">
      <c r="A525" s="1" t="s">
        <v>58</v>
      </c>
      <c r="B525" s="1" t="s">
        <v>5940</v>
      </c>
      <c r="C525" s="1" t="s">
        <v>59</v>
      </c>
      <c r="D525" s="1" t="s">
        <v>746</v>
      </c>
      <c r="E525" s="1" t="s">
        <v>5941</v>
      </c>
      <c r="F525" s="1" t="s">
        <v>1359</v>
      </c>
      <c r="G525" s="1" t="s">
        <v>5942</v>
      </c>
      <c r="H525">
        <v>2000</v>
      </c>
      <c r="I525">
        <v>2006</v>
      </c>
      <c r="J525">
        <f t="shared" si="16"/>
        <v>7</v>
      </c>
      <c r="K525" s="1" t="s">
        <v>5909</v>
      </c>
      <c r="L525" s="1" t="s">
        <v>3793</v>
      </c>
      <c r="M525">
        <f t="shared" si="17"/>
        <v>20</v>
      </c>
    </row>
    <row r="526" spans="1:13" x14ac:dyDescent="0.3">
      <c r="A526" s="1" t="s">
        <v>60</v>
      </c>
      <c r="B526" s="1" t="s">
        <v>5940</v>
      </c>
      <c r="C526" s="1" t="s">
        <v>61</v>
      </c>
      <c r="D526" s="1" t="s">
        <v>746</v>
      </c>
      <c r="E526" s="1" t="s">
        <v>6076</v>
      </c>
      <c r="F526" s="1" t="s">
        <v>6076</v>
      </c>
      <c r="G526" s="1" t="s">
        <v>5942</v>
      </c>
      <c r="H526">
        <v>1998</v>
      </c>
      <c r="I526">
        <v>2003</v>
      </c>
      <c r="J526">
        <f t="shared" si="16"/>
        <v>6</v>
      </c>
      <c r="K526" s="1" t="s">
        <v>6076</v>
      </c>
      <c r="L526" s="1" t="s">
        <v>6076</v>
      </c>
      <c r="M526">
        <f t="shared" si="17"/>
        <v>23</v>
      </c>
    </row>
    <row r="527" spans="1:13" x14ac:dyDescent="0.3">
      <c r="A527" s="1" t="s">
        <v>62</v>
      </c>
      <c r="B527" s="1" t="s">
        <v>5940</v>
      </c>
      <c r="C527" s="1" t="s">
        <v>63</v>
      </c>
      <c r="D527" s="1" t="s">
        <v>746</v>
      </c>
      <c r="E527" s="1" t="s">
        <v>6076</v>
      </c>
      <c r="F527" s="1" t="s">
        <v>6076</v>
      </c>
      <c r="G527" s="1" t="s">
        <v>5942</v>
      </c>
      <c r="H527">
        <v>1999</v>
      </c>
      <c r="I527">
        <v>2004</v>
      </c>
      <c r="J527">
        <f t="shared" si="16"/>
        <v>6</v>
      </c>
      <c r="K527" s="1" t="s">
        <v>6076</v>
      </c>
      <c r="L527" s="1" t="s">
        <v>6076</v>
      </c>
      <c r="M527">
        <f t="shared" si="17"/>
        <v>22</v>
      </c>
    </row>
    <row r="528" spans="1:13" hidden="1" x14ac:dyDescent="0.3">
      <c r="A528" s="1" t="s">
        <v>64</v>
      </c>
      <c r="B528" s="1" t="s">
        <v>5940</v>
      </c>
      <c r="C528" s="1" t="s">
        <v>65</v>
      </c>
      <c r="D528" s="1" t="s">
        <v>746</v>
      </c>
      <c r="E528" s="1" t="s">
        <v>5941</v>
      </c>
      <c r="F528" s="1" t="s">
        <v>1359</v>
      </c>
      <c r="G528" s="1" t="s">
        <v>5942</v>
      </c>
      <c r="H528">
        <v>1998</v>
      </c>
      <c r="I528">
        <v>2006</v>
      </c>
      <c r="J528">
        <f t="shared" si="16"/>
        <v>9</v>
      </c>
      <c r="K528" s="1" t="s">
        <v>5909</v>
      </c>
      <c r="L528" s="1" t="s">
        <v>3793</v>
      </c>
      <c r="M528">
        <f t="shared" si="17"/>
        <v>20</v>
      </c>
    </row>
    <row r="529" spans="1:13" hidden="1" x14ac:dyDescent="0.3">
      <c r="A529" s="1" t="s">
        <v>66</v>
      </c>
      <c r="B529" s="1" t="s">
        <v>5940</v>
      </c>
      <c r="C529" s="1" t="s">
        <v>67</v>
      </c>
      <c r="D529" s="1" t="s">
        <v>746</v>
      </c>
      <c r="E529" s="1" t="s">
        <v>5941</v>
      </c>
      <c r="F529" s="1" t="s">
        <v>1359</v>
      </c>
      <c r="G529" s="1" t="s">
        <v>5942</v>
      </c>
      <c r="H529">
        <v>1999</v>
      </c>
      <c r="I529">
        <v>2006</v>
      </c>
      <c r="J529">
        <f t="shared" si="16"/>
        <v>8</v>
      </c>
      <c r="K529" s="1" t="s">
        <v>5909</v>
      </c>
      <c r="L529" s="1" t="s">
        <v>3793</v>
      </c>
      <c r="M529">
        <f t="shared" si="17"/>
        <v>20</v>
      </c>
    </row>
    <row r="530" spans="1:13" x14ac:dyDescent="0.3">
      <c r="A530" s="1" t="s">
        <v>68</v>
      </c>
      <c r="B530" s="1" t="s">
        <v>5940</v>
      </c>
      <c r="C530" s="1" t="s">
        <v>69</v>
      </c>
      <c r="D530" s="1" t="s">
        <v>3850</v>
      </c>
      <c r="E530" s="1" t="s">
        <v>6076</v>
      </c>
      <c r="F530" s="1" t="s">
        <v>6076</v>
      </c>
      <c r="G530" s="1" t="s">
        <v>5942</v>
      </c>
      <c r="H530">
        <v>2015</v>
      </c>
      <c r="I530">
        <v>2016</v>
      </c>
      <c r="J530">
        <f t="shared" si="16"/>
        <v>2</v>
      </c>
      <c r="K530" s="1" t="s">
        <v>6076</v>
      </c>
      <c r="L530" s="1" t="s">
        <v>6076</v>
      </c>
      <c r="M530">
        <f t="shared" si="17"/>
        <v>10</v>
      </c>
    </row>
    <row r="531" spans="1:13" x14ac:dyDescent="0.3">
      <c r="A531" s="1" t="s">
        <v>70</v>
      </c>
      <c r="B531" s="1" t="s">
        <v>5940</v>
      </c>
      <c r="C531" s="1" t="s">
        <v>71</v>
      </c>
      <c r="D531" s="1" t="s">
        <v>3850</v>
      </c>
      <c r="E531" s="1" t="s">
        <v>6076</v>
      </c>
      <c r="F531" s="1" t="s">
        <v>6076</v>
      </c>
      <c r="G531" s="1" t="s">
        <v>5942</v>
      </c>
      <c r="H531">
        <v>2017</v>
      </c>
      <c r="I531">
        <v>2018</v>
      </c>
      <c r="J531">
        <f t="shared" si="16"/>
        <v>2</v>
      </c>
      <c r="K531" s="1" t="s">
        <v>6076</v>
      </c>
      <c r="L531" s="1" t="s">
        <v>6076</v>
      </c>
      <c r="M531">
        <f t="shared" si="17"/>
        <v>8</v>
      </c>
    </row>
    <row r="532" spans="1:13" x14ac:dyDescent="0.3">
      <c r="A532" s="1" t="s">
        <v>72</v>
      </c>
      <c r="B532" s="1" t="s">
        <v>5940</v>
      </c>
      <c r="C532" s="1" t="s">
        <v>73</v>
      </c>
      <c r="D532" s="1" t="s">
        <v>3850</v>
      </c>
      <c r="E532" s="1" t="s">
        <v>6076</v>
      </c>
      <c r="F532" s="1" t="s">
        <v>6076</v>
      </c>
      <c r="G532" s="1" t="s">
        <v>5942</v>
      </c>
      <c r="H532">
        <v>2019</v>
      </c>
      <c r="I532">
        <v>2019</v>
      </c>
      <c r="J532">
        <f t="shared" si="16"/>
        <v>1</v>
      </c>
      <c r="K532" s="1" t="s">
        <v>6076</v>
      </c>
      <c r="L532" s="1" t="s">
        <v>6076</v>
      </c>
      <c r="M532">
        <f t="shared" si="17"/>
        <v>7</v>
      </c>
    </row>
    <row r="533" spans="1:13" hidden="1" x14ac:dyDescent="0.3">
      <c r="A533" s="1" t="s">
        <v>74</v>
      </c>
      <c r="B533" s="1" t="s">
        <v>5940</v>
      </c>
      <c r="C533" s="1" t="s">
        <v>75</v>
      </c>
      <c r="D533" s="1" t="s">
        <v>738</v>
      </c>
      <c r="E533" s="1" t="s">
        <v>5920</v>
      </c>
      <c r="F533" s="1" t="s">
        <v>4893</v>
      </c>
      <c r="G533" s="1" t="s">
        <v>5942</v>
      </c>
      <c r="H533">
        <v>2016</v>
      </c>
      <c r="I533">
        <v>2018</v>
      </c>
      <c r="J533">
        <f t="shared" si="16"/>
        <v>3</v>
      </c>
      <c r="K533" s="1" t="s">
        <v>5909</v>
      </c>
      <c r="L533" s="1" t="s">
        <v>649</v>
      </c>
      <c r="M533">
        <f t="shared" si="17"/>
        <v>8</v>
      </c>
    </row>
    <row r="534" spans="1:13" hidden="1" x14ac:dyDescent="0.3">
      <c r="A534" s="1" t="s">
        <v>76</v>
      </c>
      <c r="B534" s="1" t="s">
        <v>5940</v>
      </c>
      <c r="C534" s="1" t="s">
        <v>77</v>
      </c>
      <c r="D534" s="1" t="s">
        <v>738</v>
      </c>
      <c r="E534" s="1" t="s">
        <v>5920</v>
      </c>
      <c r="F534" s="1" t="s">
        <v>4893</v>
      </c>
      <c r="G534" s="1" t="s">
        <v>5942</v>
      </c>
      <c r="H534">
        <v>2020</v>
      </c>
      <c r="I534">
        <v>2022</v>
      </c>
      <c r="J534">
        <f t="shared" si="16"/>
        <v>3</v>
      </c>
      <c r="K534" s="1" t="s">
        <v>5909</v>
      </c>
      <c r="L534" s="1" t="s">
        <v>649</v>
      </c>
      <c r="M534">
        <f t="shared" si="17"/>
        <v>4</v>
      </c>
    </row>
    <row r="535" spans="1:13" hidden="1" x14ac:dyDescent="0.3">
      <c r="A535" s="1" t="s">
        <v>78</v>
      </c>
      <c r="B535" s="1" t="s">
        <v>5940</v>
      </c>
      <c r="C535" s="1" t="s">
        <v>79</v>
      </c>
      <c r="D535" s="1" t="s">
        <v>738</v>
      </c>
      <c r="E535" s="1" t="s">
        <v>5920</v>
      </c>
      <c r="F535" s="1" t="s">
        <v>4893</v>
      </c>
      <c r="G535" s="1" t="s">
        <v>5942</v>
      </c>
      <c r="H535">
        <v>2019</v>
      </c>
      <c r="I535">
        <v>2019</v>
      </c>
      <c r="J535">
        <f t="shared" si="16"/>
        <v>1</v>
      </c>
      <c r="K535" s="1" t="s">
        <v>5909</v>
      </c>
      <c r="L535" s="1" t="s">
        <v>649</v>
      </c>
      <c r="M535">
        <f t="shared" si="17"/>
        <v>7</v>
      </c>
    </row>
    <row r="536" spans="1:13" hidden="1" x14ac:dyDescent="0.3">
      <c r="A536" s="1" t="s">
        <v>82</v>
      </c>
      <c r="B536" s="1" t="s">
        <v>5940</v>
      </c>
      <c r="C536" s="1" t="s">
        <v>5981</v>
      </c>
      <c r="D536" s="1" t="s">
        <v>738</v>
      </c>
      <c r="E536" s="1" t="s">
        <v>5920</v>
      </c>
      <c r="F536" s="1" t="s">
        <v>4893</v>
      </c>
      <c r="G536" s="1" t="s">
        <v>5942</v>
      </c>
      <c r="H536">
        <v>2020</v>
      </c>
      <c r="I536">
        <v>2022</v>
      </c>
      <c r="J536">
        <f t="shared" si="16"/>
        <v>3</v>
      </c>
      <c r="K536" s="1" t="s">
        <v>5909</v>
      </c>
      <c r="L536" s="1" t="s">
        <v>649</v>
      </c>
      <c r="M536">
        <f t="shared" si="17"/>
        <v>4</v>
      </c>
    </row>
    <row r="537" spans="1:13" hidden="1" x14ac:dyDescent="0.3">
      <c r="A537" s="1" t="s">
        <v>80</v>
      </c>
      <c r="B537" s="1" t="s">
        <v>5940</v>
      </c>
      <c r="C537" s="1" t="s">
        <v>81</v>
      </c>
      <c r="D537" s="1" t="s">
        <v>738</v>
      </c>
      <c r="E537" s="1" t="s">
        <v>5920</v>
      </c>
      <c r="F537" s="1" t="s">
        <v>4893</v>
      </c>
      <c r="G537" s="1" t="s">
        <v>5942</v>
      </c>
      <c r="H537">
        <v>2014</v>
      </c>
      <c r="I537">
        <v>2016</v>
      </c>
      <c r="J537">
        <f t="shared" si="16"/>
        <v>3</v>
      </c>
      <c r="K537" s="1" t="s">
        <v>5909</v>
      </c>
      <c r="L537" s="1" t="s">
        <v>649</v>
      </c>
      <c r="M537">
        <f t="shared" si="17"/>
        <v>10</v>
      </c>
    </row>
    <row r="538" spans="1:13" hidden="1" x14ac:dyDescent="0.3">
      <c r="A538" t="s">
        <v>83</v>
      </c>
      <c r="B538" t="s">
        <v>5940</v>
      </c>
      <c r="C538" t="s">
        <v>84</v>
      </c>
      <c r="E538" s="1" t="e">
        <v>#N/A</v>
      </c>
      <c r="F538" s="1" t="e">
        <v>#N/A</v>
      </c>
      <c r="G538" s="1" t="s">
        <v>5942</v>
      </c>
      <c r="H538">
        <v>2025</v>
      </c>
      <c r="I538">
        <v>2026</v>
      </c>
      <c r="J538">
        <f t="shared" si="16"/>
        <v>2</v>
      </c>
      <c r="K538" s="1" t="s">
        <v>5909</v>
      </c>
      <c r="L538" s="1" t="s">
        <v>649</v>
      </c>
      <c r="M538">
        <f t="shared" si="17"/>
        <v>0</v>
      </c>
    </row>
    <row r="539" spans="1:13" hidden="1" x14ac:dyDescent="0.3">
      <c r="A539" s="1" t="s">
        <v>85</v>
      </c>
      <c r="B539" s="1" t="s">
        <v>5940</v>
      </c>
      <c r="C539" s="1" t="s">
        <v>86</v>
      </c>
      <c r="D539" s="1" t="s">
        <v>738</v>
      </c>
      <c r="E539" s="1" t="s">
        <v>5920</v>
      </c>
      <c r="F539" s="1" t="s">
        <v>4893</v>
      </c>
      <c r="G539" s="1" t="s">
        <v>5942</v>
      </c>
      <c r="H539">
        <v>2016</v>
      </c>
      <c r="I539">
        <v>2018</v>
      </c>
      <c r="J539">
        <f t="shared" si="16"/>
        <v>3</v>
      </c>
      <c r="K539" s="1" t="s">
        <v>5909</v>
      </c>
      <c r="L539" s="1" t="s">
        <v>649</v>
      </c>
      <c r="M539">
        <f t="shared" si="17"/>
        <v>8</v>
      </c>
    </row>
    <row r="540" spans="1:13" hidden="1" x14ac:dyDescent="0.3">
      <c r="A540" s="1" t="s">
        <v>87</v>
      </c>
      <c r="B540" s="1" t="s">
        <v>5940</v>
      </c>
      <c r="C540" s="1" t="s">
        <v>88</v>
      </c>
      <c r="D540" s="1" t="s">
        <v>738</v>
      </c>
      <c r="E540" s="1" t="s">
        <v>5920</v>
      </c>
      <c r="F540" s="1" t="s">
        <v>4893</v>
      </c>
      <c r="G540" s="1" t="s">
        <v>5942</v>
      </c>
      <c r="H540">
        <v>2014</v>
      </c>
      <c r="I540">
        <v>2016</v>
      </c>
      <c r="J540">
        <f t="shared" si="16"/>
        <v>3</v>
      </c>
      <c r="K540" s="1" t="s">
        <v>5909</v>
      </c>
      <c r="L540" s="1" t="s">
        <v>649</v>
      </c>
      <c r="M540">
        <f t="shared" si="17"/>
        <v>10</v>
      </c>
    </row>
    <row r="541" spans="1:13" hidden="1" x14ac:dyDescent="0.3">
      <c r="A541" t="s">
        <v>89</v>
      </c>
      <c r="B541" t="s">
        <v>5940</v>
      </c>
      <c r="C541" t="s">
        <v>90</v>
      </c>
      <c r="E541" s="1" t="e">
        <v>#N/A</v>
      </c>
      <c r="F541" s="1" t="e">
        <v>#N/A</v>
      </c>
      <c r="G541" s="1" t="s">
        <v>5942</v>
      </c>
      <c r="H541">
        <v>2025</v>
      </c>
      <c r="I541">
        <v>2026</v>
      </c>
      <c r="J541">
        <f t="shared" si="16"/>
        <v>2</v>
      </c>
      <c r="K541" s="1" t="s">
        <v>5909</v>
      </c>
      <c r="L541" s="1" t="s">
        <v>649</v>
      </c>
      <c r="M541">
        <f t="shared" si="17"/>
        <v>0</v>
      </c>
    </row>
    <row r="542" spans="1:13" hidden="1" x14ac:dyDescent="0.3">
      <c r="A542" s="1" t="s">
        <v>91</v>
      </c>
      <c r="B542" s="1" t="s">
        <v>5940</v>
      </c>
      <c r="C542" s="1" t="s">
        <v>92</v>
      </c>
      <c r="D542" s="1" t="s">
        <v>738</v>
      </c>
      <c r="E542" s="1" t="s">
        <v>5920</v>
      </c>
      <c r="F542" s="1" t="s">
        <v>4893</v>
      </c>
      <c r="G542" s="1" t="s">
        <v>5942</v>
      </c>
      <c r="H542">
        <v>2019</v>
      </c>
      <c r="I542">
        <v>2022</v>
      </c>
      <c r="J542">
        <f t="shared" si="16"/>
        <v>4</v>
      </c>
      <c r="K542" s="1" t="s">
        <v>5909</v>
      </c>
      <c r="L542" s="1" t="s">
        <v>649</v>
      </c>
      <c r="M542">
        <f t="shared" si="17"/>
        <v>4</v>
      </c>
    </row>
    <row r="543" spans="1:13" hidden="1" x14ac:dyDescent="0.3">
      <c r="A543" s="1" t="s">
        <v>93</v>
      </c>
      <c r="B543" s="1" t="s">
        <v>5940</v>
      </c>
      <c r="C543" s="1" t="s">
        <v>94</v>
      </c>
      <c r="D543" s="1" t="s">
        <v>738</v>
      </c>
      <c r="E543" s="1" t="s">
        <v>5920</v>
      </c>
      <c r="F543" s="1" t="s">
        <v>4893</v>
      </c>
      <c r="G543" s="1" t="s">
        <v>5942</v>
      </c>
      <c r="H543">
        <v>2019</v>
      </c>
      <c r="I543">
        <v>2021</v>
      </c>
      <c r="J543">
        <f t="shared" si="16"/>
        <v>3</v>
      </c>
      <c r="K543" s="1" t="s">
        <v>5909</v>
      </c>
      <c r="L543" s="1" t="s">
        <v>649</v>
      </c>
      <c r="M543">
        <f t="shared" si="17"/>
        <v>5</v>
      </c>
    </row>
    <row r="544" spans="1:13" hidden="1" x14ac:dyDescent="0.3">
      <c r="A544" s="1" t="s">
        <v>95</v>
      </c>
      <c r="B544" s="1" t="s">
        <v>5940</v>
      </c>
      <c r="C544" s="1" t="s">
        <v>96</v>
      </c>
      <c r="D544" s="1" t="s">
        <v>738</v>
      </c>
      <c r="E544" s="1" t="s">
        <v>5920</v>
      </c>
      <c r="F544" s="1" t="s">
        <v>4893</v>
      </c>
      <c r="G544" s="1" t="s">
        <v>5942</v>
      </c>
      <c r="H544">
        <v>2019</v>
      </c>
      <c r="I544">
        <v>2022</v>
      </c>
      <c r="J544">
        <f t="shared" si="16"/>
        <v>4</v>
      </c>
      <c r="K544" s="1" t="s">
        <v>5909</v>
      </c>
      <c r="L544" s="1" t="s">
        <v>649</v>
      </c>
      <c r="M544">
        <f t="shared" si="17"/>
        <v>4</v>
      </c>
    </row>
    <row r="545" spans="1:13" x14ac:dyDescent="0.3">
      <c r="A545" s="1" t="s">
        <v>97</v>
      </c>
      <c r="B545" s="1" t="s">
        <v>5940</v>
      </c>
      <c r="C545" s="1" t="s">
        <v>7279</v>
      </c>
      <c r="D545" s="1" t="s">
        <v>738</v>
      </c>
      <c r="E545" s="1" t="s">
        <v>6076</v>
      </c>
      <c r="F545" s="1" t="s">
        <v>6076</v>
      </c>
      <c r="G545" s="1" t="s">
        <v>5942</v>
      </c>
      <c r="H545">
        <v>2022</v>
      </c>
      <c r="I545">
        <v>2022</v>
      </c>
      <c r="J545">
        <f t="shared" si="16"/>
        <v>1</v>
      </c>
      <c r="K545" s="1" t="s">
        <v>6076</v>
      </c>
      <c r="L545" s="1" t="s">
        <v>6076</v>
      </c>
      <c r="M545">
        <f t="shared" si="17"/>
        <v>4</v>
      </c>
    </row>
    <row r="546" spans="1:13" x14ac:dyDescent="0.3">
      <c r="A546" s="1" t="s">
        <v>98</v>
      </c>
      <c r="B546" s="1" t="s">
        <v>5940</v>
      </c>
      <c r="C546" s="1" t="s">
        <v>99</v>
      </c>
      <c r="D546" s="1" t="s">
        <v>738</v>
      </c>
      <c r="E546" s="1" t="s">
        <v>6076</v>
      </c>
      <c r="F546" s="1" t="s">
        <v>6076</v>
      </c>
      <c r="G546" s="1" t="s">
        <v>5942</v>
      </c>
      <c r="H546">
        <v>2022</v>
      </c>
      <c r="I546">
        <v>2022</v>
      </c>
      <c r="J546">
        <f t="shared" si="16"/>
        <v>1</v>
      </c>
      <c r="K546" s="1" t="s">
        <v>6076</v>
      </c>
      <c r="L546" s="1" t="s">
        <v>6076</v>
      </c>
      <c r="M546">
        <f t="shared" si="17"/>
        <v>4</v>
      </c>
    </row>
    <row r="547" spans="1:13" hidden="1" x14ac:dyDescent="0.3">
      <c r="A547" s="1" t="s">
        <v>100</v>
      </c>
      <c r="B547" s="1" t="s">
        <v>5940</v>
      </c>
      <c r="C547" s="1" t="s">
        <v>101</v>
      </c>
      <c r="D547" s="1" t="s">
        <v>746</v>
      </c>
      <c r="E547" s="1" t="s">
        <v>5941</v>
      </c>
      <c r="F547" s="1" t="s">
        <v>1359</v>
      </c>
      <c r="G547" s="1" t="s">
        <v>5942</v>
      </c>
      <c r="H547">
        <v>2013</v>
      </c>
      <c r="I547">
        <v>2014</v>
      </c>
      <c r="J547">
        <f t="shared" si="16"/>
        <v>2</v>
      </c>
      <c r="K547" s="1" t="s">
        <v>5909</v>
      </c>
      <c r="L547" s="1" t="s">
        <v>649</v>
      </c>
      <c r="M547">
        <f t="shared" si="17"/>
        <v>12</v>
      </c>
    </row>
    <row r="548" spans="1:13" hidden="1" x14ac:dyDescent="0.3">
      <c r="A548" s="1" t="s">
        <v>102</v>
      </c>
      <c r="B548" s="1" t="s">
        <v>5940</v>
      </c>
      <c r="C548" s="1" t="s">
        <v>103</v>
      </c>
      <c r="D548" s="1" t="s">
        <v>746</v>
      </c>
      <c r="E548" s="1" t="s">
        <v>5941</v>
      </c>
      <c r="F548" s="1" t="s">
        <v>1359</v>
      </c>
      <c r="G548" s="1" t="s">
        <v>5942</v>
      </c>
      <c r="H548">
        <v>2010</v>
      </c>
      <c r="I548">
        <v>2013</v>
      </c>
      <c r="J548">
        <f t="shared" si="16"/>
        <v>4</v>
      </c>
      <c r="K548" s="1" t="s">
        <v>5909</v>
      </c>
      <c r="L548" s="1" t="s">
        <v>649</v>
      </c>
      <c r="M548">
        <f t="shared" si="17"/>
        <v>13</v>
      </c>
    </row>
    <row r="549" spans="1:13" hidden="1" x14ac:dyDescent="0.3">
      <c r="A549" s="1" t="s">
        <v>104</v>
      </c>
      <c r="B549" s="1" t="s">
        <v>5940</v>
      </c>
      <c r="C549" s="1" t="s">
        <v>5982</v>
      </c>
      <c r="D549" s="1" t="s">
        <v>746</v>
      </c>
      <c r="E549" s="1" t="s">
        <v>5941</v>
      </c>
      <c r="F549" s="1" t="s">
        <v>1359</v>
      </c>
      <c r="G549" s="1" t="s">
        <v>5942</v>
      </c>
      <c r="H549">
        <v>2022</v>
      </c>
      <c r="I549">
        <v>2022</v>
      </c>
      <c r="J549">
        <f t="shared" si="16"/>
        <v>1</v>
      </c>
      <c r="K549" s="1" t="s">
        <v>5909</v>
      </c>
      <c r="L549" s="1" t="s">
        <v>649</v>
      </c>
      <c r="M549">
        <f t="shared" si="17"/>
        <v>4</v>
      </c>
    </row>
    <row r="550" spans="1:13" hidden="1" x14ac:dyDescent="0.3">
      <c r="A550" t="s">
        <v>105</v>
      </c>
      <c r="B550" t="s">
        <v>5940</v>
      </c>
      <c r="C550" t="s">
        <v>106</v>
      </c>
      <c r="E550" s="1" t="e">
        <v>#N/A</v>
      </c>
      <c r="F550" s="1" t="e">
        <v>#N/A</v>
      </c>
      <c r="G550" s="1" t="s">
        <v>5942</v>
      </c>
      <c r="H550">
        <v>2025</v>
      </c>
      <c r="I550">
        <v>2026</v>
      </c>
      <c r="J550">
        <f t="shared" si="16"/>
        <v>2</v>
      </c>
      <c r="K550" s="1" t="s">
        <v>5909</v>
      </c>
      <c r="L550" s="1" t="s">
        <v>649</v>
      </c>
      <c r="M550">
        <f t="shared" si="17"/>
        <v>0</v>
      </c>
    </row>
    <row r="551" spans="1:13" hidden="1" x14ac:dyDescent="0.3">
      <c r="A551" t="s">
        <v>107</v>
      </c>
      <c r="B551" t="s">
        <v>5940</v>
      </c>
      <c r="C551" t="s">
        <v>108</v>
      </c>
      <c r="E551" s="1" t="e">
        <v>#N/A</v>
      </c>
      <c r="F551" s="1" t="e">
        <v>#N/A</v>
      </c>
      <c r="G551" s="1" t="s">
        <v>5942</v>
      </c>
      <c r="H551">
        <v>2025</v>
      </c>
      <c r="I551">
        <v>2026</v>
      </c>
      <c r="J551">
        <f t="shared" si="16"/>
        <v>2</v>
      </c>
      <c r="K551" s="1" t="s">
        <v>5909</v>
      </c>
      <c r="L551" s="1" t="s">
        <v>649</v>
      </c>
      <c r="M551">
        <f t="shared" si="17"/>
        <v>0</v>
      </c>
    </row>
    <row r="552" spans="1:13" hidden="1" x14ac:dyDescent="0.3">
      <c r="A552" s="1" t="s">
        <v>109</v>
      </c>
      <c r="B552" s="1" t="s">
        <v>5940</v>
      </c>
      <c r="C552" s="1" t="s">
        <v>110</v>
      </c>
      <c r="D552" s="1" t="s">
        <v>746</v>
      </c>
      <c r="E552" s="1" t="s">
        <v>5941</v>
      </c>
      <c r="F552" s="1" t="s">
        <v>1359</v>
      </c>
      <c r="G552" s="1" t="s">
        <v>5942</v>
      </c>
      <c r="H552">
        <v>2019</v>
      </c>
      <c r="I552">
        <v>2022</v>
      </c>
      <c r="J552">
        <f t="shared" si="16"/>
        <v>4</v>
      </c>
      <c r="K552" s="1" t="s">
        <v>5909</v>
      </c>
      <c r="L552" s="1" t="s">
        <v>649</v>
      </c>
      <c r="M552">
        <f t="shared" si="17"/>
        <v>4</v>
      </c>
    </row>
    <row r="553" spans="1:13" x14ac:dyDescent="0.3">
      <c r="A553" s="1" t="s">
        <v>112</v>
      </c>
      <c r="B553" s="1" t="s">
        <v>5940</v>
      </c>
      <c r="C553" s="1" t="s">
        <v>113</v>
      </c>
      <c r="D553" s="1" t="s">
        <v>746</v>
      </c>
      <c r="E553" s="1" t="s">
        <v>6076</v>
      </c>
      <c r="F553" s="1" t="s">
        <v>6076</v>
      </c>
      <c r="G553" s="1" t="s">
        <v>5942</v>
      </c>
      <c r="H553">
        <v>2022</v>
      </c>
      <c r="I553">
        <v>2022</v>
      </c>
      <c r="J553">
        <f t="shared" si="16"/>
        <v>1</v>
      </c>
      <c r="K553" s="1" t="s">
        <v>6076</v>
      </c>
      <c r="L553" s="1" t="s">
        <v>6076</v>
      </c>
      <c r="M553">
        <f t="shared" si="17"/>
        <v>4</v>
      </c>
    </row>
    <row r="554" spans="1:13" hidden="1" x14ac:dyDescent="0.3">
      <c r="A554" s="1" t="s">
        <v>114</v>
      </c>
      <c r="B554" s="1" t="s">
        <v>5940</v>
      </c>
      <c r="C554" s="1" t="s">
        <v>115</v>
      </c>
      <c r="D554" s="1" t="s">
        <v>746</v>
      </c>
      <c r="E554" s="1" t="s">
        <v>5941</v>
      </c>
      <c r="F554" s="1" t="s">
        <v>1359</v>
      </c>
      <c r="G554" s="1" t="s">
        <v>5942</v>
      </c>
      <c r="H554">
        <v>2014</v>
      </c>
      <c r="I554">
        <v>2018</v>
      </c>
      <c r="J554">
        <f t="shared" si="16"/>
        <v>5</v>
      </c>
      <c r="K554" s="1" t="s">
        <v>5909</v>
      </c>
      <c r="L554" s="1" t="s">
        <v>649</v>
      </c>
      <c r="M554">
        <f t="shared" si="17"/>
        <v>8</v>
      </c>
    </row>
    <row r="555" spans="1:13" hidden="1" x14ac:dyDescent="0.3">
      <c r="A555" s="1" t="s">
        <v>116</v>
      </c>
      <c r="B555" s="1" t="s">
        <v>5940</v>
      </c>
      <c r="C555" s="1" t="s">
        <v>117</v>
      </c>
      <c r="D555" s="1" t="s">
        <v>746</v>
      </c>
      <c r="E555" s="1" t="s">
        <v>5941</v>
      </c>
      <c r="F555" s="1" t="s">
        <v>1359</v>
      </c>
      <c r="G555" s="1" t="s">
        <v>5942</v>
      </c>
      <c r="H555">
        <v>2007</v>
      </c>
      <c r="I555">
        <v>2010</v>
      </c>
      <c r="J555">
        <f t="shared" si="16"/>
        <v>4</v>
      </c>
      <c r="K555" s="1" t="s">
        <v>5909</v>
      </c>
      <c r="L555" s="1" t="s">
        <v>649</v>
      </c>
      <c r="M555">
        <f t="shared" si="17"/>
        <v>16</v>
      </c>
    </row>
    <row r="556" spans="1:13" hidden="1" x14ac:dyDescent="0.3">
      <c r="A556" s="1" t="s">
        <v>118</v>
      </c>
      <c r="B556" s="1" t="s">
        <v>5940</v>
      </c>
      <c r="C556" s="1" t="s">
        <v>119</v>
      </c>
      <c r="D556" s="1" t="s">
        <v>746</v>
      </c>
      <c r="E556" s="1" t="s">
        <v>5941</v>
      </c>
      <c r="F556" s="1" t="s">
        <v>1359</v>
      </c>
      <c r="G556" s="1" t="s">
        <v>5942</v>
      </c>
      <c r="H556">
        <v>2014</v>
      </c>
      <c r="I556">
        <v>2016</v>
      </c>
      <c r="J556">
        <f t="shared" si="16"/>
        <v>3</v>
      </c>
      <c r="K556" s="1" t="s">
        <v>5909</v>
      </c>
      <c r="L556" s="1" t="s">
        <v>649</v>
      </c>
      <c r="M556">
        <f t="shared" si="17"/>
        <v>10</v>
      </c>
    </row>
    <row r="557" spans="1:13" hidden="1" x14ac:dyDescent="0.3">
      <c r="A557" s="1" t="s">
        <v>120</v>
      </c>
      <c r="B557" s="1" t="s">
        <v>5940</v>
      </c>
      <c r="C557" s="1" t="s">
        <v>121</v>
      </c>
      <c r="D557" s="1" t="s">
        <v>746</v>
      </c>
      <c r="E557" s="1" t="s">
        <v>5941</v>
      </c>
      <c r="F557" s="1" t="s">
        <v>1359</v>
      </c>
      <c r="G557" s="1" t="s">
        <v>5942</v>
      </c>
      <c r="H557">
        <v>2007</v>
      </c>
      <c r="I557">
        <v>2011</v>
      </c>
      <c r="J557">
        <f t="shared" si="16"/>
        <v>5</v>
      </c>
      <c r="K557" s="1" t="s">
        <v>5909</v>
      </c>
      <c r="L557" s="1" t="s">
        <v>649</v>
      </c>
      <c r="M557">
        <f t="shared" si="17"/>
        <v>15</v>
      </c>
    </row>
    <row r="558" spans="1:13" hidden="1" x14ac:dyDescent="0.3">
      <c r="A558" s="1" t="s">
        <v>122</v>
      </c>
      <c r="B558" s="1" t="s">
        <v>5940</v>
      </c>
      <c r="C558" s="1" t="s">
        <v>123</v>
      </c>
      <c r="D558" s="1" t="s">
        <v>746</v>
      </c>
      <c r="E558" s="1" t="s">
        <v>5941</v>
      </c>
      <c r="F558" s="1" t="s">
        <v>1359</v>
      </c>
      <c r="G558" s="1" t="s">
        <v>5942</v>
      </c>
      <c r="H558">
        <v>2007</v>
      </c>
      <c r="I558">
        <v>2013</v>
      </c>
      <c r="J558">
        <f t="shared" si="16"/>
        <v>7</v>
      </c>
      <c r="K558" s="1" t="s">
        <v>5909</v>
      </c>
      <c r="L558" s="1" t="s">
        <v>649</v>
      </c>
      <c r="M558">
        <f t="shared" si="17"/>
        <v>13</v>
      </c>
    </row>
    <row r="559" spans="1:13" x14ac:dyDescent="0.3">
      <c r="A559" s="1" t="s">
        <v>111</v>
      </c>
      <c r="B559" s="1" t="s">
        <v>5940</v>
      </c>
      <c r="C559" s="1" t="s">
        <v>7280</v>
      </c>
      <c r="D559" s="1" t="s">
        <v>746</v>
      </c>
      <c r="E559" s="1" t="s">
        <v>6076</v>
      </c>
      <c r="F559" s="1" t="s">
        <v>6076</v>
      </c>
      <c r="G559" s="1" t="s">
        <v>5942</v>
      </c>
      <c r="H559">
        <v>2022</v>
      </c>
      <c r="I559">
        <v>2022</v>
      </c>
      <c r="J559">
        <f t="shared" si="16"/>
        <v>1</v>
      </c>
      <c r="K559" s="1" t="s">
        <v>6076</v>
      </c>
      <c r="L559" s="1" t="s">
        <v>6076</v>
      </c>
      <c r="M559">
        <f t="shared" si="17"/>
        <v>4</v>
      </c>
    </row>
    <row r="560" spans="1:13" x14ac:dyDescent="0.3">
      <c r="A560" s="1" t="s">
        <v>7281</v>
      </c>
      <c r="B560" s="1" t="s">
        <v>5931</v>
      </c>
      <c r="C560" s="1" t="s">
        <v>7282</v>
      </c>
      <c r="D560" s="1" t="s">
        <v>746</v>
      </c>
      <c r="E560" s="1" t="s">
        <v>6076</v>
      </c>
      <c r="F560" s="1" t="s">
        <v>6076</v>
      </c>
      <c r="G560" s="1" t="s">
        <v>7283</v>
      </c>
      <c r="H560">
        <v>2020</v>
      </c>
      <c r="I560">
        <v>2022</v>
      </c>
      <c r="J560">
        <f t="shared" si="16"/>
        <v>3</v>
      </c>
      <c r="K560" s="1" t="s">
        <v>6076</v>
      </c>
      <c r="L560" s="1" t="s">
        <v>6076</v>
      </c>
      <c r="M560">
        <f t="shared" si="17"/>
        <v>4</v>
      </c>
    </row>
    <row r="561" spans="1:13" x14ac:dyDescent="0.3">
      <c r="A561" s="1" t="s">
        <v>7286</v>
      </c>
      <c r="B561" s="1" t="s">
        <v>5931</v>
      </c>
      <c r="C561" s="1" t="s">
        <v>7287</v>
      </c>
      <c r="D561" s="1" t="s">
        <v>746</v>
      </c>
      <c r="E561" s="1" t="s">
        <v>6076</v>
      </c>
      <c r="F561" s="1" t="s">
        <v>6076</v>
      </c>
      <c r="G561" s="1" t="s">
        <v>7288</v>
      </c>
      <c r="H561">
        <v>2020</v>
      </c>
      <c r="I561">
        <v>2020</v>
      </c>
      <c r="J561">
        <f t="shared" si="16"/>
        <v>1</v>
      </c>
      <c r="K561" s="1" t="s">
        <v>6076</v>
      </c>
      <c r="L561" s="1" t="s">
        <v>6076</v>
      </c>
      <c r="M561">
        <f t="shared" si="17"/>
        <v>6</v>
      </c>
    </row>
    <row r="562" spans="1:13" x14ac:dyDescent="0.3">
      <c r="A562" s="1" t="s">
        <v>7284</v>
      </c>
      <c r="B562" s="1" t="s">
        <v>5931</v>
      </c>
      <c r="C562" s="1" t="s">
        <v>7285</v>
      </c>
      <c r="D562" s="1" t="s">
        <v>746</v>
      </c>
      <c r="E562" s="1" t="s">
        <v>6076</v>
      </c>
      <c r="F562" s="1" t="s">
        <v>6076</v>
      </c>
      <c r="G562" s="1" t="s">
        <v>7283</v>
      </c>
      <c r="H562">
        <v>2020</v>
      </c>
      <c r="I562">
        <v>2022</v>
      </c>
      <c r="J562">
        <f t="shared" si="16"/>
        <v>3</v>
      </c>
      <c r="K562" s="1" t="s">
        <v>6076</v>
      </c>
      <c r="L562" s="1" t="s">
        <v>6076</v>
      </c>
      <c r="M562">
        <f t="shared" si="17"/>
        <v>4</v>
      </c>
    </row>
    <row r="563" spans="1:13" x14ac:dyDescent="0.3">
      <c r="A563" s="1" t="s">
        <v>124</v>
      </c>
      <c r="B563" s="1" t="s">
        <v>5940</v>
      </c>
      <c r="C563" s="1" t="s">
        <v>125</v>
      </c>
      <c r="D563" s="1" t="s">
        <v>738</v>
      </c>
      <c r="E563" s="1" t="s">
        <v>6076</v>
      </c>
      <c r="F563" s="1" t="s">
        <v>6076</v>
      </c>
      <c r="G563" s="1" t="s">
        <v>5983</v>
      </c>
      <c r="H563">
        <v>1995</v>
      </c>
      <c r="I563">
        <v>2001</v>
      </c>
      <c r="J563">
        <f t="shared" si="16"/>
        <v>7</v>
      </c>
      <c r="K563" s="1" t="s">
        <v>6076</v>
      </c>
      <c r="L563" s="1" t="s">
        <v>6076</v>
      </c>
      <c r="M563">
        <f t="shared" si="17"/>
        <v>25</v>
      </c>
    </row>
    <row r="564" spans="1:13" x14ac:dyDescent="0.3">
      <c r="A564" s="1" t="s">
        <v>128</v>
      </c>
      <c r="B564" s="1" t="s">
        <v>5940</v>
      </c>
      <c r="C564" s="1" t="s">
        <v>129</v>
      </c>
      <c r="D564" s="1" t="s">
        <v>738</v>
      </c>
      <c r="E564" s="1" t="s">
        <v>6076</v>
      </c>
      <c r="F564" s="1" t="s">
        <v>6076</v>
      </c>
      <c r="G564" s="1" t="s">
        <v>5983</v>
      </c>
      <c r="H564">
        <v>1996</v>
      </c>
      <c r="I564">
        <v>2001</v>
      </c>
      <c r="J564">
        <f t="shared" si="16"/>
        <v>6</v>
      </c>
      <c r="K564" s="1" t="s">
        <v>6076</v>
      </c>
      <c r="L564" s="1" t="s">
        <v>6076</v>
      </c>
      <c r="M564">
        <f t="shared" si="17"/>
        <v>25</v>
      </c>
    </row>
    <row r="565" spans="1:13" x14ac:dyDescent="0.3">
      <c r="A565" s="1" t="s">
        <v>130</v>
      </c>
      <c r="B565" s="1" t="s">
        <v>5940</v>
      </c>
      <c r="C565" s="1" t="s">
        <v>131</v>
      </c>
      <c r="D565" s="1" t="s">
        <v>738</v>
      </c>
      <c r="E565" s="1" t="s">
        <v>6076</v>
      </c>
      <c r="F565" s="1" t="s">
        <v>6076</v>
      </c>
      <c r="G565" s="1" t="s">
        <v>5983</v>
      </c>
      <c r="H565">
        <v>1996</v>
      </c>
      <c r="I565">
        <v>2001</v>
      </c>
      <c r="J565">
        <f t="shared" si="16"/>
        <v>6</v>
      </c>
      <c r="K565" s="1" t="s">
        <v>6076</v>
      </c>
      <c r="L565" s="1" t="s">
        <v>6076</v>
      </c>
      <c r="M565">
        <f t="shared" si="17"/>
        <v>25</v>
      </c>
    </row>
    <row r="566" spans="1:13" x14ac:dyDescent="0.3">
      <c r="A566" s="1" t="s">
        <v>132</v>
      </c>
      <c r="B566" s="1" t="s">
        <v>5940</v>
      </c>
      <c r="C566" s="1" t="s">
        <v>133</v>
      </c>
      <c r="D566" s="1" t="s">
        <v>738</v>
      </c>
      <c r="E566" s="1" t="s">
        <v>6076</v>
      </c>
      <c r="F566" s="1" t="s">
        <v>6076</v>
      </c>
      <c r="G566" s="1" t="s">
        <v>5983</v>
      </c>
      <c r="H566">
        <v>1996</v>
      </c>
      <c r="I566">
        <v>2001</v>
      </c>
      <c r="J566">
        <f t="shared" si="16"/>
        <v>6</v>
      </c>
      <c r="K566" s="1" t="s">
        <v>6076</v>
      </c>
      <c r="L566" s="1" t="s">
        <v>6076</v>
      </c>
      <c r="M566">
        <f t="shared" si="17"/>
        <v>25</v>
      </c>
    </row>
    <row r="567" spans="1:13" x14ac:dyDescent="0.3">
      <c r="A567" s="1" t="s">
        <v>134</v>
      </c>
      <c r="B567" s="1" t="s">
        <v>5940</v>
      </c>
      <c r="C567" s="1" t="s">
        <v>135</v>
      </c>
      <c r="D567" s="1" t="s">
        <v>738</v>
      </c>
      <c r="E567" s="1" t="s">
        <v>6076</v>
      </c>
      <c r="F567" s="1" t="s">
        <v>6076</v>
      </c>
      <c r="G567" s="1" t="s">
        <v>5983</v>
      </c>
      <c r="H567">
        <v>1996</v>
      </c>
      <c r="I567">
        <v>2016</v>
      </c>
      <c r="J567">
        <f t="shared" si="16"/>
        <v>21</v>
      </c>
      <c r="K567" s="1" t="s">
        <v>6076</v>
      </c>
      <c r="L567" s="1" t="s">
        <v>6076</v>
      </c>
      <c r="M567">
        <f t="shared" si="17"/>
        <v>10</v>
      </c>
    </row>
    <row r="568" spans="1:13" x14ac:dyDescent="0.3">
      <c r="A568" s="1" t="s">
        <v>126</v>
      </c>
      <c r="B568" s="1" t="s">
        <v>5940</v>
      </c>
      <c r="C568" s="1" t="s">
        <v>127</v>
      </c>
      <c r="D568" s="1" t="s">
        <v>738</v>
      </c>
      <c r="E568" s="1" t="s">
        <v>6076</v>
      </c>
      <c r="F568" s="1" t="s">
        <v>6076</v>
      </c>
      <c r="G568" s="1" t="s">
        <v>5983</v>
      </c>
      <c r="H568">
        <v>1995</v>
      </c>
      <c r="I568">
        <v>2001</v>
      </c>
      <c r="J568">
        <f t="shared" si="16"/>
        <v>7</v>
      </c>
      <c r="K568" s="1" t="s">
        <v>6076</v>
      </c>
      <c r="L568" s="1" t="s">
        <v>6076</v>
      </c>
      <c r="M568">
        <f t="shared" si="17"/>
        <v>25</v>
      </c>
    </row>
    <row r="569" spans="1:13" x14ac:dyDescent="0.3">
      <c r="A569" s="1" t="s">
        <v>136</v>
      </c>
      <c r="B569" s="1" t="s">
        <v>5940</v>
      </c>
      <c r="C569" s="1" t="s">
        <v>137</v>
      </c>
      <c r="D569" s="1" t="s">
        <v>738</v>
      </c>
      <c r="E569" s="1" t="s">
        <v>6076</v>
      </c>
      <c r="F569" s="1" t="s">
        <v>6076</v>
      </c>
      <c r="G569" s="1" t="s">
        <v>5983</v>
      </c>
      <c r="H569">
        <v>1995</v>
      </c>
      <c r="I569">
        <v>2016</v>
      </c>
      <c r="J569">
        <f t="shared" si="16"/>
        <v>22</v>
      </c>
      <c r="K569" s="1" t="s">
        <v>6076</v>
      </c>
      <c r="L569" s="1" t="s">
        <v>6076</v>
      </c>
      <c r="M569">
        <f t="shared" si="17"/>
        <v>10</v>
      </c>
    </row>
    <row r="570" spans="1:13" x14ac:dyDescent="0.3">
      <c r="A570" s="1" t="s">
        <v>138</v>
      </c>
      <c r="B570" s="1" t="s">
        <v>5940</v>
      </c>
      <c r="C570" s="1" t="s">
        <v>139</v>
      </c>
      <c r="D570" s="1" t="s">
        <v>738</v>
      </c>
      <c r="E570" s="1" t="s">
        <v>6076</v>
      </c>
      <c r="F570" s="1" t="s">
        <v>6076</v>
      </c>
      <c r="G570" s="1" t="s">
        <v>5983</v>
      </c>
      <c r="H570">
        <v>1995</v>
      </c>
      <c r="I570">
        <v>2001</v>
      </c>
      <c r="J570">
        <f t="shared" si="16"/>
        <v>7</v>
      </c>
      <c r="K570" s="1" t="s">
        <v>6076</v>
      </c>
      <c r="L570" s="1" t="s">
        <v>6076</v>
      </c>
      <c r="M570">
        <f t="shared" si="17"/>
        <v>25</v>
      </c>
    </row>
    <row r="571" spans="1:13" x14ac:dyDescent="0.3">
      <c r="A571" s="1" t="s">
        <v>140</v>
      </c>
      <c r="B571" s="1" t="s">
        <v>5940</v>
      </c>
      <c r="C571" s="1" t="s">
        <v>141</v>
      </c>
      <c r="D571" s="1" t="s">
        <v>738</v>
      </c>
      <c r="E571" s="1" t="s">
        <v>6076</v>
      </c>
      <c r="F571" s="1" t="s">
        <v>6076</v>
      </c>
      <c r="G571" s="1" t="s">
        <v>5983</v>
      </c>
      <c r="H571">
        <v>2009</v>
      </c>
      <c r="I571">
        <v>2014</v>
      </c>
      <c r="J571">
        <f t="shared" si="16"/>
        <v>6</v>
      </c>
      <c r="K571" s="1" t="s">
        <v>6076</v>
      </c>
      <c r="L571" s="1" t="s">
        <v>6076</v>
      </c>
      <c r="M571">
        <f t="shared" si="17"/>
        <v>12</v>
      </c>
    </row>
    <row r="572" spans="1:13" x14ac:dyDescent="0.3">
      <c r="A572" s="1" t="s">
        <v>142</v>
      </c>
      <c r="B572" s="1" t="s">
        <v>5940</v>
      </c>
      <c r="C572" s="1" t="s">
        <v>143</v>
      </c>
      <c r="D572" s="1" t="s">
        <v>738</v>
      </c>
      <c r="E572" s="1" t="s">
        <v>6076</v>
      </c>
      <c r="F572" s="1" t="s">
        <v>6076</v>
      </c>
      <c r="G572" s="1" t="s">
        <v>5983</v>
      </c>
      <c r="H572">
        <v>2007</v>
      </c>
      <c r="I572">
        <v>2011</v>
      </c>
      <c r="J572">
        <f t="shared" si="16"/>
        <v>5</v>
      </c>
      <c r="K572" s="1" t="s">
        <v>6076</v>
      </c>
      <c r="L572" s="1" t="s">
        <v>6076</v>
      </c>
      <c r="M572">
        <f t="shared" si="17"/>
        <v>15</v>
      </c>
    </row>
    <row r="573" spans="1:13" x14ac:dyDescent="0.3">
      <c r="A573" s="1" t="s">
        <v>144</v>
      </c>
      <c r="B573" s="1" t="s">
        <v>5940</v>
      </c>
      <c r="C573" s="1" t="s">
        <v>145</v>
      </c>
      <c r="D573" s="1" t="s">
        <v>738</v>
      </c>
      <c r="E573" s="1" t="s">
        <v>6076</v>
      </c>
      <c r="F573" s="1" t="s">
        <v>6076</v>
      </c>
      <c r="G573" s="1" t="s">
        <v>5983</v>
      </c>
      <c r="H573">
        <v>2013</v>
      </c>
      <c r="I573">
        <v>2014</v>
      </c>
      <c r="J573">
        <f t="shared" si="16"/>
        <v>2</v>
      </c>
      <c r="K573" s="1" t="s">
        <v>6076</v>
      </c>
      <c r="L573" s="1" t="s">
        <v>6076</v>
      </c>
      <c r="M573">
        <f t="shared" si="17"/>
        <v>12</v>
      </c>
    </row>
    <row r="574" spans="1:13" x14ac:dyDescent="0.3">
      <c r="A574" s="1" t="s">
        <v>146</v>
      </c>
      <c r="B574" s="1" t="s">
        <v>5940</v>
      </c>
      <c r="C574" s="1" t="s">
        <v>147</v>
      </c>
      <c r="D574" s="1" t="s">
        <v>738</v>
      </c>
      <c r="E574" s="1" t="s">
        <v>6076</v>
      </c>
      <c r="F574" s="1" t="s">
        <v>6076</v>
      </c>
      <c r="G574" s="1" t="s">
        <v>5983</v>
      </c>
      <c r="H574">
        <v>2002</v>
      </c>
      <c r="I574">
        <v>2003</v>
      </c>
      <c r="J574">
        <f t="shared" si="16"/>
        <v>2</v>
      </c>
      <c r="K574" s="1" t="s">
        <v>6076</v>
      </c>
      <c r="L574" s="1" t="s">
        <v>6076</v>
      </c>
      <c r="M574">
        <f t="shared" si="17"/>
        <v>23</v>
      </c>
    </row>
    <row r="575" spans="1:13" x14ac:dyDescent="0.3">
      <c r="A575" s="1" t="s">
        <v>148</v>
      </c>
      <c r="B575" s="1" t="s">
        <v>5940</v>
      </c>
      <c r="C575" s="1" t="s">
        <v>149</v>
      </c>
      <c r="D575" s="1" t="s">
        <v>738</v>
      </c>
      <c r="E575" s="1" t="s">
        <v>6076</v>
      </c>
      <c r="F575" s="1" t="s">
        <v>6076</v>
      </c>
      <c r="G575" s="1" t="s">
        <v>5983</v>
      </c>
      <c r="H575">
        <v>2013</v>
      </c>
      <c r="I575">
        <v>2014</v>
      </c>
      <c r="J575">
        <f t="shared" si="16"/>
        <v>2</v>
      </c>
      <c r="K575" s="1" t="s">
        <v>6076</v>
      </c>
      <c r="L575" s="1" t="s">
        <v>6076</v>
      </c>
      <c r="M575">
        <f t="shared" si="17"/>
        <v>12</v>
      </c>
    </row>
    <row r="576" spans="1:13" x14ac:dyDescent="0.3">
      <c r="A576" s="1" t="s">
        <v>150</v>
      </c>
      <c r="B576" s="1" t="s">
        <v>5940</v>
      </c>
      <c r="C576" s="1" t="s">
        <v>151</v>
      </c>
      <c r="D576" s="1" t="s">
        <v>738</v>
      </c>
      <c r="E576" s="1" t="s">
        <v>6076</v>
      </c>
      <c r="F576" s="1" t="s">
        <v>6076</v>
      </c>
      <c r="G576" s="1" t="s">
        <v>5983</v>
      </c>
      <c r="H576">
        <v>2017</v>
      </c>
      <c r="I576">
        <v>2018</v>
      </c>
      <c r="J576">
        <f t="shared" si="16"/>
        <v>2</v>
      </c>
      <c r="K576" s="1" t="s">
        <v>6076</v>
      </c>
      <c r="L576" s="1" t="s">
        <v>6076</v>
      </c>
      <c r="M576">
        <f t="shared" si="17"/>
        <v>8</v>
      </c>
    </row>
    <row r="577" spans="1:13" x14ac:dyDescent="0.3">
      <c r="A577" s="1" t="s">
        <v>152</v>
      </c>
      <c r="B577" s="1" t="s">
        <v>5940</v>
      </c>
      <c r="C577" s="1" t="s">
        <v>153</v>
      </c>
      <c r="D577" s="1" t="s">
        <v>738</v>
      </c>
      <c r="E577" s="1" t="s">
        <v>6076</v>
      </c>
      <c r="F577" s="1" t="s">
        <v>6076</v>
      </c>
      <c r="G577" s="1" t="s">
        <v>5983</v>
      </c>
      <c r="H577">
        <v>2009</v>
      </c>
      <c r="I577">
        <v>2014</v>
      </c>
      <c r="J577">
        <f t="shared" si="16"/>
        <v>6</v>
      </c>
      <c r="K577" s="1" t="s">
        <v>6076</v>
      </c>
      <c r="L577" s="1" t="s">
        <v>6076</v>
      </c>
      <c r="M577">
        <f t="shared" si="17"/>
        <v>12</v>
      </c>
    </row>
    <row r="578" spans="1:13" x14ac:dyDescent="0.3">
      <c r="A578" s="1" t="s">
        <v>154</v>
      </c>
      <c r="B578" s="1" t="s">
        <v>5940</v>
      </c>
      <c r="C578" s="1" t="s">
        <v>155</v>
      </c>
      <c r="D578" s="1" t="s">
        <v>738</v>
      </c>
      <c r="E578" s="1" t="s">
        <v>6076</v>
      </c>
      <c r="F578" s="1" t="s">
        <v>6076</v>
      </c>
      <c r="G578" s="1" t="s">
        <v>5983</v>
      </c>
      <c r="H578">
        <v>2007</v>
      </c>
      <c r="I578">
        <v>2011</v>
      </c>
      <c r="J578">
        <f t="shared" si="16"/>
        <v>5</v>
      </c>
      <c r="K578" s="1" t="s">
        <v>6076</v>
      </c>
      <c r="L578" s="1" t="s">
        <v>6076</v>
      </c>
      <c r="M578">
        <f t="shared" si="17"/>
        <v>15</v>
      </c>
    </row>
    <row r="579" spans="1:13" x14ac:dyDescent="0.3">
      <c r="A579" s="1" t="s">
        <v>156</v>
      </c>
      <c r="B579" s="1" t="s">
        <v>5940</v>
      </c>
      <c r="C579" s="1" t="s">
        <v>157</v>
      </c>
      <c r="D579" s="1" t="s">
        <v>738</v>
      </c>
      <c r="E579" s="1" t="s">
        <v>6076</v>
      </c>
      <c r="F579" s="1" t="s">
        <v>6076</v>
      </c>
      <c r="G579" s="1" t="s">
        <v>5983</v>
      </c>
      <c r="H579">
        <v>1998</v>
      </c>
      <c r="I579">
        <v>2001</v>
      </c>
      <c r="J579">
        <f t="shared" si="16"/>
        <v>4</v>
      </c>
      <c r="K579" s="1" t="s">
        <v>6076</v>
      </c>
      <c r="L579" s="1" t="s">
        <v>6076</v>
      </c>
      <c r="M579">
        <f t="shared" si="17"/>
        <v>25</v>
      </c>
    </row>
    <row r="580" spans="1:13" x14ac:dyDescent="0.3">
      <c r="A580" s="1" t="s">
        <v>158</v>
      </c>
      <c r="B580" s="1" t="s">
        <v>5940</v>
      </c>
      <c r="C580" s="1" t="s">
        <v>159</v>
      </c>
      <c r="D580" s="1" t="s">
        <v>738</v>
      </c>
      <c r="E580" s="1" t="s">
        <v>6076</v>
      </c>
      <c r="F580" s="1" t="s">
        <v>6076</v>
      </c>
      <c r="G580" s="1" t="s">
        <v>5983</v>
      </c>
      <c r="H580">
        <v>1998</v>
      </c>
      <c r="I580">
        <v>2003</v>
      </c>
      <c r="J580">
        <f t="shared" si="16"/>
        <v>6</v>
      </c>
      <c r="K580" s="1" t="s">
        <v>6076</v>
      </c>
      <c r="L580" s="1" t="s">
        <v>6076</v>
      </c>
      <c r="M580">
        <f t="shared" si="17"/>
        <v>23</v>
      </c>
    </row>
    <row r="581" spans="1:13" x14ac:dyDescent="0.3">
      <c r="A581" s="1" t="s">
        <v>160</v>
      </c>
      <c r="B581" s="1" t="s">
        <v>5940</v>
      </c>
      <c r="C581" s="1" t="s">
        <v>161</v>
      </c>
      <c r="D581" s="1" t="s">
        <v>738</v>
      </c>
      <c r="E581" s="1" t="s">
        <v>6076</v>
      </c>
      <c r="F581" s="1" t="s">
        <v>6076</v>
      </c>
      <c r="G581" s="1" t="s">
        <v>5983</v>
      </c>
      <c r="H581">
        <v>1998</v>
      </c>
      <c r="I581">
        <v>2001</v>
      </c>
      <c r="J581">
        <f t="shared" si="16"/>
        <v>4</v>
      </c>
      <c r="K581" s="1" t="s">
        <v>6076</v>
      </c>
      <c r="L581" s="1" t="s">
        <v>6076</v>
      </c>
      <c r="M581">
        <f t="shared" si="17"/>
        <v>25</v>
      </c>
    </row>
    <row r="582" spans="1:13" x14ac:dyDescent="0.3">
      <c r="A582" s="1" t="s">
        <v>162</v>
      </c>
      <c r="B582" s="1" t="s">
        <v>5940</v>
      </c>
      <c r="C582" s="1" t="s">
        <v>163</v>
      </c>
      <c r="D582" s="1" t="s">
        <v>738</v>
      </c>
      <c r="E582" s="1" t="s">
        <v>6076</v>
      </c>
      <c r="F582" s="1" t="s">
        <v>6076</v>
      </c>
      <c r="G582" s="1" t="s">
        <v>5983</v>
      </c>
      <c r="H582">
        <v>1998</v>
      </c>
      <c r="I582">
        <v>2004</v>
      </c>
      <c r="J582">
        <f t="shared" ref="J582:J645" si="18">1+(I582-H582)</f>
        <v>7</v>
      </c>
      <c r="K582" s="1" t="s">
        <v>6076</v>
      </c>
      <c r="L582" s="1" t="s">
        <v>6076</v>
      </c>
      <c r="M582">
        <f t="shared" ref="M582:M645" si="19">IF(I582=0,0,$B$2-I582)</f>
        <v>22</v>
      </c>
    </row>
    <row r="583" spans="1:13" x14ac:dyDescent="0.3">
      <c r="A583" s="1" t="s">
        <v>164</v>
      </c>
      <c r="B583" s="1" t="s">
        <v>5940</v>
      </c>
      <c r="C583" s="1" t="s">
        <v>165</v>
      </c>
      <c r="D583" s="1" t="s">
        <v>738</v>
      </c>
      <c r="E583" s="1" t="s">
        <v>6076</v>
      </c>
      <c r="F583" s="1" t="s">
        <v>6076</v>
      </c>
      <c r="G583" s="1" t="s">
        <v>5983</v>
      </c>
      <c r="H583">
        <v>2001</v>
      </c>
      <c r="I583">
        <v>2001</v>
      </c>
      <c r="J583">
        <f t="shared" si="18"/>
        <v>1</v>
      </c>
      <c r="K583" s="1" t="s">
        <v>6076</v>
      </c>
      <c r="L583" s="1" t="s">
        <v>6076</v>
      </c>
      <c r="M583">
        <f t="shared" si="19"/>
        <v>25</v>
      </c>
    </row>
    <row r="584" spans="1:13" x14ac:dyDescent="0.3">
      <c r="A584" s="1" t="s">
        <v>166</v>
      </c>
      <c r="B584" s="1" t="s">
        <v>5940</v>
      </c>
      <c r="C584" s="1" t="s">
        <v>167</v>
      </c>
      <c r="D584" s="1" t="s">
        <v>738</v>
      </c>
      <c r="E584" s="1" t="s">
        <v>6076</v>
      </c>
      <c r="F584" s="1" t="s">
        <v>6076</v>
      </c>
      <c r="G584" s="1" t="s">
        <v>5983</v>
      </c>
      <c r="H584">
        <v>2001</v>
      </c>
      <c r="I584">
        <v>2001</v>
      </c>
      <c r="J584">
        <f t="shared" si="18"/>
        <v>1</v>
      </c>
      <c r="K584" s="1" t="s">
        <v>6076</v>
      </c>
      <c r="L584" s="1" t="s">
        <v>6076</v>
      </c>
      <c r="M584">
        <f t="shared" si="19"/>
        <v>25</v>
      </c>
    </row>
    <row r="585" spans="1:13" x14ac:dyDescent="0.3">
      <c r="A585" s="1" t="s">
        <v>168</v>
      </c>
      <c r="B585" s="1" t="s">
        <v>5940</v>
      </c>
      <c r="C585" s="1" t="s">
        <v>169</v>
      </c>
      <c r="D585" s="1" t="s">
        <v>738</v>
      </c>
      <c r="E585" s="1" t="s">
        <v>6076</v>
      </c>
      <c r="F585" s="1" t="s">
        <v>6076</v>
      </c>
      <c r="G585" s="1" t="s">
        <v>5983</v>
      </c>
      <c r="H585">
        <v>2001</v>
      </c>
      <c r="I585">
        <v>2001</v>
      </c>
      <c r="J585">
        <f t="shared" si="18"/>
        <v>1</v>
      </c>
      <c r="K585" s="1" t="s">
        <v>6076</v>
      </c>
      <c r="L585" s="1" t="s">
        <v>6076</v>
      </c>
      <c r="M585">
        <f t="shared" si="19"/>
        <v>25</v>
      </c>
    </row>
    <row r="586" spans="1:13" x14ac:dyDescent="0.3">
      <c r="A586" s="1" t="s">
        <v>170</v>
      </c>
      <c r="B586" s="1" t="s">
        <v>5940</v>
      </c>
      <c r="C586" s="1" t="s">
        <v>171</v>
      </c>
      <c r="D586" s="1" t="s">
        <v>738</v>
      </c>
      <c r="E586" s="1" t="s">
        <v>6076</v>
      </c>
      <c r="F586" s="1" t="s">
        <v>6076</v>
      </c>
      <c r="G586" s="1" t="s">
        <v>5983</v>
      </c>
      <c r="H586">
        <v>2001</v>
      </c>
      <c r="I586">
        <v>2001</v>
      </c>
      <c r="J586">
        <f t="shared" si="18"/>
        <v>1</v>
      </c>
      <c r="K586" s="1" t="s">
        <v>6076</v>
      </c>
      <c r="L586" s="1" t="s">
        <v>6076</v>
      </c>
      <c r="M586">
        <f t="shared" si="19"/>
        <v>25</v>
      </c>
    </row>
    <row r="587" spans="1:13" x14ac:dyDescent="0.3">
      <c r="A587" s="1" t="s">
        <v>172</v>
      </c>
      <c r="B587" s="1" t="s">
        <v>5940</v>
      </c>
      <c r="C587" s="1" t="s">
        <v>173</v>
      </c>
      <c r="D587" s="1" t="s">
        <v>738</v>
      </c>
      <c r="E587" s="1" t="s">
        <v>6076</v>
      </c>
      <c r="F587" s="1" t="s">
        <v>6076</v>
      </c>
      <c r="G587" s="1" t="s">
        <v>5983</v>
      </c>
      <c r="H587">
        <v>1995</v>
      </c>
      <c r="I587">
        <v>1997</v>
      </c>
      <c r="J587">
        <f t="shared" si="18"/>
        <v>3</v>
      </c>
      <c r="K587" s="1" t="s">
        <v>6076</v>
      </c>
      <c r="L587" s="1" t="s">
        <v>6076</v>
      </c>
      <c r="M587">
        <f t="shared" si="19"/>
        <v>29</v>
      </c>
    </row>
    <row r="588" spans="1:13" x14ac:dyDescent="0.3">
      <c r="A588" s="1" t="s">
        <v>176</v>
      </c>
      <c r="B588" s="1" t="s">
        <v>5940</v>
      </c>
      <c r="C588" s="1" t="s">
        <v>177</v>
      </c>
      <c r="D588" s="1" t="s">
        <v>738</v>
      </c>
      <c r="E588" s="1" t="s">
        <v>6076</v>
      </c>
      <c r="F588" s="1" t="s">
        <v>6076</v>
      </c>
      <c r="G588" s="1" t="s">
        <v>5983</v>
      </c>
      <c r="H588">
        <v>1997</v>
      </c>
      <c r="I588">
        <v>2001</v>
      </c>
      <c r="J588">
        <f t="shared" si="18"/>
        <v>5</v>
      </c>
      <c r="K588" s="1" t="s">
        <v>6076</v>
      </c>
      <c r="L588" s="1" t="s">
        <v>6076</v>
      </c>
      <c r="M588">
        <f t="shared" si="19"/>
        <v>25</v>
      </c>
    </row>
    <row r="589" spans="1:13" x14ac:dyDescent="0.3">
      <c r="A589" s="1" t="s">
        <v>174</v>
      </c>
      <c r="B589" s="1" t="s">
        <v>5940</v>
      </c>
      <c r="C589" s="1" t="s">
        <v>175</v>
      </c>
      <c r="D589" s="1" t="s">
        <v>738</v>
      </c>
      <c r="E589" s="1" t="s">
        <v>6076</v>
      </c>
      <c r="F589" s="1" t="s">
        <v>6076</v>
      </c>
      <c r="G589" s="1" t="s">
        <v>5983</v>
      </c>
      <c r="H589">
        <v>2022</v>
      </c>
      <c r="I589">
        <v>2022</v>
      </c>
      <c r="J589">
        <f t="shared" si="18"/>
        <v>1</v>
      </c>
      <c r="K589" s="1" t="s">
        <v>6076</v>
      </c>
      <c r="L589" s="1" t="s">
        <v>6076</v>
      </c>
      <c r="M589">
        <f t="shared" si="19"/>
        <v>4</v>
      </c>
    </row>
    <row r="590" spans="1:13" x14ac:dyDescent="0.3">
      <c r="A590" s="1" t="s">
        <v>178</v>
      </c>
      <c r="B590" s="1" t="s">
        <v>5940</v>
      </c>
      <c r="C590" s="1" t="s">
        <v>179</v>
      </c>
      <c r="D590" s="1" t="s">
        <v>738</v>
      </c>
      <c r="E590" s="1" t="s">
        <v>6076</v>
      </c>
      <c r="F590" s="1" t="s">
        <v>6076</v>
      </c>
      <c r="G590" s="1" t="s">
        <v>5983</v>
      </c>
      <c r="H590">
        <v>1995</v>
      </c>
      <c r="I590">
        <v>1997</v>
      </c>
      <c r="J590">
        <f t="shared" si="18"/>
        <v>3</v>
      </c>
      <c r="K590" s="1" t="s">
        <v>6076</v>
      </c>
      <c r="L590" s="1" t="s">
        <v>6076</v>
      </c>
      <c r="M590">
        <f t="shared" si="19"/>
        <v>29</v>
      </c>
    </row>
    <row r="591" spans="1:13" x14ac:dyDescent="0.3">
      <c r="A591" s="1" t="s">
        <v>180</v>
      </c>
      <c r="B591" s="1" t="s">
        <v>5940</v>
      </c>
      <c r="C591" s="1" t="s">
        <v>181</v>
      </c>
      <c r="D591" s="1" t="s">
        <v>738</v>
      </c>
      <c r="E591" s="1" t="s">
        <v>6076</v>
      </c>
      <c r="F591" s="1" t="s">
        <v>6076</v>
      </c>
      <c r="G591" s="1" t="s">
        <v>5983</v>
      </c>
      <c r="H591">
        <v>2001</v>
      </c>
      <c r="I591">
        <v>2001</v>
      </c>
      <c r="J591">
        <f t="shared" si="18"/>
        <v>1</v>
      </c>
      <c r="K591" s="1" t="s">
        <v>6076</v>
      </c>
      <c r="L591" s="1" t="s">
        <v>6076</v>
      </c>
      <c r="M591">
        <f t="shared" si="19"/>
        <v>25</v>
      </c>
    </row>
    <row r="592" spans="1:13" x14ac:dyDescent="0.3">
      <c r="A592" s="1" t="s">
        <v>182</v>
      </c>
      <c r="B592" s="1" t="s">
        <v>5940</v>
      </c>
      <c r="C592" s="1" t="s">
        <v>183</v>
      </c>
      <c r="D592" s="1" t="s">
        <v>738</v>
      </c>
      <c r="E592" s="1" t="s">
        <v>6076</v>
      </c>
      <c r="F592" s="1" t="s">
        <v>6076</v>
      </c>
      <c r="G592" s="1" t="s">
        <v>5983</v>
      </c>
      <c r="H592">
        <v>2001</v>
      </c>
      <c r="I592">
        <v>2001</v>
      </c>
      <c r="J592">
        <f t="shared" si="18"/>
        <v>1</v>
      </c>
      <c r="K592" s="1" t="s">
        <v>6076</v>
      </c>
      <c r="L592" s="1" t="s">
        <v>6076</v>
      </c>
      <c r="M592">
        <f t="shared" si="19"/>
        <v>25</v>
      </c>
    </row>
    <row r="593" spans="1:13" x14ac:dyDescent="0.3">
      <c r="A593" s="1" t="s">
        <v>184</v>
      </c>
      <c r="B593" s="1" t="s">
        <v>5940</v>
      </c>
      <c r="C593" s="1" t="s">
        <v>185</v>
      </c>
      <c r="D593" s="1" t="s">
        <v>738</v>
      </c>
      <c r="E593" s="1" t="s">
        <v>6076</v>
      </c>
      <c r="F593" s="1" t="s">
        <v>6076</v>
      </c>
      <c r="G593" s="1" t="s">
        <v>5983</v>
      </c>
      <c r="H593">
        <v>2001</v>
      </c>
      <c r="I593">
        <v>2001</v>
      </c>
      <c r="J593">
        <f t="shared" si="18"/>
        <v>1</v>
      </c>
      <c r="K593" s="1" t="s">
        <v>6076</v>
      </c>
      <c r="L593" s="1" t="s">
        <v>6076</v>
      </c>
      <c r="M593">
        <f t="shared" si="19"/>
        <v>25</v>
      </c>
    </row>
    <row r="594" spans="1:13" x14ac:dyDescent="0.3">
      <c r="A594" s="1" t="s">
        <v>186</v>
      </c>
      <c r="B594" s="1" t="s">
        <v>5940</v>
      </c>
      <c r="C594" s="1" t="s">
        <v>187</v>
      </c>
      <c r="D594" s="1" t="s">
        <v>738</v>
      </c>
      <c r="E594" s="1" t="s">
        <v>6076</v>
      </c>
      <c r="F594" s="1" t="s">
        <v>6076</v>
      </c>
      <c r="G594" s="1" t="s">
        <v>5983</v>
      </c>
      <c r="H594">
        <v>1997</v>
      </c>
      <c r="I594">
        <v>2001</v>
      </c>
      <c r="J594">
        <f t="shared" si="18"/>
        <v>5</v>
      </c>
      <c r="K594" s="1" t="s">
        <v>6076</v>
      </c>
      <c r="L594" s="1" t="s">
        <v>6076</v>
      </c>
      <c r="M594">
        <f t="shared" si="19"/>
        <v>25</v>
      </c>
    </row>
    <row r="595" spans="1:13" x14ac:dyDescent="0.3">
      <c r="A595" s="1" t="s">
        <v>190</v>
      </c>
      <c r="B595" s="1" t="s">
        <v>5940</v>
      </c>
      <c r="C595" s="1" t="s">
        <v>191</v>
      </c>
      <c r="D595" s="1" t="s">
        <v>738</v>
      </c>
      <c r="E595" s="1" t="s">
        <v>6076</v>
      </c>
      <c r="F595" s="1" t="s">
        <v>6076</v>
      </c>
      <c r="G595" s="1" t="s">
        <v>5983</v>
      </c>
      <c r="H595">
        <v>2001</v>
      </c>
      <c r="I595">
        <v>2001</v>
      </c>
      <c r="J595">
        <f t="shared" si="18"/>
        <v>1</v>
      </c>
      <c r="K595" s="1" t="s">
        <v>6076</v>
      </c>
      <c r="L595" s="1" t="s">
        <v>6076</v>
      </c>
      <c r="M595">
        <f t="shared" si="19"/>
        <v>25</v>
      </c>
    </row>
    <row r="596" spans="1:13" x14ac:dyDescent="0.3">
      <c r="A596" s="1" t="s">
        <v>188</v>
      </c>
      <c r="B596" s="1" t="s">
        <v>5940</v>
      </c>
      <c r="C596" s="1" t="s">
        <v>189</v>
      </c>
      <c r="D596" s="1" t="s">
        <v>738</v>
      </c>
      <c r="E596" s="1" t="s">
        <v>6076</v>
      </c>
      <c r="F596" s="1" t="s">
        <v>6076</v>
      </c>
      <c r="G596" s="1" t="s">
        <v>5983</v>
      </c>
      <c r="H596">
        <v>2022</v>
      </c>
      <c r="I596">
        <v>2022</v>
      </c>
      <c r="J596">
        <f t="shared" si="18"/>
        <v>1</v>
      </c>
      <c r="K596" s="1" t="s">
        <v>6076</v>
      </c>
      <c r="L596" s="1" t="s">
        <v>6076</v>
      </c>
      <c r="M596">
        <f t="shared" si="19"/>
        <v>4</v>
      </c>
    </row>
    <row r="597" spans="1:13" x14ac:dyDescent="0.3">
      <c r="A597" s="1" t="s">
        <v>192</v>
      </c>
      <c r="B597" s="1" t="s">
        <v>5940</v>
      </c>
      <c r="C597" s="1" t="s">
        <v>193</v>
      </c>
      <c r="D597" s="1" t="s">
        <v>738</v>
      </c>
      <c r="E597" s="1" t="s">
        <v>6076</v>
      </c>
      <c r="F597" s="1" t="s">
        <v>6076</v>
      </c>
      <c r="G597" s="1" t="s">
        <v>5983</v>
      </c>
      <c r="H597">
        <v>2002</v>
      </c>
      <c r="I597">
        <v>2006</v>
      </c>
      <c r="J597">
        <f t="shared" si="18"/>
        <v>5</v>
      </c>
      <c r="K597" s="1" t="s">
        <v>6076</v>
      </c>
      <c r="L597" s="1" t="s">
        <v>6076</v>
      </c>
      <c r="M597">
        <f t="shared" si="19"/>
        <v>20</v>
      </c>
    </row>
    <row r="598" spans="1:13" x14ac:dyDescent="0.3">
      <c r="A598" s="1" t="s">
        <v>194</v>
      </c>
      <c r="B598" s="1" t="s">
        <v>5940</v>
      </c>
      <c r="C598" s="1" t="s">
        <v>195</v>
      </c>
      <c r="D598" s="1" t="s">
        <v>738</v>
      </c>
      <c r="E598" s="1" t="s">
        <v>6076</v>
      </c>
      <c r="F598" s="1" t="s">
        <v>6076</v>
      </c>
      <c r="G598" s="1" t="s">
        <v>5983</v>
      </c>
      <c r="H598">
        <v>2003</v>
      </c>
      <c r="I598">
        <v>2003</v>
      </c>
      <c r="J598">
        <f t="shared" si="18"/>
        <v>1</v>
      </c>
      <c r="K598" s="1" t="s">
        <v>6076</v>
      </c>
      <c r="L598" s="1" t="s">
        <v>6076</v>
      </c>
      <c r="M598">
        <f t="shared" si="19"/>
        <v>23</v>
      </c>
    </row>
    <row r="599" spans="1:13" x14ac:dyDescent="0.3">
      <c r="A599" s="1" t="s">
        <v>196</v>
      </c>
      <c r="B599" s="1" t="s">
        <v>5940</v>
      </c>
      <c r="C599" s="1" t="s">
        <v>197</v>
      </c>
      <c r="D599" s="1" t="s">
        <v>738</v>
      </c>
      <c r="E599" s="1" t="s">
        <v>6076</v>
      </c>
      <c r="F599" s="1" t="s">
        <v>6076</v>
      </c>
      <c r="G599" s="1" t="s">
        <v>5983</v>
      </c>
      <c r="H599">
        <v>2002</v>
      </c>
      <c r="I599">
        <v>2006</v>
      </c>
      <c r="J599">
        <f t="shared" si="18"/>
        <v>5</v>
      </c>
      <c r="K599" s="1" t="s">
        <v>6076</v>
      </c>
      <c r="L599" s="1" t="s">
        <v>6076</v>
      </c>
      <c r="M599">
        <f t="shared" si="19"/>
        <v>20</v>
      </c>
    </row>
    <row r="600" spans="1:13" x14ac:dyDescent="0.3">
      <c r="A600" s="1" t="s">
        <v>198</v>
      </c>
      <c r="B600" s="1" t="s">
        <v>5940</v>
      </c>
      <c r="C600" s="1" t="s">
        <v>199</v>
      </c>
      <c r="D600" s="1" t="s">
        <v>738</v>
      </c>
      <c r="E600" s="1" t="s">
        <v>6076</v>
      </c>
      <c r="F600" s="1" t="s">
        <v>6076</v>
      </c>
      <c r="G600" s="1" t="s">
        <v>5983</v>
      </c>
      <c r="H600">
        <v>2003</v>
      </c>
      <c r="I600">
        <v>2003</v>
      </c>
      <c r="J600">
        <f t="shared" si="18"/>
        <v>1</v>
      </c>
      <c r="K600" s="1" t="s">
        <v>6076</v>
      </c>
      <c r="L600" s="1" t="s">
        <v>6076</v>
      </c>
      <c r="M600">
        <f t="shared" si="19"/>
        <v>23</v>
      </c>
    </row>
    <row r="601" spans="1:13" x14ac:dyDescent="0.3">
      <c r="A601" s="1" t="s">
        <v>200</v>
      </c>
      <c r="B601" s="1" t="s">
        <v>5940</v>
      </c>
      <c r="C601" s="1" t="s">
        <v>201</v>
      </c>
      <c r="D601" s="1" t="s">
        <v>3850</v>
      </c>
      <c r="E601" s="1" t="s">
        <v>6076</v>
      </c>
      <c r="F601" s="1" t="s">
        <v>6076</v>
      </c>
      <c r="G601" s="1" t="s">
        <v>5983</v>
      </c>
      <c r="H601">
        <v>2003</v>
      </c>
      <c r="I601">
        <v>2004</v>
      </c>
      <c r="J601">
        <f t="shared" si="18"/>
        <v>2</v>
      </c>
      <c r="K601" s="1" t="s">
        <v>6076</v>
      </c>
      <c r="L601" s="1" t="s">
        <v>6076</v>
      </c>
      <c r="M601">
        <f t="shared" si="19"/>
        <v>22</v>
      </c>
    </row>
    <row r="602" spans="1:13" x14ac:dyDescent="0.3">
      <c r="A602" s="1" t="s">
        <v>202</v>
      </c>
      <c r="B602" s="1" t="s">
        <v>5940</v>
      </c>
      <c r="C602" s="1" t="s">
        <v>203</v>
      </c>
      <c r="D602" s="1" t="s">
        <v>738</v>
      </c>
      <c r="E602" s="1" t="s">
        <v>6076</v>
      </c>
      <c r="F602" s="1" t="s">
        <v>6076</v>
      </c>
      <c r="G602" s="1" t="s">
        <v>5983</v>
      </c>
      <c r="H602">
        <v>2007</v>
      </c>
      <c r="I602">
        <v>2008</v>
      </c>
      <c r="J602">
        <f t="shared" si="18"/>
        <v>2</v>
      </c>
      <c r="K602" s="1" t="s">
        <v>6076</v>
      </c>
      <c r="L602" s="1" t="s">
        <v>6076</v>
      </c>
      <c r="M602">
        <f t="shared" si="19"/>
        <v>18</v>
      </c>
    </row>
    <row r="603" spans="1:13" x14ac:dyDescent="0.3">
      <c r="A603" s="1" t="s">
        <v>204</v>
      </c>
      <c r="B603" s="1" t="s">
        <v>5940</v>
      </c>
      <c r="C603" s="1" t="s">
        <v>205</v>
      </c>
      <c r="D603" s="1" t="s">
        <v>738</v>
      </c>
      <c r="E603" s="1" t="s">
        <v>6076</v>
      </c>
      <c r="F603" s="1" t="s">
        <v>6076</v>
      </c>
      <c r="G603" s="1" t="s">
        <v>5983</v>
      </c>
      <c r="H603">
        <v>2009</v>
      </c>
      <c r="I603">
        <v>2012</v>
      </c>
      <c r="J603">
        <f t="shared" si="18"/>
        <v>4</v>
      </c>
      <c r="K603" s="1" t="s">
        <v>6076</v>
      </c>
      <c r="L603" s="1" t="s">
        <v>6076</v>
      </c>
      <c r="M603">
        <f t="shared" si="19"/>
        <v>14</v>
      </c>
    </row>
    <row r="604" spans="1:13" x14ac:dyDescent="0.3">
      <c r="A604" s="1" t="s">
        <v>206</v>
      </c>
      <c r="B604" s="1" t="s">
        <v>5940</v>
      </c>
      <c r="C604" s="1" t="s">
        <v>207</v>
      </c>
      <c r="D604" s="1" t="s">
        <v>738</v>
      </c>
      <c r="E604" s="1" t="s">
        <v>6076</v>
      </c>
      <c r="F604" s="1" t="s">
        <v>6076</v>
      </c>
      <c r="G604" s="1" t="s">
        <v>5983</v>
      </c>
      <c r="H604">
        <v>2007</v>
      </c>
      <c r="I604">
        <v>2008</v>
      </c>
      <c r="J604">
        <f t="shared" si="18"/>
        <v>2</v>
      </c>
      <c r="K604" s="1" t="s">
        <v>6076</v>
      </c>
      <c r="L604" s="1" t="s">
        <v>6076</v>
      </c>
      <c r="M604">
        <f t="shared" si="19"/>
        <v>18</v>
      </c>
    </row>
    <row r="605" spans="1:13" x14ac:dyDescent="0.3">
      <c r="A605" s="1" t="s">
        <v>208</v>
      </c>
      <c r="B605" s="1" t="s">
        <v>5940</v>
      </c>
      <c r="C605" s="1" t="s">
        <v>209</v>
      </c>
      <c r="D605" s="1" t="s">
        <v>738</v>
      </c>
      <c r="E605" s="1" t="s">
        <v>6076</v>
      </c>
      <c r="F605" s="1" t="s">
        <v>6076</v>
      </c>
      <c r="G605" s="1" t="s">
        <v>5983</v>
      </c>
      <c r="H605">
        <v>2009</v>
      </c>
      <c r="I605">
        <v>2012</v>
      </c>
      <c r="J605">
        <f t="shared" si="18"/>
        <v>4</v>
      </c>
      <c r="K605" s="1" t="s">
        <v>6076</v>
      </c>
      <c r="L605" s="1" t="s">
        <v>6076</v>
      </c>
      <c r="M605">
        <f t="shared" si="19"/>
        <v>14</v>
      </c>
    </row>
    <row r="606" spans="1:13" x14ac:dyDescent="0.3">
      <c r="A606" s="1" t="s">
        <v>210</v>
      </c>
      <c r="B606" s="1" t="s">
        <v>5940</v>
      </c>
      <c r="C606" s="1" t="s">
        <v>211</v>
      </c>
      <c r="D606" s="1" t="s">
        <v>3850</v>
      </c>
      <c r="E606" s="1" t="s">
        <v>6076</v>
      </c>
      <c r="F606" s="1" t="s">
        <v>6076</v>
      </c>
      <c r="G606" s="1" t="s">
        <v>5983</v>
      </c>
      <c r="H606">
        <v>2007</v>
      </c>
      <c r="I606">
        <v>2007</v>
      </c>
      <c r="J606">
        <f t="shared" si="18"/>
        <v>1</v>
      </c>
      <c r="K606" s="1" t="s">
        <v>6076</v>
      </c>
      <c r="L606" s="1" t="s">
        <v>6076</v>
      </c>
      <c r="M606">
        <f t="shared" si="19"/>
        <v>19</v>
      </c>
    </row>
    <row r="607" spans="1:13" hidden="1" x14ac:dyDescent="0.3">
      <c r="A607" s="1" t="s">
        <v>212</v>
      </c>
      <c r="B607" s="1" t="s">
        <v>5940</v>
      </c>
      <c r="C607" s="1" t="s">
        <v>213</v>
      </c>
      <c r="D607" s="1" t="s">
        <v>738</v>
      </c>
      <c r="E607" s="1" t="s">
        <v>5920</v>
      </c>
      <c r="F607" s="1" t="s">
        <v>4893</v>
      </c>
      <c r="G607" s="1" t="s">
        <v>5983</v>
      </c>
      <c r="H607">
        <v>2016</v>
      </c>
      <c r="I607">
        <v>2018</v>
      </c>
      <c r="J607">
        <f t="shared" si="18"/>
        <v>3</v>
      </c>
      <c r="K607" s="1" t="s">
        <v>5909</v>
      </c>
      <c r="L607" s="1" t="s">
        <v>3793</v>
      </c>
      <c r="M607">
        <f t="shared" si="19"/>
        <v>8</v>
      </c>
    </row>
    <row r="608" spans="1:13" hidden="1" x14ac:dyDescent="0.3">
      <c r="A608" s="1" t="s">
        <v>214</v>
      </c>
      <c r="B608" s="1" t="s">
        <v>5940</v>
      </c>
      <c r="C608" s="1" t="s">
        <v>215</v>
      </c>
      <c r="D608" s="1" t="s">
        <v>738</v>
      </c>
      <c r="E608" s="1" t="s">
        <v>5920</v>
      </c>
      <c r="F608" s="1" t="s">
        <v>4893</v>
      </c>
      <c r="G608" s="1" t="s">
        <v>5983</v>
      </c>
      <c r="H608">
        <v>2017</v>
      </c>
      <c r="I608">
        <v>2018</v>
      </c>
      <c r="J608">
        <f t="shared" si="18"/>
        <v>2</v>
      </c>
      <c r="K608" s="1" t="s">
        <v>5909</v>
      </c>
      <c r="L608" s="1" t="s">
        <v>3793</v>
      </c>
      <c r="M608">
        <f t="shared" si="19"/>
        <v>8</v>
      </c>
    </row>
    <row r="609" spans="1:13" hidden="1" x14ac:dyDescent="0.3">
      <c r="A609" s="1" t="s">
        <v>216</v>
      </c>
      <c r="B609" s="1" t="s">
        <v>5940</v>
      </c>
      <c r="C609" s="1" t="s">
        <v>217</v>
      </c>
      <c r="D609" s="1" t="s">
        <v>738</v>
      </c>
      <c r="E609" s="1" t="s">
        <v>5920</v>
      </c>
      <c r="F609" s="1" t="s">
        <v>4893</v>
      </c>
      <c r="G609" s="1" t="s">
        <v>5983</v>
      </c>
      <c r="H609">
        <v>2016</v>
      </c>
      <c r="I609">
        <v>2018</v>
      </c>
      <c r="J609">
        <f t="shared" si="18"/>
        <v>3</v>
      </c>
      <c r="K609" s="1" t="s">
        <v>5909</v>
      </c>
      <c r="L609" s="1" t="s">
        <v>3793</v>
      </c>
      <c r="M609">
        <f t="shared" si="19"/>
        <v>8</v>
      </c>
    </row>
    <row r="610" spans="1:13" hidden="1" x14ac:dyDescent="0.3">
      <c r="A610" s="1" t="s">
        <v>218</v>
      </c>
      <c r="B610" s="1" t="s">
        <v>5940</v>
      </c>
      <c r="C610" s="1" t="s">
        <v>219</v>
      </c>
      <c r="D610" s="1" t="s">
        <v>738</v>
      </c>
      <c r="E610" s="1" t="s">
        <v>5920</v>
      </c>
      <c r="F610" s="1" t="s">
        <v>5984</v>
      </c>
      <c r="G610" s="1" t="s">
        <v>5983</v>
      </c>
      <c r="H610">
        <v>2018</v>
      </c>
      <c r="I610">
        <v>2018</v>
      </c>
      <c r="J610">
        <f t="shared" si="18"/>
        <v>1</v>
      </c>
      <c r="K610" s="1" t="s">
        <v>5909</v>
      </c>
      <c r="L610" s="1" t="s">
        <v>3793</v>
      </c>
      <c r="M610">
        <f t="shared" si="19"/>
        <v>8</v>
      </c>
    </row>
    <row r="611" spans="1:13" hidden="1" x14ac:dyDescent="0.3">
      <c r="A611" s="1" t="s">
        <v>220</v>
      </c>
      <c r="B611" s="1" t="s">
        <v>5940</v>
      </c>
      <c r="C611" s="1" t="s">
        <v>221</v>
      </c>
      <c r="D611" s="1" t="s">
        <v>738</v>
      </c>
      <c r="E611" s="1" t="s">
        <v>5920</v>
      </c>
      <c r="F611" s="1" t="s">
        <v>5984</v>
      </c>
      <c r="G611" s="1" t="s">
        <v>5983</v>
      </c>
      <c r="H611">
        <v>2019</v>
      </c>
      <c r="I611">
        <v>2019</v>
      </c>
      <c r="J611">
        <f t="shared" si="18"/>
        <v>1</v>
      </c>
      <c r="K611" s="1" t="s">
        <v>5909</v>
      </c>
      <c r="L611" s="1" t="s">
        <v>3793</v>
      </c>
      <c r="M611">
        <f t="shared" si="19"/>
        <v>7</v>
      </c>
    </row>
    <row r="612" spans="1:13" hidden="1" x14ac:dyDescent="0.3">
      <c r="A612" s="1" t="s">
        <v>222</v>
      </c>
      <c r="B612" s="1" t="s">
        <v>5940</v>
      </c>
      <c r="C612" s="1" t="s">
        <v>223</v>
      </c>
      <c r="D612" s="1" t="s">
        <v>738</v>
      </c>
      <c r="E612" s="1" t="s">
        <v>5920</v>
      </c>
      <c r="F612" s="1" t="s">
        <v>4893</v>
      </c>
      <c r="G612" s="1" t="s">
        <v>5983</v>
      </c>
      <c r="H612">
        <v>2016</v>
      </c>
      <c r="I612">
        <v>2017</v>
      </c>
      <c r="J612">
        <f t="shared" si="18"/>
        <v>2</v>
      </c>
      <c r="K612" s="1" t="s">
        <v>5909</v>
      </c>
      <c r="L612" s="1" t="s">
        <v>3793</v>
      </c>
      <c r="M612">
        <f t="shared" si="19"/>
        <v>9</v>
      </c>
    </row>
    <row r="613" spans="1:13" hidden="1" x14ac:dyDescent="0.3">
      <c r="A613" s="1" t="s">
        <v>224</v>
      </c>
      <c r="B613" s="1" t="s">
        <v>5940</v>
      </c>
      <c r="C613" s="1" t="s">
        <v>225</v>
      </c>
      <c r="D613" s="1" t="s">
        <v>738</v>
      </c>
      <c r="E613" s="1" t="s">
        <v>5920</v>
      </c>
      <c r="F613" s="1" t="s">
        <v>4893</v>
      </c>
      <c r="G613" s="1" t="s">
        <v>5983</v>
      </c>
      <c r="H613">
        <v>2018</v>
      </c>
      <c r="I613">
        <v>2018</v>
      </c>
      <c r="J613">
        <f t="shared" si="18"/>
        <v>1</v>
      </c>
      <c r="K613" s="1" t="s">
        <v>5909</v>
      </c>
      <c r="L613" s="1" t="s">
        <v>3793</v>
      </c>
      <c r="M613">
        <f t="shared" si="19"/>
        <v>8</v>
      </c>
    </row>
    <row r="614" spans="1:13" x14ac:dyDescent="0.3">
      <c r="A614" s="1" t="s">
        <v>226</v>
      </c>
      <c r="B614" s="1" t="s">
        <v>5940</v>
      </c>
      <c r="C614" s="1" t="s">
        <v>227</v>
      </c>
      <c r="D614" s="1" t="s">
        <v>738</v>
      </c>
      <c r="E614" s="1" t="s">
        <v>6076</v>
      </c>
      <c r="F614" s="1" t="s">
        <v>6076</v>
      </c>
      <c r="G614" s="1" t="s">
        <v>5983</v>
      </c>
      <c r="H614">
        <v>2021</v>
      </c>
      <c r="I614">
        <v>2022</v>
      </c>
      <c r="J614">
        <f t="shared" si="18"/>
        <v>2</v>
      </c>
      <c r="K614" s="1" t="s">
        <v>6076</v>
      </c>
      <c r="L614" s="1" t="s">
        <v>6076</v>
      </c>
      <c r="M614">
        <f t="shared" si="19"/>
        <v>4</v>
      </c>
    </row>
    <row r="615" spans="1:13" x14ac:dyDescent="0.3">
      <c r="A615" t="s">
        <v>228</v>
      </c>
      <c r="B615" t="s">
        <v>5940</v>
      </c>
      <c r="C615" t="s">
        <v>229</v>
      </c>
      <c r="E615" s="1" t="s">
        <v>6076</v>
      </c>
      <c r="F615" s="1" t="s">
        <v>6076</v>
      </c>
      <c r="G615" s="1" t="s">
        <v>5983</v>
      </c>
      <c r="H615">
        <v>2024</v>
      </c>
      <c r="I615">
        <v>2026</v>
      </c>
      <c r="J615">
        <f t="shared" si="18"/>
        <v>3</v>
      </c>
      <c r="K615" s="1" t="s">
        <v>6076</v>
      </c>
      <c r="L615" s="1" t="s">
        <v>6076</v>
      </c>
      <c r="M615">
        <f t="shared" si="19"/>
        <v>0</v>
      </c>
    </row>
    <row r="616" spans="1:13" x14ac:dyDescent="0.3">
      <c r="A616" s="1" t="s">
        <v>230</v>
      </c>
      <c r="B616" s="1" t="s">
        <v>5940</v>
      </c>
      <c r="C616" s="1" t="s">
        <v>7289</v>
      </c>
      <c r="D616" s="1" t="s">
        <v>738</v>
      </c>
      <c r="E616" s="1" t="s">
        <v>6076</v>
      </c>
      <c r="F616" s="1" t="s">
        <v>6076</v>
      </c>
      <c r="G616" s="1" t="s">
        <v>5983</v>
      </c>
      <c r="H616">
        <v>2019</v>
      </c>
      <c r="I616">
        <v>2022</v>
      </c>
      <c r="J616">
        <f t="shared" si="18"/>
        <v>4</v>
      </c>
      <c r="K616" s="1" t="s">
        <v>6076</v>
      </c>
      <c r="L616" s="1" t="s">
        <v>6076</v>
      </c>
      <c r="M616">
        <f t="shared" si="19"/>
        <v>4</v>
      </c>
    </row>
    <row r="617" spans="1:13" x14ac:dyDescent="0.3">
      <c r="A617" s="1" t="s">
        <v>231</v>
      </c>
      <c r="B617" s="1" t="s">
        <v>5940</v>
      </c>
      <c r="C617" s="1" t="s">
        <v>232</v>
      </c>
      <c r="D617" s="1" t="s">
        <v>738</v>
      </c>
      <c r="E617" s="1" t="s">
        <v>6076</v>
      </c>
      <c r="F617" s="1" t="s">
        <v>6076</v>
      </c>
      <c r="G617" s="1" t="s">
        <v>5983</v>
      </c>
      <c r="H617">
        <v>2019</v>
      </c>
      <c r="I617">
        <v>2019</v>
      </c>
      <c r="J617">
        <f t="shared" si="18"/>
        <v>1</v>
      </c>
      <c r="K617" s="1" t="s">
        <v>6076</v>
      </c>
      <c r="L617" s="1" t="s">
        <v>6076</v>
      </c>
      <c r="M617">
        <f t="shared" si="19"/>
        <v>7</v>
      </c>
    </row>
    <row r="618" spans="1:13" x14ac:dyDescent="0.3">
      <c r="A618" t="s">
        <v>235</v>
      </c>
      <c r="B618" t="s">
        <v>5940</v>
      </c>
      <c r="C618" t="s">
        <v>236</v>
      </c>
      <c r="E618" s="1" t="s">
        <v>6076</v>
      </c>
      <c r="F618" s="1" t="s">
        <v>6076</v>
      </c>
      <c r="G618" s="1" t="s">
        <v>5983</v>
      </c>
      <c r="H618">
        <v>2024</v>
      </c>
      <c r="I618">
        <v>2026</v>
      </c>
      <c r="J618">
        <f t="shared" si="18"/>
        <v>3</v>
      </c>
      <c r="K618" s="1" t="s">
        <v>6076</v>
      </c>
      <c r="L618" s="1" t="s">
        <v>6076</v>
      </c>
      <c r="M618">
        <f t="shared" si="19"/>
        <v>0</v>
      </c>
    </row>
    <row r="619" spans="1:13" x14ac:dyDescent="0.3">
      <c r="A619" t="s">
        <v>233</v>
      </c>
      <c r="B619" t="s">
        <v>5940</v>
      </c>
      <c r="C619" t="s">
        <v>234</v>
      </c>
      <c r="E619" s="1" t="s">
        <v>6076</v>
      </c>
      <c r="F619" s="1" t="s">
        <v>6076</v>
      </c>
      <c r="G619" s="1" t="s">
        <v>5983</v>
      </c>
      <c r="H619">
        <v>2022</v>
      </c>
      <c r="I619">
        <v>2024</v>
      </c>
      <c r="J619">
        <f t="shared" si="18"/>
        <v>3</v>
      </c>
      <c r="K619" s="1" t="s">
        <v>6076</v>
      </c>
      <c r="L619" s="1" t="s">
        <v>6076</v>
      </c>
      <c r="M619">
        <f t="shared" si="19"/>
        <v>2</v>
      </c>
    </row>
    <row r="620" spans="1:13" x14ac:dyDescent="0.3">
      <c r="A620" s="1" t="s">
        <v>7290</v>
      </c>
      <c r="B620" s="1" t="s">
        <v>5931</v>
      </c>
      <c r="C620" s="1" t="s">
        <v>7291</v>
      </c>
      <c r="D620" s="1" t="s">
        <v>746</v>
      </c>
      <c r="E620" s="1" t="s">
        <v>6076</v>
      </c>
      <c r="F620" s="1" t="s">
        <v>6076</v>
      </c>
      <c r="G620" s="1" t="s">
        <v>7292</v>
      </c>
      <c r="H620">
        <v>2020</v>
      </c>
      <c r="I620">
        <v>2022</v>
      </c>
      <c r="J620">
        <f t="shared" si="18"/>
        <v>3</v>
      </c>
      <c r="K620" s="1" t="s">
        <v>6076</v>
      </c>
      <c r="L620" s="1" t="s">
        <v>6076</v>
      </c>
      <c r="M620">
        <f t="shared" si="19"/>
        <v>4</v>
      </c>
    </row>
    <row r="621" spans="1:13" x14ac:dyDescent="0.3">
      <c r="A621" s="1" t="s">
        <v>237</v>
      </c>
      <c r="B621" s="1" t="s">
        <v>5940</v>
      </c>
      <c r="C621" s="1" t="s">
        <v>238</v>
      </c>
      <c r="D621" s="1" t="s">
        <v>738</v>
      </c>
      <c r="E621" s="1" t="s">
        <v>6076</v>
      </c>
      <c r="F621" s="1" t="s">
        <v>6076</v>
      </c>
      <c r="G621" s="1" t="s">
        <v>5943</v>
      </c>
      <c r="H621">
        <v>2009</v>
      </c>
      <c r="I621">
        <v>2009</v>
      </c>
      <c r="J621">
        <f t="shared" si="18"/>
        <v>1</v>
      </c>
      <c r="K621" s="1" t="s">
        <v>6076</v>
      </c>
      <c r="L621" s="1" t="s">
        <v>6076</v>
      </c>
      <c r="M621">
        <f t="shared" si="19"/>
        <v>17</v>
      </c>
    </row>
    <row r="622" spans="1:13" x14ac:dyDescent="0.3">
      <c r="A622" s="1" t="s">
        <v>239</v>
      </c>
      <c r="B622" s="1" t="s">
        <v>5940</v>
      </c>
      <c r="C622" s="1" t="s">
        <v>240</v>
      </c>
      <c r="D622" s="1" t="s">
        <v>738</v>
      </c>
      <c r="E622" s="1" t="s">
        <v>6076</v>
      </c>
      <c r="F622" s="1" t="s">
        <v>6076</v>
      </c>
      <c r="G622" s="1" t="s">
        <v>5943</v>
      </c>
      <c r="H622">
        <v>2010</v>
      </c>
      <c r="I622">
        <v>2011</v>
      </c>
      <c r="J622">
        <f t="shared" si="18"/>
        <v>2</v>
      </c>
      <c r="K622" s="1" t="s">
        <v>6076</v>
      </c>
      <c r="L622" s="1" t="s">
        <v>6076</v>
      </c>
      <c r="M622">
        <f t="shared" si="19"/>
        <v>15</v>
      </c>
    </row>
    <row r="623" spans="1:13" x14ac:dyDescent="0.3">
      <c r="A623" s="1" t="s">
        <v>241</v>
      </c>
      <c r="B623" s="1" t="s">
        <v>5940</v>
      </c>
      <c r="C623" s="1" t="s">
        <v>242</v>
      </c>
      <c r="D623" s="1" t="s">
        <v>738</v>
      </c>
      <c r="E623" s="1" t="s">
        <v>6076</v>
      </c>
      <c r="F623" s="1" t="s">
        <v>6076</v>
      </c>
      <c r="G623" s="1" t="s">
        <v>5943</v>
      </c>
      <c r="H623">
        <v>2018</v>
      </c>
      <c r="I623">
        <v>2018</v>
      </c>
      <c r="J623">
        <f t="shared" si="18"/>
        <v>1</v>
      </c>
      <c r="K623" s="1" t="s">
        <v>6076</v>
      </c>
      <c r="L623" s="1" t="s">
        <v>6076</v>
      </c>
      <c r="M623">
        <f t="shared" si="19"/>
        <v>8</v>
      </c>
    </row>
    <row r="624" spans="1:13" x14ac:dyDescent="0.3">
      <c r="A624" s="1" t="s">
        <v>243</v>
      </c>
      <c r="B624" s="1" t="s">
        <v>5940</v>
      </c>
      <c r="C624" s="1" t="s">
        <v>244</v>
      </c>
      <c r="D624" s="1" t="s">
        <v>738</v>
      </c>
      <c r="E624" s="1" t="s">
        <v>6076</v>
      </c>
      <c r="F624" s="1" t="s">
        <v>6076</v>
      </c>
      <c r="G624" s="1" t="s">
        <v>5943</v>
      </c>
      <c r="H624">
        <v>2018</v>
      </c>
      <c r="I624">
        <v>2018</v>
      </c>
      <c r="J624">
        <f t="shared" si="18"/>
        <v>1</v>
      </c>
      <c r="K624" s="1" t="s">
        <v>6076</v>
      </c>
      <c r="L624" s="1" t="s">
        <v>6076</v>
      </c>
      <c r="M624">
        <f t="shared" si="19"/>
        <v>8</v>
      </c>
    </row>
    <row r="625" spans="1:13" x14ac:dyDescent="0.3">
      <c r="A625" s="1" t="s">
        <v>245</v>
      </c>
      <c r="B625" s="1" t="s">
        <v>5940</v>
      </c>
      <c r="C625" s="1" t="s">
        <v>246</v>
      </c>
      <c r="D625" s="1" t="s">
        <v>738</v>
      </c>
      <c r="E625" s="1" t="s">
        <v>6076</v>
      </c>
      <c r="F625" s="1" t="s">
        <v>6076</v>
      </c>
      <c r="G625" s="1" t="s">
        <v>5943</v>
      </c>
      <c r="H625">
        <v>2018</v>
      </c>
      <c r="I625">
        <v>2018</v>
      </c>
      <c r="J625">
        <f t="shared" si="18"/>
        <v>1</v>
      </c>
      <c r="K625" s="1" t="s">
        <v>6076</v>
      </c>
      <c r="L625" s="1" t="s">
        <v>6076</v>
      </c>
      <c r="M625">
        <f t="shared" si="19"/>
        <v>8</v>
      </c>
    </row>
    <row r="626" spans="1:13" x14ac:dyDescent="0.3">
      <c r="A626" s="1" t="s">
        <v>247</v>
      </c>
      <c r="B626" s="1" t="s">
        <v>5940</v>
      </c>
      <c r="C626" s="1" t="s">
        <v>248</v>
      </c>
      <c r="D626" s="1" t="s">
        <v>738</v>
      </c>
      <c r="E626" s="1" t="s">
        <v>6076</v>
      </c>
      <c r="F626" s="1" t="s">
        <v>6076</v>
      </c>
      <c r="G626" s="1" t="s">
        <v>5943</v>
      </c>
      <c r="H626">
        <v>2018</v>
      </c>
      <c r="I626">
        <v>2018</v>
      </c>
      <c r="J626">
        <f t="shared" si="18"/>
        <v>1</v>
      </c>
      <c r="K626" s="1" t="s">
        <v>6076</v>
      </c>
      <c r="L626" s="1" t="s">
        <v>6076</v>
      </c>
      <c r="M626">
        <f t="shared" si="19"/>
        <v>8</v>
      </c>
    </row>
    <row r="627" spans="1:13" hidden="1" x14ac:dyDescent="0.3">
      <c r="A627" s="1" t="s">
        <v>249</v>
      </c>
      <c r="B627" s="1" t="s">
        <v>5940</v>
      </c>
      <c r="C627" s="1" t="s">
        <v>250</v>
      </c>
      <c r="D627" s="1" t="s">
        <v>3850</v>
      </c>
      <c r="E627" s="1" t="s">
        <v>5985</v>
      </c>
      <c r="F627" s="1" t="s">
        <v>5986</v>
      </c>
      <c r="G627" s="1" t="s">
        <v>5943</v>
      </c>
      <c r="H627">
        <v>2012</v>
      </c>
      <c r="I627">
        <v>2016</v>
      </c>
      <c r="J627">
        <f t="shared" si="18"/>
        <v>5</v>
      </c>
      <c r="K627" s="1" t="s">
        <v>5909</v>
      </c>
      <c r="L627" s="1" t="s">
        <v>3793</v>
      </c>
      <c r="M627">
        <f t="shared" si="19"/>
        <v>10</v>
      </c>
    </row>
    <row r="628" spans="1:13" hidden="1" x14ac:dyDescent="0.3">
      <c r="A628" s="1" t="s">
        <v>251</v>
      </c>
      <c r="B628" s="1" t="s">
        <v>5940</v>
      </c>
      <c r="C628" s="1" t="s">
        <v>252</v>
      </c>
      <c r="D628" s="1" t="s">
        <v>738</v>
      </c>
      <c r="E628" s="1" t="s">
        <v>5920</v>
      </c>
      <c r="F628" s="1" t="s">
        <v>4893</v>
      </c>
      <c r="G628" s="1" t="s">
        <v>5943</v>
      </c>
      <c r="H628">
        <v>2012</v>
      </c>
      <c r="I628">
        <v>2016</v>
      </c>
      <c r="J628">
        <f t="shared" si="18"/>
        <v>5</v>
      </c>
      <c r="K628" s="1" t="s">
        <v>5909</v>
      </c>
      <c r="L628" s="1" t="s">
        <v>3793</v>
      </c>
      <c r="M628">
        <f t="shared" si="19"/>
        <v>10</v>
      </c>
    </row>
    <row r="629" spans="1:13" x14ac:dyDescent="0.3">
      <c r="A629" t="s">
        <v>253</v>
      </c>
      <c r="B629" t="s">
        <v>5940</v>
      </c>
      <c r="C629" t="s">
        <v>254</v>
      </c>
      <c r="E629" s="1" t="s">
        <v>6076</v>
      </c>
      <c r="F629" s="1" t="s">
        <v>6076</v>
      </c>
      <c r="G629" s="1" t="s">
        <v>5943</v>
      </c>
      <c r="H629">
        <v>2025</v>
      </c>
      <c r="I629">
        <v>2026</v>
      </c>
      <c r="J629">
        <f t="shared" si="18"/>
        <v>2</v>
      </c>
      <c r="K629" s="1" t="s">
        <v>6076</v>
      </c>
      <c r="L629" s="1" t="s">
        <v>6076</v>
      </c>
      <c r="M629">
        <f t="shared" si="19"/>
        <v>0</v>
      </c>
    </row>
    <row r="630" spans="1:13" hidden="1" x14ac:dyDescent="0.3">
      <c r="A630" s="1" t="s">
        <v>255</v>
      </c>
      <c r="B630" s="1" t="s">
        <v>5940</v>
      </c>
      <c r="C630" s="1" t="s">
        <v>256</v>
      </c>
      <c r="D630" s="1" t="s">
        <v>738</v>
      </c>
      <c r="E630" s="1" t="s">
        <v>5920</v>
      </c>
      <c r="F630" s="1" t="s">
        <v>4893</v>
      </c>
      <c r="G630" s="1" t="s">
        <v>5943</v>
      </c>
      <c r="H630">
        <v>2012</v>
      </c>
      <c r="I630">
        <v>2016</v>
      </c>
      <c r="J630">
        <f t="shared" si="18"/>
        <v>5</v>
      </c>
      <c r="K630" s="1" t="s">
        <v>5909</v>
      </c>
      <c r="L630" s="1" t="s">
        <v>3793</v>
      </c>
      <c r="M630">
        <f t="shared" si="19"/>
        <v>10</v>
      </c>
    </row>
    <row r="631" spans="1:13" x14ac:dyDescent="0.3">
      <c r="A631" t="s">
        <v>257</v>
      </c>
      <c r="B631" t="s">
        <v>5940</v>
      </c>
      <c r="C631" t="s">
        <v>258</v>
      </c>
      <c r="E631" s="1" t="s">
        <v>6076</v>
      </c>
      <c r="F631" s="1" t="s">
        <v>6076</v>
      </c>
      <c r="G631" s="1" t="s">
        <v>5943</v>
      </c>
      <c r="H631">
        <v>2024</v>
      </c>
      <c r="I631">
        <v>2026</v>
      </c>
      <c r="J631">
        <f t="shared" si="18"/>
        <v>3</v>
      </c>
      <c r="K631" s="1" t="s">
        <v>6076</v>
      </c>
      <c r="L631" s="1" t="s">
        <v>6076</v>
      </c>
      <c r="M631">
        <f t="shared" si="19"/>
        <v>0</v>
      </c>
    </row>
    <row r="632" spans="1:13" x14ac:dyDescent="0.3">
      <c r="A632" t="s">
        <v>259</v>
      </c>
      <c r="B632" t="s">
        <v>5940</v>
      </c>
      <c r="C632" t="s">
        <v>260</v>
      </c>
      <c r="E632" s="1" t="s">
        <v>6076</v>
      </c>
      <c r="F632" s="1" t="s">
        <v>6076</v>
      </c>
      <c r="G632" s="1" t="s">
        <v>5943</v>
      </c>
      <c r="H632">
        <v>2023</v>
      </c>
      <c r="I632">
        <v>2023</v>
      </c>
      <c r="J632">
        <f t="shared" si="18"/>
        <v>1</v>
      </c>
      <c r="K632" s="1" t="s">
        <v>6076</v>
      </c>
      <c r="L632" s="1" t="s">
        <v>6076</v>
      </c>
      <c r="M632">
        <f t="shared" si="19"/>
        <v>3</v>
      </c>
    </row>
    <row r="633" spans="1:13" x14ac:dyDescent="0.3">
      <c r="A633" s="1" t="s">
        <v>261</v>
      </c>
      <c r="B633" s="1" t="s">
        <v>5940</v>
      </c>
      <c r="C633" s="1" t="s">
        <v>262</v>
      </c>
      <c r="D633" s="1" t="s">
        <v>738</v>
      </c>
      <c r="E633" s="1" t="s">
        <v>6076</v>
      </c>
      <c r="F633" s="1" t="s">
        <v>6076</v>
      </c>
      <c r="G633" s="1" t="s">
        <v>5943</v>
      </c>
      <c r="H633">
        <v>2019</v>
      </c>
      <c r="I633">
        <v>2019</v>
      </c>
      <c r="J633">
        <f t="shared" si="18"/>
        <v>1</v>
      </c>
      <c r="K633" s="1" t="s">
        <v>6076</v>
      </c>
      <c r="L633" s="1" t="s">
        <v>6076</v>
      </c>
      <c r="M633">
        <f t="shared" si="19"/>
        <v>7</v>
      </c>
    </row>
    <row r="634" spans="1:13" x14ac:dyDescent="0.3">
      <c r="A634" s="1" t="s">
        <v>263</v>
      </c>
      <c r="B634" s="1" t="s">
        <v>5940</v>
      </c>
      <c r="C634" s="1" t="s">
        <v>264</v>
      </c>
      <c r="D634" s="1" t="s">
        <v>738</v>
      </c>
      <c r="E634" s="1" t="s">
        <v>6076</v>
      </c>
      <c r="F634" s="1" t="s">
        <v>6076</v>
      </c>
      <c r="G634" s="1" t="s">
        <v>5943</v>
      </c>
      <c r="H634">
        <v>2019</v>
      </c>
      <c r="I634">
        <v>2019</v>
      </c>
      <c r="J634">
        <f t="shared" si="18"/>
        <v>1</v>
      </c>
      <c r="K634" s="1" t="s">
        <v>6076</v>
      </c>
      <c r="L634" s="1" t="s">
        <v>6076</v>
      </c>
      <c r="M634">
        <f t="shared" si="19"/>
        <v>7</v>
      </c>
    </row>
    <row r="635" spans="1:13" x14ac:dyDescent="0.3">
      <c r="A635" t="s">
        <v>265</v>
      </c>
      <c r="B635" t="s">
        <v>5940</v>
      </c>
      <c r="C635" t="s">
        <v>266</v>
      </c>
      <c r="E635" s="1" t="s">
        <v>6076</v>
      </c>
      <c r="F635" s="1" t="s">
        <v>6076</v>
      </c>
      <c r="G635" s="1" t="s">
        <v>5943</v>
      </c>
      <c r="H635">
        <v>2024</v>
      </c>
      <c r="I635">
        <v>2026</v>
      </c>
      <c r="J635">
        <f t="shared" si="18"/>
        <v>3</v>
      </c>
      <c r="K635" s="1" t="s">
        <v>6076</v>
      </c>
      <c r="L635" s="1" t="s">
        <v>6076</v>
      </c>
      <c r="M635">
        <f t="shared" si="19"/>
        <v>0</v>
      </c>
    </row>
    <row r="636" spans="1:13" x14ac:dyDescent="0.3">
      <c r="A636" s="1" t="s">
        <v>267</v>
      </c>
      <c r="B636" s="1" t="s">
        <v>5940</v>
      </c>
      <c r="C636" s="1" t="s">
        <v>268</v>
      </c>
      <c r="D636" s="1" t="s">
        <v>738</v>
      </c>
      <c r="E636" s="1" t="s">
        <v>6076</v>
      </c>
      <c r="F636" s="1" t="s">
        <v>6076</v>
      </c>
      <c r="G636" s="1" t="s">
        <v>5943</v>
      </c>
      <c r="H636">
        <v>2019</v>
      </c>
      <c r="I636">
        <v>2019</v>
      </c>
      <c r="J636">
        <f t="shared" si="18"/>
        <v>1</v>
      </c>
      <c r="K636" s="1" t="s">
        <v>6076</v>
      </c>
      <c r="L636" s="1" t="s">
        <v>6076</v>
      </c>
      <c r="M636">
        <f t="shared" si="19"/>
        <v>7</v>
      </c>
    </row>
    <row r="637" spans="1:13" x14ac:dyDescent="0.3">
      <c r="A637" s="1" t="s">
        <v>269</v>
      </c>
      <c r="B637" s="1" t="s">
        <v>5940</v>
      </c>
      <c r="C637" s="1" t="s">
        <v>270</v>
      </c>
      <c r="D637" s="1" t="s">
        <v>738</v>
      </c>
      <c r="E637" s="1" t="s">
        <v>6076</v>
      </c>
      <c r="F637" s="1" t="s">
        <v>6076</v>
      </c>
      <c r="G637" s="1" t="s">
        <v>5943</v>
      </c>
      <c r="H637">
        <v>2019</v>
      </c>
      <c r="I637">
        <v>2022</v>
      </c>
      <c r="J637">
        <f t="shared" si="18"/>
        <v>4</v>
      </c>
      <c r="K637" s="1" t="s">
        <v>6076</v>
      </c>
      <c r="L637" s="1" t="s">
        <v>6076</v>
      </c>
      <c r="M637">
        <f t="shared" si="19"/>
        <v>4</v>
      </c>
    </row>
    <row r="638" spans="1:13" hidden="1" x14ac:dyDescent="0.3">
      <c r="A638" s="1" t="s">
        <v>271</v>
      </c>
      <c r="B638" s="1" t="s">
        <v>5940</v>
      </c>
      <c r="C638" s="1" t="s">
        <v>272</v>
      </c>
      <c r="D638" s="1" t="s">
        <v>738</v>
      </c>
      <c r="E638" s="1" t="s">
        <v>5920</v>
      </c>
      <c r="F638" s="1" t="s">
        <v>4893</v>
      </c>
      <c r="G638" s="1" t="s">
        <v>5943</v>
      </c>
      <c r="H638">
        <v>2015</v>
      </c>
      <c r="I638">
        <v>2017</v>
      </c>
      <c r="J638">
        <f t="shared" si="18"/>
        <v>3</v>
      </c>
      <c r="K638" s="1" t="s">
        <v>5909</v>
      </c>
      <c r="L638" s="1" t="s">
        <v>3793</v>
      </c>
      <c r="M638">
        <f t="shared" si="19"/>
        <v>9</v>
      </c>
    </row>
    <row r="639" spans="1:13" hidden="1" x14ac:dyDescent="0.3">
      <c r="A639" s="1" t="s">
        <v>273</v>
      </c>
      <c r="B639" s="1" t="s">
        <v>5940</v>
      </c>
      <c r="C639" s="1" t="s">
        <v>274</v>
      </c>
      <c r="D639" s="1" t="s">
        <v>738</v>
      </c>
      <c r="E639" s="1" t="s">
        <v>5920</v>
      </c>
      <c r="F639" s="1" t="s">
        <v>4893</v>
      </c>
      <c r="G639" s="1" t="s">
        <v>5943</v>
      </c>
      <c r="H639">
        <v>2012</v>
      </c>
      <c r="I639">
        <v>2014</v>
      </c>
      <c r="J639">
        <f t="shared" si="18"/>
        <v>3</v>
      </c>
      <c r="K639" s="1" t="s">
        <v>5909</v>
      </c>
      <c r="L639" s="1" t="s">
        <v>649</v>
      </c>
      <c r="M639">
        <f t="shared" si="19"/>
        <v>12</v>
      </c>
    </row>
    <row r="640" spans="1:13" hidden="1" x14ac:dyDescent="0.3">
      <c r="A640" s="1" t="s">
        <v>275</v>
      </c>
      <c r="B640" s="1" t="s">
        <v>5940</v>
      </c>
      <c r="C640" s="1" t="s">
        <v>276</v>
      </c>
      <c r="D640" s="1" t="s">
        <v>738</v>
      </c>
      <c r="E640" s="1" t="s">
        <v>5920</v>
      </c>
      <c r="F640" s="1" t="s">
        <v>4893</v>
      </c>
      <c r="G640" s="1" t="s">
        <v>5943</v>
      </c>
      <c r="H640">
        <v>2010</v>
      </c>
      <c r="I640">
        <v>2011</v>
      </c>
      <c r="J640">
        <f t="shared" si="18"/>
        <v>2</v>
      </c>
      <c r="K640" s="1" t="s">
        <v>5909</v>
      </c>
      <c r="L640" s="1" t="s">
        <v>649</v>
      </c>
      <c r="M640">
        <f t="shared" si="19"/>
        <v>15</v>
      </c>
    </row>
    <row r="641" spans="1:13" x14ac:dyDescent="0.3">
      <c r="A641" s="1" t="s">
        <v>277</v>
      </c>
      <c r="B641" s="1" t="s">
        <v>5940</v>
      </c>
      <c r="C641" s="1" t="s">
        <v>278</v>
      </c>
      <c r="D641" s="1" t="s">
        <v>738</v>
      </c>
      <c r="E641" s="1" t="s">
        <v>6076</v>
      </c>
      <c r="F641" s="1" t="s">
        <v>6076</v>
      </c>
      <c r="G641" s="1" t="s">
        <v>5943</v>
      </c>
      <c r="H641">
        <v>2019</v>
      </c>
      <c r="I641">
        <v>2019</v>
      </c>
      <c r="J641">
        <f t="shared" si="18"/>
        <v>1</v>
      </c>
      <c r="K641" s="1" t="s">
        <v>6076</v>
      </c>
      <c r="L641" s="1" t="s">
        <v>6076</v>
      </c>
      <c r="M641">
        <f t="shared" si="19"/>
        <v>7</v>
      </c>
    </row>
    <row r="642" spans="1:13" x14ac:dyDescent="0.3">
      <c r="A642" s="1" t="s">
        <v>279</v>
      </c>
      <c r="B642" s="1" t="s">
        <v>5940</v>
      </c>
      <c r="C642" s="1" t="s">
        <v>280</v>
      </c>
      <c r="D642" s="1" t="s">
        <v>738</v>
      </c>
      <c r="E642" s="1" t="s">
        <v>6076</v>
      </c>
      <c r="F642" s="1" t="s">
        <v>6076</v>
      </c>
      <c r="G642" s="1" t="s">
        <v>7006</v>
      </c>
      <c r="H642">
        <v>2015</v>
      </c>
      <c r="I642">
        <v>2018</v>
      </c>
      <c r="J642">
        <f t="shared" si="18"/>
        <v>4</v>
      </c>
      <c r="K642" s="1" t="s">
        <v>6076</v>
      </c>
      <c r="L642" s="1" t="s">
        <v>6076</v>
      </c>
      <c r="M642">
        <f t="shared" si="19"/>
        <v>8</v>
      </c>
    </row>
    <row r="643" spans="1:13" x14ac:dyDescent="0.3">
      <c r="A643" s="1" t="s">
        <v>281</v>
      </c>
      <c r="B643" s="1" t="s">
        <v>5940</v>
      </c>
      <c r="C643" s="1" t="s">
        <v>282</v>
      </c>
      <c r="D643" s="1" t="s">
        <v>738</v>
      </c>
      <c r="E643" s="1" t="s">
        <v>6076</v>
      </c>
      <c r="F643" s="1" t="s">
        <v>6076</v>
      </c>
      <c r="G643" s="1" t="s">
        <v>7006</v>
      </c>
      <c r="H643">
        <v>1998</v>
      </c>
      <c r="I643">
        <v>2001</v>
      </c>
      <c r="J643">
        <f t="shared" si="18"/>
        <v>4</v>
      </c>
      <c r="K643" s="1" t="s">
        <v>6076</v>
      </c>
      <c r="L643" s="1" t="s">
        <v>6076</v>
      </c>
      <c r="M643">
        <f t="shared" si="19"/>
        <v>25</v>
      </c>
    </row>
    <row r="644" spans="1:13" x14ac:dyDescent="0.3">
      <c r="A644" s="1" t="s">
        <v>283</v>
      </c>
      <c r="B644" s="1" t="s">
        <v>5940</v>
      </c>
      <c r="C644" s="1" t="s">
        <v>284</v>
      </c>
      <c r="D644" s="1" t="s">
        <v>738</v>
      </c>
      <c r="E644" s="1" t="s">
        <v>6076</v>
      </c>
      <c r="F644" s="1" t="s">
        <v>6076</v>
      </c>
      <c r="G644" s="1" t="s">
        <v>7006</v>
      </c>
      <c r="H644">
        <v>1998</v>
      </c>
      <c r="I644">
        <v>2003</v>
      </c>
      <c r="J644">
        <f t="shared" si="18"/>
        <v>6</v>
      </c>
      <c r="K644" s="1" t="s">
        <v>6076</v>
      </c>
      <c r="L644" s="1" t="s">
        <v>6076</v>
      </c>
      <c r="M644">
        <f t="shared" si="19"/>
        <v>23</v>
      </c>
    </row>
    <row r="645" spans="1:13" x14ac:dyDescent="0.3">
      <c r="A645" s="1" t="s">
        <v>285</v>
      </c>
      <c r="B645" s="1" t="s">
        <v>5940</v>
      </c>
      <c r="C645" s="1" t="s">
        <v>286</v>
      </c>
      <c r="D645" s="1" t="s">
        <v>738</v>
      </c>
      <c r="E645" s="1" t="s">
        <v>6076</v>
      </c>
      <c r="F645" s="1" t="s">
        <v>6076</v>
      </c>
      <c r="G645" s="1" t="s">
        <v>7006</v>
      </c>
      <c r="H645">
        <v>1999</v>
      </c>
      <c r="I645">
        <v>2001</v>
      </c>
      <c r="J645">
        <f t="shared" si="18"/>
        <v>3</v>
      </c>
      <c r="K645" s="1" t="s">
        <v>6076</v>
      </c>
      <c r="L645" s="1" t="s">
        <v>6076</v>
      </c>
      <c r="M645">
        <f t="shared" si="19"/>
        <v>25</v>
      </c>
    </row>
    <row r="646" spans="1:13" x14ac:dyDescent="0.3">
      <c r="A646" s="1" t="s">
        <v>287</v>
      </c>
      <c r="B646" s="1" t="s">
        <v>5940</v>
      </c>
      <c r="C646" s="1" t="s">
        <v>288</v>
      </c>
      <c r="D646" s="1" t="s">
        <v>738</v>
      </c>
      <c r="E646" s="1" t="s">
        <v>6076</v>
      </c>
      <c r="F646" s="1" t="s">
        <v>6076</v>
      </c>
      <c r="G646" s="1" t="s">
        <v>7006</v>
      </c>
      <c r="H646">
        <v>1999</v>
      </c>
      <c r="I646">
        <v>2003</v>
      </c>
      <c r="J646">
        <f t="shared" ref="J646:J709" si="20">1+(I646-H646)</f>
        <v>5</v>
      </c>
      <c r="K646" s="1" t="s">
        <v>6076</v>
      </c>
      <c r="L646" s="1" t="s">
        <v>6076</v>
      </c>
      <c r="M646">
        <f t="shared" ref="M646:M709" si="21">IF(I646=0,0,$B$2-I646)</f>
        <v>23</v>
      </c>
    </row>
    <row r="647" spans="1:13" x14ac:dyDescent="0.3">
      <c r="A647" s="1" t="s">
        <v>289</v>
      </c>
      <c r="B647" s="1" t="s">
        <v>5940</v>
      </c>
      <c r="C647" s="1" t="s">
        <v>290</v>
      </c>
      <c r="D647" s="1" t="s">
        <v>738</v>
      </c>
      <c r="E647" s="1" t="s">
        <v>6076</v>
      </c>
      <c r="F647" s="1" t="s">
        <v>6076</v>
      </c>
      <c r="G647" s="1" t="s">
        <v>7006</v>
      </c>
      <c r="H647">
        <v>2001</v>
      </c>
      <c r="I647">
        <v>2001</v>
      </c>
      <c r="J647">
        <f t="shared" si="20"/>
        <v>1</v>
      </c>
      <c r="K647" s="1" t="s">
        <v>6076</v>
      </c>
      <c r="L647" s="1" t="s">
        <v>6076</v>
      </c>
      <c r="M647">
        <f t="shared" si="21"/>
        <v>25</v>
      </c>
    </row>
    <row r="648" spans="1:13" x14ac:dyDescent="0.3">
      <c r="A648" s="1" t="s">
        <v>291</v>
      </c>
      <c r="B648" s="1" t="s">
        <v>5940</v>
      </c>
      <c r="C648" s="1" t="s">
        <v>292</v>
      </c>
      <c r="D648" s="1" t="s">
        <v>738</v>
      </c>
      <c r="E648" s="1" t="s">
        <v>6076</v>
      </c>
      <c r="F648" s="1" t="s">
        <v>6076</v>
      </c>
      <c r="G648" s="1" t="s">
        <v>7006</v>
      </c>
      <c r="H648">
        <v>2001</v>
      </c>
      <c r="I648">
        <v>2001</v>
      </c>
      <c r="J648">
        <f t="shared" si="20"/>
        <v>1</v>
      </c>
      <c r="K648" s="1" t="s">
        <v>6076</v>
      </c>
      <c r="L648" s="1" t="s">
        <v>6076</v>
      </c>
      <c r="M648">
        <f t="shared" si="21"/>
        <v>25</v>
      </c>
    </row>
    <row r="649" spans="1:13" x14ac:dyDescent="0.3">
      <c r="A649" s="1" t="s">
        <v>293</v>
      </c>
      <c r="B649" s="1" t="s">
        <v>5940</v>
      </c>
      <c r="C649" s="1" t="s">
        <v>294</v>
      </c>
      <c r="D649" s="1" t="s">
        <v>738</v>
      </c>
      <c r="E649" s="1" t="s">
        <v>6076</v>
      </c>
      <c r="F649" s="1" t="s">
        <v>6076</v>
      </c>
      <c r="G649" s="1" t="s">
        <v>7006</v>
      </c>
      <c r="H649">
        <v>2001</v>
      </c>
      <c r="I649">
        <v>2001</v>
      </c>
      <c r="J649">
        <f t="shared" si="20"/>
        <v>1</v>
      </c>
      <c r="K649" s="1" t="s">
        <v>6076</v>
      </c>
      <c r="L649" s="1" t="s">
        <v>6076</v>
      </c>
      <c r="M649">
        <f t="shared" si="21"/>
        <v>25</v>
      </c>
    </row>
    <row r="650" spans="1:13" x14ac:dyDescent="0.3">
      <c r="A650" s="1" t="s">
        <v>295</v>
      </c>
      <c r="B650" s="1" t="s">
        <v>5940</v>
      </c>
      <c r="C650" s="1" t="s">
        <v>296</v>
      </c>
      <c r="D650" s="1" t="s">
        <v>738</v>
      </c>
      <c r="E650" s="1" t="s">
        <v>6076</v>
      </c>
      <c r="F650" s="1" t="s">
        <v>6076</v>
      </c>
      <c r="G650" s="1" t="s">
        <v>7006</v>
      </c>
      <c r="H650">
        <v>2001</v>
      </c>
      <c r="I650">
        <v>2001</v>
      </c>
      <c r="J650">
        <f t="shared" si="20"/>
        <v>1</v>
      </c>
      <c r="K650" s="1" t="s">
        <v>6076</v>
      </c>
      <c r="L650" s="1" t="s">
        <v>6076</v>
      </c>
      <c r="M650">
        <f t="shared" si="21"/>
        <v>25</v>
      </c>
    </row>
    <row r="651" spans="1:13" x14ac:dyDescent="0.3">
      <c r="A651" s="1" t="s">
        <v>297</v>
      </c>
      <c r="B651" s="1" t="s">
        <v>5940</v>
      </c>
      <c r="C651" s="1" t="s">
        <v>298</v>
      </c>
      <c r="D651" s="1" t="s">
        <v>738</v>
      </c>
      <c r="E651" s="1" t="s">
        <v>6076</v>
      </c>
      <c r="F651" s="1" t="s">
        <v>6076</v>
      </c>
      <c r="G651" s="1" t="s">
        <v>7006</v>
      </c>
      <c r="H651">
        <v>2000</v>
      </c>
      <c r="I651">
        <v>2001</v>
      </c>
      <c r="J651">
        <f t="shared" si="20"/>
        <v>2</v>
      </c>
      <c r="K651" s="1" t="s">
        <v>6076</v>
      </c>
      <c r="L651" s="1" t="s">
        <v>6076</v>
      </c>
      <c r="M651">
        <f t="shared" si="21"/>
        <v>25</v>
      </c>
    </row>
    <row r="652" spans="1:13" x14ac:dyDescent="0.3">
      <c r="A652" s="1" t="s">
        <v>299</v>
      </c>
      <c r="B652" s="1" t="s">
        <v>5940</v>
      </c>
      <c r="C652" s="1" t="s">
        <v>300</v>
      </c>
      <c r="D652" s="1" t="s">
        <v>738</v>
      </c>
      <c r="E652" s="1" t="s">
        <v>6076</v>
      </c>
      <c r="F652" s="1" t="s">
        <v>6076</v>
      </c>
      <c r="G652" s="1" t="s">
        <v>7006</v>
      </c>
      <c r="H652">
        <v>2000</v>
      </c>
      <c r="I652">
        <v>2000</v>
      </c>
      <c r="J652">
        <f t="shared" si="20"/>
        <v>1</v>
      </c>
      <c r="K652" s="1" t="s">
        <v>6076</v>
      </c>
      <c r="L652" s="1" t="s">
        <v>6076</v>
      </c>
      <c r="M652">
        <f t="shared" si="21"/>
        <v>26</v>
      </c>
    </row>
    <row r="653" spans="1:13" x14ac:dyDescent="0.3">
      <c r="A653" s="1" t="s">
        <v>301</v>
      </c>
      <c r="B653" s="1" t="s">
        <v>5940</v>
      </c>
      <c r="C653" s="1" t="s">
        <v>302</v>
      </c>
      <c r="D653" s="1" t="s">
        <v>738</v>
      </c>
      <c r="E653" s="1" t="s">
        <v>6076</v>
      </c>
      <c r="F653" s="1" t="s">
        <v>6076</v>
      </c>
      <c r="G653" s="1" t="s">
        <v>7006</v>
      </c>
      <c r="H653">
        <v>2000</v>
      </c>
      <c r="I653">
        <v>2004</v>
      </c>
      <c r="J653">
        <f t="shared" si="20"/>
        <v>5</v>
      </c>
      <c r="K653" s="1" t="s">
        <v>6076</v>
      </c>
      <c r="L653" s="1" t="s">
        <v>6076</v>
      </c>
      <c r="M653">
        <f t="shared" si="21"/>
        <v>22</v>
      </c>
    </row>
    <row r="654" spans="1:13" x14ac:dyDescent="0.3">
      <c r="A654" s="1" t="s">
        <v>303</v>
      </c>
      <c r="B654" s="1" t="s">
        <v>5940</v>
      </c>
      <c r="C654" s="1" t="s">
        <v>304</v>
      </c>
      <c r="D654" s="1" t="s">
        <v>738</v>
      </c>
      <c r="E654" s="1" t="s">
        <v>6076</v>
      </c>
      <c r="F654" s="1" t="s">
        <v>6076</v>
      </c>
      <c r="G654" s="1" t="s">
        <v>7006</v>
      </c>
      <c r="H654">
        <v>2000</v>
      </c>
      <c r="I654">
        <v>2004</v>
      </c>
      <c r="J654">
        <f t="shared" si="20"/>
        <v>5</v>
      </c>
      <c r="K654" s="1" t="s">
        <v>6076</v>
      </c>
      <c r="L654" s="1" t="s">
        <v>6076</v>
      </c>
      <c r="M654">
        <f t="shared" si="21"/>
        <v>22</v>
      </c>
    </row>
    <row r="655" spans="1:13" x14ac:dyDescent="0.3">
      <c r="A655" s="1" t="s">
        <v>305</v>
      </c>
      <c r="B655" s="1" t="s">
        <v>5940</v>
      </c>
      <c r="C655" s="1" t="s">
        <v>306</v>
      </c>
      <c r="D655" s="1" t="s">
        <v>738</v>
      </c>
      <c r="E655" s="1" t="s">
        <v>6076</v>
      </c>
      <c r="F655" s="1" t="s">
        <v>6076</v>
      </c>
      <c r="G655" s="1" t="s">
        <v>7006</v>
      </c>
      <c r="H655">
        <v>1995</v>
      </c>
      <c r="I655">
        <v>1997</v>
      </c>
      <c r="J655">
        <f t="shared" si="20"/>
        <v>3</v>
      </c>
      <c r="K655" s="1" t="s">
        <v>6076</v>
      </c>
      <c r="L655" s="1" t="s">
        <v>6076</v>
      </c>
      <c r="M655">
        <f t="shared" si="21"/>
        <v>29</v>
      </c>
    </row>
    <row r="656" spans="1:13" x14ac:dyDescent="0.3">
      <c r="A656" s="1" t="s">
        <v>307</v>
      </c>
      <c r="B656" s="1" t="s">
        <v>5940</v>
      </c>
      <c r="C656" s="1" t="s">
        <v>308</v>
      </c>
      <c r="D656" s="1" t="s">
        <v>738</v>
      </c>
      <c r="E656" s="1" t="s">
        <v>6076</v>
      </c>
      <c r="F656" s="1" t="s">
        <v>6076</v>
      </c>
      <c r="G656" s="1" t="s">
        <v>7006</v>
      </c>
      <c r="H656">
        <v>1997</v>
      </c>
      <c r="I656">
        <v>2001</v>
      </c>
      <c r="J656">
        <f t="shared" si="20"/>
        <v>5</v>
      </c>
      <c r="K656" s="1" t="s">
        <v>6076</v>
      </c>
      <c r="L656" s="1" t="s">
        <v>6076</v>
      </c>
      <c r="M656">
        <f t="shared" si="21"/>
        <v>25</v>
      </c>
    </row>
    <row r="657" spans="1:13" x14ac:dyDescent="0.3">
      <c r="A657" s="1" t="s">
        <v>309</v>
      </c>
      <c r="B657" s="1" t="s">
        <v>5940</v>
      </c>
      <c r="C657" s="1" t="s">
        <v>310</v>
      </c>
      <c r="D657" s="1" t="s">
        <v>738</v>
      </c>
      <c r="E657" s="1" t="s">
        <v>6076</v>
      </c>
      <c r="F657" s="1" t="s">
        <v>6076</v>
      </c>
      <c r="G657" s="1" t="s">
        <v>7006</v>
      </c>
      <c r="H657">
        <v>1997</v>
      </c>
      <c r="I657">
        <v>2001</v>
      </c>
      <c r="J657">
        <f t="shared" si="20"/>
        <v>5</v>
      </c>
      <c r="K657" s="1" t="s">
        <v>6076</v>
      </c>
      <c r="L657" s="1" t="s">
        <v>6076</v>
      </c>
      <c r="M657">
        <f t="shared" si="21"/>
        <v>25</v>
      </c>
    </row>
    <row r="658" spans="1:13" x14ac:dyDescent="0.3">
      <c r="A658" s="1" t="s">
        <v>311</v>
      </c>
      <c r="B658" s="1" t="s">
        <v>5940</v>
      </c>
      <c r="C658" s="1" t="s">
        <v>312</v>
      </c>
      <c r="D658" s="1" t="s">
        <v>738</v>
      </c>
      <c r="E658" s="1" t="s">
        <v>6076</v>
      </c>
      <c r="F658" s="1" t="s">
        <v>6076</v>
      </c>
      <c r="G658" s="1" t="s">
        <v>7006</v>
      </c>
      <c r="H658">
        <v>1995</v>
      </c>
      <c r="I658">
        <v>1997</v>
      </c>
      <c r="J658">
        <f t="shared" si="20"/>
        <v>3</v>
      </c>
      <c r="K658" s="1" t="s">
        <v>6076</v>
      </c>
      <c r="L658" s="1" t="s">
        <v>6076</v>
      </c>
      <c r="M658">
        <f t="shared" si="21"/>
        <v>29</v>
      </c>
    </row>
    <row r="659" spans="1:13" x14ac:dyDescent="0.3">
      <c r="A659" s="1" t="s">
        <v>313</v>
      </c>
      <c r="B659" s="1" t="s">
        <v>5940</v>
      </c>
      <c r="C659" s="1" t="s">
        <v>314</v>
      </c>
      <c r="D659" s="1" t="s">
        <v>738</v>
      </c>
      <c r="E659" s="1" t="s">
        <v>6076</v>
      </c>
      <c r="F659" s="1" t="s">
        <v>6076</v>
      </c>
      <c r="G659" s="1" t="s">
        <v>7006</v>
      </c>
      <c r="H659">
        <v>1997</v>
      </c>
      <c r="I659">
        <v>2001</v>
      </c>
      <c r="J659">
        <f t="shared" si="20"/>
        <v>5</v>
      </c>
      <c r="K659" s="1" t="s">
        <v>6076</v>
      </c>
      <c r="L659" s="1" t="s">
        <v>6076</v>
      </c>
      <c r="M659">
        <f t="shared" si="21"/>
        <v>25</v>
      </c>
    </row>
    <row r="660" spans="1:13" x14ac:dyDescent="0.3">
      <c r="A660" s="1" t="s">
        <v>315</v>
      </c>
      <c r="B660" s="1" t="s">
        <v>5940</v>
      </c>
      <c r="C660" s="1" t="s">
        <v>316</v>
      </c>
      <c r="D660" s="1" t="s">
        <v>738</v>
      </c>
      <c r="E660" s="1" t="s">
        <v>6076</v>
      </c>
      <c r="F660" s="1" t="s">
        <v>6076</v>
      </c>
      <c r="G660" s="1" t="s">
        <v>7006</v>
      </c>
      <c r="H660">
        <v>1998</v>
      </c>
      <c r="I660">
        <v>2001</v>
      </c>
      <c r="J660">
        <f t="shared" si="20"/>
        <v>4</v>
      </c>
      <c r="K660" s="1" t="s">
        <v>6076</v>
      </c>
      <c r="L660" s="1" t="s">
        <v>6076</v>
      </c>
      <c r="M660">
        <f t="shared" si="21"/>
        <v>25</v>
      </c>
    </row>
    <row r="661" spans="1:13" x14ac:dyDescent="0.3">
      <c r="A661" s="1" t="s">
        <v>317</v>
      </c>
      <c r="B661" s="1" t="s">
        <v>5940</v>
      </c>
      <c r="C661" s="1" t="s">
        <v>318</v>
      </c>
      <c r="D661" s="1" t="s">
        <v>738</v>
      </c>
      <c r="E661" s="1" t="s">
        <v>6076</v>
      </c>
      <c r="F661" s="1" t="s">
        <v>6076</v>
      </c>
      <c r="G661" s="1" t="s">
        <v>7006</v>
      </c>
      <c r="H661">
        <v>1995</v>
      </c>
      <c r="I661">
        <v>1997</v>
      </c>
      <c r="J661">
        <f t="shared" si="20"/>
        <v>3</v>
      </c>
      <c r="K661" s="1" t="s">
        <v>6076</v>
      </c>
      <c r="L661" s="1" t="s">
        <v>6076</v>
      </c>
      <c r="M661">
        <f t="shared" si="21"/>
        <v>29</v>
      </c>
    </row>
    <row r="662" spans="1:13" x14ac:dyDescent="0.3">
      <c r="A662" s="1" t="s">
        <v>319</v>
      </c>
      <c r="B662" s="1" t="s">
        <v>5940</v>
      </c>
      <c r="C662" s="1" t="s">
        <v>320</v>
      </c>
      <c r="D662" s="1" t="s">
        <v>738</v>
      </c>
      <c r="E662" s="1" t="s">
        <v>6076</v>
      </c>
      <c r="F662" s="1" t="s">
        <v>6076</v>
      </c>
      <c r="G662" s="1" t="s">
        <v>7006</v>
      </c>
      <c r="H662">
        <v>2001</v>
      </c>
      <c r="I662">
        <v>2001</v>
      </c>
      <c r="J662">
        <f t="shared" si="20"/>
        <v>1</v>
      </c>
      <c r="K662" s="1" t="s">
        <v>6076</v>
      </c>
      <c r="L662" s="1" t="s">
        <v>6076</v>
      </c>
      <c r="M662">
        <f t="shared" si="21"/>
        <v>25</v>
      </c>
    </row>
    <row r="663" spans="1:13" x14ac:dyDescent="0.3">
      <c r="A663" s="1" t="s">
        <v>321</v>
      </c>
      <c r="B663" s="1" t="s">
        <v>5940</v>
      </c>
      <c r="C663" s="1" t="s">
        <v>322</v>
      </c>
      <c r="D663" s="1" t="s">
        <v>738</v>
      </c>
      <c r="E663" s="1" t="s">
        <v>6076</v>
      </c>
      <c r="F663" s="1" t="s">
        <v>6076</v>
      </c>
      <c r="G663" s="1" t="s">
        <v>7006</v>
      </c>
      <c r="H663">
        <v>1997</v>
      </c>
      <c r="I663">
        <v>2001</v>
      </c>
      <c r="J663">
        <f t="shared" si="20"/>
        <v>5</v>
      </c>
      <c r="K663" s="1" t="s">
        <v>6076</v>
      </c>
      <c r="L663" s="1" t="s">
        <v>6076</v>
      </c>
      <c r="M663">
        <f t="shared" si="21"/>
        <v>25</v>
      </c>
    </row>
    <row r="664" spans="1:13" x14ac:dyDescent="0.3">
      <c r="A664" s="1" t="s">
        <v>323</v>
      </c>
      <c r="B664" s="1" t="s">
        <v>5940</v>
      </c>
      <c r="C664" s="1" t="s">
        <v>324</v>
      </c>
      <c r="D664" s="1" t="s">
        <v>738</v>
      </c>
      <c r="E664" s="1" t="s">
        <v>6076</v>
      </c>
      <c r="F664" s="1" t="s">
        <v>6076</v>
      </c>
      <c r="G664" s="1" t="s">
        <v>7006</v>
      </c>
      <c r="H664">
        <v>1997</v>
      </c>
      <c r="I664">
        <v>2001</v>
      </c>
      <c r="J664">
        <f t="shared" si="20"/>
        <v>5</v>
      </c>
      <c r="K664" s="1" t="s">
        <v>6076</v>
      </c>
      <c r="L664" s="1" t="s">
        <v>6076</v>
      </c>
      <c r="M664">
        <f t="shared" si="21"/>
        <v>25</v>
      </c>
    </row>
    <row r="665" spans="1:13" x14ac:dyDescent="0.3">
      <c r="A665" s="1" t="s">
        <v>325</v>
      </c>
      <c r="B665" s="1" t="s">
        <v>5940</v>
      </c>
      <c r="C665" s="1" t="s">
        <v>326</v>
      </c>
      <c r="D665" s="1" t="s">
        <v>738</v>
      </c>
      <c r="E665" s="1" t="s">
        <v>6076</v>
      </c>
      <c r="F665" s="1" t="s">
        <v>6076</v>
      </c>
      <c r="G665" s="1" t="s">
        <v>7006</v>
      </c>
      <c r="H665">
        <v>2002</v>
      </c>
      <c r="I665">
        <v>2007</v>
      </c>
      <c r="J665">
        <f t="shared" si="20"/>
        <v>6</v>
      </c>
      <c r="K665" s="1" t="s">
        <v>6076</v>
      </c>
      <c r="L665" s="1" t="s">
        <v>6076</v>
      </c>
      <c r="M665">
        <f t="shared" si="21"/>
        <v>19</v>
      </c>
    </row>
    <row r="666" spans="1:13" x14ac:dyDescent="0.3">
      <c r="A666" s="1" t="s">
        <v>327</v>
      </c>
      <c r="B666" s="1" t="s">
        <v>5940</v>
      </c>
      <c r="C666" s="1" t="s">
        <v>328</v>
      </c>
      <c r="D666" s="1" t="s">
        <v>738</v>
      </c>
      <c r="E666" s="1" t="s">
        <v>6076</v>
      </c>
      <c r="F666" s="1" t="s">
        <v>6076</v>
      </c>
      <c r="G666" s="1" t="s">
        <v>7006</v>
      </c>
      <c r="H666">
        <v>2009</v>
      </c>
      <c r="I666">
        <v>2012</v>
      </c>
      <c r="J666">
        <f t="shared" si="20"/>
        <v>4</v>
      </c>
      <c r="K666" s="1" t="s">
        <v>6076</v>
      </c>
      <c r="L666" s="1" t="s">
        <v>6076</v>
      </c>
      <c r="M666">
        <f t="shared" si="21"/>
        <v>14</v>
      </c>
    </row>
    <row r="667" spans="1:13" x14ac:dyDescent="0.3">
      <c r="A667" s="1" t="s">
        <v>329</v>
      </c>
      <c r="B667" s="1" t="s">
        <v>5940</v>
      </c>
      <c r="C667" s="1" t="s">
        <v>330</v>
      </c>
      <c r="D667" s="1" t="s">
        <v>738</v>
      </c>
      <c r="E667" s="1" t="s">
        <v>6076</v>
      </c>
      <c r="F667" s="1" t="s">
        <v>6076</v>
      </c>
      <c r="G667" s="1" t="s">
        <v>7006</v>
      </c>
      <c r="H667">
        <v>2013</v>
      </c>
      <c r="I667">
        <v>2014</v>
      </c>
      <c r="J667">
        <f t="shared" si="20"/>
        <v>2</v>
      </c>
      <c r="K667" s="1" t="s">
        <v>6076</v>
      </c>
      <c r="L667" s="1" t="s">
        <v>6076</v>
      </c>
      <c r="M667">
        <f t="shared" si="21"/>
        <v>12</v>
      </c>
    </row>
    <row r="668" spans="1:13" x14ac:dyDescent="0.3">
      <c r="A668" s="1" t="s">
        <v>331</v>
      </c>
      <c r="B668" s="1" t="s">
        <v>5940</v>
      </c>
      <c r="C668" s="1" t="s">
        <v>332</v>
      </c>
      <c r="D668" s="1" t="s">
        <v>738</v>
      </c>
      <c r="E668" s="1" t="s">
        <v>6076</v>
      </c>
      <c r="F668" s="1" t="s">
        <v>6076</v>
      </c>
      <c r="G668" s="1" t="s">
        <v>7006</v>
      </c>
      <c r="H668">
        <v>2009</v>
      </c>
      <c r="I668">
        <v>2012</v>
      </c>
      <c r="J668">
        <f t="shared" si="20"/>
        <v>4</v>
      </c>
      <c r="K668" s="1" t="s">
        <v>6076</v>
      </c>
      <c r="L668" s="1" t="s">
        <v>6076</v>
      </c>
      <c r="M668">
        <f t="shared" si="21"/>
        <v>14</v>
      </c>
    </row>
    <row r="669" spans="1:13" x14ac:dyDescent="0.3">
      <c r="A669" s="1" t="s">
        <v>333</v>
      </c>
      <c r="B669" s="1" t="s">
        <v>5940</v>
      </c>
      <c r="C669" s="1" t="s">
        <v>334</v>
      </c>
      <c r="D669" s="1" t="s">
        <v>738</v>
      </c>
      <c r="E669" s="1" t="s">
        <v>6076</v>
      </c>
      <c r="F669" s="1" t="s">
        <v>6076</v>
      </c>
      <c r="G669" s="1" t="s">
        <v>7006</v>
      </c>
      <c r="H669">
        <v>2013</v>
      </c>
      <c r="I669">
        <v>2018</v>
      </c>
      <c r="J669">
        <f t="shared" si="20"/>
        <v>6</v>
      </c>
      <c r="K669" s="1" t="s">
        <v>6076</v>
      </c>
      <c r="L669" s="1" t="s">
        <v>6076</v>
      </c>
      <c r="M669">
        <f t="shared" si="21"/>
        <v>8</v>
      </c>
    </row>
    <row r="670" spans="1:13" x14ac:dyDescent="0.3">
      <c r="A670" s="1" t="s">
        <v>335</v>
      </c>
      <c r="B670" s="1" t="s">
        <v>5940</v>
      </c>
      <c r="C670" s="1" t="s">
        <v>336</v>
      </c>
      <c r="D670" s="1" t="s">
        <v>738</v>
      </c>
      <c r="E670" s="1" t="s">
        <v>6076</v>
      </c>
      <c r="F670" s="1" t="s">
        <v>6076</v>
      </c>
      <c r="G670" s="1" t="s">
        <v>7006</v>
      </c>
      <c r="H670">
        <v>2002</v>
      </c>
      <c r="I670">
        <v>2006</v>
      </c>
      <c r="J670">
        <f t="shared" si="20"/>
        <v>5</v>
      </c>
      <c r="K670" s="1" t="s">
        <v>6076</v>
      </c>
      <c r="L670" s="1" t="s">
        <v>6076</v>
      </c>
      <c r="M670">
        <f t="shared" si="21"/>
        <v>20</v>
      </c>
    </row>
    <row r="671" spans="1:13" x14ac:dyDescent="0.3">
      <c r="A671" s="1" t="s">
        <v>337</v>
      </c>
      <c r="B671" s="1" t="s">
        <v>5940</v>
      </c>
      <c r="C671" s="1" t="s">
        <v>338</v>
      </c>
      <c r="D671" s="1" t="s">
        <v>738</v>
      </c>
      <c r="E671" s="1" t="s">
        <v>6076</v>
      </c>
      <c r="F671" s="1" t="s">
        <v>6076</v>
      </c>
      <c r="G671" s="1" t="s">
        <v>7006</v>
      </c>
      <c r="H671">
        <v>2007</v>
      </c>
      <c r="I671">
        <v>2008</v>
      </c>
      <c r="J671">
        <f t="shared" si="20"/>
        <v>2</v>
      </c>
      <c r="K671" s="1" t="s">
        <v>6076</v>
      </c>
      <c r="L671" s="1" t="s">
        <v>6076</v>
      </c>
      <c r="M671">
        <f t="shared" si="21"/>
        <v>18</v>
      </c>
    </row>
    <row r="672" spans="1:13" x14ac:dyDescent="0.3">
      <c r="A672" s="1" t="s">
        <v>339</v>
      </c>
      <c r="B672" s="1" t="s">
        <v>5940</v>
      </c>
      <c r="C672" s="1" t="s">
        <v>340</v>
      </c>
      <c r="D672" s="1" t="s">
        <v>738</v>
      </c>
      <c r="E672" s="1" t="s">
        <v>6076</v>
      </c>
      <c r="F672" s="1" t="s">
        <v>6076</v>
      </c>
      <c r="G672" s="1" t="s">
        <v>7006</v>
      </c>
      <c r="H672">
        <v>2001</v>
      </c>
      <c r="I672">
        <v>2001</v>
      </c>
      <c r="J672">
        <f t="shared" si="20"/>
        <v>1</v>
      </c>
      <c r="K672" s="1" t="s">
        <v>6076</v>
      </c>
      <c r="L672" s="1" t="s">
        <v>6076</v>
      </c>
      <c r="M672">
        <f t="shared" si="21"/>
        <v>25</v>
      </c>
    </row>
    <row r="673" spans="1:13" x14ac:dyDescent="0.3">
      <c r="A673" s="1" t="s">
        <v>341</v>
      </c>
      <c r="B673" s="1" t="s">
        <v>5940</v>
      </c>
      <c r="C673" s="1" t="s">
        <v>342</v>
      </c>
      <c r="D673" s="1" t="s">
        <v>738</v>
      </c>
      <c r="E673" s="1" t="s">
        <v>6076</v>
      </c>
      <c r="F673" s="1" t="s">
        <v>6076</v>
      </c>
      <c r="G673" s="1" t="s">
        <v>7006</v>
      </c>
      <c r="H673">
        <v>2000</v>
      </c>
      <c r="I673">
        <v>2008</v>
      </c>
      <c r="J673">
        <f t="shared" si="20"/>
        <v>9</v>
      </c>
      <c r="K673" s="1" t="s">
        <v>6076</v>
      </c>
      <c r="L673" s="1" t="s">
        <v>6076</v>
      </c>
      <c r="M673">
        <f t="shared" si="21"/>
        <v>18</v>
      </c>
    </row>
    <row r="674" spans="1:13" x14ac:dyDescent="0.3">
      <c r="A674" s="1" t="s">
        <v>343</v>
      </c>
      <c r="B674" s="1" t="s">
        <v>5940</v>
      </c>
      <c r="C674" s="1" t="s">
        <v>344</v>
      </c>
      <c r="D674" s="1" t="s">
        <v>738</v>
      </c>
      <c r="E674" s="1" t="s">
        <v>6076</v>
      </c>
      <c r="F674" s="1" t="s">
        <v>6076</v>
      </c>
      <c r="G674" s="1" t="s">
        <v>7006</v>
      </c>
      <c r="H674">
        <v>2013</v>
      </c>
      <c r="I674">
        <v>2017</v>
      </c>
      <c r="J674">
        <f t="shared" si="20"/>
        <v>5</v>
      </c>
      <c r="K674" s="1" t="s">
        <v>6076</v>
      </c>
      <c r="L674" s="1" t="s">
        <v>6076</v>
      </c>
      <c r="M674">
        <f t="shared" si="21"/>
        <v>9</v>
      </c>
    </row>
    <row r="675" spans="1:13" x14ac:dyDescent="0.3">
      <c r="A675" s="1" t="s">
        <v>345</v>
      </c>
      <c r="B675" s="1" t="s">
        <v>5940</v>
      </c>
      <c r="C675" s="1" t="s">
        <v>346</v>
      </c>
      <c r="D675" s="1" t="s">
        <v>738</v>
      </c>
      <c r="E675" s="1" t="s">
        <v>6076</v>
      </c>
      <c r="F675" s="1" t="s">
        <v>6076</v>
      </c>
      <c r="G675" s="1" t="s">
        <v>7006</v>
      </c>
      <c r="H675">
        <v>2021</v>
      </c>
      <c r="I675">
        <v>2022</v>
      </c>
      <c r="J675">
        <f t="shared" si="20"/>
        <v>2</v>
      </c>
      <c r="K675" s="1" t="s">
        <v>6076</v>
      </c>
      <c r="L675" s="1" t="s">
        <v>6076</v>
      </c>
      <c r="M675">
        <f t="shared" si="21"/>
        <v>4</v>
      </c>
    </row>
    <row r="676" spans="1:13" x14ac:dyDescent="0.3">
      <c r="A676" s="1" t="s">
        <v>347</v>
      </c>
      <c r="B676" s="1" t="s">
        <v>5940</v>
      </c>
      <c r="C676" s="1" t="s">
        <v>348</v>
      </c>
      <c r="D676" s="1" t="s">
        <v>738</v>
      </c>
      <c r="E676" s="1" t="s">
        <v>6076</v>
      </c>
      <c r="F676" s="1" t="s">
        <v>6076</v>
      </c>
      <c r="G676" s="1" t="s">
        <v>7006</v>
      </c>
      <c r="H676">
        <v>2020</v>
      </c>
      <c r="I676">
        <v>2022</v>
      </c>
      <c r="J676">
        <f t="shared" si="20"/>
        <v>3</v>
      </c>
      <c r="K676" s="1" t="s">
        <v>6076</v>
      </c>
      <c r="L676" s="1" t="s">
        <v>6076</v>
      </c>
      <c r="M676">
        <f t="shared" si="21"/>
        <v>4</v>
      </c>
    </row>
    <row r="677" spans="1:13" x14ac:dyDescent="0.3">
      <c r="A677" s="1" t="s">
        <v>349</v>
      </c>
      <c r="B677" s="1" t="s">
        <v>5940</v>
      </c>
      <c r="C677" s="1" t="s">
        <v>350</v>
      </c>
      <c r="D677" s="1" t="s">
        <v>738</v>
      </c>
      <c r="E677" s="1" t="s">
        <v>6076</v>
      </c>
      <c r="F677" s="1" t="s">
        <v>6076</v>
      </c>
      <c r="G677" s="1" t="s">
        <v>7006</v>
      </c>
      <c r="H677">
        <v>2021</v>
      </c>
      <c r="I677">
        <v>2022</v>
      </c>
      <c r="J677">
        <f t="shared" si="20"/>
        <v>2</v>
      </c>
      <c r="K677" s="1" t="s">
        <v>6076</v>
      </c>
      <c r="L677" s="1" t="s">
        <v>6076</v>
      </c>
      <c r="M677">
        <f t="shared" si="21"/>
        <v>4</v>
      </c>
    </row>
    <row r="678" spans="1:13" x14ac:dyDescent="0.3">
      <c r="A678" t="s">
        <v>351</v>
      </c>
      <c r="B678" t="s">
        <v>5940</v>
      </c>
      <c r="C678" t="s">
        <v>352</v>
      </c>
      <c r="E678" s="1" t="s">
        <v>6076</v>
      </c>
      <c r="F678" s="1" t="s">
        <v>6076</v>
      </c>
      <c r="G678" s="1" t="s">
        <v>7006</v>
      </c>
      <c r="H678">
        <v>2025</v>
      </c>
      <c r="I678">
        <v>2026</v>
      </c>
      <c r="J678">
        <f t="shared" si="20"/>
        <v>2</v>
      </c>
      <c r="K678" s="1" t="s">
        <v>6076</v>
      </c>
      <c r="L678" s="1" t="s">
        <v>6076</v>
      </c>
      <c r="M678">
        <f t="shared" si="21"/>
        <v>0</v>
      </c>
    </row>
    <row r="679" spans="1:13" x14ac:dyDescent="0.3">
      <c r="A679" s="1" t="s">
        <v>353</v>
      </c>
      <c r="B679" s="1" t="s">
        <v>5940</v>
      </c>
      <c r="C679" s="1" t="s">
        <v>354</v>
      </c>
      <c r="D679" s="1" t="s">
        <v>3850</v>
      </c>
      <c r="E679" s="1" t="s">
        <v>6076</v>
      </c>
      <c r="F679" s="1" t="s">
        <v>6076</v>
      </c>
      <c r="G679" s="1" t="s">
        <v>7293</v>
      </c>
      <c r="H679">
        <v>2021</v>
      </c>
      <c r="I679">
        <v>2022</v>
      </c>
      <c r="J679">
        <f t="shared" si="20"/>
        <v>2</v>
      </c>
      <c r="K679" s="1" t="s">
        <v>6076</v>
      </c>
      <c r="L679" s="1" t="s">
        <v>6076</v>
      </c>
      <c r="M679">
        <f t="shared" si="21"/>
        <v>4</v>
      </c>
    </row>
    <row r="680" spans="1:13" x14ac:dyDescent="0.3">
      <c r="A680" s="1" t="s">
        <v>355</v>
      </c>
      <c r="B680" s="1" t="s">
        <v>5940</v>
      </c>
      <c r="C680" s="1" t="s">
        <v>356</v>
      </c>
      <c r="D680" s="1" t="s">
        <v>3850</v>
      </c>
      <c r="E680" s="1" t="s">
        <v>6076</v>
      </c>
      <c r="F680" s="1" t="s">
        <v>6076</v>
      </c>
      <c r="G680" s="1" t="s">
        <v>7293</v>
      </c>
      <c r="H680">
        <v>2015</v>
      </c>
      <c r="I680">
        <v>2016</v>
      </c>
      <c r="J680">
        <f t="shared" si="20"/>
        <v>2</v>
      </c>
      <c r="K680" s="1" t="s">
        <v>6076</v>
      </c>
      <c r="L680" s="1" t="s">
        <v>6076</v>
      </c>
      <c r="M680">
        <f t="shared" si="21"/>
        <v>10</v>
      </c>
    </row>
    <row r="681" spans="1:13" x14ac:dyDescent="0.3">
      <c r="A681" s="1" t="s">
        <v>357</v>
      </c>
      <c r="B681" s="1" t="s">
        <v>5940</v>
      </c>
      <c r="C681" s="1" t="s">
        <v>358</v>
      </c>
      <c r="D681" s="1" t="s">
        <v>3850</v>
      </c>
      <c r="E681" s="1" t="s">
        <v>6076</v>
      </c>
      <c r="F681" s="1" t="s">
        <v>6076</v>
      </c>
      <c r="G681" s="1" t="s">
        <v>7293</v>
      </c>
      <c r="H681">
        <v>2011</v>
      </c>
      <c r="I681">
        <v>2018</v>
      </c>
      <c r="J681">
        <f t="shared" si="20"/>
        <v>8</v>
      </c>
      <c r="K681" s="1" t="s">
        <v>6076</v>
      </c>
      <c r="L681" s="1" t="s">
        <v>6076</v>
      </c>
      <c r="M681">
        <f t="shared" si="21"/>
        <v>8</v>
      </c>
    </row>
    <row r="682" spans="1:13" x14ac:dyDescent="0.3">
      <c r="A682" s="1" t="s">
        <v>359</v>
      </c>
      <c r="B682" s="1" t="s">
        <v>5940</v>
      </c>
      <c r="C682" s="1" t="s">
        <v>360</v>
      </c>
      <c r="D682" s="1" t="s">
        <v>3850</v>
      </c>
      <c r="E682" s="1" t="s">
        <v>6076</v>
      </c>
      <c r="F682" s="1" t="s">
        <v>6076</v>
      </c>
      <c r="G682" s="1" t="s">
        <v>7293</v>
      </c>
      <c r="H682">
        <v>2020</v>
      </c>
      <c r="I682">
        <v>2022</v>
      </c>
      <c r="J682">
        <f t="shared" si="20"/>
        <v>3</v>
      </c>
      <c r="K682" s="1" t="s">
        <v>6076</v>
      </c>
      <c r="L682" s="1" t="s">
        <v>6076</v>
      </c>
      <c r="M682">
        <f t="shared" si="21"/>
        <v>4</v>
      </c>
    </row>
    <row r="683" spans="1:13" x14ac:dyDescent="0.3">
      <c r="A683" s="1" t="s">
        <v>361</v>
      </c>
      <c r="B683" s="1" t="s">
        <v>5940</v>
      </c>
      <c r="C683" s="1" t="s">
        <v>362</v>
      </c>
      <c r="D683" s="1" t="s">
        <v>738</v>
      </c>
      <c r="E683" s="1" t="s">
        <v>6076</v>
      </c>
      <c r="F683" s="1" t="s">
        <v>6076</v>
      </c>
      <c r="G683" s="1" t="s">
        <v>7294</v>
      </c>
      <c r="H683">
        <v>2015</v>
      </c>
      <c r="I683">
        <v>2016</v>
      </c>
      <c r="J683">
        <f t="shared" si="20"/>
        <v>2</v>
      </c>
      <c r="K683" s="1" t="s">
        <v>6076</v>
      </c>
      <c r="L683" s="1" t="s">
        <v>6076</v>
      </c>
      <c r="M683">
        <f t="shared" si="21"/>
        <v>10</v>
      </c>
    </row>
    <row r="684" spans="1:13" x14ac:dyDescent="0.3">
      <c r="A684" s="1" t="s">
        <v>363</v>
      </c>
      <c r="B684" s="1" t="s">
        <v>5940</v>
      </c>
      <c r="C684" s="1" t="s">
        <v>364</v>
      </c>
      <c r="D684" s="1" t="s">
        <v>738</v>
      </c>
      <c r="E684" s="1" t="s">
        <v>6076</v>
      </c>
      <c r="F684" s="1" t="s">
        <v>6076</v>
      </c>
      <c r="G684" s="1" t="s">
        <v>7294</v>
      </c>
      <c r="H684">
        <v>2013</v>
      </c>
      <c r="I684">
        <v>2017</v>
      </c>
      <c r="J684">
        <f t="shared" si="20"/>
        <v>5</v>
      </c>
      <c r="K684" s="1" t="s">
        <v>6076</v>
      </c>
      <c r="L684" s="1" t="s">
        <v>6076</v>
      </c>
      <c r="M684">
        <f t="shared" si="21"/>
        <v>9</v>
      </c>
    </row>
    <row r="685" spans="1:13" x14ac:dyDescent="0.3">
      <c r="A685" s="1" t="s">
        <v>365</v>
      </c>
      <c r="B685" s="1" t="s">
        <v>5940</v>
      </c>
      <c r="C685" s="1" t="s">
        <v>366</v>
      </c>
      <c r="D685" s="1" t="s">
        <v>738</v>
      </c>
      <c r="E685" s="1" t="s">
        <v>6076</v>
      </c>
      <c r="F685" s="1" t="s">
        <v>6076</v>
      </c>
      <c r="G685" s="1" t="s">
        <v>7294</v>
      </c>
      <c r="H685">
        <v>2000</v>
      </c>
      <c r="I685">
        <v>2013</v>
      </c>
      <c r="J685">
        <f t="shared" si="20"/>
        <v>14</v>
      </c>
      <c r="K685" s="1" t="s">
        <v>6076</v>
      </c>
      <c r="L685" s="1" t="s">
        <v>6076</v>
      </c>
      <c r="M685">
        <f t="shared" si="21"/>
        <v>13</v>
      </c>
    </row>
    <row r="686" spans="1:13" x14ac:dyDescent="0.3">
      <c r="A686" s="1" t="s">
        <v>367</v>
      </c>
      <c r="B686" s="1" t="s">
        <v>5940</v>
      </c>
      <c r="C686" s="1" t="s">
        <v>368</v>
      </c>
      <c r="D686" s="1" t="s">
        <v>738</v>
      </c>
      <c r="E686" s="1" t="s">
        <v>6076</v>
      </c>
      <c r="F686" s="1" t="s">
        <v>6076</v>
      </c>
      <c r="G686" s="1" t="s">
        <v>7294</v>
      </c>
      <c r="H686">
        <v>1994</v>
      </c>
      <c r="I686">
        <v>2000</v>
      </c>
      <c r="J686">
        <f t="shared" si="20"/>
        <v>7</v>
      </c>
      <c r="K686" s="1" t="s">
        <v>6076</v>
      </c>
      <c r="L686" s="1" t="s">
        <v>6076</v>
      </c>
      <c r="M686">
        <f t="shared" si="21"/>
        <v>26</v>
      </c>
    </row>
    <row r="687" spans="1:13" x14ac:dyDescent="0.3">
      <c r="A687" s="1" t="s">
        <v>369</v>
      </c>
      <c r="B687" s="1" t="s">
        <v>5940</v>
      </c>
      <c r="C687" s="1" t="s">
        <v>370</v>
      </c>
      <c r="D687" s="1" t="s">
        <v>738</v>
      </c>
      <c r="E687" s="1" t="s">
        <v>6076</v>
      </c>
      <c r="F687" s="1" t="s">
        <v>6076</v>
      </c>
      <c r="G687" s="1" t="s">
        <v>7294</v>
      </c>
      <c r="H687">
        <v>2006</v>
      </c>
      <c r="I687">
        <v>2006</v>
      </c>
      <c r="J687">
        <f t="shared" si="20"/>
        <v>1</v>
      </c>
      <c r="K687" s="1" t="s">
        <v>6076</v>
      </c>
      <c r="L687" s="1" t="s">
        <v>6076</v>
      </c>
      <c r="M687">
        <f t="shared" si="21"/>
        <v>20</v>
      </c>
    </row>
    <row r="688" spans="1:13" x14ac:dyDescent="0.3">
      <c r="A688" s="1" t="s">
        <v>371</v>
      </c>
      <c r="B688" s="1" t="s">
        <v>5940</v>
      </c>
      <c r="C688" s="1" t="s">
        <v>372</v>
      </c>
      <c r="D688" s="1" t="s">
        <v>738</v>
      </c>
      <c r="E688" s="1" t="s">
        <v>6076</v>
      </c>
      <c r="F688" s="1" t="s">
        <v>6076</v>
      </c>
      <c r="G688" s="1" t="s">
        <v>7294</v>
      </c>
      <c r="H688">
        <v>2006</v>
      </c>
      <c r="I688">
        <v>2006</v>
      </c>
      <c r="J688">
        <f t="shared" si="20"/>
        <v>1</v>
      </c>
      <c r="K688" s="1" t="s">
        <v>6076</v>
      </c>
      <c r="L688" s="1" t="s">
        <v>6076</v>
      </c>
      <c r="M688">
        <f t="shared" si="21"/>
        <v>20</v>
      </c>
    </row>
    <row r="689" spans="1:14" x14ac:dyDescent="0.3">
      <c r="A689" s="1" t="s">
        <v>7295</v>
      </c>
      <c r="B689" s="1" t="s">
        <v>1849</v>
      </c>
      <c r="C689" s="1" t="s">
        <v>7296</v>
      </c>
      <c r="D689" s="1" t="s">
        <v>738</v>
      </c>
      <c r="E689" s="1" t="s">
        <v>6076</v>
      </c>
      <c r="F689" s="1" t="s">
        <v>6076</v>
      </c>
      <c r="G689" s="1" t="s">
        <v>7297</v>
      </c>
      <c r="H689">
        <v>1995</v>
      </c>
      <c r="I689">
        <v>2001</v>
      </c>
      <c r="J689">
        <f t="shared" si="20"/>
        <v>7</v>
      </c>
      <c r="K689" s="1" t="s">
        <v>6076</v>
      </c>
      <c r="L689" s="1" t="s">
        <v>6076</v>
      </c>
      <c r="M689">
        <f t="shared" si="21"/>
        <v>25</v>
      </c>
      <c r="N689" t="s">
        <v>640</v>
      </c>
    </row>
    <row r="690" spans="1:14" x14ac:dyDescent="0.3">
      <c r="A690" s="1" t="s">
        <v>7298</v>
      </c>
      <c r="B690" s="1" t="s">
        <v>1849</v>
      </c>
      <c r="C690" s="1" t="s">
        <v>7299</v>
      </c>
      <c r="D690" s="1" t="s">
        <v>738</v>
      </c>
      <c r="E690" s="1" t="s">
        <v>6076</v>
      </c>
      <c r="F690" s="1" t="s">
        <v>6076</v>
      </c>
      <c r="G690" s="1" t="s">
        <v>7297</v>
      </c>
      <c r="H690">
        <v>1995</v>
      </c>
      <c r="I690">
        <v>2001</v>
      </c>
      <c r="J690">
        <f t="shared" si="20"/>
        <v>7</v>
      </c>
      <c r="K690" s="1" t="s">
        <v>6076</v>
      </c>
      <c r="L690" s="1" t="s">
        <v>6076</v>
      </c>
      <c r="M690">
        <f t="shared" si="21"/>
        <v>25</v>
      </c>
      <c r="N690" t="s">
        <v>640</v>
      </c>
    </row>
    <row r="691" spans="1:14" x14ac:dyDescent="0.3">
      <c r="A691" s="1" t="s">
        <v>7300</v>
      </c>
      <c r="B691" s="1" t="s">
        <v>1849</v>
      </c>
      <c r="C691" s="1" t="s">
        <v>7301</v>
      </c>
      <c r="D691" s="1" t="s">
        <v>738</v>
      </c>
      <c r="E691" s="1" t="s">
        <v>6076</v>
      </c>
      <c r="F691" s="1" t="s">
        <v>6076</v>
      </c>
      <c r="G691" s="1" t="s">
        <v>7297</v>
      </c>
      <c r="H691">
        <v>1995</v>
      </c>
      <c r="I691">
        <v>1998</v>
      </c>
      <c r="J691">
        <f t="shared" si="20"/>
        <v>4</v>
      </c>
      <c r="K691" s="1" t="s">
        <v>6076</v>
      </c>
      <c r="L691" s="1" t="s">
        <v>6076</v>
      </c>
      <c r="M691">
        <f t="shared" si="21"/>
        <v>28</v>
      </c>
      <c r="N691" t="s">
        <v>640</v>
      </c>
    </row>
    <row r="692" spans="1:14" x14ac:dyDescent="0.3">
      <c r="A692" s="1" t="s">
        <v>7302</v>
      </c>
      <c r="B692" s="1" t="s">
        <v>1849</v>
      </c>
      <c r="C692" s="1" t="s">
        <v>7303</v>
      </c>
      <c r="D692" s="1" t="s">
        <v>738</v>
      </c>
      <c r="E692" s="1" t="s">
        <v>6076</v>
      </c>
      <c r="F692" s="1" t="s">
        <v>6076</v>
      </c>
      <c r="G692" s="1" t="s">
        <v>7297</v>
      </c>
      <c r="H692">
        <v>1995</v>
      </c>
      <c r="I692">
        <v>1997</v>
      </c>
      <c r="J692">
        <f t="shared" si="20"/>
        <v>3</v>
      </c>
      <c r="K692" s="1" t="s">
        <v>6076</v>
      </c>
      <c r="L692" s="1" t="s">
        <v>6076</v>
      </c>
      <c r="M692">
        <f t="shared" si="21"/>
        <v>29</v>
      </c>
      <c r="N692" t="s">
        <v>640</v>
      </c>
    </row>
    <row r="693" spans="1:14" x14ac:dyDescent="0.3">
      <c r="A693" s="1" t="s">
        <v>7304</v>
      </c>
      <c r="B693" s="1" t="s">
        <v>1849</v>
      </c>
      <c r="C693" s="1" t="s">
        <v>7305</v>
      </c>
      <c r="D693" s="1" t="s">
        <v>738</v>
      </c>
      <c r="E693" s="1" t="s">
        <v>6076</v>
      </c>
      <c r="F693" s="1" t="s">
        <v>6076</v>
      </c>
      <c r="G693" s="1" t="s">
        <v>7297</v>
      </c>
      <c r="H693">
        <v>1995</v>
      </c>
      <c r="I693">
        <v>1995</v>
      </c>
      <c r="J693">
        <f t="shared" si="20"/>
        <v>1</v>
      </c>
      <c r="K693" s="1" t="s">
        <v>6076</v>
      </c>
      <c r="L693" s="1" t="s">
        <v>6076</v>
      </c>
      <c r="M693">
        <f t="shared" si="21"/>
        <v>31</v>
      </c>
      <c r="N693" t="s">
        <v>640</v>
      </c>
    </row>
    <row r="694" spans="1:14" x14ac:dyDescent="0.3">
      <c r="A694" s="1" t="s">
        <v>7318</v>
      </c>
      <c r="B694" s="1" t="s">
        <v>910</v>
      </c>
      <c r="C694" s="1" t="s">
        <v>7319</v>
      </c>
      <c r="D694" s="1" t="s">
        <v>738</v>
      </c>
      <c r="E694" s="1" t="s">
        <v>6076</v>
      </c>
      <c r="F694" s="1" t="s">
        <v>6076</v>
      </c>
      <c r="G694" s="1" t="s">
        <v>5989</v>
      </c>
      <c r="H694">
        <v>1991</v>
      </c>
      <c r="I694">
        <v>1998</v>
      </c>
      <c r="J694">
        <f t="shared" si="20"/>
        <v>8</v>
      </c>
      <c r="K694" s="1" t="s">
        <v>6076</v>
      </c>
      <c r="L694" s="1" t="s">
        <v>6076</v>
      </c>
      <c r="M694">
        <f t="shared" si="21"/>
        <v>28</v>
      </c>
      <c r="N694" t="s">
        <v>640</v>
      </c>
    </row>
    <row r="695" spans="1:14" hidden="1" x14ac:dyDescent="0.3">
      <c r="A695" s="1" t="s">
        <v>5987</v>
      </c>
      <c r="B695" s="1" t="s">
        <v>910</v>
      </c>
      <c r="C695" s="1" t="s">
        <v>5988</v>
      </c>
      <c r="D695" s="1" t="s">
        <v>738</v>
      </c>
      <c r="E695" s="1" t="s">
        <v>4892</v>
      </c>
      <c r="F695" s="1" t="s">
        <v>4893</v>
      </c>
      <c r="G695" s="1" t="s">
        <v>5989</v>
      </c>
      <c r="H695">
        <v>2021</v>
      </c>
      <c r="I695">
        <v>2022</v>
      </c>
      <c r="J695">
        <f t="shared" si="20"/>
        <v>2</v>
      </c>
      <c r="K695" s="1" t="s">
        <v>5909</v>
      </c>
      <c r="L695" s="1" t="s">
        <v>666</v>
      </c>
      <c r="M695">
        <f t="shared" si="21"/>
        <v>4</v>
      </c>
      <c r="N695" t="s">
        <v>650</v>
      </c>
    </row>
    <row r="696" spans="1:14" x14ac:dyDescent="0.3">
      <c r="A696" s="1" t="s">
        <v>7308</v>
      </c>
      <c r="B696" s="1" t="s">
        <v>910</v>
      </c>
      <c r="C696" s="1" t="s">
        <v>7309</v>
      </c>
      <c r="D696" s="1" t="s">
        <v>738</v>
      </c>
      <c r="E696" s="1" t="s">
        <v>6076</v>
      </c>
      <c r="F696" s="1" t="s">
        <v>6076</v>
      </c>
      <c r="G696" s="1" t="s">
        <v>5989</v>
      </c>
      <c r="H696">
        <v>2010</v>
      </c>
      <c r="I696">
        <v>2012</v>
      </c>
      <c r="J696">
        <f t="shared" si="20"/>
        <v>3</v>
      </c>
      <c r="K696" s="1" t="s">
        <v>6076</v>
      </c>
      <c r="L696" s="1" t="s">
        <v>6076</v>
      </c>
      <c r="M696">
        <f t="shared" si="21"/>
        <v>14</v>
      </c>
      <c r="N696" t="s">
        <v>650</v>
      </c>
    </row>
    <row r="697" spans="1:14" x14ac:dyDescent="0.3">
      <c r="A697" s="1" t="s">
        <v>7306</v>
      </c>
      <c r="B697" s="1" t="s">
        <v>910</v>
      </c>
      <c r="C697" s="1" t="s">
        <v>7307</v>
      </c>
      <c r="D697" s="1" t="s">
        <v>738</v>
      </c>
      <c r="E697" s="1" t="s">
        <v>6076</v>
      </c>
      <c r="F697" s="1" t="s">
        <v>6076</v>
      </c>
      <c r="G697" s="1" t="s">
        <v>5989</v>
      </c>
      <c r="H697">
        <v>1991</v>
      </c>
      <c r="I697">
        <v>2014</v>
      </c>
      <c r="J697">
        <f t="shared" si="20"/>
        <v>24</v>
      </c>
      <c r="K697" s="1" t="s">
        <v>6076</v>
      </c>
      <c r="L697" s="1" t="s">
        <v>6076</v>
      </c>
      <c r="M697">
        <f t="shared" si="21"/>
        <v>12</v>
      </c>
      <c r="N697" t="s">
        <v>650</v>
      </c>
    </row>
    <row r="698" spans="1:14" x14ac:dyDescent="0.3">
      <c r="A698" s="1" t="s">
        <v>7312</v>
      </c>
      <c r="B698" s="1" t="s">
        <v>910</v>
      </c>
      <c r="C698" s="1" t="s">
        <v>7313</v>
      </c>
      <c r="D698" s="1" t="s">
        <v>738</v>
      </c>
      <c r="E698" s="1" t="s">
        <v>6076</v>
      </c>
      <c r="F698" s="1" t="s">
        <v>6076</v>
      </c>
      <c r="G698" s="1" t="s">
        <v>5989</v>
      </c>
      <c r="H698">
        <v>1995</v>
      </c>
      <c r="I698">
        <v>2007</v>
      </c>
      <c r="J698">
        <f t="shared" si="20"/>
        <v>13</v>
      </c>
      <c r="K698" s="1" t="s">
        <v>6076</v>
      </c>
      <c r="L698" s="1" t="s">
        <v>6076</v>
      </c>
      <c r="M698">
        <f t="shared" si="21"/>
        <v>19</v>
      </c>
      <c r="N698" t="s">
        <v>640</v>
      </c>
    </row>
    <row r="699" spans="1:14" hidden="1" x14ac:dyDescent="0.3">
      <c r="A699" s="1" t="s">
        <v>5992</v>
      </c>
      <c r="B699" s="1" t="s">
        <v>910</v>
      </c>
      <c r="C699" s="1" t="s">
        <v>5993</v>
      </c>
      <c r="D699" s="1" t="s">
        <v>738</v>
      </c>
      <c r="E699" s="1" t="s">
        <v>4892</v>
      </c>
      <c r="F699" s="1" t="s">
        <v>4893</v>
      </c>
      <c r="G699" s="1" t="s">
        <v>5989</v>
      </c>
      <c r="H699">
        <v>2008</v>
      </c>
      <c r="I699">
        <v>2017</v>
      </c>
      <c r="J699">
        <f t="shared" si="20"/>
        <v>10</v>
      </c>
      <c r="K699" s="1" t="s">
        <v>5909</v>
      </c>
      <c r="L699" s="1" t="s">
        <v>666</v>
      </c>
      <c r="M699">
        <f t="shared" si="21"/>
        <v>9</v>
      </c>
      <c r="N699" t="s">
        <v>650</v>
      </c>
    </row>
    <row r="700" spans="1:14" x14ac:dyDescent="0.3">
      <c r="A700" s="1" t="s">
        <v>7316</v>
      </c>
      <c r="B700" s="1" t="s">
        <v>910</v>
      </c>
      <c r="C700" s="1" t="s">
        <v>7317</v>
      </c>
      <c r="D700" s="1" t="s">
        <v>738</v>
      </c>
      <c r="E700" s="1" t="s">
        <v>6076</v>
      </c>
      <c r="F700" s="1" t="s">
        <v>6076</v>
      </c>
      <c r="G700" s="1" t="s">
        <v>5989</v>
      </c>
      <c r="H700">
        <v>1995</v>
      </c>
      <c r="I700">
        <v>2001</v>
      </c>
      <c r="J700">
        <f t="shared" si="20"/>
        <v>7</v>
      </c>
      <c r="K700" s="1" t="s">
        <v>6076</v>
      </c>
      <c r="L700" s="1" t="s">
        <v>6076</v>
      </c>
      <c r="M700">
        <f t="shared" si="21"/>
        <v>25</v>
      </c>
      <c r="N700" t="s">
        <v>640</v>
      </c>
    </row>
    <row r="701" spans="1:14" x14ac:dyDescent="0.3">
      <c r="A701" s="1" t="s">
        <v>7310</v>
      </c>
      <c r="B701" s="1" t="s">
        <v>910</v>
      </c>
      <c r="C701" s="1" t="s">
        <v>7311</v>
      </c>
      <c r="D701" s="1" t="s">
        <v>738</v>
      </c>
      <c r="E701" s="1" t="s">
        <v>6076</v>
      </c>
      <c r="F701" s="1" t="s">
        <v>6076</v>
      </c>
      <c r="G701" s="1" t="s">
        <v>5989</v>
      </c>
      <c r="H701">
        <v>2006</v>
      </c>
      <c r="I701">
        <v>2009</v>
      </c>
      <c r="J701">
        <f t="shared" si="20"/>
        <v>4</v>
      </c>
      <c r="K701" s="1" t="s">
        <v>6076</v>
      </c>
      <c r="L701" s="1" t="s">
        <v>6076</v>
      </c>
      <c r="M701">
        <f t="shared" si="21"/>
        <v>17</v>
      </c>
      <c r="N701" t="s">
        <v>640</v>
      </c>
    </row>
    <row r="702" spans="1:14" x14ac:dyDescent="0.3">
      <c r="A702" s="1" t="s">
        <v>7314</v>
      </c>
      <c r="B702" s="1" t="s">
        <v>910</v>
      </c>
      <c r="C702" s="1" t="s">
        <v>7315</v>
      </c>
      <c r="D702" s="1" t="s">
        <v>738</v>
      </c>
      <c r="E702" s="1" t="s">
        <v>6076</v>
      </c>
      <c r="F702" s="1" t="s">
        <v>6076</v>
      </c>
      <c r="G702" s="1" t="s">
        <v>5989</v>
      </c>
      <c r="H702">
        <v>1992</v>
      </c>
      <c r="I702">
        <v>2005</v>
      </c>
      <c r="J702">
        <f t="shared" si="20"/>
        <v>14</v>
      </c>
      <c r="K702" s="1" t="s">
        <v>6076</v>
      </c>
      <c r="L702" s="1" t="s">
        <v>6076</v>
      </c>
      <c r="M702">
        <f t="shared" si="21"/>
        <v>21</v>
      </c>
      <c r="N702" t="s">
        <v>640</v>
      </c>
    </row>
    <row r="703" spans="1:14" hidden="1" x14ac:dyDescent="0.3">
      <c r="A703" s="1" t="s">
        <v>5990</v>
      </c>
      <c r="B703" s="1" t="s">
        <v>910</v>
      </c>
      <c r="C703" s="1" t="s">
        <v>5991</v>
      </c>
      <c r="D703" s="1" t="s">
        <v>738</v>
      </c>
      <c r="E703" s="1" t="s">
        <v>4892</v>
      </c>
      <c r="F703" s="1" t="s">
        <v>4893</v>
      </c>
      <c r="G703" s="1" t="s">
        <v>5989</v>
      </c>
      <c r="H703">
        <v>2018</v>
      </c>
      <c r="I703">
        <v>2022</v>
      </c>
      <c r="J703">
        <f t="shared" si="20"/>
        <v>5</v>
      </c>
      <c r="K703" s="1" t="s">
        <v>5909</v>
      </c>
      <c r="L703" s="1" t="s">
        <v>666</v>
      </c>
      <c r="M703">
        <f t="shared" si="21"/>
        <v>4</v>
      </c>
      <c r="N703" t="s">
        <v>650</v>
      </c>
    </row>
    <row r="704" spans="1:14" x14ac:dyDescent="0.3">
      <c r="A704" s="1" t="s">
        <v>7322</v>
      </c>
      <c r="B704" s="1" t="s">
        <v>910</v>
      </c>
      <c r="C704" s="1" t="s">
        <v>7323</v>
      </c>
      <c r="D704" s="1" t="s">
        <v>738</v>
      </c>
      <c r="E704" s="1" t="s">
        <v>6076</v>
      </c>
      <c r="F704" s="1" t="s">
        <v>6076</v>
      </c>
      <c r="G704" s="1" t="s">
        <v>5989</v>
      </c>
      <c r="H704">
        <v>1991</v>
      </c>
      <c r="I704">
        <v>1995</v>
      </c>
      <c r="J704">
        <f t="shared" si="20"/>
        <v>5</v>
      </c>
      <c r="K704" s="1" t="s">
        <v>6076</v>
      </c>
      <c r="L704" s="1" t="s">
        <v>6076</v>
      </c>
      <c r="M704">
        <f t="shared" si="21"/>
        <v>31</v>
      </c>
      <c r="N704" t="s">
        <v>640</v>
      </c>
    </row>
    <row r="705" spans="1:14" x14ac:dyDescent="0.3">
      <c r="A705" s="1" t="s">
        <v>7320</v>
      </c>
      <c r="B705" s="1" t="s">
        <v>910</v>
      </c>
      <c r="C705" s="1" t="s">
        <v>7321</v>
      </c>
      <c r="D705" s="1" t="s">
        <v>738</v>
      </c>
      <c r="E705" s="1" t="s">
        <v>6076</v>
      </c>
      <c r="F705" s="1" t="s">
        <v>6076</v>
      </c>
      <c r="G705" s="1" t="s">
        <v>5989</v>
      </c>
      <c r="H705">
        <v>1993</v>
      </c>
      <c r="I705">
        <v>1995</v>
      </c>
      <c r="J705">
        <f t="shared" si="20"/>
        <v>3</v>
      </c>
      <c r="K705" s="1" t="s">
        <v>6076</v>
      </c>
      <c r="L705" s="1" t="s">
        <v>6076</v>
      </c>
      <c r="M705">
        <f t="shared" si="21"/>
        <v>31</v>
      </c>
      <c r="N705" t="s">
        <v>640</v>
      </c>
    </row>
    <row r="706" spans="1:14" x14ac:dyDescent="0.3">
      <c r="A706" t="s">
        <v>11927</v>
      </c>
      <c r="B706" t="s">
        <v>12061</v>
      </c>
      <c r="C706" t="s">
        <v>11928</v>
      </c>
      <c r="E706" s="1" t="s">
        <v>6076</v>
      </c>
      <c r="F706" s="1" t="s">
        <v>6076</v>
      </c>
      <c r="G706" s="1" t="s">
        <v>12864</v>
      </c>
      <c r="H706">
        <v>2025</v>
      </c>
      <c r="I706">
        <v>2026</v>
      </c>
      <c r="J706">
        <f t="shared" si="20"/>
        <v>2</v>
      </c>
      <c r="K706" s="1" t="s">
        <v>6076</v>
      </c>
      <c r="L706" s="1" t="s">
        <v>6076</v>
      </c>
      <c r="M706">
        <f t="shared" si="21"/>
        <v>0</v>
      </c>
    </row>
    <row r="707" spans="1:14" x14ac:dyDescent="0.3">
      <c r="A707" t="s">
        <v>11929</v>
      </c>
      <c r="B707" t="s">
        <v>12061</v>
      </c>
      <c r="C707" t="s">
        <v>11930</v>
      </c>
      <c r="E707" s="1" t="s">
        <v>6076</v>
      </c>
      <c r="F707" s="1" t="s">
        <v>6076</v>
      </c>
      <c r="G707" s="1" t="s">
        <v>12864</v>
      </c>
      <c r="H707">
        <v>2025</v>
      </c>
      <c r="I707">
        <v>2026</v>
      </c>
      <c r="J707">
        <f t="shared" si="20"/>
        <v>2</v>
      </c>
      <c r="K707" s="1" t="s">
        <v>6076</v>
      </c>
      <c r="L707" s="1" t="s">
        <v>6076</v>
      </c>
      <c r="M707">
        <f t="shared" si="21"/>
        <v>0</v>
      </c>
    </row>
    <row r="708" spans="1:14" x14ac:dyDescent="0.3">
      <c r="A708" t="s">
        <v>11413</v>
      </c>
      <c r="B708" t="s">
        <v>1451</v>
      </c>
      <c r="C708" t="s">
        <v>11414</v>
      </c>
      <c r="E708" s="1" t="s">
        <v>6076</v>
      </c>
      <c r="F708" s="1" t="s">
        <v>6076</v>
      </c>
      <c r="G708" s="1" t="s">
        <v>12816</v>
      </c>
      <c r="H708">
        <v>1990</v>
      </c>
      <c r="I708">
        <v>1995</v>
      </c>
      <c r="J708">
        <f t="shared" si="20"/>
        <v>6</v>
      </c>
      <c r="K708" s="1" t="s">
        <v>6076</v>
      </c>
      <c r="L708" s="1" t="s">
        <v>6076</v>
      </c>
      <c r="M708">
        <f t="shared" si="21"/>
        <v>31</v>
      </c>
    </row>
    <row r="709" spans="1:14" hidden="1" x14ac:dyDescent="0.3">
      <c r="A709" s="1" t="s">
        <v>799</v>
      </c>
      <c r="B709" s="1" t="s">
        <v>795</v>
      </c>
      <c r="C709" s="1" t="s">
        <v>800</v>
      </c>
      <c r="D709" s="1" t="s">
        <v>746</v>
      </c>
      <c r="E709" s="1" t="s">
        <v>747</v>
      </c>
      <c r="F709" s="1" t="s">
        <v>748</v>
      </c>
      <c r="G709" s="1" t="s">
        <v>797</v>
      </c>
      <c r="H709">
        <v>2010</v>
      </c>
      <c r="I709">
        <v>2012</v>
      </c>
      <c r="J709">
        <f t="shared" si="20"/>
        <v>3</v>
      </c>
      <c r="K709" s="1" t="s">
        <v>741</v>
      </c>
      <c r="L709" s="1" t="s">
        <v>798</v>
      </c>
      <c r="M709">
        <f t="shared" si="21"/>
        <v>14</v>
      </c>
      <c r="N709" t="s">
        <v>650</v>
      </c>
    </row>
    <row r="710" spans="1:14" hidden="1" x14ac:dyDescent="0.3">
      <c r="A710" s="1" t="s">
        <v>794</v>
      </c>
      <c r="B710" s="1" t="s">
        <v>795</v>
      </c>
      <c r="C710" s="1" t="s">
        <v>796</v>
      </c>
      <c r="D710" s="1" t="s">
        <v>746</v>
      </c>
      <c r="E710" s="1" t="s">
        <v>747</v>
      </c>
      <c r="F710" s="1" t="s">
        <v>748</v>
      </c>
      <c r="G710" s="1" t="s">
        <v>797</v>
      </c>
      <c r="H710">
        <v>2010</v>
      </c>
      <c r="I710">
        <v>2014</v>
      </c>
      <c r="J710">
        <f t="shared" ref="J710:J773" si="22">1+(I710-H710)</f>
        <v>5</v>
      </c>
      <c r="K710" s="1" t="s">
        <v>741</v>
      </c>
      <c r="L710" s="1" t="s">
        <v>798</v>
      </c>
      <c r="M710">
        <f t="shared" ref="M710:M773" si="23">IF(I710=0,0,$B$2-I710)</f>
        <v>12</v>
      </c>
      <c r="N710" t="s">
        <v>650</v>
      </c>
    </row>
    <row r="711" spans="1:14" hidden="1" x14ac:dyDescent="0.3">
      <c r="A711" s="1" t="s">
        <v>1184</v>
      </c>
      <c r="B711" s="1" t="s">
        <v>795</v>
      </c>
      <c r="C711" s="1" t="s">
        <v>1185</v>
      </c>
      <c r="D711" s="1" t="s">
        <v>746</v>
      </c>
      <c r="E711" s="1" t="s">
        <v>747</v>
      </c>
      <c r="F711" s="1" t="s">
        <v>748</v>
      </c>
      <c r="G711" s="1" t="s">
        <v>797</v>
      </c>
      <c r="H711">
        <v>2013</v>
      </c>
      <c r="I711">
        <v>2014</v>
      </c>
      <c r="J711">
        <f t="shared" si="22"/>
        <v>2</v>
      </c>
      <c r="K711" s="1" t="s">
        <v>741</v>
      </c>
      <c r="L711" s="1" t="s">
        <v>798</v>
      </c>
      <c r="M711">
        <f t="shared" si="23"/>
        <v>12</v>
      </c>
      <c r="N711" t="s">
        <v>650</v>
      </c>
    </row>
    <row r="712" spans="1:14" hidden="1" x14ac:dyDescent="0.3">
      <c r="A712" s="1" t="s">
        <v>1180</v>
      </c>
      <c r="B712" s="1" t="s">
        <v>795</v>
      </c>
      <c r="C712" s="1" t="s">
        <v>1181</v>
      </c>
      <c r="D712" s="1" t="s">
        <v>746</v>
      </c>
      <c r="E712" s="1" t="s">
        <v>747</v>
      </c>
      <c r="F712" s="1" t="s">
        <v>748</v>
      </c>
      <c r="G712" s="1" t="s">
        <v>797</v>
      </c>
      <c r="H712">
        <v>2014</v>
      </c>
      <c r="I712">
        <v>2014</v>
      </c>
      <c r="J712">
        <f t="shared" si="22"/>
        <v>1</v>
      </c>
      <c r="K712" s="1" t="s">
        <v>741</v>
      </c>
      <c r="L712" s="1" t="s">
        <v>798</v>
      </c>
      <c r="M712">
        <f t="shared" si="23"/>
        <v>12</v>
      </c>
      <c r="N712" t="s">
        <v>650</v>
      </c>
    </row>
    <row r="713" spans="1:14" hidden="1" x14ac:dyDescent="0.3">
      <c r="A713" s="1" t="s">
        <v>1182</v>
      </c>
      <c r="B713" s="1" t="s">
        <v>795</v>
      </c>
      <c r="C713" s="1" t="s">
        <v>1183</v>
      </c>
      <c r="D713" s="1" t="s">
        <v>746</v>
      </c>
      <c r="E713" s="1" t="s">
        <v>747</v>
      </c>
      <c r="F713" s="1" t="s">
        <v>748</v>
      </c>
      <c r="G713" s="1" t="s">
        <v>797</v>
      </c>
      <c r="H713">
        <v>2014</v>
      </c>
      <c r="I713">
        <v>2014</v>
      </c>
      <c r="J713">
        <f t="shared" si="22"/>
        <v>1</v>
      </c>
      <c r="K713" s="1" t="s">
        <v>741</v>
      </c>
      <c r="L713" s="1" t="s">
        <v>798</v>
      </c>
      <c r="M713">
        <f t="shared" si="23"/>
        <v>12</v>
      </c>
      <c r="N713" t="s">
        <v>650</v>
      </c>
    </row>
    <row r="714" spans="1:14" hidden="1" x14ac:dyDescent="0.3">
      <c r="A714" s="1" t="s">
        <v>1186</v>
      </c>
      <c r="B714" s="1" t="s">
        <v>795</v>
      </c>
      <c r="C714" s="1" t="s">
        <v>1187</v>
      </c>
      <c r="D714" s="1" t="s">
        <v>746</v>
      </c>
      <c r="E714" s="1" t="s">
        <v>747</v>
      </c>
      <c r="F714" s="1" t="s">
        <v>748</v>
      </c>
      <c r="G714" s="1" t="s">
        <v>797</v>
      </c>
      <c r="H714">
        <v>2012</v>
      </c>
      <c r="I714">
        <v>2012</v>
      </c>
      <c r="J714">
        <f t="shared" si="22"/>
        <v>1</v>
      </c>
      <c r="K714" s="1" t="s">
        <v>741</v>
      </c>
      <c r="L714" s="1" t="s">
        <v>798</v>
      </c>
      <c r="M714">
        <f t="shared" si="23"/>
        <v>14</v>
      </c>
      <c r="N714" t="s">
        <v>650</v>
      </c>
    </row>
    <row r="715" spans="1:14" hidden="1" x14ac:dyDescent="0.3">
      <c r="A715" s="1" t="s">
        <v>3977</v>
      </c>
      <c r="B715" s="1" t="s">
        <v>672</v>
      </c>
      <c r="C715" s="1" t="s">
        <v>3978</v>
      </c>
      <c r="D715" s="1" t="s">
        <v>746</v>
      </c>
      <c r="E715" s="1" t="s">
        <v>747</v>
      </c>
      <c r="F715" s="1" t="s">
        <v>1348</v>
      </c>
      <c r="G715" s="1" t="s">
        <v>3829</v>
      </c>
      <c r="H715">
        <v>2020</v>
      </c>
      <c r="I715">
        <v>2022</v>
      </c>
      <c r="J715">
        <f t="shared" si="22"/>
        <v>3</v>
      </c>
      <c r="K715" s="1" t="s">
        <v>3665</v>
      </c>
      <c r="L715" s="1" t="s">
        <v>666</v>
      </c>
      <c r="M715">
        <f t="shared" si="23"/>
        <v>4</v>
      </c>
      <c r="N715" t="s">
        <v>650</v>
      </c>
    </row>
    <row r="716" spans="1:14" hidden="1" x14ac:dyDescent="0.3">
      <c r="A716" s="1" t="s">
        <v>3993</v>
      </c>
      <c r="B716" s="1" t="s">
        <v>672</v>
      </c>
      <c r="C716" s="1" t="s">
        <v>3994</v>
      </c>
      <c r="D716" s="1" t="s">
        <v>746</v>
      </c>
      <c r="E716" s="1" t="s">
        <v>747</v>
      </c>
      <c r="F716" s="1" t="s">
        <v>1348</v>
      </c>
      <c r="G716" s="1" t="s">
        <v>3829</v>
      </c>
      <c r="H716">
        <v>2017</v>
      </c>
      <c r="I716">
        <v>2017</v>
      </c>
      <c r="J716">
        <f t="shared" si="22"/>
        <v>1</v>
      </c>
      <c r="K716" s="1" t="s">
        <v>3665</v>
      </c>
      <c r="L716" s="1" t="s">
        <v>666</v>
      </c>
      <c r="M716">
        <f t="shared" si="23"/>
        <v>9</v>
      </c>
      <c r="N716" t="s">
        <v>650</v>
      </c>
    </row>
    <row r="717" spans="1:14" hidden="1" x14ac:dyDescent="0.3">
      <c r="A717" s="1" t="s">
        <v>4011</v>
      </c>
      <c r="B717" s="1" t="s">
        <v>672</v>
      </c>
      <c r="C717" s="1" t="s">
        <v>4012</v>
      </c>
      <c r="D717" s="1" t="s">
        <v>746</v>
      </c>
      <c r="E717" s="1" t="s">
        <v>747</v>
      </c>
      <c r="F717" s="1" t="s">
        <v>1348</v>
      </c>
      <c r="G717" s="1" t="s">
        <v>3829</v>
      </c>
      <c r="H717">
        <v>2013</v>
      </c>
      <c r="I717">
        <v>2014</v>
      </c>
      <c r="J717">
        <f t="shared" si="22"/>
        <v>2</v>
      </c>
      <c r="K717" s="1" t="s">
        <v>3665</v>
      </c>
      <c r="L717" s="1" t="s">
        <v>666</v>
      </c>
      <c r="M717">
        <f t="shared" si="23"/>
        <v>12</v>
      </c>
      <c r="N717" t="s">
        <v>650</v>
      </c>
    </row>
    <row r="718" spans="1:14" hidden="1" x14ac:dyDescent="0.3">
      <c r="A718" s="1" t="s">
        <v>4013</v>
      </c>
      <c r="B718" s="1" t="s">
        <v>672</v>
      </c>
      <c r="C718" s="1" t="s">
        <v>4014</v>
      </c>
      <c r="D718" s="1" t="s">
        <v>746</v>
      </c>
      <c r="E718" s="1" t="s">
        <v>747</v>
      </c>
      <c r="F718" s="1" t="s">
        <v>1348</v>
      </c>
      <c r="G718" s="1" t="s">
        <v>3829</v>
      </c>
      <c r="H718">
        <v>2013</v>
      </c>
      <c r="I718">
        <v>2014</v>
      </c>
      <c r="J718">
        <f t="shared" si="22"/>
        <v>2</v>
      </c>
      <c r="K718" s="1" t="s">
        <v>3665</v>
      </c>
      <c r="L718" s="1" t="s">
        <v>666</v>
      </c>
      <c r="M718">
        <f t="shared" si="23"/>
        <v>12</v>
      </c>
      <c r="N718" t="s">
        <v>650</v>
      </c>
    </row>
    <row r="719" spans="1:14" hidden="1" x14ac:dyDescent="0.3">
      <c r="A719" s="1" t="s">
        <v>3832</v>
      </c>
      <c r="B719" s="1" t="s">
        <v>672</v>
      </c>
      <c r="C719" s="1" t="s">
        <v>3833</v>
      </c>
      <c r="D719" s="1" t="s">
        <v>746</v>
      </c>
      <c r="E719" s="1" t="s">
        <v>747</v>
      </c>
      <c r="F719" s="1" t="s">
        <v>1348</v>
      </c>
      <c r="G719" s="1" t="s">
        <v>3829</v>
      </c>
      <c r="H719">
        <v>2011</v>
      </c>
      <c r="I719">
        <v>2015</v>
      </c>
      <c r="J719">
        <f t="shared" si="22"/>
        <v>5</v>
      </c>
      <c r="K719" s="1" t="s">
        <v>3665</v>
      </c>
      <c r="L719" s="1" t="s">
        <v>666</v>
      </c>
      <c r="M719">
        <f t="shared" si="23"/>
        <v>11</v>
      </c>
      <c r="N719" t="s">
        <v>650</v>
      </c>
    </row>
    <row r="720" spans="1:14" hidden="1" x14ac:dyDescent="0.3">
      <c r="A720" s="1" t="s">
        <v>3834</v>
      </c>
      <c r="B720" s="1" t="s">
        <v>672</v>
      </c>
      <c r="C720" s="1" t="s">
        <v>3835</v>
      </c>
      <c r="D720" s="1" t="s">
        <v>746</v>
      </c>
      <c r="E720" s="1" t="s">
        <v>747</v>
      </c>
      <c r="F720" s="1" t="s">
        <v>1348</v>
      </c>
      <c r="G720" s="1" t="s">
        <v>3829</v>
      </c>
      <c r="H720">
        <v>2011</v>
      </c>
      <c r="I720">
        <v>2015</v>
      </c>
      <c r="J720">
        <f t="shared" si="22"/>
        <v>5</v>
      </c>
      <c r="K720" s="1" t="s">
        <v>3665</v>
      </c>
      <c r="L720" s="1" t="s">
        <v>666</v>
      </c>
      <c r="M720">
        <f t="shared" si="23"/>
        <v>11</v>
      </c>
      <c r="N720" t="s">
        <v>650</v>
      </c>
    </row>
    <row r="721" spans="1:14" hidden="1" x14ac:dyDescent="0.3">
      <c r="A721" s="1" t="s">
        <v>3987</v>
      </c>
      <c r="B721" s="1" t="s">
        <v>672</v>
      </c>
      <c r="C721" s="1" t="s">
        <v>3988</v>
      </c>
      <c r="D721" s="1" t="s">
        <v>746</v>
      </c>
      <c r="E721" s="1" t="s">
        <v>747</v>
      </c>
      <c r="F721" s="1" t="s">
        <v>1348</v>
      </c>
      <c r="G721" s="1" t="s">
        <v>3829</v>
      </c>
      <c r="H721">
        <v>2016</v>
      </c>
      <c r="I721">
        <v>2018</v>
      </c>
      <c r="J721">
        <f t="shared" si="22"/>
        <v>3</v>
      </c>
      <c r="K721" s="1" t="s">
        <v>3665</v>
      </c>
      <c r="L721" s="1" t="s">
        <v>666</v>
      </c>
      <c r="M721">
        <f t="shared" si="23"/>
        <v>8</v>
      </c>
      <c r="N721" t="s">
        <v>650</v>
      </c>
    </row>
    <row r="722" spans="1:14" hidden="1" x14ac:dyDescent="0.3">
      <c r="A722" s="1" t="s">
        <v>3989</v>
      </c>
      <c r="B722" s="1" t="s">
        <v>672</v>
      </c>
      <c r="C722" s="1" t="s">
        <v>3990</v>
      </c>
      <c r="D722" s="1" t="s">
        <v>746</v>
      </c>
      <c r="E722" s="1" t="s">
        <v>747</v>
      </c>
      <c r="F722" s="1" t="s">
        <v>1348</v>
      </c>
      <c r="G722" s="1" t="s">
        <v>3829</v>
      </c>
      <c r="H722">
        <v>2016</v>
      </c>
      <c r="I722">
        <v>2018</v>
      </c>
      <c r="J722">
        <f t="shared" si="22"/>
        <v>3</v>
      </c>
      <c r="K722" s="1" t="s">
        <v>3665</v>
      </c>
      <c r="L722" s="1" t="s">
        <v>666</v>
      </c>
      <c r="M722">
        <f t="shared" si="23"/>
        <v>8</v>
      </c>
      <c r="N722" t="s">
        <v>650</v>
      </c>
    </row>
    <row r="723" spans="1:14" hidden="1" x14ac:dyDescent="0.3">
      <c r="A723" s="1" t="s">
        <v>4021</v>
      </c>
      <c r="B723" s="1" t="s">
        <v>672</v>
      </c>
      <c r="C723" s="1" t="s">
        <v>4022</v>
      </c>
      <c r="D723" s="1" t="s">
        <v>746</v>
      </c>
      <c r="E723" s="1" t="s">
        <v>747</v>
      </c>
      <c r="F723" s="1" t="s">
        <v>1348</v>
      </c>
      <c r="G723" s="1" t="s">
        <v>3829</v>
      </c>
      <c r="H723">
        <v>2011</v>
      </c>
      <c r="I723">
        <v>2012</v>
      </c>
      <c r="J723">
        <f t="shared" si="22"/>
        <v>2</v>
      </c>
      <c r="K723" s="1" t="s">
        <v>3665</v>
      </c>
      <c r="L723" s="1" t="s">
        <v>666</v>
      </c>
      <c r="M723">
        <f t="shared" si="23"/>
        <v>14</v>
      </c>
      <c r="N723" t="s">
        <v>650</v>
      </c>
    </row>
    <row r="724" spans="1:14" hidden="1" x14ac:dyDescent="0.3">
      <c r="A724" s="1" t="s">
        <v>4019</v>
      </c>
      <c r="B724" s="1" t="s">
        <v>672</v>
      </c>
      <c r="C724" s="1" t="s">
        <v>4020</v>
      </c>
      <c r="D724" s="1" t="s">
        <v>746</v>
      </c>
      <c r="E724" s="1" t="s">
        <v>747</v>
      </c>
      <c r="F724" s="1" t="s">
        <v>1348</v>
      </c>
      <c r="G724" s="1" t="s">
        <v>3829</v>
      </c>
      <c r="H724">
        <v>2011</v>
      </c>
      <c r="I724">
        <v>2014</v>
      </c>
      <c r="J724">
        <f t="shared" si="22"/>
        <v>4</v>
      </c>
      <c r="K724" s="1" t="s">
        <v>3665</v>
      </c>
      <c r="L724" s="1" t="s">
        <v>666</v>
      </c>
      <c r="M724">
        <f t="shared" si="23"/>
        <v>12</v>
      </c>
      <c r="N724" t="s">
        <v>650</v>
      </c>
    </row>
    <row r="725" spans="1:14" hidden="1" x14ac:dyDescent="0.3">
      <c r="A725" s="1" t="s">
        <v>3836</v>
      </c>
      <c r="B725" s="1" t="s">
        <v>672</v>
      </c>
      <c r="C725" s="1" t="s">
        <v>3837</v>
      </c>
      <c r="D725" s="1" t="s">
        <v>746</v>
      </c>
      <c r="E725" s="1" t="s">
        <v>747</v>
      </c>
      <c r="F725" s="1" t="s">
        <v>1348</v>
      </c>
      <c r="G725" s="1" t="s">
        <v>3829</v>
      </c>
      <c r="H725">
        <v>2011</v>
      </c>
      <c r="I725">
        <v>2012</v>
      </c>
      <c r="J725">
        <f t="shared" si="22"/>
        <v>2</v>
      </c>
      <c r="K725" s="1" t="s">
        <v>3665</v>
      </c>
      <c r="L725" s="1" t="s">
        <v>666</v>
      </c>
      <c r="M725">
        <f t="shared" si="23"/>
        <v>14</v>
      </c>
      <c r="N725" t="s">
        <v>650</v>
      </c>
    </row>
    <row r="726" spans="1:14" hidden="1" x14ac:dyDescent="0.3">
      <c r="A726" s="1" t="s">
        <v>4015</v>
      </c>
      <c r="B726" s="1" t="s">
        <v>672</v>
      </c>
      <c r="C726" s="1" t="s">
        <v>4016</v>
      </c>
      <c r="D726" s="1" t="s">
        <v>746</v>
      </c>
      <c r="E726" s="1" t="s">
        <v>747</v>
      </c>
      <c r="F726" s="1" t="s">
        <v>1348</v>
      </c>
      <c r="G726" s="1" t="s">
        <v>3829</v>
      </c>
      <c r="H726">
        <v>2013</v>
      </c>
      <c r="I726">
        <v>2014</v>
      </c>
      <c r="J726">
        <f t="shared" si="22"/>
        <v>2</v>
      </c>
      <c r="K726" s="1" t="s">
        <v>3665</v>
      </c>
      <c r="L726" s="1" t="s">
        <v>666</v>
      </c>
      <c r="M726">
        <f t="shared" si="23"/>
        <v>12</v>
      </c>
      <c r="N726" t="s">
        <v>650</v>
      </c>
    </row>
    <row r="727" spans="1:14" hidden="1" x14ac:dyDescent="0.3">
      <c r="A727" s="1" t="s">
        <v>4017</v>
      </c>
      <c r="B727" s="1" t="s">
        <v>672</v>
      </c>
      <c r="C727" s="1" t="s">
        <v>4018</v>
      </c>
      <c r="D727" s="1" t="s">
        <v>746</v>
      </c>
      <c r="E727" s="1" t="s">
        <v>747</v>
      </c>
      <c r="F727" s="1" t="s">
        <v>1348</v>
      </c>
      <c r="G727" s="1" t="s">
        <v>3829</v>
      </c>
      <c r="H727">
        <v>2013</v>
      </c>
      <c r="I727">
        <v>2014</v>
      </c>
      <c r="J727">
        <f t="shared" si="22"/>
        <v>2</v>
      </c>
      <c r="K727" s="1" t="s">
        <v>3665</v>
      </c>
      <c r="L727" s="1" t="s">
        <v>666</v>
      </c>
      <c r="M727">
        <f t="shared" si="23"/>
        <v>12</v>
      </c>
      <c r="N727" t="s">
        <v>650</v>
      </c>
    </row>
    <row r="728" spans="1:14" hidden="1" x14ac:dyDescent="0.3">
      <c r="A728" s="1" t="s">
        <v>3991</v>
      </c>
      <c r="B728" s="1" t="s">
        <v>672</v>
      </c>
      <c r="C728" s="1" t="s">
        <v>3992</v>
      </c>
      <c r="D728" s="1" t="s">
        <v>746</v>
      </c>
      <c r="E728" s="1" t="s">
        <v>747</v>
      </c>
      <c r="F728" s="1" t="s">
        <v>1348</v>
      </c>
      <c r="G728" s="1" t="s">
        <v>3829</v>
      </c>
      <c r="H728">
        <v>2016</v>
      </c>
      <c r="I728">
        <v>2018</v>
      </c>
      <c r="J728">
        <f t="shared" si="22"/>
        <v>3</v>
      </c>
      <c r="K728" s="1" t="s">
        <v>3665</v>
      </c>
      <c r="L728" s="1" t="s">
        <v>666</v>
      </c>
      <c r="M728">
        <f t="shared" si="23"/>
        <v>8</v>
      </c>
      <c r="N728" t="s">
        <v>650</v>
      </c>
    </row>
    <row r="729" spans="1:14" hidden="1" x14ac:dyDescent="0.3">
      <c r="A729" s="1" t="s">
        <v>3827</v>
      </c>
      <c r="B729" s="1" t="s">
        <v>672</v>
      </c>
      <c r="C729" s="1" t="s">
        <v>3828</v>
      </c>
      <c r="D729" s="1" t="s">
        <v>746</v>
      </c>
      <c r="E729" s="1" t="s">
        <v>747</v>
      </c>
      <c r="F729" s="1" t="s">
        <v>1348</v>
      </c>
      <c r="G729" s="1" t="s">
        <v>3829</v>
      </c>
      <c r="H729">
        <v>2016</v>
      </c>
      <c r="I729">
        <v>2022</v>
      </c>
      <c r="J729">
        <f t="shared" si="22"/>
        <v>7</v>
      </c>
      <c r="K729" s="1" t="s">
        <v>3665</v>
      </c>
      <c r="L729" s="1" t="s">
        <v>666</v>
      </c>
      <c r="M729">
        <f t="shared" si="23"/>
        <v>4</v>
      </c>
      <c r="N729" t="s">
        <v>650</v>
      </c>
    </row>
    <row r="730" spans="1:14" hidden="1" x14ac:dyDescent="0.3">
      <c r="A730" s="1" t="s">
        <v>3981</v>
      </c>
      <c r="B730" s="1" t="s">
        <v>672</v>
      </c>
      <c r="C730" s="1" t="s">
        <v>3982</v>
      </c>
      <c r="D730" s="1" t="s">
        <v>746</v>
      </c>
      <c r="E730" s="1" t="s">
        <v>747</v>
      </c>
      <c r="F730" s="1" t="s">
        <v>1348</v>
      </c>
      <c r="G730" s="1" t="s">
        <v>3829</v>
      </c>
      <c r="H730">
        <v>2018</v>
      </c>
      <c r="I730">
        <v>2022</v>
      </c>
      <c r="J730">
        <f t="shared" si="22"/>
        <v>5</v>
      </c>
      <c r="K730" s="1" t="s">
        <v>3665</v>
      </c>
      <c r="L730" s="1" t="s">
        <v>666</v>
      </c>
      <c r="M730">
        <f t="shared" si="23"/>
        <v>4</v>
      </c>
      <c r="N730" t="s">
        <v>650</v>
      </c>
    </row>
    <row r="731" spans="1:14" hidden="1" x14ac:dyDescent="0.3">
      <c r="A731" s="1" t="s">
        <v>3979</v>
      </c>
      <c r="B731" s="1" t="s">
        <v>672</v>
      </c>
      <c r="C731" s="1" t="s">
        <v>3980</v>
      </c>
      <c r="D731" s="1" t="s">
        <v>746</v>
      </c>
      <c r="E731" s="1" t="s">
        <v>747</v>
      </c>
      <c r="F731" s="1" t="s">
        <v>1348</v>
      </c>
      <c r="G731" s="1" t="s">
        <v>3829</v>
      </c>
      <c r="H731">
        <v>2019</v>
      </c>
      <c r="I731">
        <v>2022</v>
      </c>
      <c r="J731">
        <f t="shared" si="22"/>
        <v>4</v>
      </c>
      <c r="K731" s="1" t="s">
        <v>3665</v>
      </c>
      <c r="L731" s="1" t="s">
        <v>666</v>
      </c>
      <c r="M731">
        <f t="shared" si="23"/>
        <v>4</v>
      </c>
      <c r="N731" t="s">
        <v>650</v>
      </c>
    </row>
    <row r="732" spans="1:14" hidden="1" x14ac:dyDescent="0.3">
      <c r="A732" s="1" t="s">
        <v>3995</v>
      </c>
      <c r="B732" s="1" t="s">
        <v>672</v>
      </c>
      <c r="C732" s="1" t="s">
        <v>3996</v>
      </c>
      <c r="D732" s="1" t="s">
        <v>746</v>
      </c>
      <c r="E732" s="1" t="s">
        <v>747</v>
      </c>
      <c r="F732" s="1" t="s">
        <v>1348</v>
      </c>
      <c r="G732" s="1" t="s">
        <v>3829</v>
      </c>
      <c r="H732">
        <v>2017</v>
      </c>
      <c r="I732">
        <v>2017</v>
      </c>
      <c r="J732">
        <f t="shared" si="22"/>
        <v>1</v>
      </c>
      <c r="K732" s="1" t="s">
        <v>3665</v>
      </c>
      <c r="L732" s="1" t="s">
        <v>666</v>
      </c>
      <c r="M732">
        <f t="shared" si="23"/>
        <v>9</v>
      </c>
      <c r="N732" t="s">
        <v>650</v>
      </c>
    </row>
    <row r="733" spans="1:14" hidden="1" x14ac:dyDescent="0.3">
      <c r="A733" s="1" t="s">
        <v>3997</v>
      </c>
      <c r="B733" s="1" t="s">
        <v>672</v>
      </c>
      <c r="C733" s="1" t="s">
        <v>3998</v>
      </c>
      <c r="D733" s="1" t="s">
        <v>746</v>
      </c>
      <c r="E733" s="1" t="s">
        <v>747</v>
      </c>
      <c r="F733" s="1" t="s">
        <v>1348</v>
      </c>
      <c r="G733" s="1" t="s">
        <v>3829</v>
      </c>
      <c r="H733">
        <v>2017</v>
      </c>
      <c r="I733">
        <v>2017</v>
      </c>
      <c r="J733">
        <f t="shared" si="22"/>
        <v>1</v>
      </c>
      <c r="K733" s="1" t="s">
        <v>3665</v>
      </c>
      <c r="L733" s="1" t="s">
        <v>666</v>
      </c>
      <c r="M733">
        <f t="shared" si="23"/>
        <v>9</v>
      </c>
      <c r="N733" t="s">
        <v>650</v>
      </c>
    </row>
    <row r="734" spans="1:14" hidden="1" x14ac:dyDescent="0.3">
      <c r="A734" s="1" t="s">
        <v>4001</v>
      </c>
      <c r="B734" s="1" t="s">
        <v>672</v>
      </c>
      <c r="C734" s="1" t="s">
        <v>4002</v>
      </c>
      <c r="D734" s="1" t="s">
        <v>746</v>
      </c>
      <c r="E734" s="1" t="s">
        <v>747</v>
      </c>
      <c r="F734" s="1" t="s">
        <v>1348</v>
      </c>
      <c r="G734" s="1" t="s">
        <v>3829</v>
      </c>
      <c r="H734">
        <v>2015</v>
      </c>
      <c r="I734">
        <v>2015</v>
      </c>
      <c r="J734">
        <f t="shared" si="22"/>
        <v>1</v>
      </c>
      <c r="K734" s="1" t="s">
        <v>3665</v>
      </c>
      <c r="L734" s="1" t="s">
        <v>666</v>
      </c>
      <c r="M734">
        <f t="shared" si="23"/>
        <v>11</v>
      </c>
      <c r="N734" t="s">
        <v>650</v>
      </c>
    </row>
    <row r="735" spans="1:14" hidden="1" x14ac:dyDescent="0.3">
      <c r="A735" s="1" t="s">
        <v>4003</v>
      </c>
      <c r="B735" s="1" t="s">
        <v>672</v>
      </c>
      <c r="C735" s="1" t="s">
        <v>4004</v>
      </c>
      <c r="D735" s="1" t="s">
        <v>746</v>
      </c>
      <c r="E735" s="1" t="s">
        <v>747</v>
      </c>
      <c r="F735" s="1" t="s">
        <v>1348</v>
      </c>
      <c r="G735" s="1" t="s">
        <v>3829</v>
      </c>
      <c r="H735">
        <v>2015</v>
      </c>
      <c r="I735">
        <v>2015</v>
      </c>
      <c r="J735">
        <f t="shared" si="22"/>
        <v>1</v>
      </c>
      <c r="K735" s="1" t="s">
        <v>3665</v>
      </c>
      <c r="L735" s="1" t="s">
        <v>666</v>
      </c>
      <c r="M735">
        <f t="shared" si="23"/>
        <v>11</v>
      </c>
      <c r="N735" t="s">
        <v>650</v>
      </c>
    </row>
    <row r="736" spans="1:14" hidden="1" x14ac:dyDescent="0.3">
      <c r="A736" s="1" t="s">
        <v>4005</v>
      </c>
      <c r="B736" s="1" t="s">
        <v>672</v>
      </c>
      <c r="C736" s="1" t="s">
        <v>4006</v>
      </c>
      <c r="D736" s="1" t="s">
        <v>746</v>
      </c>
      <c r="E736" s="1" t="s">
        <v>747</v>
      </c>
      <c r="F736" s="1" t="s">
        <v>1348</v>
      </c>
      <c r="G736" s="1" t="s">
        <v>3829</v>
      </c>
      <c r="H736">
        <v>2015</v>
      </c>
      <c r="I736">
        <v>2015</v>
      </c>
      <c r="J736">
        <f t="shared" si="22"/>
        <v>1</v>
      </c>
      <c r="K736" s="1" t="s">
        <v>3665</v>
      </c>
      <c r="L736" s="1" t="s">
        <v>666</v>
      </c>
      <c r="M736">
        <f t="shared" si="23"/>
        <v>11</v>
      </c>
      <c r="N736" t="s">
        <v>650</v>
      </c>
    </row>
    <row r="737" spans="1:14" hidden="1" x14ac:dyDescent="0.3">
      <c r="A737" s="1" t="s">
        <v>4007</v>
      </c>
      <c r="B737" s="1" t="s">
        <v>672</v>
      </c>
      <c r="C737" s="1" t="s">
        <v>4008</v>
      </c>
      <c r="D737" s="1" t="s">
        <v>746</v>
      </c>
      <c r="E737" s="1" t="s">
        <v>747</v>
      </c>
      <c r="F737" s="1" t="s">
        <v>1348</v>
      </c>
      <c r="G737" s="1" t="s">
        <v>3829</v>
      </c>
      <c r="H737">
        <v>2015</v>
      </c>
      <c r="I737">
        <v>2015</v>
      </c>
      <c r="J737">
        <f t="shared" si="22"/>
        <v>1</v>
      </c>
      <c r="K737" s="1" t="s">
        <v>3665</v>
      </c>
      <c r="L737" s="1" t="s">
        <v>666</v>
      </c>
      <c r="M737">
        <f t="shared" si="23"/>
        <v>11</v>
      </c>
      <c r="N737" t="s">
        <v>650</v>
      </c>
    </row>
    <row r="738" spans="1:14" hidden="1" x14ac:dyDescent="0.3">
      <c r="A738" s="1" t="s">
        <v>3985</v>
      </c>
      <c r="B738" s="1" t="s">
        <v>672</v>
      </c>
      <c r="C738" s="1" t="s">
        <v>3986</v>
      </c>
      <c r="D738" s="1" t="s">
        <v>746</v>
      </c>
      <c r="E738" s="1" t="s">
        <v>747</v>
      </c>
      <c r="F738" s="1" t="s">
        <v>1348</v>
      </c>
      <c r="G738" s="1" t="s">
        <v>3829</v>
      </c>
      <c r="H738">
        <v>2016</v>
      </c>
      <c r="I738">
        <v>2019</v>
      </c>
      <c r="J738">
        <f t="shared" si="22"/>
        <v>4</v>
      </c>
      <c r="K738" s="1" t="s">
        <v>3665</v>
      </c>
      <c r="L738" s="1" t="s">
        <v>666</v>
      </c>
      <c r="M738">
        <f t="shared" si="23"/>
        <v>7</v>
      </c>
      <c r="N738" t="s">
        <v>650</v>
      </c>
    </row>
    <row r="739" spans="1:14" hidden="1" x14ac:dyDescent="0.3">
      <c r="A739" s="1" t="s">
        <v>3999</v>
      </c>
      <c r="B739" s="1" t="s">
        <v>672</v>
      </c>
      <c r="C739" s="1" t="s">
        <v>4000</v>
      </c>
      <c r="D739" s="1" t="s">
        <v>746</v>
      </c>
      <c r="E739" s="1" t="s">
        <v>747</v>
      </c>
      <c r="F739" s="1" t="s">
        <v>1348</v>
      </c>
      <c r="G739" s="1" t="s">
        <v>3829</v>
      </c>
      <c r="H739">
        <v>2016</v>
      </c>
      <c r="I739">
        <v>2017</v>
      </c>
      <c r="J739">
        <f t="shared" si="22"/>
        <v>2</v>
      </c>
      <c r="K739" s="1" t="s">
        <v>3665</v>
      </c>
      <c r="L739" s="1" t="s">
        <v>666</v>
      </c>
      <c r="M739">
        <f t="shared" si="23"/>
        <v>9</v>
      </c>
      <c r="N739" t="s">
        <v>650</v>
      </c>
    </row>
    <row r="740" spans="1:14" hidden="1" x14ac:dyDescent="0.3">
      <c r="A740" s="1" t="s">
        <v>3983</v>
      </c>
      <c r="B740" s="1" t="s">
        <v>672</v>
      </c>
      <c r="C740" s="1" t="s">
        <v>3984</v>
      </c>
      <c r="D740" s="1" t="s">
        <v>746</v>
      </c>
      <c r="E740" s="1" t="s">
        <v>747</v>
      </c>
      <c r="F740" s="1" t="s">
        <v>1348</v>
      </c>
      <c r="G740" s="1" t="s">
        <v>3829</v>
      </c>
      <c r="H740">
        <v>2018</v>
      </c>
      <c r="I740">
        <v>2020</v>
      </c>
      <c r="J740">
        <f t="shared" si="22"/>
        <v>3</v>
      </c>
      <c r="K740" s="1" t="s">
        <v>3665</v>
      </c>
      <c r="L740" s="1" t="s">
        <v>666</v>
      </c>
      <c r="M740">
        <f t="shared" si="23"/>
        <v>6</v>
      </c>
      <c r="N740" t="s">
        <v>650</v>
      </c>
    </row>
    <row r="741" spans="1:14" hidden="1" x14ac:dyDescent="0.3">
      <c r="A741" s="1" t="s">
        <v>3830</v>
      </c>
      <c r="B741" s="1" t="s">
        <v>672</v>
      </c>
      <c r="C741" s="1" t="s">
        <v>3831</v>
      </c>
      <c r="D741" s="1" t="s">
        <v>746</v>
      </c>
      <c r="E741" s="1" t="s">
        <v>747</v>
      </c>
      <c r="F741" s="1" t="s">
        <v>1348</v>
      </c>
      <c r="G741" s="1" t="s">
        <v>3829</v>
      </c>
      <c r="H741">
        <v>2015</v>
      </c>
      <c r="I741">
        <v>2015</v>
      </c>
      <c r="J741">
        <f t="shared" si="22"/>
        <v>1</v>
      </c>
      <c r="K741" s="1" t="s">
        <v>3665</v>
      </c>
      <c r="L741" s="1" t="s">
        <v>666</v>
      </c>
      <c r="M741">
        <f t="shared" si="23"/>
        <v>11</v>
      </c>
      <c r="N741" t="s">
        <v>650</v>
      </c>
    </row>
    <row r="742" spans="1:14" hidden="1" x14ac:dyDescent="0.3">
      <c r="A742" s="1" t="s">
        <v>4009</v>
      </c>
      <c r="B742" s="1" t="s">
        <v>672</v>
      </c>
      <c r="C742" s="1" t="s">
        <v>4010</v>
      </c>
      <c r="D742" s="1" t="s">
        <v>746</v>
      </c>
      <c r="E742" s="1" t="s">
        <v>747</v>
      </c>
      <c r="F742" s="1" t="s">
        <v>1348</v>
      </c>
      <c r="G742" s="1" t="s">
        <v>3829</v>
      </c>
      <c r="H742">
        <v>2015</v>
      </c>
      <c r="I742">
        <v>2015</v>
      </c>
      <c r="J742">
        <f t="shared" si="22"/>
        <v>1</v>
      </c>
      <c r="K742" s="1" t="s">
        <v>3665</v>
      </c>
      <c r="L742" s="1" t="s">
        <v>666</v>
      </c>
      <c r="M742">
        <f t="shared" si="23"/>
        <v>11</v>
      </c>
      <c r="N742" t="s">
        <v>650</v>
      </c>
    </row>
    <row r="743" spans="1:14" x14ac:dyDescent="0.3">
      <c r="A743" s="1" t="s">
        <v>7327</v>
      </c>
      <c r="B743" s="1" t="s">
        <v>4561</v>
      </c>
      <c r="C743" s="1" t="s">
        <v>7328</v>
      </c>
      <c r="D743" s="1" t="s">
        <v>1395</v>
      </c>
      <c r="E743" s="1" t="s">
        <v>6076</v>
      </c>
      <c r="F743" s="1" t="s">
        <v>6076</v>
      </c>
      <c r="G743" s="1" t="s">
        <v>7326</v>
      </c>
      <c r="H743">
        <v>2005</v>
      </c>
      <c r="I743">
        <v>2007</v>
      </c>
      <c r="J743">
        <f t="shared" si="22"/>
        <v>3</v>
      </c>
      <c r="K743" s="1" t="s">
        <v>6076</v>
      </c>
      <c r="L743" s="1" t="s">
        <v>6076</v>
      </c>
      <c r="M743">
        <f t="shared" si="23"/>
        <v>19</v>
      </c>
      <c r="N743" t="s">
        <v>640</v>
      </c>
    </row>
    <row r="744" spans="1:14" x14ac:dyDescent="0.3">
      <c r="A744" s="1" t="s">
        <v>7324</v>
      </c>
      <c r="B744" s="1" t="s">
        <v>4561</v>
      </c>
      <c r="C744" s="1" t="s">
        <v>7325</v>
      </c>
      <c r="D744" s="1" t="s">
        <v>1395</v>
      </c>
      <c r="E744" s="1" t="s">
        <v>6076</v>
      </c>
      <c r="F744" s="1" t="s">
        <v>6076</v>
      </c>
      <c r="G744" s="1" t="s">
        <v>7326</v>
      </c>
      <c r="H744">
        <v>2003</v>
      </c>
      <c r="I744">
        <v>2008</v>
      </c>
      <c r="J744">
        <f t="shared" si="22"/>
        <v>6</v>
      </c>
      <c r="K744" s="1" t="s">
        <v>6076</v>
      </c>
      <c r="L744" s="1" t="s">
        <v>6076</v>
      </c>
      <c r="M744">
        <f t="shared" si="23"/>
        <v>18</v>
      </c>
      <c r="N744" t="s">
        <v>640</v>
      </c>
    </row>
    <row r="745" spans="1:14" x14ac:dyDescent="0.3">
      <c r="A745" s="1" t="s">
        <v>373</v>
      </c>
      <c r="B745" s="1" t="s">
        <v>5940</v>
      </c>
      <c r="C745" s="1" t="s">
        <v>374</v>
      </c>
      <c r="D745" s="1" t="s">
        <v>1395</v>
      </c>
      <c r="E745" s="1" t="s">
        <v>6076</v>
      </c>
      <c r="F745" s="1" t="s">
        <v>6076</v>
      </c>
      <c r="G745" s="1" t="s">
        <v>7329</v>
      </c>
      <c r="H745">
        <v>2001</v>
      </c>
      <c r="I745">
        <v>2005</v>
      </c>
      <c r="J745">
        <f t="shared" si="22"/>
        <v>5</v>
      </c>
      <c r="K745" s="1" t="s">
        <v>6076</v>
      </c>
      <c r="L745" s="1" t="s">
        <v>6076</v>
      </c>
      <c r="M745">
        <f t="shared" si="23"/>
        <v>21</v>
      </c>
    </row>
    <row r="746" spans="1:14" x14ac:dyDescent="0.3">
      <c r="A746" s="1" t="s">
        <v>7335</v>
      </c>
      <c r="B746" s="1" t="s">
        <v>2154</v>
      </c>
      <c r="C746" s="1" t="s">
        <v>7336</v>
      </c>
      <c r="D746" s="1" t="s">
        <v>738</v>
      </c>
      <c r="E746" s="1" t="s">
        <v>6076</v>
      </c>
      <c r="F746" s="1" t="s">
        <v>6076</v>
      </c>
      <c r="G746" s="1" t="s">
        <v>7332</v>
      </c>
      <c r="H746">
        <v>1993</v>
      </c>
      <c r="I746">
        <v>1994</v>
      </c>
      <c r="J746">
        <f t="shared" si="22"/>
        <v>2</v>
      </c>
      <c r="K746" s="1" t="s">
        <v>6076</v>
      </c>
      <c r="L746" s="1" t="s">
        <v>6076</v>
      </c>
      <c r="M746">
        <f t="shared" si="23"/>
        <v>32</v>
      </c>
      <c r="N746" t="s">
        <v>640</v>
      </c>
    </row>
    <row r="747" spans="1:14" x14ac:dyDescent="0.3">
      <c r="A747" s="1" t="s">
        <v>7333</v>
      </c>
      <c r="B747" s="1" t="s">
        <v>2154</v>
      </c>
      <c r="C747" s="1" t="s">
        <v>7334</v>
      </c>
      <c r="D747" s="1" t="s">
        <v>738</v>
      </c>
      <c r="E747" s="1" t="s">
        <v>6076</v>
      </c>
      <c r="F747" s="1" t="s">
        <v>6076</v>
      </c>
      <c r="G747" s="1" t="s">
        <v>7332</v>
      </c>
      <c r="H747">
        <v>1993</v>
      </c>
      <c r="I747">
        <v>1995</v>
      </c>
      <c r="J747">
        <f t="shared" si="22"/>
        <v>3</v>
      </c>
      <c r="K747" s="1" t="s">
        <v>6076</v>
      </c>
      <c r="L747" s="1" t="s">
        <v>6076</v>
      </c>
      <c r="M747">
        <f t="shared" si="23"/>
        <v>31</v>
      </c>
      <c r="N747" t="s">
        <v>640</v>
      </c>
    </row>
    <row r="748" spans="1:14" x14ac:dyDescent="0.3">
      <c r="A748" s="1" t="s">
        <v>7330</v>
      </c>
      <c r="B748" s="1" t="s">
        <v>2154</v>
      </c>
      <c r="C748" s="1" t="s">
        <v>7331</v>
      </c>
      <c r="D748" s="1" t="s">
        <v>738</v>
      </c>
      <c r="E748" s="1" t="s">
        <v>6076</v>
      </c>
      <c r="F748" s="1" t="s">
        <v>6076</v>
      </c>
      <c r="G748" s="1" t="s">
        <v>7332</v>
      </c>
      <c r="H748">
        <v>2014</v>
      </c>
      <c r="I748">
        <v>2014</v>
      </c>
      <c r="J748">
        <f t="shared" si="22"/>
        <v>1</v>
      </c>
      <c r="K748" s="1" t="s">
        <v>6076</v>
      </c>
      <c r="L748" s="1" t="s">
        <v>6076</v>
      </c>
      <c r="M748">
        <f t="shared" si="23"/>
        <v>12</v>
      </c>
      <c r="N748" t="s">
        <v>650</v>
      </c>
    </row>
    <row r="749" spans="1:14" hidden="1" x14ac:dyDescent="0.3">
      <c r="A749" s="1" t="s">
        <v>5026</v>
      </c>
      <c r="B749" s="1" t="s">
        <v>810</v>
      </c>
      <c r="C749" s="1" t="s">
        <v>5027</v>
      </c>
      <c r="D749" s="1" t="s">
        <v>1242</v>
      </c>
      <c r="E749" s="1" t="s">
        <v>4250</v>
      </c>
      <c r="F749" s="1" t="s">
        <v>4251</v>
      </c>
      <c r="G749" s="1" t="s">
        <v>4906</v>
      </c>
      <c r="H749">
        <v>2011</v>
      </c>
      <c r="I749">
        <v>2013</v>
      </c>
      <c r="J749">
        <f t="shared" si="22"/>
        <v>3</v>
      </c>
      <c r="K749" s="1" t="s">
        <v>4668</v>
      </c>
      <c r="L749" s="1" t="s">
        <v>3793</v>
      </c>
      <c r="M749">
        <f t="shared" si="23"/>
        <v>13</v>
      </c>
      <c r="N749" t="s">
        <v>650</v>
      </c>
    </row>
    <row r="750" spans="1:14" hidden="1" x14ac:dyDescent="0.3">
      <c r="A750" s="1" t="s">
        <v>4907</v>
      </c>
      <c r="B750" s="1" t="s">
        <v>810</v>
      </c>
      <c r="C750" s="1" t="s">
        <v>4908</v>
      </c>
      <c r="D750" s="1" t="s">
        <v>1242</v>
      </c>
      <c r="E750" s="1" t="s">
        <v>4250</v>
      </c>
      <c r="F750" s="1" t="s">
        <v>4251</v>
      </c>
      <c r="G750" s="1" t="s">
        <v>4906</v>
      </c>
      <c r="H750">
        <v>2011</v>
      </c>
      <c r="I750">
        <v>2018</v>
      </c>
      <c r="J750">
        <f t="shared" si="22"/>
        <v>8</v>
      </c>
      <c r="K750" s="1" t="s">
        <v>4668</v>
      </c>
      <c r="L750" s="1" t="s">
        <v>3793</v>
      </c>
      <c r="M750">
        <f t="shared" si="23"/>
        <v>8</v>
      </c>
      <c r="N750" t="s">
        <v>650</v>
      </c>
    </row>
    <row r="751" spans="1:14" hidden="1" x14ac:dyDescent="0.3">
      <c r="A751" t="s">
        <v>12698</v>
      </c>
      <c r="B751" t="s">
        <v>810</v>
      </c>
      <c r="C751" t="s">
        <v>12699</v>
      </c>
      <c r="E751" s="1" t="e">
        <v>#N/A</v>
      </c>
      <c r="F751" s="1" t="e">
        <v>#N/A</v>
      </c>
      <c r="G751" s="1" t="s">
        <v>4906</v>
      </c>
      <c r="H751">
        <v>2022</v>
      </c>
      <c r="I751">
        <v>2026</v>
      </c>
      <c r="J751">
        <f t="shared" si="22"/>
        <v>5</v>
      </c>
      <c r="K751" s="1" t="s">
        <v>4668</v>
      </c>
      <c r="L751" s="1" t="s">
        <v>3793</v>
      </c>
      <c r="M751">
        <f t="shared" si="23"/>
        <v>0</v>
      </c>
    </row>
    <row r="752" spans="1:14" hidden="1" x14ac:dyDescent="0.3">
      <c r="A752" s="1" t="s">
        <v>5004</v>
      </c>
      <c r="B752" s="1" t="s">
        <v>810</v>
      </c>
      <c r="C752" s="1" t="s">
        <v>5005</v>
      </c>
      <c r="D752" s="1" t="s">
        <v>1242</v>
      </c>
      <c r="E752" s="1" t="s">
        <v>4250</v>
      </c>
      <c r="F752" s="1" t="s">
        <v>4251</v>
      </c>
      <c r="G752" s="1" t="s">
        <v>4906</v>
      </c>
      <c r="H752">
        <v>2019</v>
      </c>
      <c r="I752">
        <v>2022</v>
      </c>
      <c r="J752">
        <f t="shared" si="22"/>
        <v>4</v>
      </c>
      <c r="K752" s="1" t="s">
        <v>4668</v>
      </c>
      <c r="L752" s="1" t="s">
        <v>3793</v>
      </c>
      <c r="M752">
        <f t="shared" si="23"/>
        <v>4</v>
      </c>
      <c r="N752" t="s">
        <v>650</v>
      </c>
    </row>
    <row r="753" spans="1:14" hidden="1" x14ac:dyDescent="0.3">
      <c r="A753" s="1" t="s">
        <v>5024</v>
      </c>
      <c r="B753" s="1" t="s">
        <v>810</v>
      </c>
      <c r="C753" s="1" t="s">
        <v>5025</v>
      </c>
      <c r="D753" s="1" t="s">
        <v>1242</v>
      </c>
      <c r="E753" s="1" t="s">
        <v>4250</v>
      </c>
      <c r="F753" s="1" t="s">
        <v>4251</v>
      </c>
      <c r="G753" s="1" t="s">
        <v>4906</v>
      </c>
      <c r="H753">
        <v>2012</v>
      </c>
      <c r="I753">
        <v>2014</v>
      </c>
      <c r="J753">
        <f t="shared" si="22"/>
        <v>3</v>
      </c>
      <c r="K753" s="1" t="s">
        <v>4668</v>
      </c>
      <c r="L753" s="1" t="s">
        <v>3793</v>
      </c>
      <c r="M753">
        <f t="shared" si="23"/>
        <v>12</v>
      </c>
      <c r="N753" t="s">
        <v>650</v>
      </c>
    </row>
    <row r="754" spans="1:14" hidden="1" x14ac:dyDescent="0.3">
      <c r="A754" s="1" t="s">
        <v>5010</v>
      </c>
      <c r="B754" s="1" t="s">
        <v>810</v>
      </c>
      <c r="C754" s="1" t="s">
        <v>5011</v>
      </c>
      <c r="D754" s="1" t="s">
        <v>1242</v>
      </c>
      <c r="E754" s="1" t="s">
        <v>4250</v>
      </c>
      <c r="F754" s="1" t="s">
        <v>4251</v>
      </c>
      <c r="G754" s="1" t="s">
        <v>4906</v>
      </c>
      <c r="H754">
        <v>2012</v>
      </c>
      <c r="I754">
        <v>2022</v>
      </c>
      <c r="J754">
        <f t="shared" si="22"/>
        <v>11</v>
      </c>
      <c r="K754" s="1" t="s">
        <v>4668</v>
      </c>
      <c r="L754" s="1" t="s">
        <v>3793</v>
      </c>
      <c r="M754">
        <f t="shared" si="23"/>
        <v>4</v>
      </c>
      <c r="N754" t="s">
        <v>650</v>
      </c>
    </row>
    <row r="755" spans="1:14" hidden="1" x14ac:dyDescent="0.3">
      <c r="A755" s="1" t="s">
        <v>5006</v>
      </c>
      <c r="B755" s="1" t="s">
        <v>810</v>
      </c>
      <c r="C755" s="1" t="s">
        <v>5007</v>
      </c>
      <c r="D755" s="1" t="s">
        <v>1242</v>
      </c>
      <c r="E755" s="1" t="s">
        <v>4250</v>
      </c>
      <c r="F755" s="1" t="s">
        <v>4251</v>
      </c>
      <c r="G755" s="1" t="s">
        <v>4906</v>
      </c>
      <c r="H755">
        <v>2018</v>
      </c>
      <c r="I755">
        <v>2022</v>
      </c>
      <c r="J755">
        <f t="shared" si="22"/>
        <v>5</v>
      </c>
      <c r="K755" s="1" t="s">
        <v>4668</v>
      </c>
      <c r="L755" s="1" t="s">
        <v>3793</v>
      </c>
      <c r="M755">
        <f t="shared" si="23"/>
        <v>4</v>
      </c>
      <c r="N755" t="s">
        <v>650</v>
      </c>
    </row>
    <row r="756" spans="1:14" hidden="1" x14ac:dyDescent="0.3">
      <c r="A756" s="1" t="s">
        <v>5014</v>
      </c>
      <c r="B756" s="1" t="s">
        <v>810</v>
      </c>
      <c r="C756" s="1" t="s">
        <v>5015</v>
      </c>
      <c r="D756" s="1" t="s">
        <v>1242</v>
      </c>
      <c r="E756" s="1" t="s">
        <v>4250</v>
      </c>
      <c r="F756" s="1" t="s">
        <v>4251</v>
      </c>
      <c r="G756" s="1" t="s">
        <v>4906</v>
      </c>
      <c r="H756">
        <v>2017</v>
      </c>
      <c r="I756">
        <v>2018</v>
      </c>
      <c r="J756">
        <f t="shared" si="22"/>
        <v>2</v>
      </c>
      <c r="K756" s="1" t="s">
        <v>4668</v>
      </c>
      <c r="L756" s="1" t="s">
        <v>3793</v>
      </c>
      <c r="M756">
        <f t="shared" si="23"/>
        <v>8</v>
      </c>
      <c r="N756" t="s">
        <v>650</v>
      </c>
    </row>
    <row r="757" spans="1:14" hidden="1" x14ac:dyDescent="0.3">
      <c r="A757" s="1" t="s">
        <v>5020</v>
      </c>
      <c r="B757" s="1" t="s">
        <v>810</v>
      </c>
      <c r="C757" s="1" t="s">
        <v>5021</v>
      </c>
      <c r="D757" s="1" t="s">
        <v>1242</v>
      </c>
      <c r="E757" s="1" t="s">
        <v>4250</v>
      </c>
      <c r="F757" s="1" t="s">
        <v>4251</v>
      </c>
      <c r="G757" s="1" t="s">
        <v>4906</v>
      </c>
      <c r="H757">
        <v>2016</v>
      </c>
      <c r="I757">
        <v>2016</v>
      </c>
      <c r="J757">
        <f t="shared" si="22"/>
        <v>1</v>
      </c>
      <c r="K757" s="1" t="s">
        <v>4668</v>
      </c>
      <c r="L757" s="1" t="s">
        <v>3793</v>
      </c>
      <c r="M757">
        <f t="shared" si="23"/>
        <v>10</v>
      </c>
      <c r="N757" t="s">
        <v>650</v>
      </c>
    </row>
    <row r="758" spans="1:14" hidden="1" x14ac:dyDescent="0.3">
      <c r="A758" s="1" t="s">
        <v>5012</v>
      </c>
      <c r="B758" s="1" t="s">
        <v>810</v>
      </c>
      <c r="C758" s="1" t="s">
        <v>5013</v>
      </c>
      <c r="D758" s="1" t="s">
        <v>1242</v>
      </c>
      <c r="E758" s="1" t="s">
        <v>4250</v>
      </c>
      <c r="F758" s="1" t="s">
        <v>4251</v>
      </c>
      <c r="G758" s="1" t="s">
        <v>4906</v>
      </c>
      <c r="H758">
        <v>2011</v>
      </c>
      <c r="I758">
        <v>2022</v>
      </c>
      <c r="J758">
        <f t="shared" si="22"/>
        <v>12</v>
      </c>
      <c r="K758" s="1" t="s">
        <v>4668</v>
      </c>
      <c r="L758" s="1" t="s">
        <v>3793</v>
      </c>
      <c r="M758">
        <f t="shared" si="23"/>
        <v>4</v>
      </c>
      <c r="N758" t="s">
        <v>650</v>
      </c>
    </row>
    <row r="759" spans="1:14" hidden="1" x14ac:dyDescent="0.3">
      <c r="A759" s="1" t="s">
        <v>4909</v>
      </c>
      <c r="B759" s="1" t="s">
        <v>810</v>
      </c>
      <c r="C759" s="1" t="s">
        <v>4910</v>
      </c>
      <c r="D759" s="1" t="s">
        <v>1242</v>
      </c>
      <c r="E759" s="1" t="s">
        <v>4250</v>
      </c>
      <c r="F759" s="1" t="s">
        <v>4251</v>
      </c>
      <c r="G759" s="1" t="s">
        <v>4906</v>
      </c>
      <c r="H759">
        <v>2011</v>
      </c>
      <c r="I759">
        <v>2014</v>
      </c>
      <c r="J759">
        <f t="shared" si="22"/>
        <v>4</v>
      </c>
      <c r="K759" s="1" t="s">
        <v>4668</v>
      </c>
      <c r="L759" s="1" t="s">
        <v>3793</v>
      </c>
      <c r="M759">
        <f t="shared" si="23"/>
        <v>12</v>
      </c>
      <c r="N759" t="s">
        <v>650</v>
      </c>
    </row>
    <row r="760" spans="1:14" hidden="1" x14ac:dyDescent="0.3">
      <c r="A760" s="1" t="s">
        <v>5008</v>
      </c>
      <c r="B760" s="1" t="s">
        <v>810</v>
      </c>
      <c r="C760" s="1" t="s">
        <v>5009</v>
      </c>
      <c r="D760" s="1" t="s">
        <v>1242</v>
      </c>
      <c r="E760" s="1" t="s">
        <v>4250</v>
      </c>
      <c r="F760" s="1" t="s">
        <v>4251</v>
      </c>
      <c r="G760" s="1" t="s">
        <v>4906</v>
      </c>
      <c r="H760">
        <v>2018</v>
      </c>
      <c r="I760">
        <v>2022</v>
      </c>
      <c r="J760">
        <f t="shared" si="22"/>
        <v>5</v>
      </c>
      <c r="K760" s="1" t="s">
        <v>4668</v>
      </c>
      <c r="L760" s="1" t="s">
        <v>3793</v>
      </c>
      <c r="M760">
        <f t="shared" si="23"/>
        <v>4</v>
      </c>
      <c r="N760" t="s">
        <v>650</v>
      </c>
    </row>
    <row r="761" spans="1:14" hidden="1" x14ac:dyDescent="0.3">
      <c r="A761" s="1" t="s">
        <v>4904</v>
      </c>
      <c r="B761" s="1" t="s">
        <v>810</v>
      </c>
      <c r="C761" s="1" t="s">
        <v>4905</v>
      </c>
      <c r="D761" s="1" t="s">
        <v>1242</v>
      </c>
      <c r="E761" s="1" t="s">
        <v>4250</v>
      </c>
      <c r="F761" s="1" t="s">
        <v>4251</v>
      </c>
      <c r="G761" s="1" t="s">
        <v>4906</v>
      </c>
      <c r="H761">
        <v>2011</v>
      </c>
      <c r="I761">
        <v>2022</v>
      </c>
      <c r="J761">
        <f t="shared" si="22"/>
        <v>12</v>
      </c>
      <c r="K761" s="1" t="s">
        <v>4668</v>
      </c>
      <c r="L761" s="1" t="s">
        <v>3793</v>
      </c>
      <c r="M761">
        <f t="shared" si="23"/>
        <v>4</v>
      </c>
      <c r="N761" t="s">
        <v>650</v>
      </c>
    </row>
    <row r="762" spans="1:14" hidden="1" x14ac:dyDescent="0.3">
      <c r="A762" s="1" t="s">
        <v>5022</v>
      </c>
      <c r="B762" s="1" t="s">
        <v>810</v>
      </c>
      <c r="C762" s="1" t="s">
        <v>5023</v>
      </c>
      <c r="D762" s="1" t="s">
        <v>1242</v>
      </c>
      <c r="E762" s="1" t="s">
        <v>4250</v>
      </c>
      <c r="F762" s="1" t="s">
        <v>4251</v>
      </c>
      <c r="G762" s="1" t="s">
        <v>4906</v>
      </c>
      <c r="H762">
        <v>2015</v>
      </c>
      <c r="I762">
        <v>2016</v>
      </c>
      <c r="J762">
        <f t="shared" si="22"/>
        <v>2</v>
      </c>
      <c r="K762" s="1" t="s">
        <v>4668</v>
      </c>
      <c r="L762" s="1" t="s">
        <v>3793</v>
      </c>
      <c r="M762">
        <f t="shared" si="23"/>
        <v>10</v>
      </c>
      <c r="N762" t="s">
        <v>650</v>
      </c>
    </row>
    <row r="763" spans="1:14" hidden="1" x14ac:dyDescent="0.3">
      <c r="A763" s="1" t="s">
        <v>5018</v>
      </c>
      <c r="B763" s="1" t="s">
        <v>810</v>
      </c>
      <c r="C763" s="1" t="s">
        <v>5019</v>
      </c>
      <c r="D763" s="1" t="s">
        <v>1242</v>
      </c>
      <c r="E763" s="1" t="s">
        <v>4250</v>
      </c>
      <c r="F763" s="1" t="s">
        <v>4251</v>
      </c>
      <c r="G763" s="1" t="s">
        <v>4906</v>
      </c>
      <c r="H763">
        <v>2011</v>
      </c>
      <c r="I763">
        <v>2017</v>
      </c>
      <c r="J763">
        <f t="shared" si="22"/>
        <v>7</v>
      </c>
      <c r="K763" s="1" t="s">
        <v>4668</v>
      </c>
      <c r="L763" s="1" t="s">
        <v>3793</v>
      </c>
      <c r="M763">
        <f t="shared" si="23"/>
        <v>9</v>
      </c>
      <c r="N763" t="s">
        <v>650</v>
      </c>
    </row>
    <row r="764" spans="1:14" hidden="1" x14ac:dyDescent="0.3">
      <c r="A764" s="1" t="s">
        <v>5016</v>
      </c>
      <c r="B764" s="1" t="s">
        <v>810</v>
      </c>
      <c r="C764" s="1" t="s">
        <v>5017</v>
      </c>
      <c r="D764" s="1" t="s">
        <v>1242</v>
      </c>
      <c r="E764" s="1" t="s">
        <v>4250</v>
      </c>
      <c r="F764" s="1" t="s">
        <v>4251</v>
      </c>
      <c r="G764" s="1" t="s">
        <v>4906</v>
      </c>
      <c r="H764">
        <v>2013</v>
      </c>
      <c r="I764">
        <v>2018</v>
      </c>
      <c r="J764">
        <f t="shared" si="22"/>
        <v>6</v>
      </c>
      <c r="K764" s="1" t="s">
        <v>4668</v>
      </c>
      <c r="L764" s="1" t="s">
        <v>3793</v>
      </c>
      <c r="M764">
        <f t="shared" si="23"/>
        <v>8</v>
      </c>
      <c r="N764" t="s">
        <v>650</v>
      </c>
    </row>
    <row r="765" spans="1:14" x14ac:dyDescent="0.3">
      <c r="A765" s="1" t="s">
        <v>6073</v>
      </c>
      <c r="B765" s="1" t="s">
        <v>810</v>
      </c>
      <c r="C765" s="1" t="s">
        <v>6074</v>
      </c>
      <c r="D765" s="1" t="s">
        <v>738</v>
      </c>
      <c r="E765" s="1" t="s">
        <v>6076</v>
      </c>
      <c r="F765" s="1" t="s">
        <v>6076</v>
      </c>
      <c r="G765" s="1" t="s">
        <v>6075</v>
      </c>
      <c r="H765">
        <v>1990</v>
      </c>
      <c r="I765">
        <v>1992</v>
      </c>
      <c r="J765">
        <f t="shared" si="22"/>
        <v>3</v>
      </c>
      <c r="K765" s="1" t="s">
        <v>6076</v>
      </c>
      <c r="L765" s="1" t="s">
        <v>6076</v>
      </c>
      <c r="M765">
        <f t="shared" si="23"/>
        <v>34</v>
      </c>
      <c r="N765" t="s">
        <v>640</v>
      </c>
    </row>
    <row r="766" spans="1:14" x14ac:dyDescent="0.3">
      <c r="A766" s="1" t="s">
        <v>7337</v>
      </c>
      <c r="B766" s="1" t="s">
        <v>810</v>
      </c>
      <c r="C766" s="1" t="s">
        <v>7338</v>
      </c>
      <c r="D766" s="1" t="s">
        <v>738</v>
      </c>
      <c r="E766" s="1" t="s">
        <v>6076</v>
      </c>
      <c r="F766" s="1" t="s">
        <v>6076</v>
      </c>
      <c r="G766" s="1" t="s">
        <v>6075</v>
      </c>
      <c r="H766">
        <v>1990</v>
      </c>
      <c r="I766">
        <v>1992</v>
      </c>
      <c r="J766">
        <f t="shared" si="22"/>
        <v>3</v>
      </c>
      <c r="K766" s="1" t="s">
        <v>6076</v>
      </c>
      <c r="L766" s="1" t="s">
        <v>6076</v>
      </c>
      <c r="M766">
        <f t="shared" si="23"/>
        <v>34</v>
      </c>
      <c r="N766" t="s">
        <v>640</v>
      </c>
    </row>
    <row r="767" spans="1:14" hidden="1" x14ac:dyDescent="0.3">
      <c r="A767" s="1" t="s">
        <v>801</v>
      </c>
      <c r="B767" s="1" t="s">
        <v>802</v>
      </c>
      <c r="C767" s="1" t="s">
        <v>803</v>
      </c>
      <c r="D767" s="1" t="s">
        <v>746</v>
      </c>
      <c r="E767" s="1" t="s">
        <v>747</v>
      </c>
      <c r="F767" s="1" t="s">
        <v>748</v>
      </c>
      <c r="G767" s="1" t="s">
        <v>804</v>
      </c>
      <c r="H767">
        <v>2018</v>
      </c>
      <c r="I767">
        <v>2022</v>
      </c>
      <c r="J767">
        <f t="shared" si="22"/>
        <v>5</v>
      </c>
      <c r="K767" s="1" t="s">
        <v>741</v>
      </c>
      <c r="L767" s="1" t="s">
        <v>798</v>
      </c>
      <c r="M767">
        <f t="shared" si="23"/>
        <v>4</v>
      </c>
      <c r="N767" t="s">
        <v>650</v>
      </c>
    </row>
    <row r="768" spans="1:14" hidden="1" x14ac:dyDescent="0.3">
      <c r="A768" s="1" t="s">
        <v>807</v>
      </c>
      <c r="B768" s="1" t="s">
        <v>802</v>
      </c>
      <c r="C768" s="1" t="s">
        <v>808</v>
      </c>
      <c r="D768" s="1" t="s">
        <v>746</v>
      </c>
      <c r="E768" s="1" t="s">
        <v>747</v>
      </c>
      <c r="F768" s="1" t="s">
        <v>748</v>
      </c>
      <c r="G768" s="1" t="s">
        <v>804</v>
      </c>
      <c r="H768">
        <v>2018</v>
      </c>
      <c r="I768">
        <v>2018</v>
      </c>
      <c r="J768">
        <f t="shared" si="22"/>
        <v>1</v>
      </c>
      <c r="K768" s="1" t="s">
        <v>741</v>
      </c>
      <c r="L768" s="1" t="s">
        <v>798</v>
      </c>
      <c r="M768">
        <f t="shared" si="23"/>
        <v>8</v>
      </c>
      <c r="N768" t="s">
        <v>650</v>
      </c>
    </row>
    <row r="769" spans="1:14" hidden="1" x14ac:dyDescent="0.3">
      <c r="A769" s="1" t="s">
        <v>1192</v>
      </c>
      <c r="B769" s="1" t="s">
        <v>802</v>
      </c>
      <c r="C769" s="1" t="s">
        <v>1193</v>
      </c>
      <c r="D769" s="1" t="s">
        <v>746</v>
      </c>
      <c r="E769" s="1" t="s">
        <v>747</v>
      </c>
      <c r="F769" s="1" t="s">
        <v>748</v>
      </c>
      <c r="G769" s="1" t="s">
        <v>804</v>
      </c>
      <c r="H769">
        <v>2018</v>
      </c>
      <c r="I769">
        <v>2018</v>
      </c>
      <c r="J769">
        <f t="shared" si="22"/>
        <v>1</v>
      </c>
      <c r="K769" s="1" t="s">
        <v>741</v>
      </c>
      <c r="L769" s="1" t="s">
        <v>798</v>
      </c>
      <c r="M769">
        <f t="shared" si="23"/>
        <v>8</v>
      </c>
      <c r="N769" t="s">
        <v>650</v>
      </c>
    </row>
    <row r="770" spans="1:14" hidden="1" x14ac:dyDescent="0.3">
      <c r="A770" t="s">
        <v>11323</v>
      </c>
      <c r="B770" t="s">
        <v>802</v>
      </c>
      <c r="C770" t="s">
        <v>11324</v>
      </c>
      <c r="E770" s="1" t="e">
        <v>#N/A</v>
      </c>
      <c r="F770" s="1" t="e">
        <v>#N/A</v>
      </c>
      <c r="G770" s="1" t="s">
        <v>804</v>
      </c>
      <c r="H770">
        <v>2023</v>
      </c>
      <c r="I770">
        <v>2026</v>
      </c>
      <c r="J770">
        <f t="shared" si="22"/>
        <v>4</v>
      </c>
      <c r="K770" s="1" t="s">
        <v>741</v>
      </c>
      <c r="L770" s="1" t="s">
        <v>798</v>
      </c>
      <c r="M770">
        <f t="shared" si="23"/>
        <v>0</v>
      </c>
    </row>
    <row r="771" spans="1:14" hidden="1" x14ac:dyDescent="0.3">
      <c r="A771" s="1" t="s">
        <v>1194</v>
      </c>
      <c r="B771" s="1" t="s">
        <v>802</v>
      </c>
      <c r="C771" s="1" t="s">
        <v>1195</v>
      </c>
      <c r="D771" s="1" t="s">
        <v>746</v>
      </c>
      <c r="E771" s="1" t="s">
        <v>747</v>
      </c>
      <c r="F771" s="1" t="s">
        <v>748</v>
      </c>
      <c r="G771" s="1" t="s">
        <v>804</v>
      </c>
      <c r="H771">
        <v>2018</v>
      </c>
      <c r="I771">
        <v>2018</v>
      </c>
      <c r="J771">
        <f t="shared" si="22"/>
        <v>1</v>
      </c>
      <c r="K771" s="1" t="s">
        <v>741</v>
      </c>
      <c r="L771" s="1" t="s">
        <v>798</v>
      </c>
      <c r="M771">
        <f t="shared" si="23"/>
        <v>8</v>
      </c>
      <c r="N771" t="s">
        <v>650</v>
      </c>
    </row>
    <row r="772" spans="1:14" hidden="1" x14ac:dyDescent="0.3">
      <c r="A772" s="1" t="s">
        <v>1188</v>
      </c>
      <c r="B772" s="1" t="s">
        <v>802</v>
      </c>
      <c r="C772" s="1" t="s">
        <v>1189</v>
      </c>
      <c r="D772" s="1" t="s">
        <v>746</v>
      </c>
      <c r="E772" s="1" t="s">
        <v>747</v>
      </c>
      <c r="F772" s="1" t="s">
        <v>748</v>
      </c>
      <c r="G772" s="1" t="s">
        <v>804</v>
      </c>
      <c r="H772">
        <v>2022</v>
      </c>
      <c r="I772">
        <v>2022</v>
      </c>
      <c r="J772">
        <f t="shared" si="22"/>
        <v>1</v>
      </c>
      <c r="K772" s="1" t="s">
        <v>741</v>
      </c>
      <c r="L772" s="1" t="s">
        <v>798</v>
      </c>
      <c r="M772">
        <f t="shared" si="23"/>
        <v>4</v>
      </c>
      <c r="N772" t="s">
        <v>650</v>
      </c>
    </row>
    <row r="773" spans="1:14" hidden="1" x14ac:dyDescent="0.3">
      <c r="A773" t="s">
        <v>11325</v>
      </c>
      <c r="B773" t="s">
        <v>802</v>
      </c>
      <c r="C773" t="s">
        <v>11326</v>
      </c>
      <c r="E773" s="1" t="e">
        <v>#N/A</v>
      </c>
      <c r="F773" s="1" t="e">
        <v>#N/A</v>
      </c>
      <c r="G773" s="1" t="s">
        <v>804</v>
      </c>
      <c r="H773">
        <v>2025</v>
      </c>
      <c r="I773">
        <v>2025</v>
      </c>
      <c r="J773">
        <f t="shared" si="22"/>
        <v>1</v>
      </c>
      <c r="K773" s="1" t="s">
        <v>741</v>
      </c>
      <c r="L773" s="1" t="s">
        <v>798</v>
      </c>
      <c r="M773">
        <f t="shared" si="23"/>
        <v>1</v>
      </c>
    </row>
    <row r="774" spans="1:14" hidden="1" x14ac:dyDescent="0.3">
      <c r="A774" t="s">
        <v>11327</v>
      </c>
      <c r="B774" t="s">
        <v>802</v>
      </c>
      <c r="C774" t="s">
        <v>11328</v>
      </c>
      <c r="E774" s="1" t="e">
        <v>#N/A</v>
      </c>
      <c r="F774" s="1" t="e">
        <v>#N/A</v>
      </c>
      <c r="G774" s="1" t="s">
        <v>804</v>
      </c>
      <c r="H774">
        <v>2025</v>
      </c>
      <c r="I774">
        <v>2025</v>
      </c>
      <c r="J774">
        <f t="shared" ref="J774:J837" si="24">1+(I774-H774)</f>
        <v>1</v>
      </c>
      <c r="K774" s="1" t="s">
        <v>741</v>
      </c>
      <c r="L774" s="1" t="s">
        <v>798</v>
      </c>
      <c r="M774">
        <f t="shared" ref="M774:M837" si="25">IF(I774=0,0,$B$2-I774)</f>
        <v>1</v>
      </c>
    </row>
    <row r="775" spans="1:14" hidden="1" x14ac:dyDescent="0.3">
      <c r="A775" s="1" t="s">
        <v>1196</v>
      </c>
      <c r="B775" s="1" t="s">
        <v>802</v>
      </c>
      <c r="C775" s="1" t="s">
        <v>1197</v>
      </c>
      <c r="D775" s="1" t="s">
        <v>746</v>
      </c>
      <c r="E775" s="1" t="s">
        <v>747</v>
      </c>
      <c r="F775" s="1" t="s">
        <v>748</v>
      </c>
      <c r="G775" s="1" t="s">
        <v>804</v>
      </c>
      <c r="H775">
        <v>2018</v>
      </c>
      <c r="I775">
        <v>2018</v>
      </c>
      <c r="J775">
        <f t="shared" si="24"/>
        <v>1</v>
      </c>
      <c r="K775" s="1" t="s">
        <v>741</v>
      </c>
      <c r="L775" s="1" t="s">
        <v>798</v>
      </c>
      <c r="M775">
        <f t="shared" si="25"/>
        <v>8</v>
      </c>
      <c r="N775" t="s">
        <v>650</v>
      </c>
    </row>
    <row r="776" spans="1:14" hidden="1" x14ac:dyDescent="0.3">
      <c r="A776" s="1" t="s">
        <v>1198</v>
      </c>
      <c r="B776" s="1" t="s">
        <v>802</v>
      </c>
      <c r="C776" s="1" t="s">
        <v>1199</v>
      </c>
      <c r="D776" s="1" t="s">
        <v>746</v>
      </c>
      <c r="E776" s="1" t="s">
        <v>747</v>
      </c>
      <c r="F776" s="1" t="s">
        <v>748</v>
      </c>
      <c r="G776" s="1" t="s">
        <v>804</v>
      </c>
      <c r="H776">
        <v>2018</v>
      </c>
      <c r="I776">
        <v>2018</v>
      </c>
      <c r="J776">
        <f t="shared" si="24"/>
        <v>1</v>
      </c>
      <c r="K776" s="1" t="s">
        <v>741</v>
      </c>
      <c r="L776" s="1" t="s">
        <v>798</v>
      </c>
      <c r="M776">
        <f t="shared" si="25"/>
        <v>8</v>
      </c>
      <c r="N776" t="s">
        <v>650</v>
      </c>
    </row>
    <row r="777" spans="1:14" hidden="1" x14ac:dyDescent="0.3">
      <c r="A777" s="1" t="s">
        <v>1200</v>
      </c>
      <c r="B777" s="1" t="s">
        <v>802</v>
      </c>
      <c r="C777" s="1" t="s">
        <v>1201</v>
      </c>
      <c r="D777" s="1" t="s">
        <v>746</v>
      </c>
      <c r="E777" s="1" t="s">
        <v>747</v>
      </c>
      <c r="F777" s="1" t="s">
        <v>748</v>
      </c>
      <c r="G777" s="1" t="s">
        <v>804</v>
      </c>
      <c r="H777">
        <v>2018</v>
      </c>
      <c r="I777">
        <v>2018</v>
      </c>
      <c r="J777">
        <f t="shared" si="24"/>
        <v>1</v>
      </c>
      <c r="K777" s="1" t="s">
        <v>741</v>
      </c>
      <c r="L777" s="1" t="s">
        <v>798</v>
      </c>
      <c r="M777">
        <f t="shared" si="25"/>
        <v>8</v>
      </c>
      <c r="N777" t="s">
        <v>650</v>
      </c>
    </row>
    <row r="778" spans="1:14" hidden="1" x14ac:dyDescent="0.3">
      <c r="A778" s="1" t="s">
        <v>1202</v>
      </c>
      <c r="B778" s="1" t="s">
        <v>802</v>
      </c>
      <c r="C778" s="1" t="s">
        <v>1203</v>
      </c>
      <c r="D778" s="1" t="s">
        <v>746</v>
      </c>
      <c r="E778" s="1" t="s">
        <v>747</v>
      </c>
      <c r="F778" s="1" t="s">
        <v>748</v>
      </c>
      <c r="G778" s="1" t="s">
        <v>804</v>
      </c>
      <c r="H778">
        <v>2018</v>
      </c>
      <c r="I778">
        <v>2018</v>
      </c>
      <c r="J778">
        <f t="shared" si="24"/>
        <v>1</v>
      </c>
      <c r="K778" s="1" t="s">
        <v>741</v>
      </c>
      <c r="L778" s="1" t="s">
        <v>798</v>
      </c>
      <c r="M778">
        <f t="shared" si="25"/>
        <v>8</v>
      </c>
      <c r="N778" t="s">
        <v>650</v>
      </c>
    </row>
    <row r="779" spans="1:14" hidden="1" x14ac:dyDescent="0.3">
      <c r="A779" s="1" t="s">
        <v>805</v>
      </c>
      <c r="B779" s="1" t="s">
        <v>802</v>
      </c>
      <c r="C779" s="1" t="s">
        <v>806</v>
      </c>
      <c r="D779" s="1" t="s">
        <v>746</v>
      </c>
      <c r="E779" s="1" t="s">
        <v>747</v>
      </c>
      <c r="F779" s="1" t="s">
        <v>748</v>
      </c>
      <c r="G779" s="1" t="s">
        <v>804</v>
      </c>
      <c r="H779">
        <v>2020</v>
      </c>
      <c r="I779">
        <v>2020</v>
      </c>
      <c r="J779">
        <f t="shared" si="24"/>
        <v>1</v>
      </c>
      <c r="K779" s="1" t="s">
        <v>741</v>
      </c>
      <c r="L779" s="1" t="s">
        <v>798</v>
      </c>
      <c r="M779">
        <f t="shared" si="25"/>
        <v>6</v>
      </c>
      <c r="N779" t="s">
        <v>650</v>
      </c>
    </row>
    <row r="780" spans="1:14" hidden="1" x14ac:dyDescent="0.3">
      <c r="A780" t="s">
        <v>11329</v>
      </c>
      <c r="B780" t="s">
        <v>802</v>
      </c>
      <c r="C780" t="s">
        <v>11330</v>
      </c>
      <c r="E780" s="1" t="e">
        <v>#N/A</v>
      </c>
      <c r="F780" s="1" t="e">
        <v>#N/A</v>
      </c>
      <c r="G780" s="1" t="s">
        <v>804</v>
      </c>
      <c r="H780">
        <v>2023</v>
      </c>
      <c r="I780">
        <v>2026</v>
      </c>
      <c r="J780">
        <f t="shared" si="24"/>
        <v>4</v>
      </c>
      <c r="K780" s="1" t="s">
        <v>741</v>
      </c>
      <c r="L780" s="1" t="s">
        <v>798</v>
      </c>
      <c r="M780">
        <f t="shared" si="25"/>
        <v>0</v>
      </c>
    </row>
    <row r="781" spans="1:14" hidden="1" x14ac:dyDescent="0.3">
      <c r="A781" s="1" t="s">
        <v>1190</v>
      </c>
      <c r="B781" s="1" t="s">
        <v>802</v>
      </c>
      <c r="C781" s="1" t="s">
        <v>1191</v>
      </c>
      <c r="D781" s="1" t="s">
        <v>746</v>
      </c>
      <c r="E781" s="1" t="s">
        <v>747</v>
      </c>
      <c r="F781" s="1" t="s">
        <v>748</v>
      </c>
      <c r="G781" s="1" t="s">
        <v>804</v>
      </c>
      <c r="H781">
        <v>2020</v>
      </c>
      <c r="I781">
        <v>2020</v>
      </c>
      <c r="J781">
        <f t="shared" si="24"/>
        <v>1</v>
      </c>
      <c r="K781" s="1" t="s">
        <v>741</v>
      </c>
      <c r="L781" s="1" t="s">
        <v>798</v>
      </c>
      <c r="M781">
        <f t="shared" si="25"/>
        <v>6</v>
      </c>
      <c r="N781" t="s">
        <v>650</v>
      </c>
    </row>
    <row r="782" spans="1:14" hidden="1" x14ac:dyDescent="0.3">
      <c r="A782" s="1" t="s">
        <v>5031</v>
      </c>
      <c r="B782" s="1" t="s">
        <v>3790</v>
      </c>
      <c r="C782" s="1" t="s">
        <v>5032</v>
      </c>
      <c r="D782" s="1" t="s">
        <v>738</v>
      </c>
      <c r="E782" s="1" t="s">
        <v>739</v>
      </c>
      <c r="F782" s="1" t="s">
        <v>781</v>
      </c>
      <c r="G782" s="1" t="s">
        <v>5030</v>
      </c>
      <c r="H782">
        <v>2021</v>
      </c>
      <c r="I782">
        <v>2022</v>
      </c>
      <c r="J782">
        <f t="shared" si="24"/>
        <v>2</v>
      </c>
      <c r="K782" s="1" t="s">
        <v>4668</v>
      </c>
      <c r="L782" s="1" t="s">
        <v>659</v>
      </c>
      <c r="M782">
        <f t="shared" si="25"/>
        <v>4</v>
      </c>
      <c r="N782" t="s">
        <v>650</v>
      </c>
    </row>
    <row r="783" spans="1:14" hidden="1" x14ac:dyDescent="0.3">
      <c r="A783" s="1" t="s">
        <v>5033</v>
      </c>
      <c r="B783" s="1" t="s">
        <v>3790</v>
      </c>
      <c r="C783" s="1" t="s">
        <v>5034</v>
      </c>
      <c r="D783" s="1" t="s">
        <v>738</v>
      </c>
      <c r="E783" s="1" t="s">
        <v>739</v>
      </c>
      <c r="F783" s="1" t="s">
        <v>781</v>
      </c>
      <c r="G783" s="1" t="s">
        <v>5030</v>
      </c>
      <c r="H783">
        <v>2021</v>
      </c>
      <c r="I783">
        <v>2022</v>
      </c>
      <c r="J783">
        <f t="shared" si="24"/>
        <v>2</v>
      </c>
      <c r="K783" s="1" t="s">
        <v>4668</v>
      </c>
      <c r="L783" s="1" t="s">
        <v>659</v>
      </c>
      <c r="M783">
        <f t="shared" si="25"/>
        <v>4</v>
      </c>
      <c r="N783" t="s">
        <v>650</v>
      </c>
    </row>
    <row r="784" spans="1:14" hidden="1" x14ac:dyDescent="0.3">
      <c r="A784" s="1" t="s">
        <v>5039</v>
      </c>
      <c r="B784" s="1" t="s">
        <v>3790</v>
      </c>
      <c r="C784" s="1" t="s">
        <v>5040</v>
      </c>
      <c r="D784" s="1" t="s">
        <v>738</v>
      </c>
      <c r="E784" s="1" t="s">
        <v>739</v>
      </c>
      <c r="F784" s="1" t="s">
        <v>781</v>
      </c>
      <c r="G784" s="1" t="s">
        <v>5030</v>
      </c>
      <c r="H784">
        <v>2019</v>
      </c>
      <c r="I784">
        <v>2022</v>
      </c>
      <c r="J784">
        <f t="shared" si="24"/>
        <v>4</v>
      </c>
      <c r="K784" s="1" t="s">
        <v>4668</v>
      </c>
      <c r="L784" s="1" t="s">
        <v>659</v>
      </c>
      <c r="M784">
        <f t="shared" si="25"/>
        <v>4</v>
      </c>
      <c r="N784" t="s">
        <v>650</v>
      </c>
    </row>
    <row r="785" spans="1:14" hidden="1" x14ac:dyDescent="0.3">
      <c r="A785" s="1" t="s">
        <v>5035</v>
      </c>
      <c r="B785" s="1" t="s">
        <v>3790</v>
      </c>
      <c r="C785" s="1" t="s">
        <v>5036</v>
      </c>
      <c r="D785" s="1" t="s">
        <v>738</v>
      </c>
      <c r="E785" s="1" t="s">
        <v>739</v>
      </c>
      <c r="F785" s="1" t="s">
        <v>781</v>
      </c>
      <c r="G785" s="1" t="s">
        <v>5030</v>
      </c>
      <c r="H785">
        <v>2021</v>
      </c>
      <c r="I785">
        <v>2022</v>
      </c>
      <c r="J785">
        <f t="shared" si="24"/>
        <v>2</v>
      </c>
      <c r="K785" s="1" t="s">
        <v>4668</v>
      </c>
      <c r="L785" s="1" t="s">
        <v>659</v>
      </c>
      <c r="M785">
        <f t="shared" si="25"/>
        <v>4</v>
      </c>
      <c r="N785" t="s">
        <v>650</v>
      </c>
    </row>
    <row r="786" spans="1:14" hidden="1" x14ac:dyDescent="0.3">
      <c r="A786" s="1" t="s">
        <v>5041</v>
      </c>
      <c r="B786" s="1" t="s">
        <v>3790</v>
      </c>
      <c r="C786" s="1" t="s">
        <v>5042</v>
      </c>
      <c r="D786" s="1" t="s">
        <v>738</v>
      </c>
      <c r="E786" s="1" t="s">
        <v>739</v>
      </c>
      <c r="F786" s="1" t="s">
        <v>781</v>
      </c>
      <c r="G786" s="1" t="s">
        <v>5030</v>
      </c>
      <c r="H786">
        <v>2019</v>
      </c>
      <c r="I786">
        <v>2022</v>
      </c>
      <c r="J786">
        <f t="shared" si="24"/>
        <v>4</v>
      </c>
      <c r="K786" s="1" t="s">
        <v>4668</v>
      </c>
      <c r="L786" s="1" t="s">
        <v>659</v>
      </c>
      <c r="M786">
        <f t="shared" si="25"/>
        <v>4</v>
      </c>
      <c r="N786" t="s">
        <v>650</v>
      </c>
    </row>
    <row r="787" spans="1:14" x14ac:dyDescent="0.3">
      <c r="A787" s="1" t="s">
        <v>7339</v>
      </c>
      <c r="B787" s="1" t="s">
        <v>3790</v>
      </c>
      <c r="C787" s="1" t="s">
        <v>7340</v>
      </c>
      <c r="D787" s="1" t="s">
        <v>738</v>
      </c>
      <c r="E787" s="1" t="s">
        <v>6076</v>
      </c>
      <c r="F787" s="1" t="s">
        <v>6076</v>
      </c>
      <c r="G787" s="1" t="s">
        <v>5030</v>
      </c>
      <c r="H787">
        <v>2019</v>
      </c>
      <c r="I787">
        <v>2022</v>
      </c>
      <c r="J787">
        <f t="shared" si="24"/>
        <v>4</v>
      </c>
      <c r="K787" s="1" t="s">
        <v>6076</v>
      </c>
      <c r="L787" s="1" t="s">
        <v>6076</v>
      </c>
      <c r="M787">
        <f t="shared" si="25"/>
        <v>4</v>
      </c>
      <c r="N787" t="s">
        <v>650</v>
      </c>
    </row>
    <row r="788" spans="1:14" hidden="1" x14ac:dyDescent="0.3">
      <c r="A788" s="1" t="s">
        <v>5037</v>
      </c>
      <c r="B788" s="1" t="s">
        <v>3790</v>
      </c>
      <c r="C788" s="1" t="s">
        <v>5038</v>
      </c>
      <c r="D788" s="1" t="s">
        <v>738</v>
      </c>
      <c r="E788" s="1" t="s">
        <v>812</v>
      </c>
      <c r="F788" s="1" t="s">
        <v>813</v>
      </c>
      <c r="G788" s="1" t="s">
        <v>5030</v>
      </c>
      <c r="H788">
        <v>2021</v>
      </c>
      <c r="I788">
        <v>2022</v>
      </c>
      <c r="J788">
        <f t="shared" si="24"/>
        <v>2</v>
      </c>
      <c r="K788" s="1" t="s">
        <v>4668</v>
      </c>
      <c r="L788" s="1" t="s">
        <v>659</v>
      </c>
      <c r="M788">
        <f t="shared" si="25"/>
        <v>4</v>
      </c>
      <c r="N788" t="s">
        <v>650</v>
      </c>
    </row>
    <row r="789" spans="1:14" hidden="1" x14ac:dyDescent="0.3">
      <c r="A789" t="s">
        <v>11035</v>
      </c>
      <c r="B789" t="s">
        <v>3790</v>
      </c>
      <c r="C789" t="s">
        <v>11036</v>
      </c>
      <c r="E789" s="1" t="e">
        <v>#N/A</v>
      </c>
      <c r="F789" s="1" t="e">
        <v>#N/A</v>
      </c>
      <c r="G789" s="1" t="s">
        <v>5030</v>
      </c>
      <c r="H789">
        <v>2023</v>
      </c>
      <c r="I789">
        <v>2026</v>
      </c>
      <c r="J789">
        <f t="shared" si="24"/>
        <v>4</v>
      </c>
      <c r="K789" s="1" t="s">
        <v>5909</v>
      </c>
      <c r="L789" s="1" t="s">
        <v>659</v>
      </c>
      <c r="M789">
        <f t="shared" si="25"/>
        <v>0</v>
      </c>
    </row>
    <row r="790" spans="1:14" hidden="1" x14ac:dyDescent="0.3">
      <c r="A790" s="1" t="s">
        <v>5028</v>
      </c>
      <c r="B790" s="1" t="s">
        <v>3790</v>
      </c>
      <c r="C790" s="1" t="s">
        <v>5029</v>
      </c>
      <c r="D790" s="1" t="s">
        <v>738</v>
      </c>
      <c r="E790" s="1" t="s">
        <v>739</v>
      </c>
      <c r="F790" s="1" t="s">
        <v>781</v>
      </c>
      <c r="G790" s="1" t="s">
        <v>5030</v>
      </c>
      <c r="H790">
        <v>2022</v>
      </c>
      <c r="I790">
        <v>2022</v>
      </c>
      <c r="J790">
        <f t="shared" si="24"/>
        <v>1</v>
      </c>
      <c r="K790" s="1" t="s">
        <v>4668</v>
      </c>
      <c r="L790" s="1" t="s">
        <v>659</v>
      </c>
      <c r="M790">
        <f t="shared" si="25"/>
        <v>4</v>
      </c>
      <c r="N790" t="s">
        <v>650</v>
      </c>
    </row>
    <row r="791" spans="1:14" hidden="1" x14ac:dyDescent="0.3">
      <c r="A791" t="s">
        <v>11037</v>
      </c>
      <c r="B791" t="s">
        <v>3790</v>
      </c>
      <c r="C791" t="s">
        <v>11038</v>
      </c>
      <c r="E791" s="1" t="e">
        <v>#N/A</v>
      </c>
      <c r="F791" s="1" t="e">
        <v>#N/A</v>
      </c>
      <c r="G791" s="1" t="s">
        <v>5030</v>
      </c>
      <c r="H791">
        <v>2025</v>
      </c>
      <c r="I791">
        <v>2026</v>
      </c>
      <c r="J791">
        <f t="shared" si="24"/>
        <v>2</v>
      </c>
      <c r="K791" s="1" t="s">
        <v>5909</v>
      </c>
      <c r="L791" s="1" t="s">
        <v>659</v>
      </c>
      <c r="M791">
        <f t="shared" si="25"/>
        <v>0</v>
      </c>
    </row>
    <row r="792" spans="1:14" x14ac:dyDescent="0.3">
      <c r="A792" t="s">
        <v>11415</v>
      </c>
      <c r="B792" t="s">
        <v>1451</v>
      </c>
      <c r="C792" t="s">
        <v>11416</v>
      </c>
      <c r="E792" s="1" t="s">
        <v>6076</v>
      </c>
      <c r="F792" s="1" t="s">
        <v>6076</v>
      </c>
      <c r="G792" s="1" t="s">
        <v>12817</v>
      </c>
      <c r="H792">
        <v>1995</v>
      </c>
      <c r="I792">
        <v>1995</v>
      </c>
      <c r="J792">
        <f t="shared" si="24"/>
        <v>1</v>
      </c>
      <c r="K792" s="1" t="s">
        <v>6076</v>
      </c>
      <c r="L792" s="1" t="s">
        <v>6076</v>
      </c>
      <c r="M792">
        <f t="shared" si="25"/>
        <v>31</v>
      </c>
    </row>
    <row r="793" spans="1:14" hidden="1" x14ac:dyDescent="0.3">
      <c r="A793" s="1" t="s">
        <v>4041</v>
      </c>
      <c r="B793" s="1" t="s">
        <v>795</v>
      </c>
      <c r="C793" s="1" t="s">
        <v>4042</v>
      </c>
      <c r="D793" s="1" t="s">
        <v>746</v>
      </c>
      <c r="E793" s="1" t="s">
        <v>1358</v>
      </c>
      <c r="F793" s="1" t="s">
        <v>1359</v>
      </c>
      <c r="G793" s="1" t="s">
        <v>3840</v>
      </c>
      <c r="H793">
        <v>2003</v>
      </c>
      <c r="I793">
        <v>2004</v>
      </c>
      <c r="J793">
        <f t="shared" si="24"/>
        <v>2</v>
      </c>
      <c r="K793" s="1" t="s">
        <v>3665</v>
      </c>
      <c r="L793" s="1" t="s">
        <v>798</v>
      </c>
      <c r="M793">
        <f t="shared" si="25"/>
        <v>22</v>
      </c>
      <c r="N793" t="s">
        <v>640</v>
      </c>
    </row>
    <row r="794" spans="1:14" hidden="1" x14ac:dyDescent="0.3">
      <c r="A794" s="1" t="s">
        <v>4043</v>
      </c>
      <c r="B794" s="1" t="s">
        <v>795</v>
      </c>
      <c r="C794" s="1" t="s">
        <v>4044</v>
      </c>
      <c r="D794" s="1" t="s">
        <v>746</v>
      </c>
      <c r="E794" s="1" t="s">
        <v>1358</v>
      </c>
      <c r="F794" s="1" t="s">
        <v>1359</v>
      </c>
      <c r="G794" s="1" t="s">
        <v>3840</v>
      </c>
      <c r="H794">
        <v>2003</v>
      </c>
      <c r="I794">
        <v>2004</v>
      </c>
      <c r="J794">
        <f t="shared" si="24"/>
        <v>2</v>
      </c>
      <c r="K794" s="1" t="s">
        <v>3665</v>
      </c>
      <c r="L794" s="1" t="s">
        <v>798</v>
      </c>
      <c r="M794">
        <f t="shared" si="25"/>
        <v>22</v>
      </c>
      <c r="N794" t="s">
        <v>640</v>
      </c>
    </row>
    <row r="795" spans="1:14" hidden="1" x14ac:dyDescent="0.3">
      <c r="A795" s="1" t="s">
        <v>4045</v>
      </c>
      <c r="B795" s="1" t="s">
        <v>795</v>
      </c>
      <c r="C795" s="1" t="s">
        <v>4046</v>
      </c>
      <c r="D795" s="1" t="s">
        <v>746</v>
      </c>
      <c r="E795" s="1" t="s">
        <v>1358</v>
      </c>
      <c r="F795" s="1" t="s">
        <v>1359</v>
      </c>
      <c r="G795" s="1" t="s">
        <v>3840</v>
      </c>
      <c r="H795">
        <v>2002</v>
      </c>
      <c r="I795">
        <v>2004</v>
      </c>
      <c r="J795">
        <f t="shared" si="24"/>
        <v>3</v>
      </c>
      <c r="K795" s="1" t="s">
        <v>3665</v>
      </c>
      <c r="L795" s="1" t="s">
        <v>798</v>
      </c>
      <c r="M795">
        <f t="shared" si="25"/>
        <v>22</v>
      </c>
      <c r="N795" t="s">
        <v>640</v>
      </c>
    </row>
    <row r="796" spans="1:14" hidden="1" x14ac:dyDescent="0.3">
      <c r="A796" s="1" t="s">
        <v>4049</v>
      </c>
      <c r="B796" s="1" t="s">
        <v>795</v>
      </c>
      <c r="C796" s="1" t="s">
        <v>4050</v>
      </c>
      <c r="D796" s="1" t="s">
        <v>746</v>
      </c>
      <c r="E796" s="1" t="s">
        <v>1358</v>
      </c>
      <c r="F796" s="1" t="s">
        <v>1359</v>
      </c>
      <c r="G796" s="1" t="s">
        <v>3840</v>
      </c>
      <c r="H796">
        <v>1999</v>
      </c>
      <c r="I796">
        <v>2002</v>
      </c>
      <c r="J796">
        <f t="shared" si="24"/>
        <v>4</v>
      </c>
      <c r="K796" s="1" t="s">
        <v>3665</v>
      </c>
      <c r="L796" s="1" t="s">
        <v>798</v>
      </c>
      <c r="M796">
        <f t="shared" si="25"/>
        <v>24</v>
      </c>
      <c r="N796" t="s">
        <v>640</v>
      </c>
    </row>
    <row r="797" spans="1:14" hidden="1" x14ac:dyDescent="0.3">
      <c r="A797" s="1" t="s">
        <v>4047</v>
      </c>
      <c r="B797" s="1" t="s">
        <v>795</v>
      </c>
      <c r="C797" s="1" t="s">
        <v>4048</v>
      </c>
      <c r="D797" s="1" t="s">
        <v>746</v>
      </c>
      <c r="E797" s="1" t="s">
        <v>1358</v>
      </c>
      <c r="F797" s="1" t="s">
        <v>1359</v>
      </c>
      <c r="G797" s="1" t="s">
        <v>3840</v>
      </c>
      <c r="H797">
        <v>1999</v>
      </c>
      <c r="I797">
        <v>2004</v>
      </c>
      <c r="J797">
        <f t="shared" si="24"/>
        <v>6</v>
      </c>
      <c r="K797" s="1" t="s">
        <v>3665</v>
      </c>
      <c r="L797" s="1" t="s">
        <v>798</v>
      </c>
      <c r="M797">
        <f t="shared" si="25"/>
        <v>22</v>
      </c>
      <c r="N797" t="s">
        <v>640</v>
      </c>
    </row>
    <row r="798" spans="1:14" hidden="1" x14ac:dyDescent="0.3">
      <c r="A798" s="1" t="s">
        <v>4055</v>
      </c>
      <c r="B798" s="1" t="s">
        <v>795</v>
      </c>
      <c r="C798" s="1" t="s">
        <v>4056</v>
      </c>
      <c r="D798" s="1" t="s">
        <v>746</v>
      </c>
      <c r="E798" s="1" t="s">
        <v>1358</v>
      </c>
      <c r="F798" s="1" t="s">
        <v>1359</v>
      </c>
      <c r="G798" s="1" t="s">
        <v>3840</v>
      </c>
      <c r="H798">
        <v>2000</v>
      </c>
      <c r="I798">
        <v>2000</v>
      </c>
      <c r="J798">
        <f t="shared" si="24"/>
        <v>1</v>
      </c>
      <c r="K798" s="1" t="s">
        <v>3665</v>
      </c>
      <c r="L798" s="1" t="s">
        <v>798</v>
      </c>
      <c r="M798">
        <f t="shared" si="25"/>
        <v>26</v>
      </c>
      <c r="N798" t="s">
        <v>640</v>
      </c>
    </row>
    <row r="799" spans="1:14" hidden="1" x14ac:dyDescent="0.3">
      <c r="A799" s="1" t="s">
        <v>3841</v>
      </c>
      <c r="B799" s="1" t="s">
        <v>795</v>
      </c>
      <c r="C799" s="1" t="s">
        <v>3842</v>
      </c>
      <c r="D799" s="1" t="s">
        <v>746</v>
      </c>
      <c r="E799" s="1" t="s">
        <v>1358</v>
      </c>
      <c r="F799" s="1" t="s">
        <v>1359</v>
      </c>
      <c r="G799" s="1" t="s">
        <v>3840</v>
      </c>
      <c r="H799">
        <v>2008</v>
      </c>
      <c r="I799">
        <v>2008</v>
      </c>
      <c r="J799">
        <f t="shared" si="24"/>
        <v>1</v>
      </c>
      <c r="K799" s="1" t="s">
        <v>3665</v>
      </c>
      <c r="L799" s="1" t="s">
        <v>798</v>
      </c>
      <c r="M799">
        <f t="shared" si="25"/>
        <v>18</v>
      </c>
      <c r="N799" t="s">
        <v>650</v>
      </c>
    </row>
    <row r="800" spans="1:14" hidden="1" x14ac:dyDescent="0.3">
      <c r="A800" s="1" t="s">
        <v>3838</v>
      </c>
      <c r="B800" s="1" t="s">
        <v>795</v>
      </c>
      <c r="C800" s="1" t="s">
        <v>3839</v>
      </c>
      <c r="D800" s="1" t="s">
        <v>746</v>
      </c>
      <c r="E800" s="1" t="s">
        <v>1358</v>
      </c>
      <c r="F800" s="1" t="s">
        <v>1359</v>
      </c>
      <c r="G800" s="1" t="s">
        <v>3840</v>
      </c>
      <c r="H800">
        <v>2007</v>
      </c>
      <c r="I800">
        <v>2011</v>
      </c>
      <c r="J800">
        <f t="shared" si="24"/>
        <v>5</v>
      </c>
      <c r="K800" s="1" t="s">
        <v>3665</v>
      </c>
      <c r="L800" s="1" t="s">
        <v>798</v>
      </c>
      <c r="M800">
        <f t="shared" si="25"/>
        <v>15</v>
      </c>
      <c r="N800" t="s">
        <v>650</v>
      </c>
    </row>
    <row r="801" spans="1:14" hidden="1" x14ac:dyDescent="0.3">
      <c r="A801" s="1" t="s">
        <v>4025</v>
      </c>
      <c r="B801" s="1" t="s">
        <v>795</v>
      </c>
      <c r="C801" s="1" t="s">
        <v>4026</v>
      </c>
      <c r="D801" s="1" t="s">
        <v>746</v>
      </c>
      <c r="E801" s="1" t="s">
        <v>1358</v>
      </c>
      <c r="F801" s="1" t="s">
        <v>1359</v>
      </c>
      <c r="G801" s="1" t="s">
        <v>3840</v>
      </c>
      <c r="H801">
        <v>2005</v>
      </c>
      <c r="I801">
        <v>2007</v>
      </c>
      <c r="J801">
        <f t="shared" si="24"/>
        <v>3</v>
      </c>
      <c r="K801" s="1" t="s">
        <v>3665</v>
      </c>
      <c r="L801" s="1" t="s">
        <v>798</v>
      </c>
      <c r="M801">
        <f t="shared" si="25"/>
        <v>19</v>
      </c>
      <c r="N801" t="s">
        <v>650</v>
      </c>
    </row>
    <row r="802" spans="1:14" hidden="1" x14ac:dyDescent="0.3">
      <c r="A802" s="1" t="s">
        <v>4037</v>
      </c>
      <c r="B802" s="1" t="s">
        <v>795</v>
      </c>
      <c r="C802" s="1" t="s">
        <v>4038</v>
      </c>
      <c r="D802" s="1" t="s">
        <v>746</v>
      </c>
      <c r="E802" s="1" t="s">
        <v>1358</v>
      </c>
      <c r="F802" s="1" t="s">
        <v>1359</v>
      </c>
      <c r="G802" s="1" t="s">
        <v>3840</v>
      </c>
      <c r="H802">
        <v>2005</v>
      </c>
      <c r="I802">
        <v>2005</v>
      </c>
      <c r="J802">
        <f t="shared" si="24"/>
        <v>1</v>
      </c>
      <c r="K802" s="1" t="s">
        <v>3665</v>
      </c>
      <c r="L802" s="1" t="s">
        <v>798</v>
      </c>
      <c r="M802">
        <f t="shared" si="25"/>
        <v>21</v>
      </c>
      <c r="N802" t="s">
        <v>640</v>
      </c>
    </row>
    <row r="803" spans="1:14" hidden="1" x14ac:dyDescent="0.3">
      <c r="A803" s="1" t="s">
        <v>4027</v>
      </c>
      <c r="B803" s="1" t="s">
        <v>795</v>
      </c>
      <c r="C803" s="1" t="s">
        <v>4028</v>
      </c>
      <c r="D803" s="1" t="s">
        <v>746</v>
      </c>
      <c r="E803" s="1" t="s">
        <v>1358</v>
      </c>
      <c r="F803" s="1" t="s">
        <v>1359</v>
      </c>
      <c r="G803" s="1" t="s">
        <v>3840</v>
      </c>
      <c r="H803">
        <v>2005</v>
      </c>
      <c r="I803">
        <v>2007</v>
      </c>
      <c r="J803">
        <f t="shared" si="24"/>
        <v>3</v>
      </c>
      <c r="K803" s="1" t="s">
        <v>3665</v>
      </c>
      <c r="L803" s="1" t="s">
        <v>798</v>
      </c>
      <c r="M803">
        <f t="shared" si="25"/>
        <v>19</v>
      </c>
      <c r="N803" t="s">
        <v>650</v>
      </c>
    </row>
    <row r="804" spans="1:14" hidden="1" x14ac:dyDescent="0.3">
      <c r="A804" s="1" t="s">
        <v>4023</v>
      </c>
      <c r="B804" s="1" t="s">
        <v>795</v>
      </c>
      <c r="C804" s="1" t="s">
        <v>4024</v>
      </c>
      <c r="D804" s="1" t="s">
        <v>746</v>
      </c>
      <c r="E804" s="1" t="s">
        <v>1358</v>
      </c>
      <c r="F804" s="1" t="s">
        <v>1359</v>
      </c>
      <c r="G804" s="1" t="s">
        <v>3840</v>
      </c>
      <c r="H804">
        <v>2005</v>
      </c>
      <c r="I804">
        <v>2009</v>
      </c>
      <c r="J804">
        <f t="shared" si="24"/>
        <v>5</v>
      </c>
      <c r="K804" s="1" t="s">
        <v>3665</v>
      </c>
      <c r="L804" s="1" t="s">
        <v>798</v>
      </c>
      <c r="M804">
        <f t="shared" si="25"/>
        <v>17</v>
      </c>
      <c r="N804" t="s">
        <v>650</v>
      </c>
    </row>
    <row r="805" spans="1:14" hidden="1" x14ac:dyDescent="0.3">
      <c r="A805" s="1" t="s">
        <v>4033</v>
      </c>
      <c r="B805" s="1" t="s">
        <v>795</v>
      </c>
      <c r="C805" s="1" t="s">
        <v>4034</v>
      </c>
      <c r="D805" s="1" t="s">
        <v>746</v>
      </c>
      <c r="E805" s="1" t="s">
        <v>1358</v>
      </c>
      <c r="F805" s="1" t="s">
        <v>1359</v>
      </c>
      <c r="G805" s="1" t="s">
        <v>3840</v>
      </c>
      <c r="H805">
        <v>2005</v>
      </c>
      <c r="I805">
        <v>2006</v>
      </c>
      <c r="J805">
        <f t="shared" si="24"/>
        <v>2</v>
      </c>
      <c r="K805" s="1" t="s">
        <v>3665</v>
      </c>
      <c r="L805" s="1" t="s">
        <v>798</v>
      </c>
      <c r="M805">
        <f t="shared" si="25"/>
        <v>20</v>
      </c>
      <c r="N805" t="s">
        <v>640</v>
      </c>
    </row>
    <row r="806" spans="1:14" hidden="1" x14ac:dyDescent="0.3">
      <c r="A806" s="1" t="s">
        <v>4035</v>
      </c>
      <c r="B806" s="1" t="s">
        <v>795</v>
      </c>
      <c r="C806" s="1" t="s">
        <v>4036</v>
      </c>
      <c r="D806" s="1" t="s">
        <v>746</v>
      </c>
      <c r="E806" s="1" t="s">
        <v>1358</v>
      </c>
      <c r="F806" s="1" t="s">
        <v>1359</v>
      </c>
      <c r="G806" s="1" t="s">
        <v>3840</v>
      </c>
      <c r="H806">
        <v>2005</v>
      </c>
      <c r="I806">
        <v>2006</v>
      </c>
      <c r="J806">
        <f t="shared" si="24"/>
        <v>2</v>
      </c>
      <c r="K806" s="1" t="s">
        <v>3665</v>
      </c>
      <c r="L806" s="1" t="s">
        <v>798</v>
      </c>
      <c r="M806">
        <f t="shared" si="25"/>
        <v>20</v>
      </c>
      <c r="N806" t="s">
        <v>640</v>
      </c>
    </row>
    <row r="807" spans="1:14" hidden="1" x14ac:dyDescent="0.3">
      <c r="A807" s="1" t="s">
        <v>4029</v>
      </c>
      <c r="B807" s="1" t="s">
        <v>795</v>
      </c>
      <c r="C807" s="1" t="s">
        <v>4030</v>
      </c>
      <c r="D807" s="1" t="s">
        <v>746</v>
      </c>
      <c r="E807" s="1" t="s">
        <v>1358</v>
      </c>
      <c r="F807" s="1" t="s">
        <v>1359</v>
      </c>
      <c r="G807" s="1" t="s">
        <v>3840</v>
      </c>
      <c r="H807">
        <v>2005</v>
      </c>
      <c r="I807">
        <v>2007</v>
      </c>
      <c r="J807">
        <f t="shared" si="24"/>
        <v>3</v>
      </c>
      <c r="K807" s="1" t="s">
        <v>3665</v>
      </c>
      <c r="L807" s="1" t="s">
        <v>798</v>
      </c>
      <c r="M807">
        <f t="shared" si="25"/>
        <v>19</v>
      </c>
      <c r="N807" t="s">
        <v>650</v>
      </c>
    </row>
    <row r="808" spans="1:14" hidden="1" x14ac:dyDescent="0.3">
      <c r="A808" s="1" t="s">
        <v>4031</v>
      </c>
      <c r="B808" s="1" t="s">
        <v>795</v>
      </c>
      <c r="C808" s="1" t="s">
        <v>4032</v>
      </c>
      <c r="D808" s="1" t="s">
        <v>746</v>
      </c>
      <c r="E808" s="1" t="s">
        <v>1358</v>
      </c>
      <c r="F808" s="1" t="s">
        <v>1359</v>
      </c>
      <c r="G808" s="1" t="s">
        <v>3840</v>
      </c>
      <c r="H808">
        <v>2005</v>
      </c>
      <c r="I808">
        <v>2007</v>
      </c>
      <c r="J808">
        <f t="shared" si="24"/>
        <v>3</v>
      </c>
      <c r="K808" s="1" t="s">
        <v>3665</v>
      </c>
      <c r="L808" s="1" t="s">
        <v>798</v>
      </c>
      <c r="M808">
        <f t="shared" si="25"/>
        <v>19</v>
      </c>
      <c r="N808" t="s">
        <v>650</v>
      </c>
    </row>
    <row r="809" spans="1:14" hidden="1" x14ac:dyDescent="0.3">
      <c r="A809" s="1" t="s">
        <v>4053</v>
      </c>
      <c r="B809" s="1" t="s">
        <v>795</v>
      </c>
      <c r="C809" s="1" t="s">
        <v>4054</v>
      </c>
      <c r="D809" s="1" t="s">
        <v>746</v>
      </c>
      <c r="E809" s="1" t="s">
        <v>1358</v>
      </c>
      <c r="F809" s="1" t="s">
        <v>1359</v>
      </c>
      <c r="G809" s="1" t="s">
        <v>3840</v>
      </c>
      <c r="H809">
        <v>1999</v>
      </c>
      <c r="I809">
        <v>2001</v>
      </c>
      <c r="J809">
        <f t="shared" si="24"/>
        <v>3</v>
      </c>
      <c r="K809" s="1" t="s">
        <v>3665</v>
      </c>
      <c r="L809" s="1" t="s">
        <v>798</v>
      </c>
      <c r="M809">
        <f t="shared" si="25"/>
        <v>25</v>
      </c>
      <c r="N809" t="s">
        <v>640</v>
      </c>
    </row>
    <row r="810" spans="1:14" hidden="1" x14ac:dyDescent="0.3">
      <c r="A810" s="1" t="s">
        <v>4051</v>
      </c>
      <c r="B810" s="1" t="s">
        <v>795</v>
      </c>
      <c r="C810" s="1" t="s">
        <v>4052</v>
      </c>
      <c r="D810" s="1" t="s">
        <v>746</v>
      </c>
      <c r="E810" s="1" t="s">
        <v>1358</v>
      </c>
      <c r="F810" s="1" t="s">
        <v>1359</v>
      </c>
      <c r="G810" s="1" t="s">
        <v>3840</v>
      </c>
      <c r="H810">
        <v>2000</v>
      </c>
      <c r="I810">
        <v>2001</v>
      </c>
      <c r="J810">
        <f t="shared" si="24"/>
        <v>2</v>
      </c>
      <c r="K810" s="1" t="s">
        <v>3665</v>
      </c>
      <c r="L810" s="1" t="s">
        <v>798</v>
      </c>
      <c r="M810">
        <f t="shared" si="25"/>
        <v>25</v>
      </c>
      <c r="N810" t="s">
        <v>640</v>
      </c>
    </row>
    <row r="811" spans="1:14" x14ac:dyDescent="0.3">
      <c r="A811" s="1" t="s">
        <v>7341</v>
      </c>
      <c r="B811" s="1" t="s">
        <v>795</v>
      </c>
      <c r="C811" s="1" t="s">
        <v>7342</v>
      </c>
      <c r="D811" s="1" t="s">
        <v>746</v>
      </c>
      <c r="E811" s="1" t="s">
        <v>6076</v>
      </c>
      <c r="F811" s="1" t="s">
        <v>6076</v>
      </c>
      <c r="G811" s="1" t="s">
        <v>3840</v>
      </c>
      <c r="H811">
        <v>1995</v>
      </c>
      <c r="I811">
        <v>1996</v>
      </c>
      <c r="J811">
        <f t="shared" si="24"/>
        <v>2</v>
      </c>
      <c r="K811" s="1" t="s">
        <v>6076</v>
      </c>
      <c r="L811" s="1" t="s">
        <v>6076</v>
      </c>
      <c r="M811">
        <f t="shared" si="25"/>
        <v>30</v>
      </c>
      <c r="N811" t="s">
        <v>640</v>
      </c>
    </row>
    <row r="812" spans="1:14" x14ac:dyDescent="0.3">
      <c r="A812" s="1" t="s">
        <v>7343</v>
      </c>
      <c r="B812" s="1" t="s">
        <v>795</v>
      </c>
      <c r="C812" s="1" t="s">
        <v>7344</v>
      </c>
      <c r="D812" s="1" t="s">
        <v>746</v>
      </c>
      <c r="E812" s="1" t="s">
        <v>6076</v>
      </c>
      <c r="F812" s="1" t="s">
        <v>6076</v>
      </c>
      <c r="G812" s="1" t="s">
        <v>3840</v>
      </c>
      <c r="H812">
        <v>1995</v>
      </c>
      <c r="I812">
        <v>1995</v>
      </c>
      <c r="J812">
        <f t="shared" si="24"/>
        <v>1</v>
      </c>
      <c r="K812" s="1" t="s">
        <v>6076</v>
      </c>
      <c r="L812" s="1" t="s">
        <v>6076</v>
      </c>
      <c r="M812">
        <f t="shared" si="25"/>
        <v>31</v>
      </c>
      <c r="N812" t="s">
        <v>640</v>
      </c>
    </row>
    <row r="813" spans="1:14" hidden="1" x14ac:dyDescent="0.3">
      <c r="A813" s="1" t="s">
        <v>4039</v>
      </c>
      <c r="B813" s="1" t="s">
        <v>795</v>
      </c>
      <c r="C813" s="1" t="s">
        <v>4040</v>
      </c>
      <c r="D813" s="1" t="s">
        <v>746</v>
      </c>
      <c r="E813" s="1" t="s">
        <v>1358</v>
      </c>
      <c r="F813" s="1" t="s">
        <v>1359</v>
      </c>
      <c r="G813" s="1" t="s">
        <v>3840</v>
      </c>
      <c r="H813">
        <v>2003</v>
      </c>
      <c r="I813">
        <v>2005</v>
      </c>
      <c r="J813">
        <f t="shared" si="24"/>
        <v>3</v>
      </c>
      <c r="K813" s="1" t="s">
        <v>3665</v>
      </c>
      <c r="L813" s="1" t="s">
        <v>798</v>
      </c>
      <c r="M813">
        <f t="shared" si="25"/>
        <v>21</v>
      </c>
      <c r="N813" t="s">
        <v>640</v>
      </c>
    </row>
    <row r="814" spans="1:14" hidden="1" x14ac:dyDescent="0.3">
      <c r="A814" s="1" t="s">
        <v>4063</v>
      </c>
      <c r="B814" s="1" t="s">
        <v>795</v>
      </c>
      <c r="C814" s="1" t="s">
        <v>4064</v>
      </c>
      <c r="D814" s="1" t="s">
        <v>738</v>
      </c>
      <c r="E814" s="1" t="s">
        <v>812</v>
      </c>
      <c r="F814" s="1" t="s">
        <v>813</v>
      </c>
      <c r="G814" s="1" t="s">
        <v>3840</v>
      </c>
      <c r="H814">
        <v>2000</v>
      </c>
      <c r="I814">
        <v>2008</v>
      </c>
      <c r="J814">
        <f t="shared" si="24"/>
        <v>9</v>
      </c>
      <c r="K814" s="1" t="s">
        <v>3665</v>
      </c>
      <c r="L814" s="1" t="s">
        <v>798</v>
      </c>
      <c r="M814">
        <f t="shared" si="25"/>
        <v>18</v>
      </c>
      <c r="N814" t="s">
        <v>650</v>
      </c>
    </row>
    <row r="815" spans="1:14" hidden="1" x14ac:dyDescent="0.3">
      <c r="A815" s="1" t="s">
        <v>4057</v>
      </c>
      <c r="B815" s="1" t="s">
        <v>795</v>
      </c>
      <c r="C815" s="1" t="s">
        <v>4058</v>
      </c>
      <c r="D815" s="1" t="s">
        <v>738</v>
      </c>
      <c r="E815" s="1" t="s">
        <v>812</v>
      </c>
      <c r="F815" s="1" t="s">
        <v>813</v>
      </c>
      <c r="G815" s="1" t="s">
        <v>3840</v>
      </c>
      <c r="H815">
        <v>2007</v>
      </c>
      <c r="I815">
        <v>2011</v>
      </c>
      <c r="J815">
        <f t="shared" si="24"/>
        <v>5</v>
      </c>
      <c r="K815" s="1" t="s">
        <v>3665</v>
      </c>
      <c r="L815" s="1" t="s">
        <v>798</v>
      </c>
      <c r="M815">
        <f t="shared" si="25"/>
        <v>15</v>
      </c>
      <c r="N815" t="s">
        <v>650</v>
      </c>
    </row>
    <row r="816" spans="1:14" hidden="1" x14ac:dyDescent="0.3">
      <c r="A816" s="1" t="s">
        <v>4059</v>
      </c>
      <c r="B816" s="1" t="s">
        <v>795</v>
      </c>
      <c r="C816" s="1" t="s">
        <v>4060</v>
      </c>
      <c r="D816" s="1" t="s">
        <v>738</v>
      </c>
      <c r="E816" s="1" t="s">
        <v>812</v>
      </c>
      <c r="F816" s="1" t="s">
        <v>813</v>
      </c>
      <c r="G816" s="1" t="s">
        <v>3840</v>
      </c>
      <c r="H816">
        <v>2007</v>
      </c>
      <c r="I816">
        <v>2011</v>
      </c>
      <c r="J816">
        <f t="shared" si="24"/>
        <v>5</v>
      </c>
      <c r="K816" s="1" t="s">
        <v>3665</v>
      </c>
      <c r="L816" s="1" t="s">
        <v>798</v>
      </c>
      <c r="M816">
        <f t="shared" si="25"/>
        <v>15</v>
      </c>
      <c r="N816" t="s">
        <v>650</v>
      </c>
    </row>
    <row r="817" spans="1:14" hidden="1" x14ac:dyDescent="0.3">
      <c r="A817" s="1" t="s">
        <v>4065</v>
      </c>
      <c r="B817" s="1" t="s">
        <v>795</v>
      </c>
      <c r="C817" s="1" t="s">
        <v>4066</v>
      </c>
      <c r="D817" s="1" t="s">
        <v>738</v>
      </c>
      <c r="E817" s="1" t="s">
        <v>812</v>
      </c>
      <c r="F817" s="1" t="s">
        <v>813</v>
      </c>
      <c r="G817" s="1" t="s">
        <v>3840</v>
      </c>
      <c r="H817">
        <v>2005</v>
      </c>
      <c r="I817">
        <v>2007</v>
      </c>
      <c r="J817">
        <f t="shared" si="24"/>
        <v>3</v>
      </c>
      <c r="K817" s="1" t="s">
        <v>3665</v>
      </c>
      <c r="L817" s="1" t="s">
        <v>798</v>
      </c>
      <c r="M817">
        <f t="shared" si="25"/>
        <v>19</v>
      </c>
      <c r="N817" t="s">
        <v>650</v>
      </c>
    </row>
    <row r="818" spans="1:14" hidden="1" x14ac:dyDescent="0.3">
      <c r="A818" s="1" t="s">
        <v>4067</v>
      </c>
      <c r="B818" s="1" t="s">
        <v>795</v>
      </c>
      <c r="C818" s="1" t="s">
        <v>4068</v>
      </c>
      <c r="D818" s="1" t="s">
        <v>738</v>
      </c>
      <c r="E818" s="1" t="s">
        <v>812</v>
      </c>
      <c r="F818" s="1" t="s">
        <v>813</v>
      </c>
      <c r="G818" s="1" t="s">
        <v>3840</v>
      </c>
      <c r="H818">
        <v>2005</v>
      </c>
      <c r="I818">
        <v>2006</v>
      </c>
      <c r="J818">
        <f t="shared" si="24"/>
        <v>2</v>
      </c>
      <c r="K818" s="1" t="s">
        <v>3665</v>
      </c>
      <c r="L818" s="1" t="s">
        <v>798</v>
      </c>
      <c r="M818">
        <f t="shared" si="25"/>
        <v>20</v>
      </c>
      <c r="N818" t="s">
        <v>640</v>
      </c>
    </row>
    <row r="819" spans="1:14" hidden="1" x14ac:dyDescent="0.3">
      <c r="A819" s="1" t="s">
        <v>4061</v>
      </c>
      <c r="B819" s="1" t="s">
        <v>795</v>
      </c>
      <c r="C819" s="1" t="s">
        <v>4062</v>
      </c>
      <c r="D819" s="1" t="s">
        <v>738</v>
      </c>
      <c r="E819" s="1" t="s">
        <v>812</v>
      </c>
      <c r="F819" s="1" t="s">
        <v>813</v>
      </c>
      <c r="G819" s="1" t="s">
        <v>3840</v>
      </c>
      <c r="H819">
        <v>2005</v>
      </c>
      <c r="I819">
        <v>2009</v>
      </c>
      <c r="J819">
        <f t="shared" si="24"/>
        <v>5</v>
      </c>
      <c r="K819" s="1" t="s">
        <v>3665</v>
      </c>
      <c r="L819" s="1" t="s">
        <v>798</v>
      </c>
      <c r="M819">
        <f t="shared" si="25"/>
        <v>17</v>
      </c>
      <c r="N819" t="s">
        <v>650</v>
      </c>
    </row>
    <row r="820" spans="1:14" hidden="1" x14ac:dyDescent="0.3">
      <c r="A820" s="1" t="s">
        <v>3843</v>
      </c>
      <c r="B820" s="1" t="s">
        <v>795</v>
      </c>
      <c r="C820" s="1" t="s">
        <v>3844</v>
      </c>
      <c r="D820" s="1" t="s">
        <v>738</v>
      </c>
      <c r="E820" s="1" t="s">
        <v>812</v>
      </c>
      <c r="F820" s="1" t="s">
        <v>813</v>
      </c>
      <c r="G820" s="1" t="s">
        <v>3840</v>
      </c>
      <c r="H820">
        <v>2005</v>
      </c>
      <c r="I820">
        <v>2009</v>
      </c>
      <c r="J820">
        <f t="shared" si="24"/>
        <v>5</v>
      </c>
      <c r="K820" s="1" t="s">
        <v>3665</v>
      </c>
      <c r="L820" s="1" t="s">
        <v>798</v>
      </c>
      <c r="M820">
        <f t="shared" si="25"/>
        <v>17</v>
      </c>
      <c r="N820" t="s">
        <v>650</v>
      </c>
    </row>
    <row r="821" spans="1:14" hidden="1" x14ac:dyDescent="0.3">
      <c r="A821" s="1" t="s">
        <v>4069</v>
      </c>
      <c r="B821" s="1" t="s">
        <v>795</v>
      </c>
      <c r="C821" s="1" t="s">
        <v>4070</v>
      </c>
      <c r="D821" s="1" t="s">
        <v>738</v>
      </c>
      <c r="E821" s="1" t="s">
        <v>812</v>
      </c>
      <c r="F821" s="1" t="s">
        <v>813</v>
      </c>
      <c r="G821" s="1" t="s">
        <v>3840</v>
      </c>
      <c r="H821">
        <v>2005</v>
      </c>
      <c r="I821">
        <v>2006</v>
      </c>
      <c r="J821">
        <f t="shared" si="24"/>
        <v>2</v>
      </c>
      <c r="K821" s="1" t="s">
        <v>3665</v>
      </c>
      <c r="L821" s="1" t="s">
        <v>798</v>
      </c>
      <c r="M821">
        <f t="shared" si="25"/>
        <v>20</v>
      </c>
      <c r="N821" t="s">
        <v>640</v>
      </c>
    </row>
    <row r="822" spans="1:14" hidden="1" x14ac:dyDescent="0.3">
      <c r="A822" s="1" t="s">
        <v>4071</v>
      </c>
      <c r="B822" s="1" t="s">
        <v>795</v>
      </c>
      <c r="C822" s="1" t="s">
        <v>4072</v>
      </c>
      <c r="D822" s="1" t="s">
        <v>738</v>
      </c>
      <c r="E822" s="1" t="s">
        <v>812</v>
      </c>
      <c r="F822" s="1" t="s">
        <v>813</v>
      </c>
      <c r="G822" s="1" t="s">
        <v>3840</v>
      </c>
      <c r="H822">
        <v>2005</v>
      </c>
      <c r="I822">
        <v>2006</v>
      </c>
      <c r="J822">
        <f t="shared" si="24"/>
        <v>2</v>
      </c>
      <c r="K822" s="1" t="s">
        <v>3665</v>
      </c>
      <c r="L822" s="1" t="s">
        <v>798</v>
      </c>
      <c r="M822">
        <f t="shared" si="25"/>
        <v>20</v>
      </c>
      <c r="N822" t="s">
        <v>640</v>
      </c>
    </row>
    <row r="823" spans="1:14" hidden="1" x14ac:dyDescent="0.3">
      <c r="A823" s="1" t="s">
        <v>4073</v>
      </c>
      <c r="B823" s="1" t="s">
        <v>795</v>
      </c>
      <c r="C823" s="1" t="s">
        <v>4074</v>
      </c>
      <c r="D823" s="1" t="s">
        <v>738</v>
      </c>
      <c r="E823" s="1" t="s">
        <v>812</v>
      </c>
      <c r="F823" s="1" t="s">
        <v>813</v>
      </c>
      <c r="G823" s="1" t="s">
        <v>3840</v>
      </c>
      <c r="H823">
        <v>2005</v>
      </c>
      <c r="I823">
        <v>2006</v>
      </c>
      <c r="J823">
        <f t="shared" si="24"/>
        <v>2</v>
      </c>
      <c r="K823" s="1" t="s">
        <v>3665</v>
      </c>
      <c r="L823" s="1" t="s">
        <v>798</v>
      </c>
      <c r="M823">
        <f t="shared" si="25"/>
        <v>20</v>
      </c>
      <c r="N823" t="s">
        <v>640</v>
      </c>
    </row>
    <row r="824" spans="1:14" hidden="1" x14ac:dyDescent="0.3">
      <c r="A824" t="s">
        <v>11063</v>
      </c>
      <c r="B824" t="s">
        <v>795</v>
      </c>
      <c r="C824" t="s">
        <v>11064</v>
      </c>
      <c r="E824" s="1" t="e">
        <v>#N/A</v>
      </c>
      <c r="F824" s="1" t="e">
        <v>#N/A</v>
      </c>
      <c r="G824" s="1" t="s">
        <v>12785</v>
      </c>
      <c r="H824">
        <v>2002</v>
      </c>
      <c r="I824">
        <v>2004</v>
      </c>
      <c r="J824">
        <f t="shared" si="24"/>
        <v>3</v>
      </c>
      <c r="K824" s="1" t="s">
        <v>3665</v>
      </c>
      <c r="L824" s="1" t="s">
        <v>798</v>
      </c>
      <c r="M824">
        <f t="shared" si="25"/>
        <v>22</v>
      </c>
    </row>
    <row r="825" spans="1:14" hidden="1" x14ac:dyDescent="0.3">
      <c r="A825" s="1" t="s">
        <v>4079</v>
      </c>
      <c r="B825" s="1" t="s">
        <v>795</v>
      </c>
      <c r="C825" s="1" t="s">
        <v>4080</v>
      </c>
      <c r="D825" s="1" t="s">
        <v>738</v>
      </c>
      <c r="E825" s="1" t="s">
        <v>812</v>
      </c>
      <c r="F825" s="1" t="s">
        <v>813</v>
      </c>
      <c r="G825" s="1" t="s">
        <v>3840</v>
      </c>
      <c r="H825">
        <v>2002</v>
      </c>
      <c r="I825">
        <v>2004</v>
      </c>
      <c r="J825">
        <f t="shared" si="24"/>
        <v>3</v>
      </c>
      <c r="K825" s="1" t="s">
        <v>3665</v>
      </c>
      <c r="L825" s="1" t="s">
        <v>798</v>
      </c>
      <c r="M825">
        <f t="shared" si="25"/>
        <v>22</v>
      </c>
      <c r="N825" t="s">
        <v>640</v>
      </c>
    </row>
    <row r="826" spans="1:14" hidden="1" x14ac:dyDescent="0.3">
      <c r="A826" s="1" t="s">
        <v>4077</v>
      </c>
      <c r="B826" s="1" t="s">
        <v>795</v>
      </c>
      <c r="C826" s="1" t="s">
        <v>4078</v>
      </c>
      <c r="D826" s="1" t="s">
        <v>738</v>
      </c>
      <c r="E826" s="1" t="s">
        <v>812</v>
      </c>
      <c r="F826" s="1" t="s">
        <v>813</v>
      </c>
      <c r="G826" s="1" t="s">
        <v>3840</v>
      </c>
      <c r="H826">
        <v>1999</v>
      </c>
      <c r="I826">
        <v>2005</v>
      </c>
      <c r="J826">
        <f t="shared" si="24"/>
        <v>7</v>
      </c>
      <c r="K826" s="1" t="s">
        <v>3665</v>
      </c>
      <c r="L826" s="1" t="s">
        <v>798</v>
      </c>
      <c r="M826">
        <f t="shared" si="25"/>
        <v>21</v>
      </c>
      <c r="N826" t="s">
        <v>640</v>
      </c>
    </row>
    <row r="827" spans="1:14" hidden="1" x14ac:dyDescent="0.3">
      <c r="A827" s="1" t="s">
        <v>4083</v>
      </c>
      <c r="B827" s="1" t="s">
        <v>795</v>
      </c>
      <c r="C827" s="1" t="s">
        <v>4084</v>
      </c>
      <c r="D827" s="1" t="s">
        <v>738</v>
      </c>
      <c r="E827" s="1" t="s">
        <v>812</v>
      </c>
      <c r="F827" s="1" t="s">
        <v>813</v>
      </c>
      <c r="G827" s="1" t="s">
        <v>3840</v>
      </c>
      <c r="H827">
        <v>1999</v>
      </c>
      <c r="I827">
        <v>2002</v>
      </c>
      <c r="J827">
        <f t="shared" si="24"/>
        <v>4</v>
      </c>
      <c r="K827" s="1" t="s">
        <v>3665</v>
      </c>
      <c r="L827" s="1" t="s">
        <v>798</v>
      </c>
      <c r="M827">
        <f t="shared" si="25"/>
        <v>24</v>
      </c>
      <c r="N827" t="s">
        <v>640</v>
      </c>
    </row>
    <row r="828" spans="1:14" hidden="1" x14ac:dyDescent="0.3">
      <c r="A828" s="1" t="s">
        <v>4075</v>
      </c>
      <c r="B828" s="1" t="s">
        <v>795</v>
      </c>
      <c r="C828" s="1" t="s">
        <v>4076</v>
      </c>
      <c r="D828" s="1" t="s">
        <v>738</v>
      </c>
      <c r="E828" s="1" t="s">
        <v>812</v>
      </c>
      <c r="F828" s="1" t="s">
        <v>813</v>
      </c>
      <c r="G828" s="1" t="s">
        <v>3840</v>
      </c>
      <c r="H828">
        <v>2005</v>
      </c>
      <c r="I828">
        <v>2005</v>
      </c>
      <c r="J828">
        <f t="shared" si="24"/>
        <v>1</v>
      </c>
      <c r="K828" s="1" t="s">
        <v>3665</v>
      </c>
      <c r="L828" s="1" t="s">
        <v>798</v>
      </c>
      <c r="M828">
        <f t="shared" si="25"/>
        <v>21</v>
      </c>
      <c r="N828" t="s">
        <v>640</v>
      </c>
    </row>
    <row r="829" spans="1:14" hidden="1" x14ac:dyDescent="0.3">
      <c r="A829" s="1" t="s">
        <v>4081</v>
      </c>
      <c r="B829" s="1" t="s">
        <v>795</v>
      </c>
      <c r="C829" s="1" t="s">
        <v>4082</v>
      </c>
      <c r="D829" s="1" t="s">
        <v>738</v>
      </c>
      <c r="E829" s="1" t="s">
        <v>812</v>
      </c>
      <c r="F829" s="1" t="s">
        <v>813</v>
      </c>
      <c r="G829" s="1" t="s">
        <v>3840</v>
      </c>
      <c r="H829">
        <v>1999</v>
      </c>
      <c r="I829">
        <v>2004</v>
      </c>
      <c r="J829">
        <f t="shared" si="24"/>
        <v>6</v>
      </c>
      <c r="K829" s="1" t="s">
        <v>3665</v>
      </c>
      <c r="L829" s="1" t="s">
        <v>798</v>
      </c>
      <c r="M829">
        <f t="shared" si="25"/>
        <v>22</v>
      </c>
      <c r="N829" t="s">
        <v>640</v>
      </c>
    </row>
    <row r="830" spans="1:14" hidden="1" x14ac:dyDescent="0.3">
      <c r="A830" s="1" t="s">
        <v>4885</v>
      </c>
      <c r="B830" s="1" t="s">
        <v>4561</v>
      </c>
      <c r="C830" s="1" t="s">
        <v>4886</v>
      </c>
      <c r="D830" s="1" t="s">
        <v>1395</v>
      </c>
      <c r="E830" s="1" t="s">
        <v>3905</v>
      </c>
      <c r="F830" s="1" t="s">
        <v>3906</v>
      </c>
      <c r="G830" s="1" t="s">
        <v>4887</v>
      </c>
      <c r="H830">
        <v>2011</v>
      </c>
      <c r="I830">
        <v>2017</v>
      </c>
      <c r="J830">
        <f t="shared" si="24"/>
        <v>7</v>
      </c>
      <c r="K830" s="1" t="s">
        <v>4668</v>
      </c>
      <c r="L830" s="1" t="s">
        <v>649</v>
      </c>
      <c r="M830">
        <f t="shared" si="25"/>
        <v>9</v>
      </c>
      <c r="N830" t="s">
        <v>650</v>
      </c>
    </row>
    <row r="831" spans="1:14" hidden="1" x14ac:dyDescent="0.3">
      <c r="A831" s="1" t="s">
        <v>5055</v>
      </c>
      <c r="B831" s="1" t="s">
        <v>4561</v>
      </c>
      <c r="C831" s="1" t="s">
        <v>5056</v>
      </c>
      <c r="D831" s="1" t="s">
        <v>1395</v>
      </c>
      <c r="E831" s="1" t="s">
        <v>3905</v>
      </c>
      <c r="F831" s="1" t="s">
        <v>3906</v>
      </c>
      <c r="G831" s="1" t="s">
        <v>4887</v>
      </c>
      <c r="H831">
        <v>2011</v>
      </c>
      <c r="I831">
        <v>2018</v>
      </c>
      <c r="J831">
        <f t="shared" si="24"/>
        <v>8</v>
      </c>
      <c r="K831" s="1" t="s">
        <v>4668</v>
      </c>
      <c r="L831" s="1" t="s">
        <v>649</v>
      </c>
      <c r="M831">
        <f t="shared" si="25"/>
        <v>8</v>
      </c>
      <c r="N831" t="s">
        <v>650</v>
      </c>
    </row>
    <row r="832" spans="1:14" x14ac:dyDescent="0.3">
      <c r="A832" s="1" t="s">
        <v>7345</v>
      </c>
      <c r="B832" s="1" t="s">
        <v>4561</v>
      </c>
      <c r="C832" s="1" t="s">
        <v>7346</v>
      </c>
      <c r="D832" s="1" t="s">
        <v>1395</v>
      </c>
      <c r="E832" s="1" t="s">
        <v>6076</v>
      </c>
      <c r="F832" s="1" t="s">
        <v>6076</v>
      </c>
      <c r="G832" s="1" t="s">
        <v>4887</v>
      </c>
      <c r="H832">
        <v>2015</v>
      </c>
      <c r="I832">
        <v>2016</v>
      </c>
      <c r="J832">
        <f t="shared" si="24"/>
        <v>2</v>
      </c>
      <c r="K832" s="1" t="s">
        <v>6076</v>
      </c>
      <c r="L832" s="1" t="s">
        <v>6076</v>
      </c>
      <c r="M832">
        <f t="shared" si="25"/>
        <v>10</v>
      </c>
      <c r="N832" t="s">
        <v>650</v>
      </c>
    </row>
    <row r="833" spans="1:14" hidden="1" x14ac:dyDescent="0.3">
      <c r="A833" s="1" t="s">
        <v>5051</v>
      </c>
      <c r="B833" s="1" t="s">
        <v>4561</v>
      </c>
      <c r="C833" s="1" t="s">
        <v>5052</v>
      </c>
      <c r="D833" s="1" t="s">
        <v>1395</v>
      </c>
      <c r="E833" s="1" t="s">
        <v>3905</v>
      </c>
      <c r="F833" s="1" t="s">
        <v>3906</v>
      </c>
      <c r="G833" s="1" t="s">
        <v>4887</v>
      </c>
      <c r="H833">
        <v>2016</v>
      </c>
      <c r="I833">
        <v>2019</v>
      </c>
      <c r="J833">
        <f t="shared" si="24"/>
        <v>4</v>
      </c>
      <c r="K833" s="1" t="s">
        <v>4668</v>
      </c>
      <c r="L833" s="1" t="s">
        <v>649</v>
      </c>
      <c r="M833">
        <f t="shared" si="25"/>
        <v>7</v>
      </c>
      <c r="N833" t="s">
        <v>650</v>
      </c>
    </row>
    <row r="834" spans="1:14" hidden="1" x14ac:dyDescent="0.3">
      <c r="A834" s="1" t="s">
        <v>4888</v>
      </c>
      <c r="B834" s="1" t="s">
        <v>4561</v>
      </c>
      <c r="C834" s="1" t="s">
        <v>4889</v>
      </c>
      <c r="D834" s="1" t="s">
        <v>1395</v>
      </c>
      <c r="E834" s="1" t="s">
        <v>3905</v>
      </c>
      <c r="F834" s="1" t="s">
        <v>3906</v>
      </c>
      <c r="G834" s="1" t="s">
        <v>4887</v>
      </c>
      <c r="H834">
        <v>2011</v>
      </c>
      <c r="I834">
        <v>2017</v>
      </c>
      <c r="J834">
        <f t="shared" si="24"/>
        <v>7</v>
      </c>
      <c r="K834" s="1" t="s">
        <v>4668</v>
      </c>
      <c r="L834" s="1" t="s">
        <v>649</v>
      </c>
      <c r="M834">
        <f t="shared" si="25"/>
        <v>9</v>
      </c>
      <c r="N834" t="s">
        <v>650</v>
      </c>
    </row>
    <row r="835" spans="1:14" x14ac:dyDescent="0.3">
      <c r="A835" s="1" t="s">
        <v>7347</v>
      </c>
      <c r="B835" s="1" t="s">
        <v>4561</v>
      </c>
      <c r="C835" s="1" t="s">
        <v>7348</v>
      </c>
      <c r="D835" s="1" t="s">
        <v>1395</v>
      </c>
      <c r="E835" s="1" t="s">
        <v>6076</v>
      </c>
      <c r="F835" s="1" t="s">
        <v>6076</v>
      </c>
      <c r="G835" s="1" t="s">
        <v>4887</v>
      </c>
      <c r="H835">
        <v>2015</v>
      </c>
      <c r="I835">
        <v>2016</v>
      </c>
      <c r="J835">
        <f t="shared" si="24"/>
        <v>2</v>
      </c>
      <c r="K835" s="1" t="s">
        <v>6076</v>
      </c>
      <c r="L835" s="1" t="s">
        <v>6076</v>
      </c>
      <c r="M835">
        <f t="shared" si="25"/>
        <v>10</v>
      </c>
      <c r="N835" t="s">
        <v>650</v>
      </c>
    </row>
    <row r="836" spans="1:14" hidden="1" x14ac:dyDescent="0.3">
      <c r="A836" s="1" t="s">
        <v>5053</v>
      </c>
      <c r="B836" s="1" t="s">
        <v>4561</v>
      </c>
      <c r="C836" s="1" t="s">
        <v>5054</v>
      </c>
      <c r="D836" s="1" t="s">
        <v>1395</v>
      </c>
      <c r="E836" s="1" t="s">
        <v>3905</v>
      </c>
      <c r="F836" s="1" t="s">
        <v>3906</v>
      </c>
      <c r="G836" s="1" t="s">
        <v>4887</v>
      </c>
      <c r="H836">
        <v>2016</v>
      </c>
      <c r="I836">
        <v>2019</v>
      </c>
      <c r="J836">
        <f t="shared" si="24"/>
        <v>4</v>
      </c>
      <c r="K836" s="1" t="s">
        <v>4668</v>
      </c>
      <c r="L836" s="1" t="s">
        <v>649</v>
      </c>
      <c r="M836">
        <f t="shared" si="25"/>
        <v>7</v>
      </c>
      <c r="N836" t="s">
        <v>650</v>
      </c>
    </row>
    <row r="837" spans="1:14" hidden="1" x14ac:dyDescent="0.3">
      <c r="A837" s="1" t="s">
        <v>5043</v>
      </c>
      <c r="B837" s="1" t="s">
        <v>4561</v>
      </c>
      <c r="C837" s="1" t="s">
        <v>5044</v>
      </c>
      <c r="D837" s="1" t="s">
        <v>1395</v>
      </c>
      <c r="E837" s="1" t="s">
        <v>3905</v>
      </c>
      <c r="F837" s="1" t="s">
        <v>3906</v>
      </c>
      <c r="G837" s="1" t="s">
        <v>4887</v>
      </c>
      <c r="H837">
        <v>2020</v>
      </c>
      <c r="I837">
        <v>2022</v>
      </c>
      <c r="J837">
        <f t="shared" si="24"/>
        <v>3</v>
      </c>
      <c r="K837" s="1" t="s">
        <v>4668</v>
      </c>
      <c r="L837" s="1" t="s">
        <v>649</v>
      </c>
      <c r="M837">
        <f t="shared" si="25"/>
        <v>4</v>
      </c>
      <c r="N837" t="s">
        <v>650</v>
      </c>
    </row>
    <row r="838" spans="1:14" hidden="1" x14ac:dyDescent="0.3">
      <c r="A838" s="1" t="s">
        <v>5045</v>
      </c>
      <c r="B838" s="1" t="s">
        <v>4561</v>
      </c>
      <c r="C838" s="1" t="s">
        <v>5046</v>
      </c>
      <c r="D838" s="1" t="s">
        <v>1395</v>
      </c>
      <c r="E838" s="1" t="s">
        <v>3905</v>
      </c>
      <c r="F838" s="1" t="s">
        <v>3906</v>
      </c>
      <c r="G838" s="1" t="s">
        <v>4887</v>
      </c>
      <c r="H838">
        <v>2020</v>
      </c>
      <c r="I838">
        <v>2022</v>
      </c>
      <c r="J838">
        <f t="shared" ref="J838:J901" si="26">1+(I838-H838)</f>
        <v>3</v>
      </c>
      <c r="K838" s="1" t="s">
        <v>4668</v>
      </c>
      <c r="L838" s="1" t="s">
        <v>649</v>
      </c>
      <c r="M838">
        <f t="shared" ref="M838:M901" si="27">IF(I838=0,0,$B$2-I838)</f>
        <v>4</v>
      </c>
      <c r="N838" t="s">
        <v>650</v>
      </c>
    </row>
    <row r="839" spans="1:14" hidden="1" x14ac:dyDescent="0.3">
      <c r="A839" s="1" t="s">
        <v>5047</v>
      </c>
      <c r="B839" s="1" t="s">
        <v>4561</v>
      </c>
      <c r="C839" s="1" t="s">
        <v>5048</v>
      </c>
      <c r="D839" s="1" t="s">
        <v>1395</v>
      </c>
      <c r="E839" s="1" t="s">
        <v>3905</v>
      </c>
      <c r="F839" s="1" t="s">
        <v>3906</v>
      </c>
      <c r="G839" s="1" t="s">
        <v>4887</v>
      </c>
      <c r="H839">
        <v>2020</v>
      </c>
      <c r="I839">
        <v>2022</v>
      </c>
      <c r="J839">
        <f t="shared" si="26"/>
        <v>3</v>
      </c>
      <c r="K839" s="1" t="s">
        <v>4668</v>
      </c>
      <c r="L839" s="1" t="s">
        <v>649</v>
      </c>
      <c r="M839">
        <f t="shared" si="27"/>
        <v>4</v>
      </c>
      <c r="N839" t="s">
        <v>650</v>
      </c>
    </row>
    <row r="840" spans="1:14" hidden="1" x14ac:dyDescent="0.3">
      <c r="A840" s="1" t="s">
        <v>5049</v>
      </c>
      <c r="B840" s="1" t="s">
        <v>4561</v>
      </c>
      <c r="C840" s="1" t="s">
        <v>5050</v>
      </c>
      <c r="D840" s="1" t="s">
        <v>1395</v>
      </c>
      <c r="E840" s="1" t="s">
        <v>3905</v>
      </c>
      <c r="F840" s="1" t="s">
        <v>3906</v>
      </c>
      <c r="G840" s="1" t="s">
        <v>4887</v>
      </c>
      <c r="H840">
        <v>2020</v>
      </c>
      <c r="I840">
        <v>2022</v>
      </c>
      <c r="J840">
        <f t="shared" si="26"/>
        <v>3</v>
      </c>
      <c r="K840" s="1" t="s">
        <v>4668</v>
      </c>
      <c r="L840" s="1" t="s">
        <v>649</v>
      </c>
      <c r="M840">
        <f t="shared" si="27"/>
        <v>4</v>
      </c>
      <c r="N840" t="s">
        <v>650</v>
      </c>
    </row>
    <row r="841" spans="1:14" hidden="1" x14ac:dyDescent="0.3">
      <c r="A841" s="1" t="s">
        <v>5057</v>
      </c>
      <c r="B841" s="1" t="s">
        <v>4561</v>
      </c>
      <c r="C841" s="1" t="s">
        <v>5058</v>
      </c>
      <c r="D841" s="1" t="s">
        <v>1395</v>
      </c>
      <c r="E841" s="1" t="s">
        <v>3905</v>
      </c>
      <c r="F841" s="1" t="s">
        <v>3906</v>
      </c>
      <c r="G841" s="1" t="s">
        <v>4887</v>
      </c>
      <c r="H841">
        <v>2016</v>
      </c>
      <c r="I841">
        <v>2016</v>
      </c>
      <c r="J841">
        <f t="shared" si="26"/>
        <v>1</v>
      </c>
      <c r="K841" s="1" t="s">
        <v>4668</v>
      </c>
      <c r="L841" s="1" t="s">
        <v>649</v>
      </c>
      <c r="M841">
        <f t="shared" si="27"/>
        <v>10</v>
      </c>
      <c r="N841" t="s">
        <v>650</v>
      </c>
    </row>
    <row r="842" spans="1:14" hidden="1" x14ac:dyDescent="0.3">
      <c r="A842" s="1" t="s">
        <v>5059</v>
      </c>
      <c r="B842" s="1" t="s">
        <v>4561</v>
      </c>
      <c r="C842" s="1" t="s">
        <v>5060</v>
      </c>
      <c r="D842" s="1" t="s">
        <v>1395</v>
      </c>
      <c r="E842" s="1" t="s">
        <v>3905</v>
      </c>
      <c r="F842" s="1" t="s">
        <v>3906</v>
      </c>
      <c r="G842" s="1" t="s">
        <v>4887</v>
      </c>
      <c r="H842">
        <v>2016</v>
      </c>
      <c r="I842">
        <v>2016</v>
      </c>
      <c r="J842">
        <f t="shared" si="26"/>
        <v>1</v>
      </c>
      <c r="K842" s="1" t="s">
        <v>4668</v>
      </c>
      <c r="L842" s="1" t="s">
        <v>649</v>
      </c>
      <c r="M842">
        <f t="shared" si="27"/>
        <v>10</v>
      </c>
      <c r="N842" t="s">
        <v>650</v>
      </c>
    </row>
    <row r="843" spans="1:14" hidden="1" x14ac:dyDescent="0.3">
      <c r="A843" s="1" t="s">
        <v>5061</v>
      </c>
      <c r="B843" s="1" t="s">
        <v>4561</v>
      </c>
      <c r="C843" s="1" t="s">
        <v>5062</v>
      </c>
      <c r="D843" s="1" t="s">
        <v>1395</v>
      </c>
      <c r="E843" s="1" t="s">
        <v>3905</v>
      </c>
      <c r="F843" s="1" t="s">
        <v>3906</v>
      </c>
      <c r="G843" s="1" t="s">
        <v>4887</v>
      </c>
      <c r="H843">
        <v>2016</v>
      </c>
      <c r="I843">
        <v>2016</v>
      </c>
      <c r="J843">
        <f t="shared" si="26"/>
        <v>1</v>
      </c>
      <c r="K843" s="1" t="s">
        <v>4668</v>
      </c>
      <c r="L843" s="1" t="s">
        <v>649</v>
      </c>
      <c r="M843">
        <f t="shared" si="27"/>
        <v>10</v>
      </c>
      <c r="N843" t="s">
        <v>650</v>
      </c>
    </row>
    <row r="844" spans="1:14" hidden="1" x14ac:dyDescent="0.3">
      <c r="A844" s="1" t="s">
        <v>5063</v>
      </c>
      <c r="B844" s="1" t="s">
        <v>4561</v>
      </c>
      <c r="C844" s="1" t="s">
        <v>5064</v>
      </c>
      <c r="D844" s="1" t="s">
        <v>1395</v>
      </c>
      <c r="E844" s="1" t="s">
        <v>3905</v>
      </c>
      <c r="F844" s="1" t="s">
        <v>3906</v>
      </c>
      <c r="G844" s="1" t="s">
        <v>4887</v>
      </c>
      <c r="H844">
        <v>2016</v>
      </c>
      <c r="I844">
        <v>2016</v>
      </c>
      <c r="J844">
        <f t="shared" si="26"/>
        <v>1</v>
      </c>
      <c r="K844" s="1" t="s">
        <v>4668</v>
      </c>
      <c r="L844" s="1" t="s">
        <v>649</v>
      </c>
      <c r="M844">
        <f t="shared" si="27"/>
        <v>10</v>
      </c>
      <c r="N844" t="s">
        <v>650</v>
      </c>
    </row>
    <row r="845" spans="1:14" x14ac:dyDescent="0.3">
      <c r="A845" s="1" t="s">
        <v>7354</v>
      </c>
      <c r="B845" s="1" t="s">
        <v>1849</v>
      </c>
      <c r="C845" s="1" t="s">
        <v>7355</v>
      </c>
      <c r="D845" s="1" t="s">
        <v>746</v>
      </c>
      <c r="E845" s="1" t="s">
        <v>6076</v>
      </c>
      <c r="F845" s="1" t="s">
        <v>6076</v>
      </c>
      <c r="G845" s="1" t="s">
        <v>7351</v>
      </c>
      <c r="H845">
        <v>2001</v>
      </c>
      <c r="I845">
        <v>2001</v>
      </c>
      <c r="J845">
        <f t="shared" si="26"/>
        <v>1</v>
      </c>
      <c r="K845" s="1" t="s">
        <v>6076</v>
      </c>
      <c r="L845" s="1" t="s">
        <v>6076</v>
      </c>
      <c r="M845">
        <f t="shared" si="27"/>
        <v>25</v>
      </c>
      <c r="N845" t="s">
        <v>640</v>
      </c>
    </row>
    <row r="846" spans="1:14" x14ac:dyDescent="0.3">
      <c r="A846" s="1" t="s">
        <v>7349</v>
      </c>
      <c r="B846" s="1" t="s">
        <v>1849</v>
      </c>
      <c r="C846" s="1" t="s">
        <v>7350</v>
      </c>
      <c r="D846" s="1" t="s">
        <v>746</v>
      </c>
      <c r="E846" s="1" t="s">
        <v>6076</v>
      </c>
      <c r="F846" s="1" t="s">
        <v>6076</v>
      </c>
      <c r="G846" s="1" t="s">
        <v>7351</v>
      </c>
      <c r="H846">
        <v>2000</v>
      </c>
      <c r="I846">
        <v>2003</v>
      </c>
      <c r="J846">
        <f t="shared" si="26"/>
        <v>4</v>
      </c>
      <c r="K846" s="1" t="s">
        <v>6076</v>
      </c>
      <c r="L846" s="1" t="s">
        <v>6076</v>
      </c>
      <c r="M846">
        <f t="shared" si="27"/>
        <v>23</v>
      </c>
      <c r="N846" t="s">
        <v>640</v>
      </c>
    </row>
    <row r="847" spans="1:14" x14ac:dyDescent="0.3">
      <c r="A847" s="1" t="s">
        <v>7352</v>
      </c>
      <c r="B847" s="1" t="s">
        <v>1849</v>
      </c>
      <c r="C847" s="1" t="s">
        <v>7353</v>
      </c>
      <c r="D847" s="1" t="s">
        <v>746</v>
      </c>
      <c r="E847" s="1" t="s">
        <v>6076</v>
      </c>
      <c r="F847" s="1" t="s">
        <v>6076</v>
      </c>
      <c r="G847" s="1" t="s">
        <v>7351</v>
      </c>
      <c r="H847">
        <v>2000</v>
      </c>
      <c r="I847">
        <v>2002</v>
      </c>
      <c r="J847">
        <f t="shared" si="26"/>
        <v>3</v>
      </c>
      <c r="K847" s="1" t="s">
        <v>6076</v>
      </c>
      <c r="L847" s="1" t="s">
        <v>6076</v>
      </c>
      <c r="M847">
        <f t="shared" si="27"/>
        <v>24</v>
      </c>
      <c r="N847" t="s">
        <v>640</v>
      </c>
    </row>
    <row r="848" spans="1:14" x14ac:dyDescent="0.3">
      <c r="A848" s="1" t="s">
        <v>7356</v>
      </c>
      <c r="B848" s="1" t="s">
        <v>1849</v>
      </c>
      <c r="C848" s="1" t="s">
        <v>7357</v>
      </c>
      <c r="D848" s="1" t="s">
        <v>746</v>
      </c>
      <c r="E848" s="1" t="s">
        <v>6076</v>
      </c>
      <c r="F848" s="1" t="s">
        <v>6076</v>
      </c>
      <c r="G848" s="1" t="s">
        <v>7351</v>
      </c>
      <c r="H848">
        <v>2000</v>
      </c>
      <c r="I848">
        <v>2001</v>
      </c>
      <c r="J848">
        <f t="shared" si="26"/>
        <v>2</v>
      </c>
      <c r="K848" s="1" t="s">
        <v>6076</v>
      </c>
      <c r="L848" s="1" t="s">
        <v>6076</v>
      </c>
      <c r="M848">
        <f t="shared" si="27"/>
        <v>25</v>
      </c>
      <c r="N848" t="s">
        <v>640</v>
      </c>
    </row>
    <row r="849" spans="1:14" x14ac:dyDescent="0.3">
      <c r="A849" s="1" t="s">
        <v>7358</v>
      </c>
      <c r="B849" s="1" t="s">
        <v>1205</v>
      </c>
      <c r="C849" s="1" t="s">
        <v>7359</v>
      </c>
      <c r="D849" s="1" t="s">
        <v>738</v>
      </c>
      <c r="E849" s="1" t="s">
        <v>6076</v>
      </c>
      <c r="F849" s="1" t="s">
        <v>6076</v>
      </c>
      <c r="G849" s="1" t="s">
        <v>7360</v>
      </c>
      <c r="H849">
        <v>1995</v>
      </c>
      <c r="I849">
        <v>1995</v>
      </c>
      <c r="J849">
        <f t="shared" si="26"/>
        <v>1</v>
      </c>
      <c r="K849" s="1" t="s">
        <v>6076</v>
      </c>
      <c r="L849" s="1" t="s">
        <v>6076</v>
      </c>
      <c r="M849">
        <f t="shared" si="27"/>
        <v>31</v>
      </c>
      <c r="N849" t="s">
        <v>640</v>
      </c>
    </row>
    <row r="850" spans="1:14" x14ac:dyDescent="0.3">
      <c r="A850" s="1" t="s">
        <v>375</v>
      </c>
      <c r="B850" s="1" t="s">
        <v>5940</v>
      </c>
      <c r="C850" s="1" t="s">
        <v>376</v>
      </c>
      <c r="D850" s="1" t="s">
        <v>738</v>
      </c>
      <c r="E850" s="1" t="s">
        <v>6076</v>
      </c>
      <c r="F850" s="1" t="s">
        <v>6076</v>
      </c>
      <c r="G850" s="1" t="s">
        <v>6383</v>
      </c>
      <c r="H850">
        <v>1995</v>
      </c>
      <c r="I850">
        <v>1995</v>
      </c>
      <c r="J850">
        <f t="shared" si="26"/>
        <v>1</v>
      </c>
      <c r="K850" s="1" t="s">
        <v>6076</v>
      </c>
      <c r="L850" s="1" t="s">
        <v>6076</v>
      </c>
      <c r="M850">
        <f t="shared" si="27"/>
        <v>31</v>
      </c>
    </row>
    <row r="851" spans="1:14" x14ac:dyDescent="0.3">
      <c r="A851" t="s">
        <v>11243</v>
      </c>
      <c r="B851" t="s">
        <v>10998</v>
      </c>
      <c r="C851" t="s">
        <v>11244</v>
      </c>
      <c r="E851" s="1" t="s">
        <v>6076</v>
      </c>
      <c r="F851" s="1" t="s">
        <v>6076</v>
      </c>
      <c r="G851" s="1" t="s">
        <v>12802</v>
      </c>
      <c r="H851">
        <v>1994</v>
      </c>
      <c r="I851">
        <v>1995</v>
      </c>
      <c r="J851">
        <f t="shared" si="26"/>
        <v>2</v>
      </c>
      <c r="K851" s="1" t="s">
        <v>6076</v>
      </c>
      <c r="L851" s="1" t="s">
        <v>6076</v>
      </c>
      <c r="M851">
        <f t="shared" si="27"/>
        <v>31</v>
      </c>
    </row>
    <row r="852" spans="1:14" x14ac:dyDescent="0.3">
      <c r="A852" s="1" t="s">
        <v>7364</v>
      </c>
      <c r="B852" s="1" t="s">
        <v>2154</v>
      </c>
      <c r="C852" s="1" t="s">
        <v>7365</v>
      </c>
      <c r="D852" s="1" t="s">
        <v>1242</v>
      </c>
      <c r="E852" s="1" t="s">
        <v>6076</v>
      </c>
      <c r="F852" s="1" t="s">
        <v>6076</v>
      </c>
      <c r="G852" s="1" t="s">
        <v>7363</v>
      </c>
      <c r="H852">
        <v>1994</v>
      </c>
      <c r="I852">
        <v>1996</v>
      </c>
      <c r="J852">
        <f t="shared" si="26"/>
        <v>3</v>
      </c>
      <c r="K852" s="1" t="s">
        <v>6076</v>
      </c>
      <c r="L852" s="1" t="s">
        <v>6076</v>
      </c>
      <c r="M852">
        <f t="shared" si="27"/>
        <v>30</v>
      </c>
      <c r="N852" t="s">
        <v>640</v>
      </c>
    </row>
    <row r="853" spans="1:14" x14ac:dyDescent="0.3">
      <c r="A853" s="1" t="s">
        <v>7361</v>
      </c>
      <c r="B853" s="1" t="s">
        <v>672</v>
      </c>
      <c r="C853" s="1" t="s">
        <v>7362</v>
      </c>
      <c r="D853" s="1" t="s">
        <v>746</v>
      </c>
      <c r="E853" s="1" t="s">
        <v>6076</v>
      </c>
      <c r="F853" s="1" t="s">
        <v>6076</v>
      </c>
      <c r="G853" s="1" t="s">
        <v>7363</v>
      </c>
      <c r="H853">
        <v>1992</v>
      </c>
      <c r="I853">
        <v>1995</v>
      </c>
      <c r="J853">
        <f t="shared" si="26"/>
        <v>4</v>
      </c>
      <c r="K853" s="1" t="s">
        <v>6076</v>
      </c>
      <c r="L853" s="1" t="s">
        <v>6076</v>
      </c>
      <c r="M853">
        <f t="shared" si="27"/>
        <v>31</v>
      </c>
      <c r="N853" t="s">
        <v>640</v>
      </c>
    </row>
    <row r="854" spans="1:14" hidden="1" x14ac:dyDescent="0.3">
      <c r="A854" s="1" t="s">
        <v>4911</v>
      </c>
      <c r="B854" s="1" t="s">
        <v>1849</v>
      </c>
      <c r="C854" s="1" t="s">
        <v>4912</v>
      </c>
      <c r="D854" s="1" t="s">
        <v>738</v>
      </c>
      <c r="E854" s="1" t="s">
        <v>4892</v>
      </c>
      <c r="F854" s="1" t="s">
        <v>4893</v>
      </c>
      <c r="G854" s="1" t="s">
        <v>4913</v>
      </c>
      <c r="H854">
        <v>2011</v>
      </c>
      <c r="I854">
        <v>2020</v>
      </c>
      <c r="J854">
        <f t="shared" si="26"/>
        <v>10</v>
      </c>
      <c r="K854" s="1" t="s">
        <v>4668</v>
      </c>
      <c r="L854" s="1" t="s">
        <v>3793</v>
      </c>
      <c r="M854">
        <f t="shared" si="27"/>
        <v>6</v>
      </c>
      <c r="N854" t="s">
        <v>650</v>
      </c>
    </row>
    <row r="855" spans="1:14" x14ac:dyDescent="0.3">
      <c r="A855" s="1" t="s">
        <v>6922</v>
      </c>
      <c r="B855" s="1" t="s">
        <v>1849</v>
      </c>
      <c r="C855" s="1" t="s">
        <v>6923</v>
      </c>
      <c r="D855" s="1" t="s">
        <v>738</v>
      </c>
      <c r="E855" s="1" t="s">
        <v>6076</v>
      </c>
      <c r="F855" s="1" t="s">
        <v>6076</v>
      </c>
      <c r="G855" s="1" t="s">
        <v>4913</v>
      </c>
      <c r="H855">
        <v>2007</v>
      </c>
      <c r="I855">
        <v>2011</v>
      </c>
      <c r="J855">
        <f t="shared" si="26"/>
        <v>5</v>
      </c>
      <c r="K855" s="1" t="s">
        <v>6076</v>
      </c>
      <c r="L855" s="1" t="s">
        <v>6076</v>
      </c>
      <c r="M855">
        <f t="shared" si="27"/>
        <v>15</v>
      </c>
      <c r="N855" t="s">
        <v>640</v>
      </c>
    </row>
    <row r="856" spans="1:14" x14ac:dyDescent="0.3">
      <c r="A856" s="1" t="s">
        <v>7371</v>
      </c>
      <c r="B856" s="1" t="s">
        <v>4665</v>
      </c>
      <c r="C856" s="1" t="s">
        <v>7372</v>
      </c>
      <c r="D856" s="1" t="s">
        <v>738</v>
      </c>
      <c r="E856" s="1" t="s">
        <v>6076</v>
      </c>
      <c r="F856" s="1" t="s">
        <v>6076</v>
      </c>
      <c r="G856" s="1" t="s">
        <v>7368</v>
      </c>
      <c r="H856">
        <v>1995</v>
      </c>
      <c r="I856">
        <v>1999</v>
      </c>
      <c r="J856">
        <f t="shared" si="26"/>
        <v>5</v>
      </c>
      <c r="K856" s="1" t="s">
        <v>6076</v>
      </c>
      <c r="L856" s="1" t="s">
        <v>6076</v>
      </c>
      <c r="M856">
        <f t="shared" si="27"/>
        <v>27</v>
      </c>
      <c r="N856" t="s">
        <v>640</v>
      </c>
    </row>
    <row r="857" spans="1:14" x14ac:dyDescent="0.3">
      <c r="A857" s="1" t="s">
        <v>7369</v>
      </c>
      <c r="B857" s="1" t="s">
        <v>4665</v>
      </c>
      <c r="C857" s="1" t="s">
        <v>7370</v>
      </c>
      <c r="D857" s="1" t="s">
        <v>738</v>
      </c>
      <c r="E857" s="1" t="s">
        <v>6076</v>
      </c>
      <c r="F857" s="1" t="s">
        <v>6076</v>
      </c>
      <c r="G857" s="1" t="s">
        <v>7368</v>
      </c>
      <c r="H857">
        <v>1995</v>
      </c>
      <c r="I857">
        <v>2000</v>
      </c>
      <c r="J857">
        <f t="shared" si="26"/>
        <v>6</v>
      </c>
      <c r="K857" s="1" t="s">
        <v>6076</v>
      </c>
      <c r="L857" s="1" t="s">
        <v>6076</v>
      </c>
      <c r="M857">
        <f t="shared" si="27"/>
        <v>26</v>
      </c>
      <c r="N857" t="s">
        <v>640</v>
      </c>
    </row>
    <row r="858" spans="1:14" x14ac:dyDescent="0.3">
      <c r="A858" s="1" t="s">
        <v>7366</v>
      </c>
      <c r="B858" s="1" t="s">
        <v>4665</v>
      </c>
      <c r="C858" s="1" t="s">
        <v>7367</v>
      </c>
      <c r="D858" s="1" t="s">
        <v>738</v>
      </c>
      <c r="E858" s="1" t="s">
        <v>6076</v>
      </c>
      <c r="F858" s="1" t="s">
        <v>6076</v>
      </c>
      <c r="G858" s="1" t="s">
        <v>7368</v>
      </c>
      <c r="H858">
        <v>1997</v>
      </c>
      <c r="I858">
        <v>2000</v>
      </c>
      <c r="J858">
        <f t="shared" si="26"/>
        <v>4</v>
      </c>
      <c r="K858" s="1" t="s">
        <v>6076</v>
      </c>
      <c r="L858" s="1" t="s">
        <v>6076</v>
      </c>
      <c r="M858">
        <f t="shared" si="27"/>
        <v>26</v>
      </c>
      <c r="N858" t="s">
        <v>640</v>
      </c>
    </row>
    <row r="859" spans="1:14" x14ac:dyDescent="0.3">
      <c r="A859" s="1" t="s">
        <v>6384</v>
      </c>
      <c r="B859" s="1" t="s">
        <v>1205</v>
      </c>
      <c r="C859" s="1" t="s">
        <v>6385</v>
      </c>
      <c r="D859" s="1" t="s">
        <v>1242</v>
      </c>
      <c r="E859" s="1" t="s">
        <v>6076</v>
      </c>
      <c r="F859" s="1" t="s">
        <v>6076</v>
      </c>
      <c r="G859" s="1" t="s">
        <v>6386</v>
      </c>
      <c r="H859">
        <v>1999</v>
      </c>
      <c r="I859">
        <v>1999</v>
      </c>
      <c r="J859">
        <f t="shared" si="26"/>
        <v>1</v>
      </c>
      <c r="K859" s="1" t="s">
        <v>6076</v>
      </c>
      <c r="L859" s="1" t="s">
        <v>6076</v>
      </c>
      <c r="M859">
        <f t="shared" si="27"/>
        <v>27</v>
      </c>
      <c r="N859" t="s">
        <v>640</v>
      </c>
    </row>
    <row r="860" spans="1:14" x14ac:dyDescent="0.3">
      <c r="A860" s="1" t="s">
        <v>6387</v>
      </c>
      <c r="B860" s="1" t="s">
        <v>1205</v>
      </c>
      <c r="C860" s="1" t="s">
        <v>6388</v>
      </c>
      <c r="D860" s="1" t="s">
        <v>1242</v>
      </c>
      <c r="E860" s="1" t="s">
        <v>6076</v>
      </c>
      <c r="F860" s="1" t="s">
        <v>6076</v>
      </c>
      <c r="G860" s="1" t="s">
        <v>6386</v>
      </c>
      <c r="H860">
        <v>1985</v>
      </c>
      <c r="I860">
        <v>2001</v>
      </c>
      <c r="J860">
        <f t="shared" si="26"/>
        <v>17</v>
      </c>
      <c r="K860" s="1" t="s">
        <v>6076</v>
      </c>
      <c r="L860" s="1" t="s">
        <v>6076</v>
      </c>
      <c r="M860">
        <f t="shared" si="27"/>
        <v>25</v>
      </c>
      <c r="N860" t="s">
        <v>640</v>
      </c>
    </row>
    <row r="861" spans="1:14" x14ac:dyDescent="0.3">
      <c r="A861" s="1" t="s">
        <v>6389</v>
      </c>
      <c r="B861" s="1" t="s">
        <v>1205</v>
      </c>
      <c r="C861" s="1" t="s">
        <v>6390</v>
      </c>
      <c r="D861" s="1" t="s">
        <v>1242</v>
      </c>
      <c r="E861" s="1" t="s">
        <v>6076</v>
      </c>
      <c r="F861" s="1" t="s">
        <v>6076</v>
      </c>
      <c r="G861" s="1" t="s">
        <v>6386</v>
      </c>
      <c r="H861">
        <v>1985</v>
      </c>
      <c r="I861">
        <v>2001</v>
      </c>
      <c r="J861">
        <f t="shared" si="26"/>
        <v>17</v>
      </c>
      <c r="K861" s="1" t="s">
        <v>6076</v>
      </c>
      <c r="L861" s="1" t="s">
        <v>6076</v>
      </c>
      <c r="M861">
        <f t="shared" si="27"/>
        <v>25</v>
      </c>
      <c r="N861" t="s">
        <v>640</v>
      </c>
    </row>
    <row r="862" spans="1:14" x14ac:dyDescent="0.3">
      <c r="A862" s="1" t="s">
        <v>6391</v>
      </c>
      <c r="B862" s="1" t="s">
        <v>1205</v>
      </c>
      <c r="C862" s="1" t="s">
        <v>6392</v>
      </c>
      <c r="D862" s="1" t="s">
        <v>1242</v>
      </c>
      <c r="E862" s="1" t="s">
        <v>6076</v>
      </c>
      <c r="F862" s="1" t="s">
        <v>6076</v>
      </c>
      <c r="G862" s="1" t="s">
        <v>6386</v>
      </c>
      <c r="H862">
        <v>1985</v>
      </c>
      <c r="I862">
        <v>2001</v>
      </c>
      <c r="J862">
        <f t="shared" si="26"/>
        <v>17</v>
      </c>
      <c r="K862" s="1" t="s">
        <v>6076</v>
      </c>
      <c r="L862" s="1" t="s">
        <v>6076</v>
      </c>
      <c r="M862">
        <f t="shared" si="27"/>
        <v>25</v>
      </c>
      <c r="N862" t="s">
        <v>640</v>
      </c>
    </row>
    <row r="863" spans="1:14" x14ac:dyDescent="0.3">
      <c r="A863" s="1" t="s">
        <v>6393</v>
      </c>
      <c r="B863" s="1" t="s">
        <v>1205</v>
      </c>
      <c r="C863" s="1" t="s">
        <v>6394</v>
      </c>
      <c r="D863" s="1" t="s">
        <v>1242</v>
      </c>
      <c r="E863" s="1" t="s">
        <v>6076</v>
      </c>
      <c r="F863" s="1" t="s">
        <v>6076</v>
      </c>
      <c r="G863" s="1" t="s">
        <v>6386</v>
      </c>
      <c r="H863">
        <v>1987</v>
      </c>
      <c r="I863">
        <v>2001</v>
      </c>
      <c r="J863">
        <f t="shared" si="26"/>
        <v>15</v>
      </c>
      <c r="K863" s="1" t="s">
        <v>6076</v>
      </c>
      <c r="L863" s="1" t="s">
        <v>6076</v>
      </c>
      <c r="M863">
        <f t="shared" si="27"/>
        <v>25</v>
      </c>
      <c r="N863" t="s">
        <v>640</v>
      </c>
    </row>
    <row r="864" spans="1:14" x14ac:dyDescent="0.3">
      <c r="A864" s="1" t="s">
        <v>6395</v>
      </c>
      <c r="B864" s="1" t="s">
        <v>1205</v>
      </c>
      <c r="C864" s="1" t="s">
        <v>6396</v>
      </c>
      <c r="D864" s="1" t="s">
        <v>1242</v>
      </c>
      <c r="E864" s="1" t="s">
        <v>6076</v>
      </c>
      <c r="F864" s="1" t="s">
        <v>6076</v>
      </c>
      <c r="G864" s="1" t="s">
        <v>6386</v>
      </c>
      <c r="H864">
        <v>1999</v>
      </c>
      <c r="I864">
        <v>2001</v>
      </c>
      <c r="J864">
        <f t="shared" si="26"/>
        <v>3</v>
      </c>
      <c r="K864" s="1" t="s">
        <v>6076</v>
      </c>
      <c r="L864" s="1" t="s">
        <v>6076</v>
      </c>
      <c r="M864">
        <f t="shared" si="27"/>
        <v>25</v>
      </c>
      <c r="N864" t="s">
        <v>640</v>
      </c>
    </row>
    <row r="865" spans="1:14" x14ac:dyDescent="0.3">
      <c r="A865" s="1" t="s">
        <v>6397</v>
      </c>
      <c r="B865" s="1" t="s">
        <v>1205</v>
      </c>
      <c r="C865" s="1" t="s">
        <v>6398</v>
      </c>
      <c r="D865" s="1" t="s">
        <v>1242</v>
      </c>
      <c r="E865" s="1" t="s">
        <v>6076</v>
      </c>
      <c r="F865" s="1" t="s">
        <v>6076</v>
      </c>
      <c r="G865" s="1" t="s">
        <v>6386</v>
      </c>
      <c r="H865">
        <v>1985</v>
      </c>
      <c r="I865">
        <v>2001</v>
      </c>
      <c r="J865">
        <f t="shared" si="26"/>
        <v>17</v>
      </c>
      <c r="K865" s="1" t="s">
        <v>6076</v>
      </c>
      <c r="L865" s="1" t="s">
        <v>6076</v>
      </c>
      <c r="M865">
        <f t="shared" si="27"/>
        <v>25</v>
      </c>
      <c r="N865" t="s">
        <v>640</v>
      </c>
    </row>
    <row r="866" spans="1:14" x14ac:dyDescent="0.3">
      <c r="A866" s="1" t="s">
        <v>6399</v>
      </c>
      <c r="B866" s="1" t="s">
        <v>1205</v>
      </c>
      <c r="C866" s="1" t="s">
        <v>6400</v>
      </c>
      <c r="D866" s="1" t="s">
        <v>1242</v>
      </c>
      <c r="E866" s="1" t="s">
        <v>6076</v>
      </c>
      <c r="F866" s="1" t="s">
        <v>6076</v>
      </c>
      <c r="G866" s="1" t="s">
        <v>6386</v>
      </c>
      <c r="H866">
        <v>1985</v>
      </c>
      <c r="I866">
        <v>2001</v>
      </c>
      <c r="J866">
        <f t="shared" si="26"/>
        <v>17</v>
      </c>
      <c r="K866" s="1" t="s">
        <v>6076</v>
      </c>
      <c r="L866" s="1" t="s">
        <v>6076</v>
      </c>
      <c r="M866">
        <f t="shared" si="27"/>
        <v>25</v>
      </c>
      <c r="N866" t="s">
        <v>640</v>
      </c>
    </row>
    <row r="867" spans="1:14" hidden="1" x14ac:dyDescent="0.3">
      <c r="A867" t="s">
        <v>11181</v>
      </c>
      <c r="B867" t="s">
        <v>672</v>
      </c>
      <c r="C867" t="s">
        <v>11182</v>
      </c>
      <c r="E867" s="1" t="e">
        <v>#N/A</v>
      </c>
      <c r="F867" s="1" t="e">
        <v>#N/A</v>
      </c>
      <c r="G867" s="1" t="s">
        <v>12799</v>
      </c>
      <c r="H867">
        <v>2025</v>
      </c>
      <c r="I867">
        <v>2026</v>
      </c>
      <c r="J867">
        <f t="shared" si="26"/>
        <v>2</v>
      </c>
      <c r="K867" s="1" t="s">
        <v>3665</v>
      </c>
      <c r="L867" s="1" t="s">
        <v>649</v>
      </c>
      <c r="M867">
        <f t="shared" si="27"/>
        <v>0</v>
      </c>
    </row>
    <row r="868" spans="1:14" hidden="1" x14ac:dyDescent="0.3">
      <c r="A868" t="s">
        <v>11183</v>
      </c>
      <c r="B868" t="s">
        <v>672</v>
      </c>
      <c r="C868" t="s">
        <v>11184</v>
      </c>
      <c r="E868" s="1" t="e">
        <v>#N/A</v>
      </c>
      <c r="F868" s="1" t="e">
        <v>#N/A</v>
      </c>
      <c r="G868" s="1" t="s">
        <v>12799</v>
      </c>
      <c r="H868">
        <v>2025</v>
      </c>
      <c r="I868">
        <v>2026</v>
      </c>
      <c r="J868">
        <f t="shared" si="26"/>
        <v>2</v>
      </c>
      <c r="K868" s="1" t="s">
        <v>3665</v>
      </c>
      <c r="L868" s="1" t="s">
        <v>649</v>
      </c>
      <c r="M868">
        <f t="shared" si="27"/>
        <v>0</v>
      </c>
    </row>
    <row r="869" spans="1:14" hidden="1" x14ac:dyDescent="0.3">
      <c r="A869" t="s">
        <v>11185</v>
      </c>
      <c r="B869" t="s">
        <v>672</v>
      </c>
      <c r="C869" t="s">
        <v>11186</v>
      </c>
      <c r="E869" s="1" t="e">
        <v>#N/A</v>
      </c>
      <c r="F869" s="1" t="e">
        <v>#N/A</v>
      </c>
      <c r="G869" s="1" t="s">
        <v>12799</v>
      </c>
      <c r="H869">
        <v>2025</v>
      </c>
      <c r="I869">
        <v>2026</v>
      </c>
      <c r="J869">
        <f t="shared" si="26"/>
        <v>2</v>
      </c>
      <c r="K869" s="1" t="s">
        <v>3665</v>
      </c>
      <c r="L869" s="1" t="s">
        <v>649</v>
      </c>
      <c r="M869">
        <f t="shared" si="27"/>
        <v>0</v>
      </c>
    </row>
    <row r="870" spans="1:14" hidden="1" x14ac:dyDescent="0.3">
      <c r="A870" t="s">
        <v>11187</v>
      </c>
      <c r="B870" t="s">
        <v>672</v>
      </c>
      <c r="C870" t="s">
        <v>11188</v>
      </c>
      <c r="E870" s="1" t="e">
        <v>#N/A</v>
      </c>
      <c r="F870" s="1" t="e">
        <v>#N/A</v>
      </c>
      <c r="G870" s="1" t="s">
        <v>12799</v>
      </c>
      <c r="H870">
        <v>2025</v>
      </c>
      <c r="I870">
        <v>2025</v>
      </c>
      <c r="J870">
        <f t="shared" si="26"/>
        <v>1</v>
      </c>
      <c r="K870" s="1" t="s">
        <v>3665</v>
      </c>
      <c r="L870" s="1" t="s">
        <v>649</v>
      </c>
      <c r="M870">
        <f t="shared" si="27"/>
        <v>1</v>
      </c>
    </row>
    <row r="871" spans="1:14" hidden="1" x14ac:dyDescent="0.3">
      <c r="A871" t="s">
        <v>11189</v>
      </c>
      <c r="B871" t="s">
        <v>672</v>
      </c>
      <c r="C871" t="s">
        <v>11190</v>
      </c>
      <c r="E871" s="1" t="e">
        <v>#N/A</v>
      </c>
      <c r="F871" s="1" t="e">
        <v>#N/A</v>
      </c>
      <c r="G871" s="1" t="s">
        <v>12799</v>
      </c>
      <c r="H871">
        <v>2025</v>
      </c>
      <c r="I871">
        <v>2026</v>
      </c>
      <c r="J871">
        <f t="shared" si="26"/>
        <v>2</v>
      </c>
      <c r="K871" s="1" t="s">
        <v>3665</v>
      </c>
      <c r="L871" s="1" t="s">
        <v>649</v>
      </c>
      <c r="M871">
        <f t="shared" si="27"/>
        <v>0</v>
      </c>
    </row>
    <row r="872" spans="1:14" x14ac:dyDescent="0.3">
      <c r="A872" t="s">
        <v>11417</v>
      </c>
      <c r="B872" t="s">
        <v>1451</v>
      </c>
      <c r="C872" t="s">
        <v>11418</v>
      </c>
      <c r="E872" s="1" t="s">
        <v>6076</v>
      </c>
      <c r="F872" s="1" t="s">
        <v>6076</v>
      </c>
      <c r="G872" s="1" t="s">
        <v>12818</v>
      </c>
      <c r="H872">
        <v>1985</v>
      </c>
      <c r="I872">
        <v>1986</v>
      </c>
      <c r="J872">
        <f t="shared" si="26"/>
        <v>2</v>
      </c>
      <c r="K872" s="1" t="s">
        <v>6076</v>
      </c>
      <c r="L872" s="1" t="s">
        <v>6076</v>
      </c>
      <c r="M872">
        <f t="shared" si="27"/>
        <v>40</v>
      </c>
    </row>
    <row r="873" spans="1:14" x14ac:dyDescent="0.3">
      <c r="A873" t="s">
        <v>11419</v>
      </c>
      <c r="B873" t="s">
        <v>1451</v>
      </c>
      <c r="C873" t="s">
        <v>11420</v>
      </c>
      <c r="E873" s="1" t="s">
        <v>6076</v>
      </c>
      <c r="F873" s="1" t="s">
        <v>6076</v>
      </c>
      <c r="G873" s="1" t="s">
        <v>12818</v>
      </c>
      <c r="H873">
        <v>1985</v>
      </c>
      <c r="I873">
        <v>1986</v>
      </c>
      <c r="J873">
        <f t="shared" si="26"/>
        <v>2</v>
      </c>
      <c r="K873" s="1" t="s">
        <v>6076</v>
      </c>
      <c r="L873" s="1" t="s">
        <v>6076</v>
      </c>
      <c r="M873">
        <f t="shared" si="27"/>
        <v>40</v>
      </c>
    </row>
    <row r="874" spans="1:14" hidden="1" x14ac:dyDescent="0.3">
      <c r="A874" s="1" t="s">
        <v>671</v>
      </c>
      <c r="B874" s="1" t="s">
        <v>672</v>
      </c>
      <c r="C874" s="1" t="s">
        <v>673</v>
      </c>
      <c r="D874" s="1" t="s">
        <v>644</v>
      </c>
      <c r="E874" s="1" t="s">
        <v>674</v>
      </c>
      <c r="F874" s="1" t="s">
        <v>675</v>
      </c>
      <c r="G874" s="1" t="s">
        <v>676</v>
      </c>
      <c r="H874">
        <v>2018</v>
      </c>
      <c r="I874">
        <v>2019</v>
      </c>
      <c r="J874">
        <f t="shared" si="26"/>
        <v>2</v>
      </c>
      <c r="K874" s="1" t="s">
        <v>648</v>
      </c>
      <c r="L874" s="1" t="s">
        <v>659</v>
      </c>
      <c r="M874">
        <f t="shared" si="27"/>
        <v>7</v>
      </c>
      <c r="N874" t="s">
        <v>650</v>
      </c>
    </row>
    <row r="875" spans="1:14" x14ac:dyDescent="0.3">
      <c r="A875" s="1" t="s">
        <v>7373</v>
      </c>
      <c r="B875" s="1" t="s">
        <v>672</v>
      </c>
      <c r="C875" s="1" t="s">
        <v>7374</v>
      </c>
      <c r="D875" s="1" t="s">
        <v>644</v>
      </c>
      <c r="E875" s="1" t="s">
        <v>6076</v>
      </c>
      <c r="F875" s="1" t="s">
        <v>6076</v>
      </c>
      <c r="G875" s="1" t="s">
        <v>676</v>
      </c>
      <c r="H875">
        <v>2005</v>
      </c>
      <c r="I875">
        <v>2007</v>
      </c>
      <c r="J875">
        <f t="shared" si="26"/>
        <v>3</v>
      </c>
      <c r="K875" s="1" t="s">
        <v>6076</v>
      </c>
      <c r="L875" s="1" t="s">
        <v>6076</v>
      </c>
      <c r="M875">
        <f t="shared" si="27"/>
        <v>19</v>
      </c>
      <c r="N875" t="s">
        <v>640</v>
      </c>
    </row>
    <row r="876" spans="1:14" x14ac:dyDescent="0.3">
      <c r="A876" s="1" t="s">
        <v>7377</v>
      </c>
      <c r="B876" s="1" t="s">
        <v>672</v>
      </c>
      <c r="C876" s="1" t="s">
        <v>7378</v>
      </c>
      <c r="D876" s="1" t="s">
        <v>644</v>
      </c>
      <c r="E876" s="1" t="s">
        <v>6076</v>
      </c>
      <c r="F876" s="1" t="s">
        <v>6076</v>
      </c>
      <c r="G876" s="1" t="s">
        <v>676</v>
      </c>
      <c r="H876">
        <v>1998</v>
      </c>
      <c r="I876">
        <v>2001</v>
      </c>
      <c r="J876">
        <f t="shared" si="26"/>
        <v>4</v>
      </c>
      <c r="K876" s="1" t="s">
        <v>6076</v>
      </c>
      <c r="L876" s="1" t="s">
        <v>6076</v>
      </c>
      <c r="M876">
        <f t="shared" si="27"/>
        <v>25</v>
      </c>
      <c r="N876" t="s">
        <v>640</v>
      </c>
    </row>
    <row r="877" spans="1:14" x14ac:dyDescent="0.3">
      <c r="A877" s="1" t="s">
        <v>7375</v>
      </c>
      <c r="B877" s="1" t="s">
        <v>672</v>
      </c>
      <c r="C877" s="1" t="s">
        <v>7376</v>
      </c>
      <c r="D877" s="1" t="s">
        <v>644</v>
      </c>
      <c r="E877" s="1" t="s">
        <v>6076</v>
      </c>
      <c r="F877" s="1" t="s">
        <v>6076</v>
      </c>
      <c r="G877" s="1" t="s">
        <v>676</v>
      </c>
      <c r="H877">
        <v>1999</v>
      </c>
      <c r="I877">
        <v>2002</v>
      </c>
      <c r="J877">
        <f t="shared" si="26"/>
        <v>4</v>
      </c>
      <c r="K877" s="1" t="s">
        <v>6076</v>
      </c>
      <c r="L877" s="1" t="s">
        <v>6076</v>
      </c>
      <c r="M877">
        <f t="shared" si="27"/>
        <v>24</v>
      </c>
      <c r="N877" t="s">
        <v>640</v>
      </c>
    </row>
    <row r="878" spans="1:14" x14ac:dyDescent="0.3">
      <c r="A878" s="1" t="s">
        <v>7390</v>
      </c>
      <c r="B878" s="1" t="s">
        <v>2667</v>
      </c>
      <c r="C878" s="1" t="s">
        <v>7391</v>
      </c>
      <c r="D878" s="1" t="s">
        <v>644</v>
      </c>
      <c r="E878" s="1" t="s">
        <v>6076</v>
      </c>
      <c r="F878" s="1" t="s">
        <v>6076</v>
      </c>
      <c r="G878" s="1" t="s">
        <v>7381</v>
      </c>
      <c r="H878">
        <v>1993</v>
      </c>
      <c r="I878">
        <v>1999</v>
      </c>
      <c r="J878">
        <f t="shared" si="26"/>
        <v>7</v>
      </c>
      <c r="K878" s="1" t="s">
        <v>6076</v>
      </c>
      <c r="L878" s="1" t="s">
        <v>6076</v>
      </c>
      <c r="M878">
        <f t="shared" si="27"/>
        <v>27</v>
      </c>
      <c r="N878" t="s">
        <v>640</v>
      </c>
    </row>
    <row r="879" spans="1:14" x14ac:dyDescent="0.3">
      <c r="A879" s="1" t="s">
        <v>7392</v>
      </c>
      <c r="B879" s="1" t="s">
        <v>2667</v>
      </c>
      <c r="C879" s="1" t="s">
        <v>7393</v>
      </c>
      <c r="D879" s="1" t="s">
        <v>644</v>
      </c>
      <c r="E879" s="1" t="s">
        <v>6076</v>
      </c>
      <c r="F879" s="1" t="s">
        <v>6076</v>
      </c>
      <c r="G879" s="1" t="s">
        <v>7381</v>
      </c>
      <c r="H879">
        <v>1993</v>
      </c>
      <c r="I879">
        <v>1998</v>
      </c>
      <c r="J879">
        <f t="shared" si="26"/>
        <v>6</v>
      </c>
      <c r="K879" s="1" t="s">
        <v>6076</v>
      </c>
      <c r="L879" s="1" t="s">
        <v>6076</v>
      </c>
      <c r="M879">
        <f t="shared" si="27"/>
        <v>28</v>
      </c>
      <c r="N879" t="s">
        <v>640</v>
      </c>
    </row>
    <row r="880" spans="1:14" x14ac:dyDescent="0.3">
      <c r="A880" s="1" t="s">
        <v>7394</v>
      </c>
      <c r="B880" s="1" t="s">
        <v>2667</v>
      </c>
      <c r="C880" s="1" t="s">
        <v>7395</v>
      </c>
      <c r="D880" s="1" t="s">
        <v>644</v>
      </c>
      <c r="E880" s="1" t="s">
        <v>6076</v>
      </c>
      <c r="F880" s="1" t="s">
        <v>6076</v>
      </c>
      <c r="G880" s="1" t="s">
        <v>7381</v>
      </c>
      <c r="H880">
        <v>1993</v>
      </c>
      <c r="I880">
        <v>1998</v>
      </c>
      <c r="J880">
        <f t="shared" si="26"/>
        <v>6</v>
      </c>
      <c r="K880" s="1" t="s">
        <v>6076</v>
      </c>
      <c r="L880" s="1" t="s">
        <v>6076</v>
      </c>
      <c r="M880">
        <f t="shared" si="27"/>
        <v>28</v>
      </c>
      <c r="N880" t="s">
        <v>640</v>
      </c>
    </row>
    <row r="881" spans="1:14" x14ac:dyDescent="0.3">
      <c r="A881" s="1" t="s">
        <v>7386</v>
      </c>
      <c r="B881" s="1" t="s">
        <v>2667</v>
      </c>
      <c r="C881" s="1" t="s">
        <v>7387</v>
      </c>
      <c r="D881" s="1" t="s">
        <v>644</v>
      </c>
      <c r="E881" s="1" t="s">
        <v>6076</v>
      </c>
      <c r="F881" s="1" t="s">
        <v>6076</v>
      </c>
      <c r="G881" s="1" t="s">
        <v>7381</v>
      </c>
      <c r="H881">
        <v>1993</v>
      </c>
      <c r="I881">
        <v>2005</v>
      </c>
      <c r="J881">
        <f t="shared" si="26"/>
        <v>13</v>
      </c>
      <c r="K881" s="1" t="s">
        <v>6076</v>
      </c>
      <c r="L881" s="1" t="s">
        <v>6076</v>
      </c>
      <c r="M881">
        <f t="shared" si="27"/>
        <v>21</v>
      </c>
      <c r="N881" t="s">
        <v>640</v>
      </c>
    </row>
    <row r="882" spans="1:14" x14ac:dyDescent="0.3">
      <c r="A882" s="1" t="s">
        <v>7379</v>
      </c>
      <c r="B882" s="1" t="s">
        <v>2667</v>
      </c>
      <c r="C882" s="1" t="s">
        <v>7380</v>
      </c>
      <c r="D882" s="1" t="s">
        <v>644</v>
      </c>
      <c r="E882" s="1" t="s">
        <v>6076</v>
      </c>
      <c r="F882" s="1" t="s">
        <v>6076</v>
      </c>
      <c r="G882" s="1" t="s">
        <v>7381</v>
      </c>
      <c r="H882">
        <v>2001</v>
      </c>
      <c r="I882">
        <v>2005</v>
      </c>
      <c r="J882">
        <f t="shared" si="26"/>
        <v>5</v>
      </c>
      <c r="K882" s="1" t="s">
        <v>6076</v>
      </c>
      <c r="L882" s="1" t="s">
        <v>6076</v>
      </c>
      <c r="M882">
        <f t="shared" si="27"/>
        <v>21</v>
      </c>
      <c r="N882" t="s">
        <v>640</v>
      </c>
    </row>
    <row r="883" spans="1:14" x14ac:dyDescent="0.3">
      <c r="A883" s="1" t="s">
        <v>7384</v>
      </c>
      <c r="B883" s="1" t="s">
        <v>2667</v>
      </c>
      <c r="C883" s="1" t="s">
        <v>7385</v>
      </c>
      <c r="D883" s="1" t="s">
        <v>644</v>
      </c>
      <c r="E883" s="1" t="s">
        <v>6076</v>
      </c>
      <c r="F883" s="1" t="s">
        <v>6076</v>
      </c>
      <c r="G883" s="1" t="s">
        <v>7381</v>
      </c>
      <c r="H883">
        <v>1998</v>
      </c>
      <c r="I883">
        <v>2005</v>
      </c>
      <c r="J883">
        <f t="shared" si="26"/>
        <v>8</v>
      </c>
      <c r="K883" s="1" t="s">
        <v>6076</v>
      </c>
      <c r="L883" s="1" t="s">
        <v>6076</v>
      </c>
      <c r="M883">
        <f t="shared" si="27"/>
        <v>21</v>
      </c>
      <c r="N883" t="s">
        <v>640</v>
      </c>
    </row>
    <row r="884" spans="1:14" x14ac:dyDescent="0.3">
      <c r="A884" s="1" t="s">
        <v>7388</v>
      </c>
      <c r="B884" s="1" t="s">
        <v>2667</v>
      </c>
      <c r="C884" s="1" t="s">
        <v>7389</v>
      </c>
      <c r="D884" s="1" t="s">
        <v>644</v>
      </c>
      <c r="E884" s="1" t="s">
        <v>6076</v>
      </c>
      <c r="F884" s="1" t="s">
        <v>6076</v>
      </c>
      <c r="G884" s="1" t="s">
        <v>7381</v>
      </c>
      <c r="H884">
        <v>1998</v>
      </c>
      <c r="I884">
        <v>2002</v>
      </c>
      <c r="J884">
        <f t="shared" si="26"/>
        <v>5</v>
      </c>
      <c r="K884" s="1" t="s">
        <v>6076</v>
      </c>
      <c r="L884" s="1" t="s">
        <v>6076</v>
      </c>
      <c r="M884">
        <f t="shared" si="27"/>
        <v>24</v>
      </c>
      <c r="N884" t="s">
        <v>640</v>
      </c>
    </row>
    <row r="885" spans="1:14" x14ac:dyDescent="0.3">
      <c r="A885" s="1" t="s">
        <v>7382</v>
      </c>
      <c r="B885" s="1" t="s">
        <v>2667</v>
      </c>
      <c r="C885" s="1" t="s">
        <v>7383</v>
      </c>
      <c r="D885" s="1" t="s">
        <v>644</v>
      </c>
      <c r="E885" s="1" t="s">
        <v>6076</v>
      </c>
      <c r="F885" s="1" t="s">
        <v>6076</v>
      </c>
      <c r="G885" s="1" t="s">
        <v>7381</v>
      </c>
      <c r="H885">
        <v>1999</v>
      </c>
      <c r="I885">
        <v>2005</v>
      </c>
      <c r="J885">
        <f t="shared" si="26"/>
        <v>7</v>
      </c>
      <c r="K885" s="1" t="s">
        <v>6076</v>
      </c>
      <c r="L885" s="1" t="s">
        <v>6076</v>
      </c>
      <c r="M885">
        <f t="shared" si="27"/>
        <v>21</v>
      </c>
      <c r="N885" t="s">
        <v>640</v>
      </c>
    </row>
    <row r="886" spans="1:14" x14ac:dyDescent="0.3">
      <c r="A886" s="1" t="s">
        <v>7396</v>
      </c>
      <c r="B886" s="1" t="s">
        <v>2667</v>
      </c>
      <c r="C886" s="1" t="s">
        <v>7397</v>
      </c>
      <c r="D886" s="1" t="s">
        <v>644</v>
      </c>
      <c r="E886" s="1" t="s">
        <v>6076</v>
      </c>
      <c r="F886" s="1" t="s">
        <v>6076</v>
      </c>
      <c r="G886" s="1" t="s">
        <v>7381</v>
      </c>
      <c r="H886">
        <v>1993</v>
      </c>
      <c r="I886">
        <v>1998</v>
      </c>
      <c r="J886">
        <f t="shared" si="26"/>
        <v>6</v>
      </c>
      <c r="K886" s="1" t="s">
        <v>6076</v>
      </c>
      <c r="L886" s="1" t="s">
        <v>6076</v>
      </c>
      <c r="M886">
        <f t="shared" si="27"/>
        <v>28</v>
      </c>
      <c r="N886" t="s">
        <v>640</v>
      </c>
    </row>
    <row r="887" spans="1:14" hidden="1" x14ac:dyDescent="0.3">
      <c r="A887" t="s">
        <v>11065</v>
      </c>
      <c r="B887" t="s">
        <v>795</v>
      </c>
      <c r="C887" t="s">
        <v>11066</v>
      </c>
      <c r="E887" s="1" t="e">
        <v>#N/A</v>
      </c>
      <c r="F887" s="1" t="e">
        <v>#N/A</v>
      </c>
      <c r="G887" s="1" t="s">
        <v>4089</v>
      </c>
      <c r="H887">
        <v>2024</v>
      </c>
      <c r="I887">
        <v>2026</v>
      </c>
      <c r="J887">
        <f t="shared" si="26"/>
        <v>3</v>
      </c>
      <c r="K887" s="1" t="s">
        <v>4668</v>
      </c>
      <c r="L887" s="1" t="s">
        <v>649</v>
      </c>
      <c r="M887">
        <f t="shared" si="27"/>
        <v>0</v>
      </c>
    </row>
    <row r="888" spans="1:14" x14ac:dyDescent="0.3">
      <c r="A888" s="1" t="s">
        <v>7424</v>
      </c>
      <c r="B888" s="1" t="s">
        <v>795</v>
      </c>
      <c r="C888" s="1" t="s">
        <v>7425</v>
      </c>
      <c r="D888" s="1" t="s">
        <v>1395</v>
      </c>
      <c r="E888" s="1" t="s">
        <v>6076</v>
      </c>
      <c r="F888" s="1" t="s">
        <v>6076</v>
      </c>
      <c r="G888" s="1" t="s">
        <v>4089</v>
      </c>
      <c r="H888">
        <v>1993</v>
      </c>
      <c r="I888">
        <v>1995</v>
      </c>
      <c r="J888">
        <f t="shared" si="26"/>
        <v>3</v>
      </c>
      <c r="K888" s="1" t="s">
        <v>6076</v>
      </c>
      <c r="L888" s="1" t="s">
        <v>6076</v>
      </c>
      <c r="M888">
        <f t="shared" si="27"/>
        <v>31</v>
      </c>
      <c r="N888" t="s">
        <v>640</v>
      </c>
    </row>
    <row r="889" spans="1:14" x14ac:dyDescent="0.3">
      <c r="A889" s="1" t="s">
        <v>7420</v>
      </c>
      <c r="B889" s="1" t="s">
        <v>795</v>
      </c>
      <c r="C889" s="1" t="s">
        <v>7421</v>
      </c>
      <c r="D889" s="1" t="s">
        <v>1395</v>
      </c>
      <c r="E889" s="1" t="s">
        <v>6076</v>
      </c>
      <c r="F889" s="1" t="s">
        <v>6076</v>
      </c>
      <c r="G889" s="1" t="s">
        <v>4089</v>
      </c>
      <c r="H889">
        <v>1994</v>
      </c>
      <c r="I889">
        <v>1995</v>
      </c>
      <c r="J889">
        <f t="shared" si="26"/>
        <v>2</v>
      </c>
      <c r="K889" s="1" t="s">
        <v>6076</v>
      </c>
      <c r="L889" s="1" t="s">
        <v>6076</v>
      </c>
      <c r="M889">
        <f t="shared" si="27"/>
        <v>31</v>
      </c>
      <c r="N889" t="s">
        <v>640</v>
      </c>
    </row>
    <row r="890" spans="1:14" x14ac:dyDescent="0.3">
      <c r="A890" s="1" t="s">
        <v>7418</v>
      </c>
      <c r="B890" s="1" t="s">
        <v>795</v>
      </c>
      <c r="C890" s="1" t="s">
        <v>7419</v>
      </c>
      <c r="D890" s="1" t="s">
        <v>1395</v>
      </c>
      <c r="E890" s="1" t="s">
        <v>6076</v>
      </c>
      <c r="F890" s="1" t="s">
        <v>6076</v>
      </c>
      <c r="G890" s="1" t="s">
        <v>4089</v>
      </c>
      <c r="H890">
        <v>1995</v>
      </c>
      <c r="I890">
        <v>1995</v>
      </c>
      <c r="J890">
        <f t="shared" si="26"/>
        <v>1</v>
      </c>
      <c r="K890" s="1" t="s">
        <v>6076</v>
      </c>
      <c r="L890" s="1" t="s">
        <v>6076</v>
      </c>
      <c r="M890">
        <f t="shared" si="27"/>
        <v>31</v>
      </c>
      <c r="N890" t="s">
        <v>640</v>
      </c>
    </row>
    <row r="891" spans="1:14" x14ac:dyDescent="0.3">
      <c r="A891" t="s">
        <v>11067</v>
      </c>
      <c r="B891" t="s">
        <v>795</v>
      </c>
      <c r="C891" t="s">
        <v>11068</v>
      </c>
      <c r="E891" s="1" t="s">
        <v>6076</v>
      </c>
      <c r="F891" s="1" t="s">
        <v>6076</v>
      </c>
      <c r="G891" s="1" t="s">
        <v>7432</v>
      </c>
      <c r="H891">
        <v>2023</v>
      </c>
      <c r="I891">
        <v>2026</v>
      </c>
      <c r="J891">
        <f t="shared" si="26"/>
        <v>4</v>
      </c>
      <c r="K891" s="1" t="s">
        <v>6076</v>
      </c>
      <c r="L891" s="1" t="s">
        <v>6076</v>
      </c>
      <c r="M891">
        <f t="shared" si="27"/>
        <v>0</v>
      </c>
    </row>
    <row r="892" spans="1:14" x14ac:dyDescent="0.3">
      <c r="A892" s="1" t="s">
        <v>7430</v>
      </c>
      <c r="B892" s="1" t="s">
        <v>795</v>
      </c>
      <c r="C892" s="1" t="s">
        <v>7431</v>
      </c>
      <c r="D892" s="1" t="s">
        <v>746</v>
      </c>
      <c r="E892" s="1" t="s">
        <v>6076</v>
      </c>
      <c r="F892" s="1" t="s">
        <v>6076</v>
      </c>
      <c r="G892" s="1" t="s">
        <v>7432</v>
      </c>
      <c r="H892">
        <v>2020</v>
      </c>
      <c r="I892">
        <v>2022</v>
      </c>
      <c r="J892">
        <f t="shared" si="26"/>
        <v>3</v>
      </c>
      <c r="K892" s="1" t="s">
        <v>6076</v>
      </c>
      <c r="L892" s="1" t="s">
        <v>6076</v>
      </c>
      <c r="M892">
        <f t="shared" si="27"/>
        <v>4</v>
      </c>
      <c r="N892" t="s">
        <v>650</v>
      </c>
    </row>
    <row r="893" spans="1:14" x14ac:dyDescent="0.3">
      <c r="A893" s="1" t="s">
        <v>6401</v>
      </c>
      <c r="B893" s="1" t="s">
        <v>795</v>
      </c>
      <c r="C893" s="1" t="s">
        <v>6402</v>
      </c>
      <c r="D893" s="1" t="s">
        <v>1395</v>
      </c>
      <c r="E893" s="1" t="s">
        <v>6076</v>
      </c>
      <c r="F893" s="1" t="s">
        <v>6076</v>
      </c>
      <c r="G893" s="1" t="s">
        <v>6403</v>
      </c>
      <c r="H893">
        <v>1988</v>
      </c>
      <c r="I893">
        <v>1994</v>
      </c>
      <c r="J893">
        <f t="shared" si="26"/>
        <v>7</v>
      </c>
      <c r="K893" s="1" t="s">
        <v>6076</v>
      </c>
      <c r="L893" s="1" t="s">
        <v>6076</v>
      </c>
      <c r="M893">
        <f t="shared" si="27"/>
        <v>32</v>
      </c>
      <c r="N893" t="s">
        <v>640</v>
      </c>
    </row>
    <row r="894" spans="1:14" x14ac:dyDescent="0.3">
      <c r="A894" s="1" t="s">
        <v>6404</v>
      </c>
      <c r="B894" s="1" t="s">
        <v>795</v>
      </c>
      <c r="C894" s="1" t="s">
        <v>6405</v>
      </c>
      <c r="D894" s="1" t="s">
        <v>1395</v>
      </c>
      <c r="E894" s="1" t="s">
        <v>6076</v>
      </c>
      <c r="F894" s="1" t="s">
        <v>6076</v>
      </c>
      <c r="G894" s="1" t="s">
        <v>6403</v>
      </c>
      <c r="H894">
        <v>1989</v>
      </c>
      <c r="I894">
        <v>1994</v>
      </c>
      <c r="J894">
        <f t="shared" si="26"/>
        <v>6</v>
      </c>
      <c r="K894" s="1" t="s">
        <v>6076</v>
      </c>
      <c r="L894" s="1" t="s">
        <v>6076</v>
      </c>
      <c r="M894">
        <f t="shared" si="27"/>
        <v>32</v>
      </c>
      <c r="N894" t="s">
        <v>640</v>
      </c>
    </row>
    <row r="895" spans="1:14" x14ac:dyDescent="0.3">
      <c r="A895" s="1" t="s">
        <v>6406</v>
      </c>
      <c r="B895" s="1" t="s">
        <v>2667</v>
      </c>
      <c r="C895" s="1" t="s">
        <v>6407</v>
      </c>
      <c r="D895" s="1" t="s">
        <v>644</v>
      </c>
      <c r="E895" s="1" t="s">
        <v>6076</v>
      </c>
      <c r="F895" s="1" t="s">
        <v>6076</v>
      </c>
      <c r="G895" s="1" t="s">
        <v>4872</v>
      </c>
      <c r="H895">
        <v>1993</v>
      </c>
      <c r="I895">
        <v>1997</v>
      </c>
      <c r="J895">
        <f t="shared" si="26"/>
        <v>5</v>
      </c>
      <c r="K895" s="1" t="s">
        <v>6076</v>
      </c>
      <c r="L895" s="1" t="s">
        <v>6076</v>
      </c>
      <c r="M895">
        <f t="shared" si="27"/>
        <v>29</v>
      </c>
      <c r="N895" t="s">
        <v>640</v>
      </c>
    </row>
    <row r="896" spans="1:14" hidden="1" x14ac:dyDescent="0.3">
      <c r="A896" s="1" t="s">
        <v>4868</v>
      </c>
      <c r="B896" s="1" t="s">
        <v>2667</v>
      </c>
      <c r="C896" s="1" t="s">
        <v>4869</v>
      </c>
      <c r="D896" s="1" t="s">
        <v>644</v>
      </c>
      <c r="E896" s="1" t="s">
        <v>4870</v>
      </c>
      <c r="F896" s="1" t="s">
        <v>4871</v>
      </c>
      <c r="G896" s="1" t="s">
        <v>4872</v>
      </c>
      <c r="H896">
        <v>2008</v>
      </c>
      <c r="I896">
        <v>2022</v>
      </c>
      <c r="J896">
        <f t="shared" si="26"/>
        <v>15</v>
      </c>
      <c r="K896" s="1" t="s">
        <v>4668</v>
      </c>
      <c r="L896" s="1" t="s">
        <v>798</v>
      </c>
      <c r="M896">
        <f t="shared" si="27"/>
        <v>4</v>
      </c>
      <c r="N896" t="s">
        <v>650</v>
      </c>
    </row>
    <row r="897" spans="1:14" hidden="1" x14ac:dyDescent="0.3">
      <c r="A897" t="s">
        <v>11742</v>
      </c>
      <c r="B897" t="s">
        <v>2667</v>
      </c>
      <c r="C897" t="s">
        <v>11743</v>
      </c>
      <c r="E897" s="1" t="e">
        <v>#N/A</v>
      </c>
      <c r="F897" s="1" t="e">
        <v>#N/A</v>
      </c>
      <c r="G897" s="1" t="s">
        <v>12846</v>
      </c>
      <c r="H897">
        <v>2023</v>
      </c>
      <c r="I897">
        <v>2026</v>
      </c>
      <c r="J897">
        <f t="shared" si="26"/>
        <v>4</v>
      </c>
      <c r="K897" s="1" t="s">
        <v>4668</v>
      </c>
      <c r="L897" s="1" t="s">
        <v>798</v>
      </c>
      <c r="M897">
        <f t="shared" si="27"/>
        <v>0</v>
      </c>
    </row>
    <row r="898" spans="1:14" hidden="1" x14ac:dyDescent="0.3">
      <c r="A898" s="1" t="s">
        <v>4873</v>
      </c>
      <c r="B898" s="1" t="s">
        <v>2667</v>
      </c>
      <c r="C898" s="1" t="s">
        <v>4874</v>
      </c>
      <c r="D898" s="1" t="s">
        <v>644</v>
      </c>
      <c r="E898" s="1" t="s">
        <v>4870</v>
      </c>
      <c r="F898" s="1" t="s">
        <v>4871</v>
      </c>
      <c r="G898" s="1" t="s">
        <v>4872</v>
      </c>
      <c r="H898">
        <v>1997</v>
      </c>
      <c r="I898">
        <v>2012</v>
      </c>
      <c r="J898">
        <f t="shared" si="26"/>
        <v>16</v>
      </c>
      <c r="K898" s="1" t="s">
        <v>4668</v>
      </c>
      <c r="L898" s="1" t="s">
        <v>666</v>
      </c>
      <c r="M898">
        <f t="shared" si="27"/>
        <v>14</v>
      </c>
      <c r="N898" t="s">
        <v>650</v>
      </c>
    </row>
    <row r="899" spans="1:14" hidden="1" x14ac:dyDescent="0.3">
      <c r="A899" s="1" t="s">
        <v>4875</v>
      </c>
      <c r="B899" s="1" t="s">
        <v>2667</v>
      </c>
      <c r="C899" s="1" t="s">
        <v>4876</v>
      </c>
      <c r="D899" s="1" t="s">
        <v>644</v>
      </c>
      <c r="E899" s="1" t="s">
        <v>4870</v>
      </c>
      <c r="F899" s="1" t="s">
        <v>4871</v>
      </c>
      <c r="G899" s="1" t="s">
        <v>4872</v>
      </c>
      <c r="H899">
        <v>2006</v>
      </c>
      <c r="I899">
        <v>2008</v>
      </c>
      <c r="J899">
        <f t="shared" si="26"/>
        <v>3</v>
      </c>
      <c r="K899" s="1" t="s">
        <v>4668</v>
      </c>
      <c r="L899" s="1" t="s">
        <v>798</v>
      </c>
      <c r="M899">
        <f t="shared" si="27"/>
        <v>18</v>
      </c>
      <c r="N899" t="s">
        <v>650</v>
      </c>
    </row>
    <row r="900" spans="1:14" hidden="1" x14ac:dyDescent="0.3">
      <c r="A900" s="1" t="s">
        <v>4877</v>
      </c>
      <c r="B900" s="1" t="s">
        <v>2667</v>
      </c>
      <c r="C900" s="1" t="s">
        <v>4878</v>
      </c>
      <c r="D900" s="1" t="s">
        <v>644</v>
      </c>
      <c r="E900" s="1" t="s">
        <v>4870</v>
      </c>
      <c r="F900" s="1" t="s">
        <v>4871</v>
      </c>
      <c r="G900" s="1" t="s">
        <v>4872</v>
      </c>
      <c r="H900">
        <v>2005</v>
      </c>
      <c r="I900">
        <v>2012</v>
      </c>
      <c r="J900">
        <f t="shared" si="26"/>
        <v>8</v>
      </c>
      <c r="K900" s="1" t="s">
        <v>4668</v>
      </c>
      <c r="L900" s="1" t="s">
        <v>798</v>
      </c>
      <c r="M900">
        <f t="shared" si="27"/>
        <v>14</v>
      </c>
      <c r="N900" t="s">
        <v>650</v>
      </c>
    </row>
    <row r="901" spans="1:14" x14ac:dyDescent="0.3">
      <c r="A901" s="1" t="s">
        <v>6408</v>
      </c>
      <c r="B901" s="1" t="s">
        <v>2667</v>
      </c>
      <c r="C901" s="1" t="s">
        <v>6409</v>
      </c>
      <c r="D901" s="1" t="s">
        <v>644</v>
      </c>
      <c r="E901" s="1" t="s">
        <v>6076</v>
      </c>
      <c r="F901" s="1" t="s">
        <v>6076</v>
      </c>
      <c r="G901" s="1" t="s">
        <v>4872</v>
      </c>
      <c r="H901">
        <v>1993</v>
      </c>
      <c r="I901">
        <v>1999</v>
      </c>
      <c r="J901">
        <f t="shared" si="26"/>
        <v>7</v>
      </c>
      <c r="K901" s="1" t="s">
        <v>6076</v>
      </c>
      <c r="L901" s="1" t="s">
        <v>6076</v>
      </c>
      <c r="M901">
        <f t="shared" si="27"/>
        <v>27</v>
      </c>
      <c r="N901" t="s">
        <v>640</v>
      </c>
    </row>
    <row r="902" spans="1:14" hidden="1" x14ac:dyDescent="0.3">
      <c r="A902" s="1" t="s">
        <v>5922</v>
      </c>
      <c r="B902" s="1" t="s">
        <v>810</v>
      </c>
      <c r="C902" s="1" t="s">
        <v>5923</v>
      </c>
      <c r="D902" s="1" t="s">
        <v>738</v>
      </c>
      <c r="E902" s="1" t="s">
        <v>812</v>
      </c>
      <c r="F902" s="1" t="s">
        <v>813</v>
      </c>
      <c r="G902" s="1" t="s">
        <v>814</v>
      </c>
      <c r="H902">
        <v>2001</v>
      </c>
      <c r="I902">
        <v>2001</v>
      </c>
      <c r="J902">
        <f t="shared" ref="J902:J965" si="28">1+(I902-H902)</f>
        <v>1</v>
      </c>
      <c r="K902" s="1" t="s">
        <v>5909</v>
      </c>
      <c r="L902" s="1" t="s">
        <v>3793</v>
      </c>
      <c r="M902">
        <f t="shared" ref="M902:M965" si="29">IF(I902=0,0,$B$2-I902)</f>
        <v>25</v>
      </c>
      <c r="N902" t="s">
        <v>640</v>
      </c>
    </row>
    <row r="903" spans="1:14" hidden="1" x14ac:dyDescent="0.3">
      <c r="A903" s="1" t="s">
        <v>5924</v>
      </c>
      <c r="B903" s="1" t="s">
        <v>810</v>
      </c>
      <c r="C903" s="1" t="s">
        <v>5925</v>
      </c>
      <c r="D903" s="1" t="s">
        <v>738</v>
      </c>
      <c r="E903" s="1" t="s">
        <v>812</v>
      </c>
      <c r="F903" s="1" t="s">
        <v>813</v>
      </c>
      <c r="G903" s="1" t="s">
        <v>814</v>
      </c>
      <c r="H903">
        <v>2001</v>
      </c>
      <c r="I903">
        <v>2001</v>
      </c>
      <c r="J903">
        <f t="shared" si="28"/>
        <v>1</v>
      </c>
      <c r="K903" s="1" t="s">
        <v>5909</v>
      </c>
      <c r="L903" s="1" t="s">
        <v>3793</v>
      </c>
      <c r="M903">
        <f t="shared" si="29"/>
        <v>25</v>
      </c>
      <c r="N903" t="s">
        <v>640</v>
      </c>
    </row>
    <row r="904" spans="1:14" hidden="1" x14ac:dyDescent="0.3">
      <c r="A904" s="1" t="s">
        <v>3663</v>
      </c>
      <c r="B904" s="1" t="s">
        <v>810</v>
      </c>
      <c r="C904" s="1" t="s">
        <v>3664</v>
      </c>
      <c r="D904" s="1" t="s">
        <v>738</v>
      </c>
      <c r="E904" s="1" t="s">
        <v>812</v>
      </c>
      <c r="F904" s="1" t="s">
        <v>813</v>
      </c>
      <c r="G904" s="1" t="s">
        <v>814</v>
      </c>
      <c r="H904">
        <v>2000</v>
      </c>
      <c r="I904">
        <v>2011</v>
      </c>
      <c r="J904">
        <f t="shared" si="28"/>
        <v>12</v>
      </c>
      <c r="K904" s="1" t="s">
        <v>3665</v>
      </c>
      <c r="L904" s="1" t="s">
        <v>798</v>
      </c>
      <c r="M904">
        <f t="shared" si="29"/>
        <v>15</v>
      </c>
      <c r="N904" t="s">
        <v>650</v>
      </c>
    </row>
    <row r="905" spans="1:14" hidden="1" x14ac:dyDescent="0.3">
      <c r="A905" s="1" t="s">
        <v>809</v>
      </c>
      <c r="B905" s="1" t="s">
        <v>810</v>
      </c>
      <c r="C905" s="1" t="s">
        <v>811</v>
      </c>
      <c r="D905" s="1" t="s">
        <v>738</v>
      </c>
      <c r="E905" s="1" t="s">
        <v>812</v>
      </c>
      <c r="F905" s="1" t="s">
        <v>813</v>
      </c>
      <c r="G905" s="1" t="s">
        <v>814</v>
      </c>
      <c r="H905">
        <v>1999</v>
      </c>
      <c r="I905">
        <v>2011</v>
      </c>
      <c r="J905">
        <f t="shared" si="28"/>
        <v>13</v>
      </c>
      <c r="K905" s="1" t="s">
        <v>741</v>
      </c>
      <c r="L905" s="1" t="s">
        <v>798</v>
      </c>
      <c r="M905">
        <f t="shared" si="29"/>
        <v>15</v>
      </c>
      <c r="N905" t="s">
        <v>650</v>
      </c>
    </row>
    <row r="906" spans="1:14" hidden="1" x14ac:dyDescent="0.3">
      <c r="A906" t="s">
        <v>12246</v>
      </c>
      <c r="B906" t="s">
        <v>12756</v>
      </c>
      <c r="C906" t="s">
        <v>12247</v>
      </c>
      <c r="E906" s="1" t="e">
        <v>#N/A</v>
      </c>
      <c r="F906" s="1" t="e">
        <v>#N/A</v>
      </c>
      <c r="G906" s="1" t="s">
        <v>12877</v>
      </c>
      <c r="H906">
        <v>2025</v>
      </c>
      <c r="I906">
        <v>2026</v>
      </c>
      <c r="J906">
        <f t="shared" si="28"/>
        <v>2</v>
      </c>
      <c r="K906" s="1" t="s">
        <v>3665</v>
      </c>
      <c r="L906" s="1" t="s">
        <v>659</v>
      </c>
      <c r="M906">
        <f t="shared" si="29"/>
        <v>0</v>
      </c>
    </row>
    <row r="907" spans="1:14" hidden="1" x14ac:dyDescent="0.3">
      <c r="A907" t="s">
        <v>12248</v>
      </c>
      <c r="B907" t="s">
        <v>12756</v>
      </c>
      <c r="C907" t="s">
        <v>12249</v>
      </c>
      <c r="E907" s="1" t="e">
        <v>#N/A</v>
      </c>
      <c r="F907" s="1" t="e">
        <v>#N/A</v>
      </c>
      <c r="G907" s="1" t="s">
        <v>12877</v>
      </c>
      <c r="H907">
        <v>2025</v>
      </c>
      <c r="I907">
        <v>2026</v>
      </c>
      <c r="J907">
        <f t="shared" si="28"/>
        <v>2</v>
      </c>
      <c r="K907" s="1" t="s">
        <v>3665</v>
      </c>
      <c r="L907" s="1" t="s">
        <v>659</v>
      </c>
      <c r="M907">
        <f t="shared" si="29"/>
        <v>0</v>
      </c>
    </row>
    <row r="908" spans="1:14" hidden="1" x14ac:dyDescent="0.3">
      <c r="A908" t="s">
        <v>12250</v>
      </c>
      <c r="B908" t="s">
        <v>12756</v>
      </c>
      <c r="C908" t="s">
        <v>12251</v>
      </c>
      <c r="E908" s="1" t="e">
        <v>#N/A</v>
      </c>
      <c r="F908" s="1" t="e">
        <v>#N/A</v>
      </c>
      <c r="G908" s="1" t="s">
        <v>12877</v>
      </c>
      <c r="H908">
        <v>2025</v>
      </c>
      <c r="I908">
        <v>2026</v>
      </c>
      <c r="J908">
        <f t="shared" si="28"/>
        <v>2</v>
      </c>
      <c r="K908" s="1" t="s">
        <v>3665</v>
      </c>
      <c r="L908" s="1" t="s">
        <v>659</v>
      </c>
      <c r="M908">
        <f t="shared" si="29"/>
        <v>0</v>
      </c>
    </row>
    <row r="909" spans="1:14" hidden="1" x14ac:dyDescent="0.3">
      <c r="A909" s="1" t="s">
        <v>641</v>
      </c>
      <c r="B909" s="1" t="s">
        <v>642</v>
      </c>
      <c r="C909" s="1" t="s">
        <v>643</v>
      </c>
      <c r="D909" s="1" t="s">
        <v>644</v>
      </c>
      <c r="E909" s="1" t="s">
        <v>645</v>
      </c>
      <c r="F909" s="1" t="s">
        <v>646</v>
      </c>
      <c r="G909" s="1" t="s">
        <v>647</v>
      </c>
      <c r="H909">
        <v>2010</v>
      </c>
      <c r="I909">
        <v>2016</v>
      </c>
      <c r="J909">
        <f t="shared" si="28"/>
        <v>7</v>
      </c>
      <c r="K909" s="1" t="s">
        <v>648</v>
      </c>
      <c r="L909" s="1" t="s">
        <v>649</v>
      </c>
      <c r="M909">
        <f t="shared" si="29"/>
        <v>10</v>
      </c>
      <c r="N909" t="s">
        <v>650</v>
      </c>
    </row>
    <row r="910" spans="1:14" hidden="1" x14ac:dyDescent="0.3">
      <c r="A910" s="1" t="s">
        <v>651</v>
      </c>
      <c r="B910" s="1" t="s">
        <v>642</v>
      </c>
      <c r="C910" s="1" t="s">
        <v>652</v>
      </c>
      <c r="D910" s="1" t="s">
        <v>644</v>
      </c>
      <c r="E910" s="1" t="s">
        <v>645</v>
      </c>
      <c r="F910" s="1" t="s">
        <v>646</v>
      </c>
      <c r="G910" s="1" t="s">
        <v>647</v>
      </c>
      <c r="H910">
        <v>2010</v>
      </c>
      <c r="I910">
        <v>2016</v>
      </c>
      <c r="J910">
        <f t="shared" si="28"/>
        <v>7</v>
      </c>
      <c r="K910" s="1" t="s">
        <v>648</v>
      </c>
      <c r="L910" s="1" t="s">
        <v>649</v>
      </c>
      <c r="M910">
        <f t="shared" si="29"/>
        <v>10</v>
      </c>
      <c r="N910" t="s">
        <v>650</v>
      </c>
    </row>
    <row r="911" spans="1:14" hidden="1" x14ac:dyDescent="0.3">
      <c r="A911" s="1" t="s">
        <v>653</v>
      </c>
      <c r="B911" s="1" t="s">
        <v>642</v>
      </c>
      <c r="C911" s="1" t="s">
        <v>654</v>
      </c>
      <c r="D911" s="1" t="s">
        <v>644</v>
      </c>
      <c r="E911" s="1" t="s">
        <v>645</v>
      </c>
      <c r="F911" s="1" t="s">
        <v>646</v>
      </c>
      <c r="G911" s="1" t="s">
        <v>647</v>
      </c>
      <c r="H911">
        <v>2011</v>
      </c>
      <c r="I911">
        <v>2017</v>
      </c>
      <c r="J911">
        <f t="shared" si="28"/>
        <v>7</v>
      </c>
      <c r="K911" s="1" t="s">
        <v>648</v>
      </c>
      <c r="L911" s="1" t="s">
        <v>649</v>
      </c>
      <c r="M911">
        <f t="shared" si="29"/>
        <v>9</v>
      </c>
      <c r="N911" t="s">
        <v>650</v>
      </c>
    </row>
    <row r="912" spans="1:14" hidden="1" x14ac:dyDescent="0.3">
      <c r="A912" s="1" t="s">
        <v>655</v>
      </c>
      <c r="B912" s="1" t="s">
        <v>642</v>
      </c>
      <c r="C912" s="1" t="s">
        <v>656</v>
      </c>
      <c r="D912" s="1" t="s">
        <v>644</v>
      </c>
      <c r="E912" s="1" t="s">
        <v>645</v>
      </c>
      <c r="F912" s="1" t="s">
        <v>646</v>
      </c>
      <c r="G912" s="1" t="s">
        <v>647</v>
      </c>
      <c r="H912">
        <v>2010</v>
      </c>
      <c r="I912">
        <v>2016</v>
      </c>
      <c r="J912">
        <f t="shared" si="28"/>
        <v>7</v>
      </c>
      <c r="K912" s="1" t="s">
        <v>648</v>
      </c>
      <c r="L912" s="1" t="s">
        <v>649</v>
      </c>
      <c r="M912">
        <f t="shared" si="29"/>
        <v>10</v>
      </c>
      <c r="N912" t="s">
        <v>650</v>
      </c>
    </row>
    <row r="913" spans="1:14" hidden="1" x14ac:dyDescent="0.3">
      <c r="A913" s="1" t="s">
        <v>5926</v>
      </c>
      <c r="B913" s="1" t="s">
        <v>642</v>
      </c>
      <c r="C913" s="1" t="s">
        <v>5927</v>
      </c>
      <c r="D913" s="1" t="s">
        <v>644</v>
      </c>
      <c r="E913" s="1" t="s">
        <v>645</v>
      </c>
      <c r="F913" s="1" t="s">
        <v>646</v>
      </c>
      <c r="G913" s="1" t="s">
        <v>647</v>
      </c>
      <c r="H913">
        <v>1999</v>
      </c>
      <c r="I913">
        <v>2000</v>
      </c>
      <c r="J913">
        <f t="shared" si="28"/>
        <v>2</v>
      </c>
      <c r="K913" s="1" t="s">
        <v>5909</v>
      </c>
      <c r="L913" s="1" t="s">
        <v>3793</v>
      </c>
      <c r="M913">
        <f t="shared" si="29"/>
        <v>26</v>
      </c>
      <c r="N913" t="s">
        <v>640</v>
      </c>
    </row>
    <row r="914" spans="1:14" hidden="1" x14ac:dyDescent="0.3">
      <c r="A914" s="1" t="s">
        <v>5928</v>
      </c>
      <c r="B914" s="1" t="s">
        <v>642</v>
      </c>
      <c r="C914" s="1" t="s">
        <v>5929</v>
      </c>
      <c r="D914" s="1" t="s">
        <v>644</v>
      </c>
      <c r="E914" s="1" t="s">
        <v>645</v>
      </c>
      <c r="F914" s="1" t="s">
        <v>646</v>
      </c>
      <c r="G914" s="1" t="s">
        <v>647</v>
      </c>
      <c r="H914">
        <v>1999</v>
      </c>
      <c r="I914">
        <v>2003</v>
      </c>
      <c r="J914">
        <f t="shared" si="28"/>
        <v>5</v>
      </c>
      <c r="K914" s="1" t="s">
        <v>5909</v>
      </c>
      <c r="L914" s="1" t="s">
        <v>3793</v>
      </c>
      <c r="M914">
        <f t="shared" si="29"/>
        <v>23</v>
      </c>
      <c r="N914" t="s">
        <v>640</v>
      </c>
    </row>
    <row r="915" spans="1:14" hidden="1" x14ac:dyDescent="0.3">
      <c r="A915" s="1" t="s">
        <v>657</v>
      </c>
      <c r="B915" s="1" t="s">
        <v>642</v>
      </c>
      <c r="C915" s="1" t="s">
        <v>658</v>
      </c>
      <c r="D915" s="1" t="s">
        <v>644</v>
      </c>
      <c r="E915" s="1" t="s">
        <v>645</v>
      </c>
      <c r="F915" s="1" t="s">
        <v>646</v>
      </c>
      <c r="G915" s="1" t="s">
        <v>647</v>
      </c>
      <c r="H915">
        <v>2002</v>
      </c>
      <c r="I915">
        <v>2009</v>
      </c>
      <c r="J915">
        <f t="shared" si="28"/>
        <v>8</v>
      </c>
      <c r="K915" s="1" t="s">
        <v>648</v>
      </c>
      <c r="L915" s="1" t="s">
        <v>659</v>
      </c>
      <c r="M915">
        <f t="shared" si="29"/>
        <v>17</v>
      </c>
      <c r="N915" t="s">
        <v>650</v>
      </c>
    </row>
    <row r="916" spans="1:14" hidden="1" x14ac:dyDescent="0.3">
      <c r="A916" s="1" t="s">
        <v>660</v>
      </c>
      <c r="B916" s="1" t="s">
        <v>642</v>
      </c>
      <c r="C916" s="1" t="s">
        <v>661</v>
      </c>
      <c r="D916" s="1" t="s">
        <v>644</v>
      </c>
      <c r="E916" s="1" t="s">
        <v>645</v>
      </c>
      <c r="F916" s="1" t="s">
        <v>646</v>
      </c>
      <c r="G916" s="1" t="s">
        <v>647</v>
      </c>
      <c r="H916">
        <v>2002</v>
      </c>
      <c r="I916">
        <v>2009</v>
      </c>
      <c r="J916">
        <f t="shared" si="28"/>
        <v>8</v>
      </c>
      <c r="K916" s="1" t="s">
        <v>648</v>
      </c>
      <c r="L916" s="1" t="s">
        <v>659</v>
      </c>
      <c r="M916">
        <f t="shared" si="29"/>
        <v>17</v>
      </c>
      <c r="N916" t="s">
        <v>650</v>
      </c>
    </row>
    <row r="917" spans="1:14" hidden="1" x14ac:dyDescent="0.3">
      <c r="A917" s="1" t="s">
        <v>662</v>
      </c>
      <c r="B917" s="1" t="s">
        <v>642</v>
      </c>
      <c r="C917" s="1" t="s">
        <v>663</v>
      </c>
      <c r="D917" s="1" t="s">
        <v>644</v>
      </c>
      <c r="E917" s="1" t="s">
        <v>645</v>
      </c>
      <c r="F917" s="1" t="s">
        <v>646</v>
      </c>
      <c r="G917" s="1" t="s">
        <v>647</v>
      </c>
      <c r="H917">
        <v>1999</v>
      </c>
      <c r="I917">
        <v>2009</v>
      </c>
      <c r="J917">
        <f t="shared" si="28"/>
        <v>11</v>
      </c>
      <c r="K917" s="1" t="s">
        <v>648</v>
      </c>
      <c r="L917" s="1" t="s">
        <v>659</v>
      </c>
      <c r="M917">
        <f t="shared" si="29"/>
        <v>17</v>
      </c>
      <c r="N917" t="s">
        <v>650</v>
      </c>
    </row>
    <row r="918" spans="1:14" hidden="1" x14ac:dyDescent="0.3">
      <c r="A918" s="1" t="s">
        <v>664</v>
      </c>
      <c r="B918" s="1" t="s">
        <v>642</v>
      </c>
      <c r="C918" s="1" t="s">
        <v>665</v>
      </c>
      <c r="D918" s="1" t="s">
        <v>644</v>
      </c>
      <c r="E918" s="1" t="s">
        <v>645</v>
      </c>
      <c r="F918" s="1" t="s">
        <v>646</v>
      </c>
      <c r="G918" s="1" t="s">
        <v>647</v>
      </c>
      <c r="H918">
        <v>2019</v>
      </c>
      <c r="I918">
        <v>2022</v>
      </c>
      <c r="J918">
        <f t="shared" si="28"/>
        <v>4</v>
      </c>
      <c r="K918" s="1" t="s">
        <v>648</v>
      </c>
      <c r="L918" s="1" t="s">
        <v>666</v>
      </c>
      <c r="M918">
        <f t="shared" si="29"/>
        <v>4</v>
      </c>
      <c r="N918" t="s">
        <v>650</v>
      </c>
    </row>
    <row r="919" spans="1:14" hidden="1" x14ac:dyDescent="0.3">
      <c r="A919" t="s">
        <v>12168</v>
      </c>
      <c r="B919" t="s">
        <v>642</v>
      </c>
      <c r="C919" t="s">
        <v>12169</v>
      </c>
      <c r="E919" s="1" t="e">
        <v>#N/A</v>
      </c>
      <c r="F919" s="1" t="e">
        <v>#N/A</v>
      </c>
      <c r="G919" s="1" t="s">
        <v>12872</v>
      </c>
      <c r="H919">
        <v>2022</v>
      </c>
      <c r="I919">
        <v>2026</v>
      </c>
      <c r="J919">
        <f t="shared" si="28"/>
        <v>5</v>
      </c>
      <c r="K919" s="1" t="s">
        <v>648</v>
      </c>
      <c r="L919" s="1" t="s">
        <v>666</v>
      </c>
      <c r="M919">
        <f t="shared" si="29"/>
        <v>0</v>
      </c>
    </row>
    <row r="920" spans="1:14" hidden="1" x14ac:dyDescent="0.3">
      <c r="A920" s="1" t="s">
        <v>667</v>
      </c>
      <c r="B920" s="1" t="s">
        <v>642</v>
      </c>
      <c r="C920" s="1" t="s">
        <v>668</v>
      </c>
      <c r="D920" s="1" t="s">
        <v>644</v>
      </c>
      <c r="E920" s="1" t="s">
        <v>645</v>
      </c>
      <c r="F920" s="1" t="s">
        <v>646</v>
      </c>
      <c r="G920" s="1" t="s">
        <v>647</v>
      </c>
      <c r="H920">
        <v>2022</v>
      </c>
      <c r="I920">
        <v>2022</v>
      </c>
      <c r="J920">
        <f t="shared" si="28"/>
        <v>1</v>
      </c>
      <c r="K920" s="1" t="s">
        <v>648</v>
      </c>
      <c r="L920" s="1" t="s">
        <v>666</v>
      </c>
      <c r="M920">
        <f t="shared" si="29"/>
        <v>4</v>
      </c>
      <c r="N920" t="s">
        <v>650</v>
      </c>
    </row>
    <row r="921" spans="1:14" hidden="1" x14ac:dyDescent="0.3">
      <c r="A921" t="s">
        <v>12170</v>
      </c>
      <c r="B921" t="s">
        <v>642</v>
      </c>
      <c r="C921" t="s">
        <v>12171</v>
      </c>
      <c r="E921" s="1" t="e">
        <v>#N/A</v>
      </c>
      <c r="F921" s="1" t="e">
        <v>#N/A</v>
      </c>
      <c r="G921" s="1" t="s">
        <v>12872</v>
      </c>
      <c r="H921">
        <v>2022</v>
      </c>
      <c r="I921">
        <v>2026</v>
      </c>
      <c r="J921">
        <f t="shared" si="28"/>
        <v>5</v>
      </c>
      <c r="K921" s="1" t="s">
        <v>648</v>
      </c>
      <c r="L921" s="1" t="s">
        <v>666</v>
      </c>
      <c r="M921">
        <f t="shared" si="29"/>
        <v>0</v>
      </c>
    </row>
    <row r="922" spans="1:14" hidden="1" x14ac:dyDescent="0.3">
      <c r="A922" s="1" t="s">
        <v>669</v>
      </c>
      <c r="B922" s="1" t="s">
        <v>642</v>
      </c>
      <c r="C922" s="1" t="s">
        <v>670</v>
      </c>
      <c r="D922" s="1" t="s">
        <v>644</v>
      </c>
      <c r="E922" s="1" t="s">
        <v>645</v>
      </c>
      <c r="F922" s="1" t="s">
        <v>646</v>
      </c>
      <c r="G922" s="1" t="s">
        <v>647</v>
      </c>
      <c r="H922">
        <v>2019</v>
      </c>
      <c r="I922">
        <v>2022</v>
      </c>
      <c r="J922">
        <f t="shared" si="28"/>
        <v>4</v>
      </c>
      <c r="K922" s="1" t="s">
        <v>648</v>
      </c>
      <c r="L922" s="1" t="s">
        <v>666</v>
      </c>
      <c r="M922">
        <f t="shared" si="29"/>
        <v>4</v>
      </c>
      <c r="N922" t="s">
        <v>650</v>
      </c>
    </row>
    <row r="923" spans="1:14" hidden="1" x14ac:dyDescent="0.3">
      <c r="A923" t="s">
        <v>12172</v>
      </c>
      <c r="B923" t="s">
        <v>642</v>
      </c>
      <c r="C923" t="s">
        <v>12173</v>
      </c>
      <c r="E923" s="1" t="e">
        <v>#N/A</v>
      </c>
      <c r="F923" s="1" t="e">
        <v>#N/A</v>
      </c>
      <c r="G923" s="1" t="s">
        <v>12872</v>
      </c>
      <c r="H923">
        <v>2025</v>
      </c>
      <c r="I923">
        <v>2026</v>
      </c>
      <c r="J923">
        <f t="shared" si="28"/>
        <v>2</v>
      </c>
      <c r="K923" s="1" t="s">
        <v>648</v>
      </c>
      <c r="L923" s="1" t="s">
        <v>666</v>
      </c>
      <c r="M923">
        <f t="shared" si="29"/>
        <v>0</v>
      </c>
    </row>
    <row r="924" spans="1:14" hidden="1" x14ac:dyDescent="0.3">
      <c r="A924" t="s">
        <v>12174</v>
      </c>
      <c r="B924" t="s">
        <v>642</v>
      </c>
      <c r="C924" t="s">
        <v>12175</v>
      </c>
      <c r="E924" s="1" t="e">
        <v>#N/A</v>
      </c>
      <c r="F924" s="1" t="e">
        <v>#N/A</v>
      </c>
      <c r="G924" s="1" t="s">
        <v>12872</v>
      </c>
      <c r="H924">
        <v>2025</v>
      </c>
      <c r="I924">
        <v>2026</v>
      </c>
      <c r="J924">
        <f t="shared" si="28"/>
        <v>2</v>
      </c>
      <c r="K924" s="1" t="s">
        <v>648</v>
      </c>
      <c r="L924" s="1" t="s">
        <v>666</v>
      </c>
      <c r="M924">
        <f t="shared" si="29"/>
        <v>0</v>
      </c>
    </row>
    <row r="925" spans="1:14" x14ac:dyDescent="0.3">
      <c r="A925" s="1" t="s">
        <v>7426</v>
      </c>
      <c r="B925" s="1" t="s">
        <v>795</v>
      </c>
      <c r="C925" s="1" t="s">
        <v>7427</v>
      </c>
      <c r="D925" s="1" t="s">
        <v>1395</v>
      </c>
      <c r="E925" s="1" t="s">
        <v>6076</v>
      </c>
      <c r="F925" s="1" t="s">
        <v>6076</v>
      </c>
      <c r="G925" s="1" t="s">
        <v>4089</v>
      </c>
      <c r="H925">
        <v>1986</v>
      </c>
      <c r="I925">
        <v>1995</v>
      </c>
      <c r="J925">
        <f t="shared" si="28"/>
        <v>10</v>
      </c>
      <c r="K925" s="1" t="s">
        <v>6076</v>
      </c>
      <c r="L925" s="1" t="s">
        <v>6076</v>
      </c>
      <c r="M925">
        <f t="shared" si="29"/>
        <v>31</v>
      </c>
      <c r="N925" t="s">
        <v>640</v>
      </c>
    </row>
    <row r="926" spans="1:14" x14ac:dyDescent="0.3">
      <c r="A926" s="1" t="s">
        <v>7428</v>
      </c>
      <c r="B926" s="1" t="s">
        <v>795</v>
      </c>
      <c r="C926" s="1" t="s">
        <v>7429</v>
      </c>
      <c r="D926" s="1" t="s">
        <v>1395</v>
      </c>
      <c r="E926" s="1" t="s">
        <v>6076</v>
      </c>
      <c r="F926" s="1" t="s">
        <v>6076</v>
      </c>
      <c r="G926" s="1" t="s">
        <v>4089</v>
      </c>
      <c r="H926">
        <v>1986</v>
      </c>
      <c r="I926">
        <v>1995</v>
      </c>
      <c r="J926">
        <f t="shared" si="28"/>
        <v>10</v>
      </c>
      <c r="K926" s="1" t="s">
        <v>6076</v>
      </c>
      <c r="L926" s="1" t="s">
        <v>6076</v>
      </c>
      <c r="M926">
        <f t="shared" si="29"/>
        <v>31</v>
      </c>
      <c r="N926" t="s">
        <v>640</v>
      </c>
    </row>
    <row r="927" spans="1:14" x14ac:dyDescent="0.3">
      <c r="A927" s="1" t="s">
        <v>6410</v>
      </c>
      <c r="B927" s="1" t="s">
        <v>802</v>
      </c>
      <c r="C927" s="1" t="s">
        <v>6411</v>
      </c>
      <c r="D927" s="1" t="s">
        <v>746</v>
      </c>
      <c r="E927" s="1" t="s">
        <v>6076</v>
      </c>
      <c r="F927" s="1" t="s">
        <v>6076</v>
      </c>
      <c r="G927" s="1" t="s">
        <v>3668</v>
      </c>
      <c r="H927">
        <v>2000</v>
      </c>
      <c r="I927">
        <v>2000</v>
      </c>
      <c r="J927">
        <f t="shared" si="28"/>
        <v>1</v>
      </c>
      <c r="K927" s="1" t="s">
        <v>6076</v>
      </c>
      <c r="L927" s="1" t="s">
        <v>6076</v>
      </c>
      <c r="M927">
        <f t="shared" si="29"/>
        <v>26</v>
      </c>
      <c r="N927" t="s">
        <v>640</v>
      </c>
    </row>
    <row r="928" spans="1:14" x14ac:dyDescent="0.3">
      <c r="A928" s="1" t="s">
        <v>6412</v>
      </c>
      <c r="B928" s="1" t="s">
        <v>802</v>
      </c>
      <c r="C928" s="1" t="s">
        <v>6413</v>
      </c>
      <c r="D928" s="1" t="s">
        <v>746</v>
      </c>
      <c r="E928" s="1" t="s">
        <v>6076</v>
      </c>
      <c r="F928" s="1" t="s">
        <v>6076</v>
      </c>
      <c r="G928" s="1" t="s">
        <v>3668</v>
      </c>
      <c r="H928">
        <v>2000</v>
      </c>
      <c r="I928">
        <v>2000</v>
      </c>
      <c r="J928">
        <f t="shared" si="28"/>
        <v>1</v>
      </c>
      <c r="K928" s="1" t="s">
        <v>6076</v>
      </c>
      <c r="L928" s="1" t="s">
        <v>6076</v>
      </c>
      <c r="M928">
        <f t="shared" si="29"/>
        <v>26</v>
      </c>
      <c r="N928" t="s">
        <v>640</v>
      </c>
    </row>
    <row r="929" spans="1:14" x14ac:dyDescent="0.3">
      <c r="A929" s="1" t="s">
        <v>6414</v>
      </c>
      <c r="B929" s="1" t="s">
        <v>802</v>
      </c>
      <c r="C929" s="1" t="s">
        <v>6415</v>
      </c>
      <c r="D929" s="1" t="s">
        <v>746</v>
      </c>
      <c r="E929" s="1" t="s">
        <v>6076</v>
      </c>
      <c r="F929" s="1" t="s">
        <v>6076</v>
      </c>
      <c r="G929" s="1" t="s">
        <v>3668</v>
      </c>
      <c r="H929">
        <v>2000</v>
      </c>
      <c r="I929">
        <v>2000</v>
      </c>
      <c r="J929">
        <f t="shared" si="28"/>
        <v>1</v>
      </c>
      <c r="K929" s="1" t="s">
        <v>6076</v>
      </c>
      <c r="L929" s="1" t="s">
        <v>6076</v>
      </c>
      <c r="M929">
        <f t="shared" si="29"/>
        <v>26</v>
      </c>
      <c r="N929" t="s">
        <v>640</v>
      </c>
    </row>
    <row r="930" spans="1:14" hidden="1" x14ac:dyDescent="0.3">
      <c r="A930" s="1" t="s">
        <v>3666</v>
      </c>
      <c r="B930" s="1" t="s">
        <v>802</v>
      </c>
      <c r="C930" s="1" t="s">
        <v>3667</v>
      </c>
      <c r="D930" s="1" t="s">
        <v>746</v>
      </c>
      <c r="E930" s="1" t="s">
        <v>1358</v>
      </c>
      <c r="F930" s="1" t="s">
        <v>1359</v>
      </c>
      <c r="G930" s="1" t="s">
        <v>3668</v>
      </c>
      <c r="H930">
        <v>2011</v>
      </c>
      <c r="I930">
        <v>2011</v>
      </c>
      <c r="J930">
        <f t="shared" si="28"/>
        <v>1</v>
      </c>
      <c r="K930" s="1" t="s">
        <v>3665</v>
      </c>
      <c r="L930" s="1" t="s">
        <v>649</v>
      </c>
      <c r="M930">
        <f t="shared" si="29"/>
        <v>15</v>
      </c>
      <c r="N930" t="s">
        <v>650</v>
      </c>
    </row>
    <row r="931" spans="1:14" hidden="1" x14ac:dyDescent="0.3">
      <c r="A931" s="1" t="s">
        <v>3669</v>
      </c>
      <c r="B931" s="1" t="s">
        <v>802</v>
      </c>
      <c r="C931" s="1" t="s">
        <v>3670</v>
      </c>
      <c r="D931" s="1" t="s">
        <v>746</v>
      </c>
      <c r="E931" s="1" t="s">
        <v>1358</v>
      </c>
      <c r="F931" s="1" t="s">
        <v>1359</v>
      </c>
      <c r="G931" s="1" t="s">
        <v>3668</v>
      </c>
      <c r="H931">
        <v>2011</v>
      </c>
      <c r="I931">
        <v>2011</v>
      </c>
      <c r="J931">
        <f t="shared" si="28"/>
        <v>1</v>
      </c>
      <c r="K931" s="1" t="s">
        <v>3665</v>
      </c>
      <c r="L931" s="1" t="s">
        <v>649</v>
      </c>
      <c r="M931">
        <f t="shared" si="29"/>
        <v>15</v>
      </c>
      <c r="N931" t="s">
        <v>650</v>
      </c>
    </row>
    <row r="932" spans="1:14" hidden="1" x14ac:dyDescent="0.3">
      <c r="A932" s="1" t="s">
        <v>3671</v>
      </c>
      <c r="B932" s="1" t="s">
        <v>802</v>
      </c>
      <c r="C932" s="1" t="s">
        <v>3672</v>
      </c>
      <c r="D932" s="1" t="s">
        <v>746</v>
      </c>
      <c r="E932" s="1" t="s">
        <v>1358</v>
      </c>
      <c r="F932" s="1" t="s">
        <v>1359</v>
      </c>
      <c r="G932" s="1" t="s">
        <v>3668</v>
      </c>
      <c r="H932">
        <v>2015</v>
      </c>
      <c r="I932">
        <v>2015</v>
      </c>
      <c r="J932">
        <f t="shared" si="28"/>
        <v>1</v>
      </c>
      <c r="K932" s="1" t="s">
        <v>3665</v>
      </c>
      <c r="L932" s="1" t="s">
        <v>649</v>
      </c>
      <c r="M932">
        <f t="shared" si="29"/>
        <v>11</v>
      </c>
      <c r="N932" t="s">
        <v>650</v>
      </c>
    </row>
    <row r="933" spans="1:14" hidden="1" x14ac:dyDescent="0.3">
      <c r="A933" s="1" t="s">
        <v>3673</v>
      </c>
      <c r="B933" s="1" t="s">
        <v>802</v>
      </c>
      <c r="C933" s="1" t="s">
        <v>3674</v>
      </c>
      <c r="D933" s="1" t="s">
        <v>746</v>
      </c>
      <c r="E933" s="1" t="s">
        <v>1358</v>
      </c>
      <c r="F933" s="1" t="s">
        <v>1359</v>
      </c>
      <c r="G933" s="1" t="s">
        <v>3668</v>
      </c>
      <c r="H933">
        <v>2015</v>
      </c>
      <c r="I933">
        <v>2015</v>
      </c>
      <c r="J933">
        <f t="shared" si="28"/>
        <v>1</v>
      </c>
      <c r="K933" s="1" t="s">
        <v>3665</v>
      </c>
      <c r="L933" s="1" t="s">
        <v>649</v>
      </c>
      <c r="M933">
        <f t="shared" si="29"/>
        <v>11</v>
      </c>
      <c r="N933" t="s">
        <v>650</v>
      </c>
    </row>
    <row r="934" spans="1:14" hidden="1" x14ac:dyDescent="0.3">
      <c r="A934" s="1" t="s">
        <v>3675</v>
      </c>
      <c r="B934" s="1" t="s">
        <v>802</v>
      </c>
      <c r="C934" s="1" t="s">
        <v>3676</v>
      </c>
      <c r="D934" s="1" t="s">
        <v>746</v>
      </c>
      <c r="E934" s="1" t="s">
        <v>1358</v>
      </c>
      <c r="F934" s="1" t="s">
        <v>1359</v>
      </c>
      <c r="G934" s="1" t="s">
        <v>3668</v>
      </c>
      <c r="H934">
        <v>2011</v>
      </c>
      <c r="I934">
        <v>2011</v>
      </c>
      <c r="J934">
        <f t="shared" si="28"/>
        <v>1</v>
      </c>
      <c r="K934" s="1" t="s">
        <v>3665</v>
      </c>
      <c r="L934" s="1" t="s">
        <v>649</v>
      </c>
      <c r="M934">
        <f t="shared" si="29"/>
        <v>15</v>
      </c>
      <c r="N934" t="s">
        <v>650</v>
      </c>
    </row>
    <row r="935" spans="1:14" hidden="1" x14ac:dyDescent="0.3">
      <c r="A935" s="1" t="s">
        <v>3677</v>
      </c>
      <c r="B935" s="1" t="s">
        <v>802</v>
      </c>
      <c r="C935" s="1" t="s">
        <v>3678</v>
      </c>
      <c r="D935" s="1" t="s">
        <v>746</v>
      </c>
      <c r="E935" s="1" t="s">
        <v>1358</v>
      </c>
      <c r="F935" s="1" t="s">
        <v>1359</v>
      </c>
      <c r="G935" s="1" t="s">
        <v>3668</v>
      </c>
      <c r="H935">
        <v>2011</v>
      </c>
      <c r="I935">
        <v>2011</v>
      </c>
      <c r="J935">
        <f t="shared" si="28"/>
        <v>1</v>
      </c>
      <c r="K935" s="1" t="s">
        <v>3665</v>
      </c>
      <c r="L935" s="1" t="s">
        <v>649</v>
      </c>
      <c r="M935">
        <f t="shared" si="29"/>
        <v>15</v>
      </c>
      <c r="N935" t="s">
        <v>650</v>
      </c>
    </row>
    <row r="936" spans="1:14" hidden="1" x14ac:dyDescent="0.3">
      <c r="A936" s="1" t="s">
        <v>3679</v>
      </c>
      <c r="B936" s="1" t="s">
        <v>802</v>
      </c>
      <c r="C936" s="1" t="s">
        <v>3680</v>
      </c>
      <c r="D936" s="1" t="s">
        <v>746</v>
      </c>
      <c r="E936" s="1" t="s">
        <v>1358</v>
      </c>
      <c r="F936" s="1" t="s">
        <v>1359</v>
      </c>
      <c r="G936" s="1" t="s">
        <v>3668</v>
      </c>
      <c r="H936">
        <v>2013</v>
      </c>
      <c r="I936">
        <v>2013</v>
      </c>
      <c r="J936">
        <f t="shared" si="28"/>
        <v>1</v>
      </c>
      <c r="K936" s="1" t="s">
        <v>3665</v>
      </c>
      <c r="L936" s="1" t="s">
        <v>649</v>
      </c>
      <c r="M936">
        <f t="shared" si="29"/>
        <v>13</v>
      </c>
      <c r="N936" t="s">
        <v>650</v>
      </c>
    </row>
    <row r="937" spans="1:14" hidden="1" x14ac:dyDescent="0.3">
      <c r="A937" s="1" t="s">
        <v>3681</v>
      </c>
      <c r="B937" s="1" t="s">
        <v>802</v>
      </c>
      <c r="C937" s="1" t="s">
        <v>3682</v>
      </c>
      <c r="D937" s="1" t="s">
        <v>746</v>
      </c>
      <c r="E937" s="1" t="s">
        <v>1358</v>
      </c>
      <c r="F937" s="1" t="s">
        <v>1359</v>
      </c>
      <c r="G937" s="1" t="s">
        <v>3668</v>
      </c>
      <c r="H937">
        <v>2013</v>
      </c>
      <c r="I937">
        <v>2013</v>
      </c>
      <c r="J937">
        <f t="shared" si="28"/>
        <v>1</v>
      </c>
      <c r="K937" s="1" t="s">
        <v>3665</v>
      </c>
      <c r="L937" s="1" t="s">
        <v>649</v>
      </c>
      <c r="M937">
        <f t="shared" si="29"/>
        <v>13</v>
      </c>
      <c r="N937" t="s">
        <v>650</v>
      </c>
    </row>
    <row r="938" spans="1:14" x14ac:dyDescent="0.3">
      <c r="A938" s="1" t="s">
        <v>6416</v>
      </c>
      <c r="B938" s="1" t="s">
        <v>802</v>
      </c>
      <c r="C938" s="1" t="s">
        <v>6417</v>
      </c>
      <c r="D938" s="1" t="s">
        <v>746</v>
      </c>
      <c r="E938" s="1" t="s">
        <v>6076</v>
      </c>
      <c r="F938" s="1" t="s">
        <v>6076</v>
      </c>
      <c r="G938" s="1" t="s">
        <v>3668</v>
      </c>
      <c r="H938">
        <v>1998</v>
      </c>
      <c r="I938">
        <v>1998</v>
      </c>
      <c r="J938">
        <f t="shared" si="28"/>
        <v>1</v>
      </c>
      <c r="K938" s="1" t="s">
        <v>6076</v>
      </c>
      <c r="L938" s="1" t="s">
        <v>6076</v>
      </c>
      <c r="M938">
        <f t="shared" si="29"/>
        <v>28</v>
      </c>
      <c r="N938" t="s">
        <v>640</v>
      </c>
    </row>
    <row r="939" spans="1:14" hidden="1" x14ac:dyDescent="0.3">
      <c r="A939" s="1" t="s">
        <v>4879</v>
      </c>
      <c r="B939" s="1" t="s">
        <v>802</v>
      </c>
      <c r="C939" s="1" t="s">
        <v>4880</v>
      </c>
      <c r="D939" s="1" t="s">
        <v>746</v>
      </c>
      <c r="E939" s="1" t="s">
        <v>1358</v>
      </c>
      <c r="F939" s="1" t="s">
        <v>1359</v>
      </c>
      <c r="G939" s="1" t="s">
        <v>3668</v>
      </c>
      <c r="H939">
        <v>2011</v>
      </c>
      <c r="I939">
        <v>2011</v>
      </c>
      <c r="J939">
        <f t="shared" si="28"/>
        <v>1</v>
      </c>
      <c r="K939" s="1" t="s">
        <v>4668</v>
      </c>
      <c r="L939" s="1" t="s">
        <v>649</v>
      </c>
      <c r="M939">
        <f t="shared" si="29"/>
        <v>15</v>
      </c>
      <c r="N939" t="s">
        <v>650</v>
      </c>
    </row>
    <row r="940" spans="1:14" hidden="1" x14ac:dyDescent="0.3">
      <c r="A940" s="1" t="s">
        <v>3683</v>
      </c>
      <c r="B940" s="1" t="s">
        <v>802</v>
      </c>
      <c r="C940" s="1" t="s">
        <v>3684</v>
      </c>
      <c r="D940" s="1" t="s">
        <v>746</v>
      </c>
      <c r="E940" s="1" t="s">
        <v>1358</v>
      </c>
      <c r="F940" s="1" t="s">
        <v>1359</v>
      </c>
      <c r="G940" s="1" t="s">
        <v>3668</v>
      </c>
      <c r="H940">
        <v>2014</v>
      </c>
      <c r="I940">
        <v>2014</v>
      </c>
      <c r="J940">
        <f t="shared" si="28"/>
        <v>1</v>
      </c>
      <c r="K940" s="1" t="s">
        <v>3665</v>
      </c>
      <c r="L940" s="1" t="s">
        <v>649</v>
      </c>
      <c r="M940">
        <f t="shared" si="29"/>
        <v>12</v>
      </c>
      <c r="N940" t="s">
        <v>650</v>
      </c>
    </row>
    <row r="941" spans="1:14" hidden="1" x14ac:dyDescent="0.3">
      <c r="A941" s="1" t="s">
        <v>3685</v>
      </c>
      <c r="B941" s="1" t="s">
        <v>802</v>
      </c>
      <c r="C941" s="1" t="s">
        <v>3686</v>
      </c>
      <c r="D941" s="1" t="s">
        <v>746</v>
      </c>
      <c r="E941" s="1" t="s">
        <v>1358</v>
      </c>
      <c r="F941" s="1" t="s">
        <v>1359</v>
      </c>
      <c r="G941" s="1" t="s">
        <v>3668</v>
      </c>
      <c r="H941">
        <v>2014</v>
      </c>
      <c r="I941">
        <v>2014</v>
      </c>
      <c r="J941">
        <f t="shared" si="28"/>
        <v>1</v>
      </c>
      <c r="K941" s="1" t="s">
        <v>3665</v>
      </c>
      <c r="L941" s="1" t="s">
        <v>649</v>
      </c>
      <c r="M941">
        <f t="shared" si="29"/>
        <v>12</v>
      </c>
      <c r="N941" t="s">
        <v>650</v>
      </c>
    </row>
    <row r="942" spans="1:14" hidden="1" x14ac:dyDescent="0.3">
      <c r="A942" t="s">
        <v>11421</v>
      </c>
      <c r="B942" t="s">
        <v>1451</v>
      </c>
      <c r="C942" t="s">
        <v>11422</v>
      </c>
      <c r="E942" s="1" t="e">
        <v>#N/A</v>
      </c>
      <c r="F942" s="1" t="e">
        <v>#N/A</v>
      </c>
      <c r="G942" s="1" t="s">
        <v>12819</v>
      </c>
      <c r="H942">
        <v>2025</v>
      </c>
      <c r="I942">
        <v>2026</v>
      </c>
      <c r="J942">
        <f t="shared" si="28"/>
        <v>2</v>
      </c>
      <c r="K942" s="1" t="s">
        <v>4668</v>
      </c>
      <c r="L942" s="1" t="s">
        <v>659</v>
      </c>
      <c r="M942">
        <f t="shared" si="29"/>
        <v>0</v>
      </c>
    </row>
    <row r="943" spans="1:14" hidden="1" x14ac:dyDescent="0.3">
      <c r="A943" t="s">
        <v>11423</v>
      </c>
      <c r="B943" t="s">
        <v>1451</v>
      </c>
      <c r="C943" t="s">
        <v>11424</v>
      </c>
      <c r="E943" s="1" t="e">
        <v>#N/A</v>
      </c>
      <c r="F943" s="1" t="e">
        <v>#N/A</v>
      </c>
      <c r="G943" s="1" t="s">
        <v>12819</v>
      </c>
      <c r="H943">
        <v>2021</v>
      </c>
      <c r="I943">
        <v>2026</v>
      </c>
      <c r="J943">
        <f t="shared" si="28"/>
        <v>6</v>
      </c>
      <c r="K943" s="1" t="s">
        <v>4668</v>
      </c>
      <c r="L943" s="1" t="s">
        <v>659</v>
      </c>
      <c r="M943">
        <f t="shared" si="29"/>
        <v>0</v>
      </c>
    </row>
    <row r="944" spans="1:14" x14ac:dyDescent="0.3">
      <c r="A944" s="1" t="s">
        <v>6418</v>
      </c>
      <c r="B944" s="1" t="s">
        <v>672</v>
      </c>
      <c r="C944" s="1" t="s">
        <v>6419</v>
      </c>
      <c r="D944" s="1" t="s">
        <v>738</v>
      </c>
      <c r="E944" s="1" t="s">
        <v>6076</v>
      </c>
      <c r="F944" s="1" t="s">
        <v>6076</v>
      </c>
      <c r="G944" s="1" t="s">
        <v>6420</v>
      </c>
      <c r="H944">
        <v>1992</v>
      </c>
      <c r="I944">
        <v>1993</v>
      </c>
      <c r="J944">
        <f t="shared" si="28"/>
        <v>2</v>
      </c>
      <c r="K944" s="1" t="s">
        <v>6076</v>
      </c>
      <c r="L944" s="1" t="s">
        <v>6076</v>
      </c>
      <c r="M944">
        <f t="shared" si="29"/>
        <v>33</v>
      </c>
      <c r="N944" t="s">
        <v>640</v>
      </c>
    </row>
    <row r="945" spans="1:14" x14ac:dyDescent="0.3">
      <c r="A945" s="1" t="s">
        <v>6421</v>
      </c>
      <c r="B945" s="1" t="s">
        <v>672</v>
      </c>
      <c r="C945" s="1" t="s">
        <v>6422</v>
      </c>
      <c r="D945" s="1" t="s">
        <v>738</v>
      </c>
      <c r="E945" s="1" t="s">
        <v>6076</v>
      </c>
      <c r="F945" s="1" t="s">
        <v>6076</v>
      </c>
      <c r="G945" s="1" t="s">
        <v>6420</v>
      </c>
      <c r="H945">
        <v>1992</v>
      </c>
      <c r="I945">
        <v>1993</v>
      </c>
      <c r="J945">
        <f t="shared" si="28"/>
        <v>2</v>
      </c>
      <c r="K945" s="1" t="s">
        <v>6076</v>
      </c>
      <c r="L945" s="1" t="s">
        <v>6076</v>
      </c>
      <c r="M945">
        <f t="shared" si="29"/>
        <v>33</v>
      </c>
      <c r="N945" t="s">
        <v>640</v>
      </c>
    </row>
    <row r="946" spans="1:14" x14ac:dyDescent="0.3">
      <c r="A946" s="1" t="s">
        <v>6423</v>
      </c>
      <c r="B946" s="1" t="s">
        <v>795</v>
      </c>
      <c r="C946" s="1" t="s">
        <v>6424</v>
      </c>
      <c r="D946" s="1" t="s">
        <v>1242</v>
      </c>
      <c r="E946" s="1" t="s">
        <v>6076</v>
      </c>
      <c r="F946" s="1" t="s">
        <v>6076</v>
      </c>
      <c r="G946" s="1" t="s">
        <v>6425</v>
      </c>
      <c r="H946">
        <v>1985</v>
      </c>
      <c r="I946">
        <v>1989</v>
      </c>
      <c r="J946">
        <f t="shared" si="28"/>
        <v>5</v>
      </c>
      <c r="K946" s="1" t="s">
        <v>6076</v>
      </c>
      <c r="L946" s="1" t="s">
        <v>6076</v>
      </c>
      <c r="M946">
        <f t="shared" si="29"/>
        <v>37</v>
      </c>
      <c r="N946" t="s">
        <v>640</v>
      </c>
    </row>
    <row r="947" spans="1:14" x14ac:dyDescent="0.3">
      <c r="A947" s="1" t="s">
        <v>6426</v>
      </c>
      <c r="B947" s="1" t="s">
        <v>795</v>
      </c>
      <c r="C947" s="1" t="s">
        <v>6427</v>
      </c>
      <c r="D947" s="1" t="s">
        <v>1242</v>
      </c>
      <c r="E947" s="1" t="s">
        <v>6076</v>
      </c>
      <c r="F947" s="1" t="s">
        <v>6076</v>
      </c>
      <c r="G947" s="1" t="s">
        <v>6425</v>
      </c>
      <c r="H947">
        <v>1985</v>
      </c>
      <c r="I947">
        <v>1989</v>
      </c>
      <c r="J947">
        <f t="shared" si="28"/>
        <v>5</v>
      </c>
      <c r="K947" s="1" t="s">
        <v>6076</v>
      </c>
      <c r="L947" s="1" t="s">
        <v>6076</v>
      </c>
      <c r="M947">
        <f t="shared" si="29"/>
        <v>37</v>
      </c>
      <c r="N947" t="s">
        <v>640</v>
      </c>
    </row>
    <row r="948" spans="1:14" x14ac:dyDescent="0.3">
      <c r="A948" s="1" t="s">
        <v>6428</v>
      </c>
      <c r="B948" s="1" t="s">
        <v>795</v>
      </c>
      <c r="C948" s="1" t="s">
        <v>6429</v>
      </c>
      <c r="D948" s="1" t="s">
        <v>1242</v>
      </c>
      <c r="E948" s="1" t="s">
        <v>6076</v>
      </c>
      <c r="F948" s="1" t="s">
        <v>6076</v>
      </c>
      <c r="G948" s="1" t="s">
        <v>6425</v>
      </c>
      <c r="H948">
        <v>1985</v>
      </c>
      <c r="I948">
        <v>1989</v>
      </c>
      <c r="J948">
        <f t="shared" si="28"/>
        <v>5</v>
      </c>
      <c r="K948" s="1" t="s">
        <v>6076</v>
      </c>
      <c r="L948" s="1" t="s">
        <v>6076</v>
      </c>
      <c r="M948">
        <f t="shared" si="29"/>
        <v>37</v>
      </c>
      <c r="N948" t="s">
        <v>640</v>
      </c>
    </row>
    <row r="949" spans="1:14" x14ac:dyDescent="0.3">
      <c r="A949" s="1" t="s">
        <v>6430</v>
      </c>
      <c r="B949" s="1" t="s">
        <v>795</v>
      </c>
      <c r="C949" s="1" t="s">
        <v>6431</v>
      </c>
      <c r="D949" s="1" t="s">
        <v>1242</v>
      </c>
      <c r="E949" s="1" t="s">
        <v>6076</v>
      </c>
      <c r="F949" s="1" t="s">
        <v>6076</v>
      </c>
      <c r="G949" s="1" t="s">
        <v>6425</v>
      </c>
      <c r="H949">
        <v>1985</v>
      </c>
      <c r="I949">
        <v>1989</v>
      </c>
      <c r="J949">
        <f t="shared" si="28"/>
        <v>5</v>
      </c>
      <c r="K949" s="1" t="s">
        <v>6076</v>
      </c>
      <c r="L949" s="1" t="s">
        <v>6076</v>
      </c>
      <c r="M949">
        <f t="shared" si="29"/>
        <v>37</v>
      </c>
      <c r="N949" t="s">
        <v>640</v>
      </c>
    </row>
    <row r="950" spans="1:14" x14ac:dyDescent="0.3">
      <c r="A950" s="1" t="s">
        <v>6432</v>
      </c>
      <c r="B950" s="1" t="s">
        <v>5931</v>
      </c>
      <c r="C950" s="1" t="s">
        <v>6433</v>
      </c>
      <c r="D950" s="1" t="s">
        <v>738</v>
      </c>
      <c r="E950" s="1" t="s">
        <v>6076</v>
      </c>
      <c r="F950" s="1" t="s">
        <v>6076</v>
      </c>
      <c r="G950" s="1" t="s">
        <v>5933</v>
      </c>
      <c r="H950">
        <v>2015</v>
      </c>
      <c r="I950">
        <v>2017</v>
      </c>
      <c r="J950">
        <f t="shared" si="28"/>
        <v>3</v>
      </c>
      <c r="K950" s="1" t="s">
        <v>6076</v>
      </c>
      <c r="L950" s="1" t="s">
        <v>6076</v>
      </c>
      <c r="M950">
        <f t="shared" si="29"/>
        <v>9</v>
      </c>
    </row>
    <row r="951" spans="1:14" x14ac:dyDescent="0.3">
      <c r="A951" s="1" t="s">
        <v>6434</v>
      </c>
      <c r="B951" s="1" t="s">
        <v>5931</v>
      </c>
      <c r="C951" s="1" t="s">
        <v>6435</v>
      </c>
      <c r="D951" s="1" t="s">
        <v>738</v>
      </c>
      <c r="E951" s="1" t="s">
        <v>6076</v>
      </c>
      <c r="F951" s="1" t="s">
        <v>6076</v>
      </c>
      <c r="G951" s="1" t="s">
        <v>5933</v>
      </c>
      <c r="H951">
        <v>2015</v>
      </c>
      <c r="I951">
        <v>2022</v>
      </c>
      <c r="J951">
        <f t="shared" si="28"/>
        <v>8</v>
      </c>
      <c r="K951" s="1" t="s">
        <v>6076</v>
      </c>
      <c r="L951" s="1" t="s">
        <v>6076</v>
      </c>
      <c r="M951">
        <f t="shared" si="29"/>
        <v>4</v>
      </c>
    </row>
    <row r="952" spans="1:14" hidden="1" x14ac:dyDescent="0.3">
      <c r="A952" s="1" t="s">
        <v>5930</v>
      </c>
      <c r="B952" s="1" t="s">
        <v>5931</v>
      </c>
      <c r="C952" s="1" t="s">
        <v>5932</v>
      </c>
      <c r="D952" s="1" t="s">
        <v>738</v>
      </c>
      <c r="E952" s="1" t="s">
        <v>5920</v>
      </c>
      <c r="F952" s="1" t="s">
        <v>4893</v>
      </c>
      <c r="G952" s="1" t="s">
        <v>5933</v>
      </c>
      <c r="H952">
        <v>2011</v>
      </c>
      <c r="I952">
        <v>2012</v>
      </c>
      <c r="J952">
        <f t="shared" si="28"/>
        <v>2</v>
      </c>
      <c r="K952" s="1" t="s">
        <v>5909</v>
      </c>
      <c r="L952" s="1" t="s">
        <v>659</v>
      </c>
      <c r="M952">
        <f t="shared" si="29"/>
        <v>14</v>
      </c>
    </row>
    <row r="953" spans="1:14" x14ac:dyDescent="0.3">
      <c r="A953" s="1" t="s">
        <v>6436</v>
      </c>
      <c r="B953" s="1" t="s">
        <v>5931</v>
      </c>
      <c r="C953" s="1" t="s">
        <v>6437</v>
      </c>
      <c r="D953" s="1" t="s">
        <v>3850</v>
      </c>
      <c r="E953" s="1" t="s">
        <v>6076</v>
      </c>
      <c r="F953" s="1" t="s">
        <v>6076</v>
      </c>
      <c r="G953" s="1" t="s">
        <v>5933</v>
      </c>
      <c r="H953">
        <v>2012</v>
      </c>
      <c r="I953">
        <v>2012</v>
      </c>
      <c r="J953">
        <f t="shared" si="28"/>
        <v>1</v>
      </c>
      <c r="K953" s="1" t="s">
        <v>6076</v>
      </c>
      <c r="L953" s="1" t="s">
        <v>6076</v>
      </c>
      <c r="M953">
        <f t="shared" si="29"/>
        <v>14</v>
      </c>
    </row>
    <row r="954" spans="1:14" x14ac:dyDescent="0.3">
      <c r="A954" s="1" t="s">
        <v>6438</v>
      </c>
      <c r="B954" s="1" t="s">
        <v>5931</v>
      </c>
      <c r="C954" s="1" t="s">
        <v>6439</v>
      </c>
      <c r="D954" s="1" t="s">
        <v>3850</v>
      </c>
      <c r="E954" s="1" t="s">
        <v>6076</v>
      </c>
      <c r="F954" s="1" t="s">
        <v>6076</v>
      </c>
      <c r="G954" s="1" t="s">
        <v>5933</v>
      </c>
      <c r="H954">
        <v>2016</v>
      </c>
      <c r="I954">
        <v>2019</v>
      </c>
      <c r="J954">
        <f t="shared" si="28"/>
        <v>4</v>
      </c>
      <c r="K954" s="1" t="s">
        <v>6076</v>
      </c>
      <c r="L954" s="1" t="s">
        <v>6076</v>
      </c>
      <c r="M954">
        <f t="shared" si="29"/>
        <v>7</v>
      </c>
    </row>
    <row r="955" spans="1:14" x14ac:dyDescent="0.3">
      <c r="A955" s="1" t="s">
        <v>6440</v>
      </c>
      <c r="B955" s="1" t="s">
        <v>5931</v>
      </c>
      <c r="C955" s="1" t="s">
        <v>6441</v>
      </c>
      <c r="D955" s="1" t="s">
        <v>3850</v>
      </c>
      <c r="E955" s="1" t="s">
        <v>6076</v>
      </c>
      <c r="F955" s="1" t="s">
        <v>6076</v>
      </c>
      <c r="G955" s="1" t="s">
        <v>5933</v>
      </c>
      <c r="H955">
        <v>2020</v>
      </c>
      <c r="I955">
        <v>2020</v>
      </c>
      <c r="J955">
        <f t="shared" si="28"/>
        <v>1</v>
      </c>
      <c r="K955" s="1" t="s">
        <v>6076</v>
      </c>
      <c r="L955" s="1" t="s">
        <v>6076</v>
      </c>
      <c r="M955">
        <f t="shared" si="29"/>
        <v>6</v>
      </c>
    </row>
    <row r="956" spans="1:14" x14ac:dyDescent="0.3">
      <c r="A956" s="1" t="s">
        <v>6442</v>
      </c>
      <c r="B956" s="1" t="s">
        <v>5931</v>
      </c>
      <c r="C956" s="1" t="s">
        <v>6443</v>
      </c>
      <c r="D956" s="1" t="s">
        <v>3850</v>
      </c>
      <c r="E956" s="1" t="s">
        <v>6076</v>
      </c>
      <c r="F956" s="1" t="s">
        <v>6076</v>
      </c>
      <c r="G956" s="1" t="s">
        <v>5933</v>
      </c>
      <c r="H956">
        <v>2013</v>
      </c>
      <c r="I956">
        <v>2020</v>
      </c>
      <c r="J956">
        <f t="shared" si="28"/>
        <v>8</v>
      </c>
      <c r="K956" s="1" t="s">
        <v>6076</v>
      </c>
      <c r="L956" s="1" t="s">
        <v>6076</v>
      </c>
      <c r="M956">
        <f t="shared" si="29"/>
        <v>6</v>
      </c>
    </row>
    <row r="957" spans="1:14" x14ac:dyDescent="0.3">
      <c r="A957" s="1" t="s">
        <v>6444</v>
      </c>
      <c r="B957" s="1" t="s">
        <v>5931</v>
      </c>
      <c r="C957" s="1" t="s">
        <v>6445</v>
      </c>
      <c r="D957" s="1" t="s">
        <v>738</v>
      </c>
      <c r="E957" s="1" t="s">
        <v>6076</v>
      </c>
      <c r="F957" s="1" t="s">
        <v>6076</v>
      </c>
      <c r="G957" s="1" t="s">
        <v>5933</v>
      </c>
      <c r="H957">
        <v>2015</v>
      </c>
      <c r="I957">
        <v>2017</v>
      </c>
      <c r="J957">
        <f t="shared" si="28"/>
        <v>3</v>
      </c>
      <c r="K957" s="1" t="s">
        <v>6076</v>
      </c>
      <c r="L957" s="1" t="s">
        <v>6076</v>
      </c>
      <c r="M957">
        <f t="shared" si="29"/>
        <v>9</v>
      </c>
    </row>
    <row r="958" spans="1:14" x14ac:dyDescent="0.3">
      <c r="A958" s="1" t="s">
        <v>6446</v>
      </c>
      <c r="B958" s="1" t="s">
        <v>5931</v>
      </c>
      <c r="C958" s="1" t="s">
        <v>6447</v>
      </c>
      <c r="D958" s="1" t="s">
        <v>738</v>
      </c>
      <c r="E958" s="1" t="s">
        <v>6076</v>
      </c>
      <c r="F958" s="1" t="s">
        <v>6076</v>
      </c>
      <c r="G958" s="1" t="s">
        <v>5933</v>
      </c>
      <c r="H958">
        <v>2015</v>
      </c>
      <c r="I958">
        <v>2022</v>
      </c>
      <c r="J958">
        <f t="shared" si="28"/>
        <v>8</v>
      </c>
      <c r="K958" s="1" t="s">
        <v>6076</v>
      </c>
      <c r="L958" s="1" t="s">
        <v>6076</v>
      </c>
      <c r="M958">
        <f t="shared" si="29"/>
        <v>4</v>
      </c>
    </row>
    <row r="959" spans="1:14" x14ac:dyDescent="0.3">
      <c r="A959" s="1" t="s">
        <v>6448</v>
      </c>
      <c r="B959" s="1" t="s">
        <v>5931</v>
      </c>
      <c r="C959" s="1" t="s">
        <v>6449</v>
      </c>
      <c r="D959" s="1" t="s">
        <v>738</v>
      </c>
      <c r="E959" s="1" t="s">
        <v>6076</v>
      </c>
      <c r="F959" s="1" t="s">
        <v>6076</v>
      </c>
      <c r="G959" s="1" t="s">
        <v>5933</v>
      </c>
      <c r="H959">
        <v>2013</v>
      </c>
      <c r="I959">
        <v>2014</v>
      </c>
      <c r="J959">
        <f t="shared" si="28"/>
        <v>2</v>
      </c>
      <c r="K959" s="1" t="s">
        <v>6076</v>
      </c>
      <c r="L959" s="1" t="s">
        <v>6076</v>
      </c>
      <c r="M959">
        <f t="shared" si="29"/>
        <v>12</v>
      </c>
    </row>
    <row r="960" spans="1:14" x14ac:dyDescent="0.3">
      <c r="A960" s="1" t="s">
        <v>6450</v>
      </c>
      <c r="B960" s="1" t="s">
        <v>5931</v>
      </c>
      <c r="C960" s="1" t="s">
        <v>6451</v>
      </c>
      <c r="D960" s="1" t="s">
        <v>738</v>
      </c>
      <c r="E960" s="1" t="s">
        <v>6076</v>
      </c>
      <c r="F960" s="1" t="s">
        <v>6076</v>
      </c>
      <c r="G960" s="1" t="s">
        <v>5933</v>
      </c>
      <c r="H960">
        <v>2012</v>
      </c>
      <c r="I960">
        <v>2012</v>
      </c>
      <c r="J960">
        <f t="shared" si="28"/>
        <v>1</v>
      </c>
      <c r="K960" s="1" t="s">
        <v>6076</v>
      </c>
      <c r="L960" s="1" t="s">
        <v>6076</v>
      </c>
      <c r="M960">
        <f t="shared" si="29"/>
        <v>14</v>
      </c>
    </row>
    <row r="961" spans="1:14" x14ac:dyDescent="0.3">
      <c r="A961" s="1" t="s">
        <v>6452</v>
      </c>
      <c r="B961" s="1" t="s">
        <v>5931</v>
      </c>
      <c r="C961" s="1" t="s">
        <v>6453</v>
      </c>
      <c r="D961" s="1" t="s">
        <v>738</v>
      </c>
      <c r="E961" s="1" t="s">
        <v>6076</v>
      </c>
      <c r="F961" s="1" t="s">
        <v>6076</v>
      </c>
      <c r="G961" s="1" t="s">
        <v>5933</v>
      </c>
      <c r="H961">
        <v>2013</v>
      </c>
      <c r="I961">
        <v>2014</v>
      </c>
      <c r="J961">
        <f t="shared" si="28"/>
        <v>2</v>
      </c>
      <c r="K961" s="1" t="s">
        <v>6076</v>
      </c>
      <c r="L961" s="1" t="s">
        <v>6076</v>
      </c>
      <c r="M961">
        <f t="shared" si="29"/>
        <v>12</v>
      </c>
    </row>
    <row r="962" spans="1:14" x14ac:dyDescent="0.3">
      <c r="A962" s="1" t="s">
        <v>6454</v>
      </c>
      <c r="B962" s="1" t="s">
        <v>5931</v>
      </c>
      <c r="C962" s="1" t="s">
        <v>6455</v>
      </c>
      <c r="D962" s="1" t="s">
        <v>738</v>
      </c>
      <c r="E962" s="1" t="s">
        <v>6076</v>
      </c>
      <c r="F962" s="1" t="s">
        <v>6076</v>
      </c>
      <c r="G962" s="1" t="s">
        <v>5933</v>
      </c>
      <c r="H962">
        <v>1993</v>
      </c>
      <c r="I962">
        <v>2002</v>
      </c>
      <c r="J962">
        <f t="shared" si="28"/>
        <v>10</v>
      </c>
      <c r="K962" s="1" t="s">
        <v>6076</v>
      </c>
      <c r="L962" s="1" t="s">
        <v>6076</v>
      </c>
      <c r="M962">
        <f t="shared" si="29"/>
        <v>24</v>
      </c>
    </row>
    <row r="963" spans="1:14" x14ac:dyDescent="0.3">
      <c r="A963" s="1" t="s">
        <v>6456</v>
      </c>
      <c r="B963" s="1" t="s">
        <v>5931</v>
      </c>
      <c r="C963" s="1" t="s">
        <v>6457</v>
      </c>
      <c r="D963" s="1" t="s">
        <v>738</v>
      </c>
      <c r="E963" s="1" t="s">
        <v>6076</v>
      </c>
      <c r="F963" s="1" t="s">
        <v>6076</v>
      </c>
      <c r="G963" s="1" t="s">
        <v>5933</v>
      </c>
      <c r="H963">
        <v>2010</v>
      </c>
      <c r="I963">
        <v>2011</v>
      </c>
      <c r="J963">
        <f t="shared" si="28"/>
        <v>2</v>
      </c>
      <c r="K963" s="1" t="s">
        <v>6076</v>
      </c>
      <c r="L963" s="1" t="s">
        <v>6076</v>
      </c>
      <c r="M963">
        <f t="shared" si="29"/>
        <v>15</v>
      </c>
    </row>
    <row r="964" spans="1:14" x14ac:dyDescent="0.3">
      <c r="A964" s="1" t="s">
        <v>6458</v>
      </c>
      <c r="B964" s="1" t="s">
        <v>5931</v>
      </c>
      <c r="C964" s="1" t="s">
        <v>6459</v>
      </c>
      <c r="D964" s="1" t="s">
        <v>738</v>
      </c>
      <c r="E964" s="1" t="s">
        <v>6076</v>
      </c>
      <c r="F964" s="1" t="s">
        <v>6076</v>
      </c>
      <c r="G964" s="1" t="s">
        <v>5933</v>
      </c>
      <c r="H964">
        <v>2003</v>
      </c>
      <c r="I964">
        <v>2007</v>
      </c>
      <c r="J964">
        <f t="shared" si="28"/>
        <v>5</v>
      </c>
      <c r="K964" s="1" t="s">
        <v>6076</v>
      </c>
      <c r="L964" s="1" t="s">
        <v>6076</v>
      </c>
      <c r="M964">
        <f t="shared" si="29"/>
        <v>19</v>
      </c>
    </row>
    <row r="965" spans="1:14" x14ac:dyDescent="0.3">
      <c r="A965" s="1" t="s">
        <v>6460</v>
      </c>
      <c r="B965" s="1" t="s">
        <v>795</v>
      </c>
      <c r="C965" s="1" t="s">
        <v>6461</v>
      </c>
      <c r="D965" s="1" t="s">
        <v>1242</v>
      </c>
      <c r="E965" s="1" t="s">
        <v>6076</v>
      </c>
      <c r="F965" s="1" t="s">
        <v>6076</v>
      </c>
      <c r="G965" s="1" t="s">
        <v>6425</v>
      </c>
      <c r="H965">
        <v>1986</v>
      </c>
      <c r="I965">
        <v>1996</v>
      </c>
      <c r="J965">
        <f t="shared" si="28"/>
        <v>11</v>
      </c>
      <c r="K965" s="1" t="s">
        <v>6076</v>
      </c>
      <c r="L965" s="1" t="s">
        <v>6076</v>
      </c>
      <c r="M965">
        <f t="shared" si="29"/>
        <v>30</v>
      </c>
      <c r="N965" t="s">
        <v>640</v>
      </c>
    </row>
    <row r="966" spans="1:14" x14ac:dyDescent="0.3">
      <c r="A966" s="1" t="s">
        <v>6462</v>
      </c>
      <c r="B966" s="1" t="s">
        <v>795</v>
      </c>
      <c r="C966" s="1" t="s">
        <v>6463</v>
      </c>
      <c r="D966" s="1" t="s">
        <v>1242</v>
      </c>
      <c r="E966" s="1" t="s">
        <v>6076</v>
      </c>
      <c r="F966" s="1" t="s">
        <v>6076</v>
      </c>
      <c r="G966" s="1" t="s">
        <v>6425</v>
      </c>
      <c r="H966">
        <v>1986</v>
      </c>
      <c r="I966">
        <v>1996</v>
      </c>
      <c r="J966">
        <f t="shared" ref="J966:J1029" si="30">1+(I966-H966)</f>
        <v>11</v>
      </c>
      <c r="K966" s="1" t="s">
        <v>6076</v>
      </c>
      <c r="L966" s="1" t="s">
        <v>6076</v>
      </c>
      <c r="M966">
        <f t="shared" ref="M966:M1029" si="31">IF(I966=0,0,$B$2-I966)</f>
        <v>30</v>
      </c>
      <c r="N966" t="s">
        <v>640</v>
      </c>
    </row>
    <row r="967" spans="1:14" x14ac:dyDescent="0.3">
      <c r="A967" s="1" t="s">
        <v>6464</v>
      </c>
      <c r="B967" s="1" t="s">
        <v>795</v>
      </c>
      <c r="C967" s="1" t="s">
        <v>6465</v>
      </c>
      <c r="D967" s="1" t="s">
        <v>1242</v>
      </c>
      <c r="E967" s="1" t="s">
        <v>6076</v>
      </c>
      <c r="F967" s="1" t="s">
        <v>6076</v>
      </c>
      <c r="G967" s="1" t="s">
        <v>6425</v>
      </c>
      <c r="H967">
        <v>1986</v>
      </c>
      <c r="I967">
        <v>1996</v>
      </c>
      <c r="J967">
        <f t="shared" si="30"/>
        <v>11</v>
      </c>
      <c r="K967" s="1" t="s">
        <v>6076</v>
      </c>
      <c r="L967" s="1" t="s">
        <v>6076</v>
      </c>
      <c r="M967">
        <f t="shared" si="31"/>
        <v>30</v>
      </c>
      <c r="N967" t="s">
        <v>640</v>
      </c>
    </row>
    <row r="968" spans="1:14" x14ac:dyDescent="0.3">
      <c r="A968" s="1" t="s">
        <v>6466</v>
      </c>
      <c r="B968" s="1" t="s">
        <v>795</v>
      </c>
      <c r="C968" s="1" t="s">
        <v>6467</v>
      </c>
      <c r="D968" s="1" t="s">
        <v>1242</v>
      </c>
      <c r="E968" s="1" t="s">
        <v>6076</v>
      </c>
      <c r="F968" s="1" t="s">
        <v>6076</v>
      </c>
      <c r="G968" s="1" t="s">
        <v>6425</v>
      </c>
      <c r="H968">
        <v>1985</v>
      </c>
      <c r="I968">
        <v>1996</v>
      </c>
      <c r="J968">
        <f t="shared" si="30"/>
        <v>12</v>
      </c>
      <c r="K968" s="1" t="s">
        <v>6076</v>
      </c>
      <c r="L968" s="1" t="s">
        <v>6076</v>
      </c>
      <c r="M968">
        <f t="shared" si="31"/>
        <v>30</v>
      </c>
      <c r="N968" t="s">
        <v>640</v>
      </c>
    </row>
    <row r="969" spans="1:14" x14ac:dyDescent="0.3">
      <c r="A969" s="1" t="s">
        <v>6468</v>
      </c>
      <c r="B969" s="1" t="s">
        <v>5931</v>
      </c>
      <c r="C969" s="1" t="s">
        <v>6469</v>
      </c>
      <c r="D969" s="1" t="s">
        <v>738</v>
      </c>
      <c r="E969" s="1" t="s">
        <v>6076</v>
      </c>
      <c r="F969" s="1" t="s">
        <v>6076</v>
      </c>
      <c r="G969" s="1" t="s">
        <v>6470</v>
      </c>
      <c r="H969">
        <v>2022</v>
      </c>
      <c r="I969">
        <v>2022</v>
      </c>
      <c r="J969">
        <f t="shared" si="30"/>
        <v>1</v>
      </c>
      <c r="K969" s="1" t="s">
        <v>6076</v>
      </c>
      <c r="L969" s="1" t="s">
        <v>6076</v>
      </c>
      <c r="M969">
        <f t="shared" si="31"/>
        <v>4</v>
      </c>
    </row>
    <row r="970" spans="1:14" x14ac:dyDescent="0.3">
      <c r="A970" s="1" t="s">
        <v>6471</v>
      </c>
      <c r="B970" s="1" t="s">
        <v>5931</v>
      </c>
      <c r="C970" s="1" t="s">
        <v>6472</v>
      </c>
      <c r="D970" s="1" t="s">
        <v>738</v>
      </c>
      <c r="E970" s="1" t="s">
        <v>6076</v>
      </c>
      <c r="F970" s="1" t="s">
        <v>6076</v>
      </c>
      <c r="G970" s="1" t="s">
        <v>6470</v>
      </c>
      <c r="H970">
        <v>2015</v>
      </c>
      <c r="I970">
        <v>2017</v>
      </c>
      <c r="J970">
        <f t="shared" si="30"/>
        <v>3</v>
      </c>
      <c r="K970" s="1" t="s">
        <v>6076</v>
      </c>
      <c r="L970" s="1" t="s">
        <v>6076</v>
      </c>
      <c r="M970">
        <f t="shared" si="31"/>
        <v>9</v>
      </c>
    </row>
    <row r="971" spans="1:14" x14ac:dyDescent="0.3">
      <c r="A971" s="1" t="s">
        <v>6473</v>
      </c>
      <c r="B971" s="1" t="s">
        <v>5931</v>
      </c>
      <c r="C971" s="1" t="s">
        <v>6474</v>
      </c>
      <c r="D971" s="1" t="s">
        <v>738</v>
      </c>
      <c r="E971" s="1" t="s">
        <v>6076</v>
      </c>
      <c r="F971" s="1" t="s">
        <v>6076</v>
      </c>
      <c r="G971" s="1" t="s">
        <v>6470</v>
      </c>
      <c r="H971">
        <v>2010</v>
      </c>
      <c r="I971">
        <v>2014</v>
      </c>
      <c r="J971">
        <f t="shared" si="30"/>
        <v>5</v>
      </c>
      <c r="K971" s="1" t="s">
        <v>6076</v>
      </c>
      <c r="L971" s="1" t="s">
        <v>6076</v>
      </c>
      <c r="M971">
        <f t="shared" si="31"/>
        <v>12</v>
      </c>
    </row>
    <row r="972" spans="1:14" x14ac:dyDescent="0.3">
      <c r="A972" s="1" t="s">
        <v>6475</v>
      </c>
      <c r="B972" s="1" t="s">
        <v>5931</v>
      </c>
      <c r="C972" s="1" t="s">
        <v>6476</v>
      </c>
      <c r="D972" s="1" t="s">
        <v>738</v>
      </c>
      <c r="E972" s="1" t="s">
        <v>6076</v>
      </c>
      <c r="F972" s="1" t="s">
        <v>6076</v>
      </c>
      <c r="G972" s="1" t="s">
        <v>6470</v>
      </c>
      <c r="H972">
        <v>2010</v>
      </c>
      <c r="I972">
        <v>2014</v>
      </c>
      <c r="J972">
        <f t="shared" si="30"/>
        <v>5</v>
      </c>
      <c r="K972" s="1" t="s">
        <v>6076</v>
      </c>
      <c r="L972" s="1" t="s">
        <v>6076</v>
      </c>
      <c r="M972">
        <f t="shared" si="31"/>
        <v>12</v>
      </c>
    </row>
    <row r="973" spans="1:14" x14ac:dyDescent="0.3">
      <c r="A973" s="1" t="s">
        <v>6477</v>
      </c>
      <c r="B973" s="1" t="s">
        <v>5931</v>
      </c>
      <c r="C973" s="1" t="s">
        <v>6478</v>
      </c>
      <c r="D973" s="1" t="s">
        <v>738</v>
      </c>
      <c r="E973" s="1" t="s">
        <v>6076</v>
      </c>
      <c r="F973" s="1" t="s">
        <v>6076</v>
      </c>
      <c r="G973" s="1" t="s">
        <v>6470</v>
      </c>
      <c r="H973">
        <v>2010</v>
      </c>
      <c r="I973">
        <v>2012</v>
      </c>
      <c r="J973">
        <f t="shared" si="30"/>
        <v>3</v>
      </c>
      <c r="K973" s="1" t="s">
        <v>6076</v>
      </c>
      <c r="L973" s="1" t="s">
        <v>6076</v>
      </c>
      <c r="M973">
        <f t="shared" si="31"/>
        <v>14</v>
      </c>
    </row>
    <row r="974" spans="1:14" x14ac:dyDescent="0.3">
      <c r="A974" s="1" t="s">
        <v>6479</v>
      </c>
      <c r="B974" s="1" t="s">
        <v>5931</v>
      </c>
      <c r="C974" s="1" t="s">
        <v>6480</v>
      </c>
      <c r="D974" s="1" t="s">
        <v>738</v>
      </c>
      <c r="E974" s="1" t="s">
        <v>6076</v>
      </c>
      <c r="F974" s="1" t="s">
        <v>6076</v>
      </c>
      <c r="G974" s="1" t="s">
        <v>6470</v>
      </c>
      <c r="H974">
        <v>1993</v>
      </c>
      <c r="I974">
        <v>1995</v>
      </c>
      <c r="J974">
        <f t="shared" si="30"/>
        <v>3</v>
      </c>
      <c r="K974" s="1" t="s">
        <v>6076</v>
      </c>
      <c r="L974" s="1" t="s">
        <v>6076</v>
      </c>
      <c r="M974">
        <f t="shared" si="31"/>
        <v>31</v>
      </c>
    </row>
    <row r="975" spans="1:14" x14ac:dyDescent="0.3">
      <c r="A975" s="1" t="s">
        <v>6481</v>
      </c>
      <c r="B975" s="1" t="s">
        <v>5931</v>
      </c>
      <c r="C975" s="1" t="s">
        <v>6482</v>
      </c>
      <c r="D975" s="1" t="s">
        <v>738</v>
      </c>
      <c r="E975" s="1" t="s">
        <v>6076</v>
      </c>
      <c r="F975" s="1" t="s">
        <v>6076</v>
      </c>
      <c r="G975" s="1" t="s">
        <v>6470</v>
      </c>
      <c r="H975">
        <v>2019</v>
      </c>
      <c r="I975">
        <v>2022</v>
      </c>
      <c r="J975">
        <f t="shared" si="30"/>
        <v>4</v>
      </c>
      <c r="K975" s="1" t="s">
        <v>6076</v>
      </c>
      <c r="L975" s="1" t="s">
        <v>6076</v>
      </c>
      <c r="M975">
        <f t="shared" si="31"/>
        <v>4</v>
      </c>
    </row>
    <row r="976" spans="1:14" x14ac:dyDescent="0.3">
      <c r="A976" s="1" t="s">
        <v>6483</v>
      </c>
      <c r="B976" s="1" t="s">
        <v>5931</v>
      </c>
      <c r="C976" s="1" t="s">
        <v>6484</v>
      </c>
      <c r="D976" s="1" t="s">
        <v>738</v>
      </c>
      <c r="E976" s="1" t="s">
        <v>6076</v>
      </c>
      <c r="F976" s="1" t="s">
        <v>6076</v>
      </c>
      <c r="G976" s="1" t="s">
        <v>6470</v>
      </c>
      <c r="H976">
        <v>2001</v>
      </c>
      <c r="I976">
        <v>2002</v>
      </c>
      <c r="J976">
        <f t="shared" si="30"/>
        <v>2</v>
      </c>
      <c r="K976" s="1" t="s">
        <v>6076</v>
      </c>
      <c r="L976" s="1" t="s">
        <v>6076</v>
      </c>
      <c r="M976">
        <f t="shared" si="31"/>
        <v>24</v>
      </c>
    </row>
    <row r="977" spans="1:13" x14ac:dyDescent="0.3">
      <c r="A977" s="1" t="s">
        <v>6485</v>
      </c>
      <c r="B977" s="1" t="s">
        <v>5931</v>
      </c>
      <c r="C977" s="1" t="s">
        <v>6486</v>
      </c>
      <c r="D977" s="1" t="s">
        <v>738</v>
      </c>
      <c r="E977" s="1" t="s">
        <v>6076</v>
      </c>
      <c r="F977" s="1" t="s">
        <v>6076</v>
      </c>
      <c r="G977" s="1" t="s">
        <v>6470</v>
      </c>
      <c r="H977">
        <v>2006</v>
      </c>
      <c r="I977">
        <v>2010</v>
      </c>
      <c r="J977">
        <f t="shared" si="30"/>
        <v>5</v>
      </c>
      <c r="K977" s="1" t="s">
        <v>6076</v>
      </c>
      <c r="L977" s="1" t="s">
        <v>6076</v>
      </c>
      <c r="M977">
        <f t="shared" si="31"/>
        <v>16</v>
      </c>
    </row>
    <row r="978" spans="1:13" x14ac:dyDescent="0.3">
      <c r="A978" s="1" t="s">
        <v>6487</v>
      </c>
      <c r="B978" s="1" t="s">
        <v>5931</v>
      </c>
      <c r="C978" s="1" t="s">
        <v>6488</v>
      </c>
      <c r="D978" s="1" t="s">
        <v>738</v>
      </c>
      <c r="E978" s="1" t="s">
        <v>6076</v>
      </c>
      <c r="F978" s="1" t="s">
        <v>6076</v>
      </c>
      <c r="G978" s="1" t="s">
        <v>6470</v>
      </c>
      <c r="H978">
        <v>2008</v>
      </c>
      <c r="I978">
        <v>2010</v>
      </c>
      <c r="J978">
        <f t="shared" si="30"/>
        <v>3</v>
      </c>
      <c r="K978" s="1" t="s">
        <v>6076</v>
      </c>
      <c r="L978" s="1" t="s">
        <v>6076</v>
      </c>
      <c r="M978">
        <f t="shared" si="31"/>
        <v>16</v>
      </c>
    </row>
    <row r="979" spans="1:13" x14ac:dyDescent="0.3">
      <c r="A979" s="1" t="s">
        <v>6489</v>
      </c>
      <c r="B979" s="1" t="s">
        <v>5931</v>
      </c>
      <c r="C979" s="1" t="s">
        <v>6490</v>
      </c>
      <c r="D979" s="1" t="s">
        <v>738</v>
      </c>
      <c r="E979" s="1" t="s">
        <v>6076</v>
      </c>
      <c r="F979" s="1" t="s">
        <v>6076</v>
      </c>
      <c r="G979" s="1" t="s">
        <v>6470</v>
      </c>
      <c r="H979">
        <v>2002</v>
      </c>
      <c r="I979">
        <v>2003</v>
      </c>
      <c r="J979">
        <f t="shared" si="30"/>
        <v>2</v>
      </c>
      <c r="K979" s="1" t="s">
        <v>6076</v>
      </c>
      <c r="L979" s="1" t="s">
        <v>6076</v>
      </c>
      <c r="M979">
        <f t="shared" si="31"/>
        <v>23</v>
      </c>
    </row>
    <row r="980" spans="1:13" x14ac:dyDescent="0.3">
      <c r="A980" s="1" t="s">
        <v>6491</v>
      </c>
      <c r="B980" s="1" t="s">
        <v>5931</v>
      </c>
      <c r="C980" s="1" t="s">
        <v>6492</v>
      </c>
      <c r="D980" s="1" t="s">
        <v>738</v>
      </c>
      <c r="E980" s="1" t="s">
        <v>6076</v>
      </c>
      <c r="F980" s="1" t="s">
        <v>6076</v>
      </c>
      <c r="G980" s="1" t="s">
        <v>6470</v>
      </c>
      <c r="H980">
        <v>2008</v>
      </c>
      <c r="I980">
        <v>2010</v>
      </c>
      <c r="J980">
        <f t="shared" si="30"/>
        <v>3</v>
      </c>
      <c r="K980" s="1" t="s">
        <v>6076</v>
      </c>
      <c r="L980" s="1" t="s">
        <v>6076</v>
      </c>
      <c r="M980">
        <f t="shared" si="31"/>
        <v>16</v>
      </c>
    </row>
    <row r="981" spans="1:13" x14ac:dyDescent="0.3">
      <c r="A981" s="1" t="s">
        <v>6493</v>
      </c>
      <c r="B981" s="1" t="s">
        <v>5931</v>
      </c>
      <c r="C981" s="1" t="s">
        <v>6494</v>
      </c>
      <c r="D981" s="1" t="s">
        <v>738</v>
      </c>
      <c r="E981" s="1" t="s">
        <v>6076</v>
      </c>
      <c r="F981" s="1" t="s">
        <v>6076</v>
      </c>
      <c r="G981" s="1" t="s">
        <v>6470</v>
      </c>
      <c r="H981">
        <v>2008</v>
      </c>
      <c r="I981">
        <v>2010</v>
      </c>
      <c r="J981">
        <f t="shared" si="30"/>
        <v>3</v>
      </c>
      <c r="K981" s="1" t="s">
        <v>6076</v>
      </c>
      <c r="L981" s="1" t="s">
        <v>6076</v>
      </c>
      <c r="M981">
        <f t="shared" si="31"/>
        <v>16</v>
      </c>
    </row>
    <row r="982" spans="1:13" x14ac:dyDescent="0.3">
      <c r="A982" s="1" t="s">
        <v>6495</v>
      </c>
      <c r="B982" s="1" t="s">
        <v>5931</v>
      </c>
      <c r="C982" s="1" t="s">
        <v>6496</v>
      </c>
      <c r="D982" s="1" t="s">
        <v>738</v>
      </c>
      <c r="E982" s="1" t="s">
        <v>6076</v>
      </c>
      <c r="F982" s="1" t="s">
        <v>6076</v>
      </c>
      <c r="G982" s="1" t="s">
        <v>6497</v>
      </c>
      <c r="H982">
        <v>1993</v>
      </c>
      <c r="I982">
        <v>1996</v>
      </c>
      <c r="J982">
        <f t="shared" si="30"/>
        <v>4</v>
      </c>
      <c r="K982" s="1" t="s">
        <v>6076</v>
      </c>
      <c r="L982" s="1" t="s">
        <v>6076</v>
      </c>
      <c r="M982">
        <f t="shared" si="31"/>
        <v>30</v>
      </c>
    </row>
    <row r="983" spans="1:13" x14ac:dyDescent="0.3">
      <c r="A983" s="1" t="s">
        <v>6498</v>
      </c>
      <c r="B983" s="1" t="s">
        <v>5931</v>
      </c>
      <c r="C983" s="1" t="s">
        <v>6499</v>
      </c>
      <c r="D983" s="1" t="s">
        <v>738</v>
      </c>
      <c r="E983" s="1" t="s">
        <v>6076</v>
      </c>
      <c r="F983" s="1" t="s">
        <v>6076</v>
      </c>
      <c r="G983" s="1" t="s">
        <v>6500</v>
      </c>
      <c r="H983">
        <v>2006</v>
      </c>
      <c r="I983">
        <v>2006</v>
      </c>
      <c r="J983">
        <f t="shared" si="30"/>
        <v>1</v>
      </c>
      <c r="K983" s="1" t="s">
        <v>6076</v>
      </c>
      <c r="L983" s="1" t="s">
        <v>6076</v>
      </c>
      <c r="M983">
        <f t="shared" si="31"/>
        <v>20</v>
      </c>
    </row>
    <row r="984" spans="1:13" x14ac:dyDescent="0.3">
      <c r="A984" s="1" t="s">
        <v>6501</v>
      </c>
      <c r="B984" s="1" t="s">
        <v>5931</v>
      </c>
      <c r="C984" s="1" t="s">
        <v>6502</v>
      </c>
      <c r="D984" s="1" t="s">
        <v>746</v>
      </c>
      <c r="E984" s="1" t="s">
        <v>6076</v>
      </c>
      <c r="F984" s="1" t="s">
        <v>6076</v>
      </c>
      <c r="G984" s="1" t="s">
        <v>6500</v>
      </c>
      <c r="H984">
        <v>2002</v>
      </c>
      <c r="I984">
        <v>2003</v>
      </c>
      <c r="J984">
        <f t="shared" si="30"/>
        <v>2</v>
      </c>
      <c r="K984" s="1" t="s">
        <v>6076</v>
      </c>
      <c r="L984" s="1" t="s">
        <v>6076</v>
      </c>
      <c r="M984">
        <f t="shared" si="31"/>
        <v>23</v>
      </c>
    </row>
    <row r="985" spans="1:13" x14ac:dyDescent="0.3">
      <c r="A985" s="1" t="s">
        <v>6503</v>
      </c>
      <c r="B985" s="1" t="s">
        <v>5931</v>
      </c>
      <c r="C985" s="1" t="s">
        <v>6504</v>
      </c>
      <c r="D985" s="1" t="s">
        <v>738</v>
      </c>
      <c r="E985" s="1" t="s">
        <v>6076</v>
      </c>
      <c r="F985" s="1" t="s">
        <v>6076</v>
      </c>
      <c r="G985" s="1" t="s">
        <v>6500</v>
      </c>
      <c r="H985">
        <v>1996</v>
      </c>
      <c r="I985">
        <v>2005</v>
      </c>
      <c r="J985">
        <f t="shared" si="30"/>
        <v>10</v>
      </c>
      <c r="K985" s="1" t="s">
        <v>6076</v>
      </c>
      <c r="L985" s="1" t="s">
        <v>6076</v>
      </c>
      <c r="M985">
        <f t="shared" si="31"/>
        <v>21</v>
      </c>
    </row>
    <row r="986" spans="1:13" x14ac:dyDescent="0.3">
      <c r="A986" s="1" t="s">
        <v>6505</v>
      </c>
      <c r="B986" s="1" t="s">
        <v>5931</v>
      </c>
      <c r="C986" s="1" t="s">
        <v>6506</v>
      </c>
      <c r="D986" s="1" t="s">
        <v>738</v>
      </c>
      <c r="E986" s="1" t="s">
        <v>6076</v>
      </c>
      <c r="F986" s="1" t="s">
        <v>6076</v>
      </c>
      <c r="G986" s="1" t="s">
        <v>6500</v>
      </c>
      <c r="H986">
        <v>1996</v>
      </c>
      <c r="I986">
        <v>1999</v>
      </c>
      <c r="J986">
        <f t="shared" si="30"/>
        <v>4</v>
      </c>
      <c r="K986" s="1" t="s">
        <v>6076</v>
      </c>
      <c r="L986" s="1" t="s">
        <v>6076</v>
      </c>
      <c r="M986">
        <f t="shared" si="31"/>
        <v>27</v>
      </c>
    </row>
    <row r="987" spans="1:13" x14ac:dyDescent="0.3">
      <c r="A987" s="1" t="s">
        <v>6507</v>
      </c>
      <c r="B987" s="1" t="s">
        <v>5931</v>
      </c>
      <c r="C987" s="1" t="s">
        <v>6508</v>
      </c>
      <c r="D987" s="1" t="s">
        <v>738</v>
      </c>
      <c r="E987" s="1" t="s">
        <v>6076</v>
      </c>
      <c r="F987" s="1" t="s">
        <v>6076</v>
      </c>
      <c r="G987" s="1" t="s">
        <v>6500</v>
      </c>
      <c r="H987">
        <v>2006</v>
      </c>
      <c r="I987">
        <v>2007</v>
      </c>
      <c r="J987">
        <f t="shared" si="30"/>
        <v>2</v>
      </c>
      <c r="K987" s="1" t="s">
        <v>6076</v>
      </c>
      <c r="L987" s="1" t="s">
        <v>6076</v>
      </c>
      <c r="M987">
        <f t="shared" si="31"/>
        <v>19</v>
      </c>
    </row>
    <row r="988" spans="1:13" x14ac:dyDescent="0.3">
      <c r="A988" s="1" t="s">
        <v>6509</v>
      </c>
      <c r="B988" s="1" t="s">
        <v>5931</v>
      </c>
      <c r="C988" s="1" t="s">
        <v>6510</v>
      </c>
      <c r="D988" s="1" t="s">
        <v>738</v>
      </c>
      <c r="E988" s="1" t="s">
        <v>6076</v>
      </c>
      <c r="F988" s="1" t="s">
        <v>6076</v>
      </c>
      <c r="G988" s="1" t="s">
        <v>6500</v>
      </c>
      <c r="H988">
        <v>1997</v>
      </c>
      <c r="I988">
        <v>2005</v>
      </c>
      <c r="J988">
        <f t="shared" si="30"/>
        <v>9</v>
      </c>
      <c r="K988" s="1" t="s">
        <v>6076</v>
      </c>
      <c r="L988" s="1" t="s">
        <v>6076</v>
      </c>
      <c r="M988">
        <f t="shared" si="31"/>
        <v>21</v>
      </c>
    </row>
    <row r="989" spans="1:13" x14ac:dyDescent="0.3">
      <c r="A989" s="1" t="s">
        <v>6511</v>
      </c>
      <c r="B989" s="1" t="s">
        <v>5931</v>
      </c>
      <c r="C989" s="1" t="s">
        <v>6512</v>
      </c>
      <c r="D989" s="1" t="s">
        <v>738</v>
      </c>
      <c r="E989" s="1" t="s">
        <v>6076</v>
      </c>
      <c r="F989" s="1" t="s">
        <v>6076</v>
      </c>
      <c r="G989" s="1" t="s">
        <v>6513</v>
      </c>
      <c r="H989">
        <v>2001</v>
      </c>
      <c r="I989">
        <v>2003</v>
      </c>
      <c r="J989">
        <f t="shared" si="30"/>
        <v>3</v>
      </c>
      <c r="K989" s="1" t="s">
        <v>6076</v>
      </c>
      <c r="L989" s="1" t="s">
        <v>6076</v>
      </c>
      <c r="M989">
        <f t="shared" si="31"/>
        <v>23</v>
      </c>
    </row>
    <row r="990" spans="1:13" x14ac:dyDescent="0.3">
      <c r="A990" s="1" t="s">
        <v>6514</v>
      </c>
      <c r="B990" s="1" t="s">
        <v>5931</v>
      </c>
      <c r="C990" s="1" t="s">
        <v>6515</v>
      </c>
      <c r="D990" s="1" t="s">
        <v>738</v>
      </c>
      <c r="E990" s="1" t="s">
        <v>6076</v>
      </c>
      <c r="F990" s="1" t="s">
        <v>6076</v>
      </c>
      <c r="G990" s="1" t="s">
        <v>6513</v>
      </c>
      <c r="H990">
        <v>1998</v>
      </c>
      <c r="I990">
        <v>2000</v>
      </c>
      <c r="J990">
        <f t="shared" si="30"/>
        <v>3</v>
      </c>
      <c r="K990" s="1" t="s">
        <v>6076</v>
      </c>
      <c r="L990" s="1" t="s">
        <v>6076</v>
      </c>
      <c r="M990">
        <f t="shared" si="31"/>
        <v>26</v>
      </c>
    </row>
    <row r="991" spans="1:13" x14ac:dyDescent="0.3">
      <c r="A991" s="1" t="s">
        <v>6516</v>
      </c>
      <c r="B991" s="1" t="s">
        <v>5931</v>
      </c>
      <c r="C991" s="1" t="s">
        <v>6517</v>
      </c>
      <c r="D991" s="1" t="s">
        <v>738</v>
      </c>
      <c r="E991" s="1" t="s">
        <v>6076</v>
      </c>
      <c r="F991" s="1" t="s">
        <v>6076</v>
      </c>
      <c r="G991" s="1" t="s">
        <v>6513</v>
      </c>
      <c r="H991">
        <v>1997</v>
      </c>
      <c r="I991">
        <v>2002</v>
      </c>
      <c r="J991">
        <f t="shared" si="30"/>
        <v>6</v>
      </c>
      <c r="K991" s="1" t="s">
        <v>6076</v>
      </c>
      <c r="L991" s="1" t="s">
        <v>6076</v>
      </c>
      <c r="M991">
        <f t="shared" si="31"/>
        <v>24</v>
      </c>
    </row>
    <row r="992" spans="1:13" x14ac:dyDescent="0.3">
      <c r="A992" s="1" t="s">
        <v>6518</v>
      </c>
      <c r="B992" s="1" t="s">
        <v>5931</v>
      </c>
      <c r="C992" s="1" t="s">
        <v>6519</v>
      </c>
      <c r="D992" s="1" t="s">
        <v>738</v>
      </c>
      <c r="E992" s="1" t="s">
        <v>6076</v>
      </c>
      <c r="F992" s="1" t="s">
        <v>6076</v>
      </c>
      <c r="G992" s="1" t="s">
        <v>6513</v>
      </c>
      <c r="H992">
        <v>2001</v>
      </c>
      <c r="I992">
        <v>2003</v>
      </c>
      <c r="J992">
        <f t="shared" si="30"/>
        <v>3</v>
      </c>
      <c r="K992" s="1" t="s">
        <v>6076</v>
      </c>
      <c r="L992" s="1" t="s">
        <v>6076</v>
      </c>
      <c r="M992">
        <f t="shared" si="31"/>
        <v>23</v>
      </c>
    </row>
    <row r="993" spans="1:14" x14ac:dyDescent="0.3">
      <c r="A993" s="1" t="s">
        <v>6520</v>
      </c>
      <c r="B993" s="1" t="s">
        <v>5931</v>
      </c>
      <c r="C993" s="1" t="s">
        <v>6521</v>
      </c>
      <c r="D993" s="1" t="s">
        <v>738</v>
      </c>
      <c r="E993" s="1" t="s">
        <v>6076</v>
      </c>
      <c r="F993" s="1" t="s">
        <v>6076</v>
      </c>
      <c r="G993" s="1" t="s">
        <v>5936</v>
      </c>
      <c r="H993">
        <v>2017</v>
      </c>
      <c r="I993">
        <v>2018</v>
      </c>
      <c r="J993">
        <f t="shared" si="30"/>
        <v>2</v>
      </c>
      <c r="K993" s="1" t="s">
        <v>6076</v>
      </c>
      <c r="L993" s="1" t="s">
        <v>6076</v>
      </c>
      <c r="M993">
        <f t="shared" si="31"/>
        <v>8</v>
      </c>
    </row>
    <row r="994" spans="1:14" x14ac:dyDescent="0.3">
      <c r="A994" s="1" t="s">
        <v>6522</v>
      </c>
      <c r="B994" s="1" t="s">
        <v>5931</v>
      </c>
      <c r="C994" s="1" t="s">
        <v>6523</v>
      </c>
      <c r="D994" s="1" t="s">
        <v>738</v>
      </c>
      <c r="E994" s="1" t="s">
        <v>6076</v>
      </c>
      <c r="F994" s="1" t="s">
        <v>6076</v>
      </c>
      <c r="G994" s="1" t="s">
        <v>5936</v>
      </c>
      <c r="H994">
        <v>2011</v>
      </c>
      <c r="I994">
        <v>2014</v>
      </c>
      <c r="J994">
        <f t="shared" si="30"/>
        <v>4</v>
      </c>
      <c r="K994" s="1" t="s">
        <v>6076</v>
      </c>
      <c r="L994" s="1" t="s">
        <v>6076</v>
      </c>
      <c r="M994">
        <f t="shared" si="31"/>
        <v>12</v>
      </c>
    </row>
    <row r="995" spans="1:14" x14ac:dyDescent="0.3">
      <c r="A995" s="1" t="s">
        <v>6524</v>
      </c>
      <c r="B995" s="1" t="s">
        <v>5931</v>
      </c>
      <c r="C995" s="1" t="s">
        <v>6525</v>
      </c>
      <c r="D995" s="1" t="s">
        <v>3850</v>
      </c>
      <c r="E995" s="1" t="s">
        <v>6076</v>
      </c>
      <c r="F995" s="1" t="s">
        <v>6076</v>
      </c>
      <c r="G995" s="1" t="s">
        <v>5936</v>
      </c>
      <c r="H995">
        <v>2013</v>
      </c>
      <c r="I995">
        <v>2014</v>
      </c>
      <c r="J995">
        <f t="shared" si="30"/>
        <v>2</v>
      </c>
      <c r="K995" s="1" t="s">
        <v>6076</v>
      </c>
      <c r="L995" s="1" t="s">
        <v>6076</v>
      </c>
      <c r="M995">
        <f t="shared" si="31"/>
        <v>12</v>
      </c>
    </row>
    <row r="996" spans="1:14" hidden="1" x14ac:dyDescent="0.3">
      <c r="A996" s="1" t="s">
        <v>5934</v>
      </c>
      <c r="B996" s="1" t="s">
        <v>5931</v>
      </c>
      <c r="C996" s="1" t="s">
        <v>5935</v>
      </c>
      <c r="D996" s="1" t="s">
        <v>738</v>
      </c>
      <c r="E996" s="1" t="s">
        <v>5920</v>
      </c>
      <c r="F996" s="1" t="s">
        <v>4893</v>
      </c>
      <c r="G996" s="1" t="s">
        <v>5936</v>
      </c>
      <c r="H996">
        <v>2015</v>
      </c>
      <c r="I996">
        <v>2017</v>
      </c>
      <c r="J996">
        <f t="shared" si="30"/>
        <v>3</v>
      </c>
      <c r="K996" s="1" t="s">
        <v>5909</v>
      </c>
      <c r="L996" s="1" t="s">
        <v>659</v>
      </c>
      <c r="M996">
        <f t="shared" si="31"/>
        <v>9</v>
      </c>
    </row>
    <row r="997" spans="1:14" x14ac:dyDescent="0.3">
      <c r="A997" s="1" t="s">
        <v>6526</v>
      </c>
      <c r="B997" s="1" t="s">
        <v>5931</v>
      </c>
      <c r="C997" s="1" t="s">
        <v>6527</v>
      </c>
      <c r="D997" s="1" t="s">
        <v>3850</v>
      </c>
      <c r="E997" s="1" t="s">
        <v>6076</v>
      </c>
      <c r="F997" s="1" t="s">
        <v>6076</v>
      </c>
      <c r="G997" s="1" t="s">
        <v>5936</v>
      </c>
      <c r="H997">
        <v>2016</v>
      </c>
      <c r="I997">
        <v>2018</v>
      </c>
      <c r="J997">
        <f t="shared" si="30"/>
        <v>3</v>
      </c>
      <c r="K997" s="1" t="s">
        <v>6076</v>
      </c>
      <c r="L997" s="1" t="s">
        <v>6076</v>
      </c>
      <c r="M997">
        <f t="shared" si="31"/>
        <v>8</v>
      </c>
    </row>
    <row r="998" spans="1:14" x14ac:dyDescent="0.3">
      <c r="A998" s="1" t="s">
        <v>6528</v>
      </c>
      <c r="B998" s="1" t="s">
        <v>5931</v>
      </c>
      <c r="C998" s="1" t="s">
        <v>6529</v>
      </c>
      <c r="D998" s="1" t="s">
        <v>738</v>
      </c>
      <c r="E998" s="1" t="s">
        <v>6076</v>
      </c>
      <c r="F998" s="1" t="s">
        <v>6076</v>
      </c>
      <c r="G998" s="1" t="s">
        <v>6530</v>
      </c>
      <c r="H998">
        <v>2008</v>
      </c>
      <c r="I998">
        <v>2009</v>
      </c>
      <c r="J998">
        <f t="shared" si="30"/>
        <v>2</v>
      </c>
      <c r="K998" s="1" t="s">
        <v>6076</v>
      </c>
      <c r="L998" s="1" t="s">
        <v>6076</v>
      </c>
      <c r="M998">
        <f t="shared" si="31"/>
        <v>17</v>
      </c>
    </row>
    <row r="999" spans="1:14" x14ac:dyDescent="0.3">
      <c r="A999" s="1" t="s">
        <v>6531</v>
      </c>
      <c r="B999" s="1" t="s">
        <v>5931</v>
      </c>
      <c r="C999" s="1" t="s">
        <v>6532</v>
      </c>
      <c r="D999" s="1" t="s">
        <v>738</v>
      </c>
      <c r="E999" s="1" t="s">
        <v>6076</v>
      </c>
      <c r="F999" s="1" t="s">
        <v>6076</v>
      </c>
      <c r="G999" s="1" t="s">
        <v>6530</v>
      </c>
      <c r="H999">
        <v>1993</v>
      </c>
      <c r="I999">
        <v>2001</v>
      </c>
      <c r="J999">
        <f t="shared" si="30"/>
        <v>9</v>
      </c>
      <c r="K999" s="1" t="s">
        <v>6076</v>
      </c>
      <c r="L999" s="1" t="s">
        <v>6076</v>
      </c>
      <c r="M999">
        <f t="shared" si="31"/>
        <v>25</v>
      </c>
    </row>
    <row r="1000" spans="1:14" x14ac:dyDescent="0.3">
      <c r="A1000" s="1" t="s">
        <v>6533</v>
      </c>
      <c r="B1000" s="1" t="s">
        <v>5931</v>
      </c>
      <c r="C1000" s="1" t="s">
        <v>6534</v>
      </c>
      <c r="D1000" s="1" t="s">
        <v>738</v>
      </c>
      <c r="E1000" s="1" t="s">
        <v>6076</v>
      </c>
      <c r="F1000" s="1" t="s">
        <v>6076</v>
      </c>
      <c r="G1000" s="1" t="s">
        <v>6530</v>
      </c>
      <c r="H1000">
        <v>1993</v>
      </c>
      <c r="I1000">
        <v>2000</v>
      </c>
      <c r="J1000">
        <f t="shared" si="30"/>
        <v>8</v>
      </c>
      <c r="K1000" s="1" t="s">
        <v>6076</v>
      </c>
      <c r="L1000" s="1" t="s">
        <v>6076</v>
      </c>
      <c r="M1000">
        <f t="shared" si="31"/>
        <v>26</v>
      </c>
    </row>
    <row r="1001" spans="1:14" x14ac:dyDescent="0.3">
      <c r="A1001" s="1" t="s">
        <v>6535</v>
      </c>
      <c r="B1001" s="1" t="s">
        <v>5931</v>
      </c>
      <c r="C1001" s="1" t="s">
        <v>6536</v>
      </c>
      <c r="D1001" s="1" t="s">
        <v>738</v>
      </c>
      <c r="E1001" s="1" t="s">
        <v>6076</v>
      </c>
      <c r="F1001" s="1" t="s">
        <v>6076</v>
      </c>
      <c r="G1001" s="1" t="s">
        <v>6530</v>
      </c>
      <c r="H1001">
        <v>1997</v>
      </c>
      <c r="I1001">
        <v>2001</v>
      </c>
      <c r="J1001">
        <f t="shared" si="30"/>
        <v>5</v>
      </c>
      <c r="K1001" s="1" t="s">
        <v>6076</v>
      </c>
      <c r="L1001" s="1" t="s">
        <v>6076</v>
      </c>
      <c r="M1001">
        <f t="shared" si="31"/>
        <v>25</v>
      </c>
    </row>
    <row r="1002" spans="1:14" hidden="1" x14ac:dyDescent="0.3">
      <c r="A1002" s="1" t="s">
        <v>815</v>
      </c>
      <c r="B1002" s="1" t="s">
        <v>672</v>
      </c>
      <c r="C1002" s="1" t="s">
        <v>816</v>
      </c>
      <c r="D1002" s="1" t="s">
        <v>746</v>
      </c>
      <c r="E1002" s="1" t="s">
        <v>747</v>
      </c>
      <c r="F1002" s="1" t="s">
        <v>748</v>
      </c>
      <c r="G1002" s="1" t="s">
        <v>817</v>
      </c>
      <c r="H1002">
        <v>2020</v>
      </c>
      <c r="I1002">
        <v>2020</v>
      </c>
      <c r="J1002">
        <f t="shared" si="30"/>
        <v>1</v>
      </c>
      <c r="K1002" s="1" t="s">
        <v>741</v>
      </c>
      <c r="L1002" s="1" t="s">
        <v>666</v>
      </c>
      <c r="M1002">
        <f t="shared" si="31"/>
        <v>6</v>
      </c>
      <c r="N1002" t="s">
        <v>650</v>
      </c>
    </row>
    <row r="1003" spans="1:14" hidden="1" x14ac:dyDescent="0.3">
      <c r="A1003" t="s">
        <v>11191</v>
      </c>
      <c r="B1003" t="s">
        <v>672</v>
      </c>
      <c r="C1003" t="s">
        <v>11192</v>
      </c>
      <c r="E1003" s="1" t="e">
        <v>#N/A</v>
      </c>
      <c r="F1003" s="1" t="e">
        <v>#N/A</v>
      </c>
      <c r="G1003" s="1" t="s">
        <v>817</v>
      </c>
      <c r="H1003">
        <v>2024</v>
      </c>
      <c r="I1003">
        <v>2026</v>
      </c>
      <c r="J1003">
        <f t="shared" si="30"/>
        <v>3</v>
      </c>
      <c r="K1003" s="1" t="s">
        <v>3665</v>
      </c>
      <c r="L1003" s="1" t="s">
        <v>666</v>
      </c>
      <c r="M1003">
        <f t="shared" si="31"/>
        <v>0</v>
      </c>
    </row>
    <row r="1004" spans="1:14" hidden="1" x14ac:dyDescent="0.3">
      <c r="A1004" t="s">
        <v>11193</v>
      </c>
      <c r="B1004" t="s">
        <v>672</v>
      </c>
      <c r="C1004" t="s">
        <v>11194</v>
      </c>
      <c r="E1004" s="1" t="e">
        <v>#N/A</v>
      </c>
      <c r="F1004" s="1" t="e">
        <v>#N/A</v>
      </c>
      <c r="G1004" s="1" t="s">
        <v>817</v>
      </c>
      <c r="H1004">
        <v>2024</v>
      </c>
      <c r="I1004">
        <v>2026</v>
      </c>
      <c r="J1004">
        <f t="shared" si="30"/>
        <v>3</v>
      </c>
      <c r="K1004" s="1" t="s">
        <v>3665</v>
      </c>
      <c r="L1004" s="1" t="s">
        <v>666</v>
      </c>
      <c r="M1004">
        <f t="shared" si="31"/>
        <v>0</v>
      </c>
    </row>
    <row r="1005" spans="1:14" hidden="1" x14ac:dyDescent="0.3">
      <c r="A1005" t="s">
        <v>11195</v>
      </c>
      <c r="B1005" t="s">
        <v>672</v>
      </c>
      <c r="C1005" t="s">
        <v>11196</v>
      </c>
      <c r="E1005" s="1" t="e">
        <v>#N/A</v>
      </c>
      <c r="F1005" s="1" t="e">
        <v>#N/A</v>
      </c>
      <c r="G1005" s="1" t="s">
        <v>817</v>
      </c>
      <c r="H1005">
        <v>2024</v>
      </c>
      <c r="I1005">
        <v>2026</v>
      </c>
      <c r="J1005">
        <f t="shared" si="30"/>
        <v>3</v>
      </c>
      <c r="K1005" s="1" t="s">
        <v>3665</v>
      </c>
      <c r="L1005" s="1" t="s">
        <v>666</v>
      </c>
      <c r="M1005">
        <f t="shared" si="31"/>
        <v>0</v>
      </c>
    </row>
    <row r="1006" spans="1:14" hidden="1" x14ac:dyDescent="0.3">
      <c r="A1006" t="s">
        <v>11197</v>
      </c>
      <c r="B1006" t="s">
        <v>672</v>
      </c>
      <c r="C1006" t="s">
        <v>11198</v>
      </c>
      <c r="E1006" s="1" t="e">
        <v>#N/A</v>
      </c>
      <c r="F1006" s="1" t="e">
        <v>#N/A</v>
      </c>
      <c r="G1006" s="1" t="s">
        <v>817</v>
      </c>
      <c r="H1006">
        <v>2025</v>
      </c>
      <c r="I1006">
        <v>2026</v>
      </c>
      <c r="J1006">
        <f t="shared" si="30"/>
        <v>2</v>
      </c>
      <c r="K1006" s="1" t="s">
        <v>3665</v>
      </c>
      <c r="L1006" s="1" t="s">
        <v>666</v>
      </c>
      <c r="M1006">
        <f t="shared" si="31"/>
        <v>0</v>
      </c>
    </row>
    <row r="1007" spans="1:14" hidden="1" x14ac:dyDescent="0.3">
      <c r="A1007" t="s">
        <v>11199</v>
      </c>
      <c r="B1007" t="s">
        <v>672</v>
      </c>
      <c r="C1007" t="s">
        <v>11200</v>
      </c>
      <c r="E1007" s="1" t="e">
        <v>#N/A</v>
      </c>
      <c r="F1007" s="1" t="e">
        <v>#N/A</v>
      </c>
      <c r="G1007" s="1" t="s">
        <v>817</v>
      </c>
      <c r="H1007">
        <v>2025</v>
      </c>
      <c r="I1007">
        <v>2026</v>
      </c>
      <c r="J1007">
        <f t="shared" si="30"/>
        <v>2</v>
      </c>
      <c r="K1007" s="1" t="s">
        <v>3665</v>
      </c>
      <c r="L1007" s="1" t="s">
        <v>666</v>
      </c>
      <c r="M1007">
        <f t="shared" si="31"/>
        <v>0</v>
      </c>
    </row>
    <row r="1008" spans="1:14" hidden="1" x14ac:dyDescent="0.3">
      <c r="A1008" t="s">
        <v>11201</v>
      </c>
      <c r="B1008" t="s">
        <v>672</v>
      </c>
      <c r="C1008" t="s">
        <v>11202</v>
      </c>
      <c r="E1008" s="1" t="e">
        <v>#N/A</v>
      </c>
      <c r="F1008" s="1" t="e">
        <v>#N/A</v>
      </c>
      <c r="G1008" s="1" t="s">
        <v>817</v>
      </c>
      <c r="H1008">
        <v>2025</v>
      </c>
      <c r="I1008">
        <v>2026</v>
      </c>
      <c r="J1008">
        <f t="shared" si="30"/>
        <v>2</v>
      </c>
      <c r="K1008" s="1" t="s">
        <v>3665</v>
      </c>
      <c r="L1008" s="1" t="s">
        <v>666</v>
      </c>
      <c r="M1008">
        <f t="shared" si="31"/>
        <v>0</v>
      </c>
    </row>
    <row r="1009" spans="1:14" hidden="1" x14ac:dyDescent="0.3">
      <c r="A1009" t="s">
        <v>11203</v>
      </c>
      <c r="B1009" t="s">
        <v>672</v>
      </c>
      <c r="C1009" t="s">
        <v>11204</v>
      </c>
      <c r="E1009" s="1" t="e">
        <v>#N/A</v>
      </c>
      <c r="F1009" s="1" t="e">
        <v>#N/A</v>
      </c>
      <c r="G1009" s="1" t="s">
        <v>817</v>
      </c>
      <c r="H1009">
        <v>2025</v>
      </c>
      <c r="I1009">
        <v>2026</v>
      </c>
      <c r="J1009">
        <f t="shared" si="30"/>
        <v>2</v>
      </c>
      <c r="K1009" s="1" t="s">
        <v>3665</v>
      </c>
      <c r="L1009" s="1" t="s">
        <v>666</v>
      </c>
      <c r="M1009">
        <f t="shared" si="31"/>
        <v>0</v>
      </c>
    </row>
    <row r="1010" spans="1:14" hidden="1" x14ac:dyDescent="0.3">
      <c r="A1010" s="1" t="s">
        <v>818</v>
      </c>
      <c r="B1010" s="1" t="s">
        <v>672</v>
      </c>
      <c r="C1010" s="1" t="s">
        <v>819</v>
      </c>
      <c r="D1010" s="1" t="s">
        <v>746</v>
      </c>
      <c r="E1010" s="1" t="s">
        <v>747</v>
      </c>
      <c r="F1010" s="1" t="s">
        <v>748</v>
      </c>
      <c r="G1010" s="1" t="s">
        <v>817</v>
      </c>
      <c r="H1010">
        <v>2015</v>
      </c>
      <c r="I1010">
        <v>2017</v>
      </c>
      <c r="J1010">
        <f t="shared" si="30"/>
        <v>3</v>
      </c>
      <c r="K1010" s="1" t="s">
        <v>741</v>
      </c>
      <c r="L1010" s="1" t="s">
        <v>666</v>
      </c>
      <c r="M1010">
        <f t="shared" si="31"/>
        <v>9</v>
      </c>
      <c r="N1010" t="s">
        <v>650</v>
      </c>
    </row>
    <row r="1011" spans="1:14" hidden="1" x14ac:dyDescent="0.3">
      <c r="A1011" s="1" t="s">
        <v>820</v>
      </c>
      <c r="B1011" s="1" t="s">
        <v>672</v>
      </c>
      <c r="C1011" s="1" t="s">
        <v>821</v>
      </c>
      <c r="D1011" s="1" t="s">
        <v>746</v>
      </c>
      <c r="E1011" s="1" t="s">
        <v>747</v>
      </c>
      <c r="F1011" s="1" t="s">
        <v>748</v>
      </c>
      <c r="G1011" s="1" t="s">
        <v>817</v>
      </c>
      <c r="H1011">
        <v>2018</v>
      </c>
      <c r="I1011">
        <v>2022</v>
      </c>
      <c r="J1011">
        <f t="shared" si="30"/>
        <v>5</v>
      </c>
      <c r="K1011" s="1" t="s">
        <v>741</v>
      </c>
      <c r="L1011" s="1" t="s">
        <v>666</v>
      </c>
      <c r="M1011">
        <f t="shared" si="31"/>
        <v>4</v>
      </c>
      <c r="N1011" t="s">
        <v>650</v>
      </c>
    </row>
    <row r="1012" spans="1:14" hidden="1" x14ac:dyDescent="0.3">
      <c r="A1012" s="1" t="s">
        <v>822</v>
      </c>
      <c r="B1012" s="1" t="s">
        <v>672</v>
      </c>
      <c r="C1012" s="1" t="s">
        <v>823</v>
      </c>
      <c r="D1012" s="1" t="s">
        <v>746</v>
      </c>
      <c r="E1012" s="1" t="s">
        <v>747</v>
      </c>
      <c r="F1012" s="1" t="s">
        <v>748</v>
      </c>
      <c r="G1012" s="1" t="s">
        <v>817</v>
      </c>
      <c r="H1012">
        <v>2016</v>
      </c>
      <c r="I1012">
        <v>2022</v>
      </c>
      <c r="J1012">
        <f t="shared" si="30"/>
        <v>7</v>
      </c>
      <c r="K1012" s="1" t="s">
        <v>741</v>
      </c>
      <c r="L1012" s="1" t="s">
        <v>666</v>
      </c>
      <c r="M1012">
        <f t="shared" si="31"/>
        <v>4</v>
      </c>
      <c r="N1012" t="s">
        <v>650</v>
      </c>
    </row>
    <row r="1013" spans="1:14" hidden="1" x14ac:dyDescent="0.3">
      <c r="A1013" s="1" t="s">
        <v>824</v>
      </c>
      <c r="B1013" s="1" t="s">
        <v>672</v>
      </c>
      <c r="C1013" s="1" t="s">
        <v>825</v>
      </c>
      <c r="D1013" s="1" t="s">
        <v>746</v>
      </c>
      <c r="E1013" s="1" t="s">
        <v>747</v>
      </c>
      <c r="F1013" s="1" t="s">
        <v>748</v>
      </c>
      <c r="G1013" s="1" t="s">
        <v>817</v>
      </c>
      <c r="H1013">
        <v>2013</v>
      </c>
      <c r="I1013">
        <v>2020</v>
      </c>
      <c r="J1013">
        <f t="shared" si="30"/>
        <v>8</v>
      </c>
      <c r="K1013" s="1" t="s">
        <v>741</v>
      </c>
      <c r="L1013" s="1" t="s">
        <v>666</v>
      </c>
      <c r="M1013">
        <f t="shared" si="31"/>
        <v>6</v>
      </c>
      <c r="N1013" t="s">
        <v>650</v>
      </c>
    </row>
    <row r="1014" spans="1:14" hidden="1" x14ac:dyDescent="0.3">
      <c r="A1014" s="1" t="s">
        <v>826</v>
      </c>
      <c r="B1014" s="1" t="s">
        <v>672</v>
      </c>
      <c r="C1014" s="1" t="s">
        <v>827</v>
      </c>
      <c r="D1014" s="1" t="s">
        <v>746</v>
      </c>
      <c r="E1014" s="1" t="s">
        <v>747</v>
      </c>
      <c r="F1014" s="1" t="s">
        <v>748</v>
      </c>
      <c r="G1014" s="1" t="s">
        <v>817</v>
      </c>
      <c r="H1014">
        <v>2013</v>
      </c>
      <c r="I1014">
        <v>2015</v>
      </c>
      <c r="J1014">
        <f t="shared" si="30"/>
        <v>3</v>
      </c>
      <c r="K1014" s="1" t="s">
        <v>741</v>
      </c>
      <c r="L1014" s="1" t="s">
        <v>666</v>
      </c>
      <c r="M1014">
        <f t="shared" si="31"/>
        <v>11</v>
      </c>
      <c r="N1014" t="s">
        <v>650</v>
      </c>
    </row>
    <row r="1015" spans="1:14" hidden="1" x14ac:dyDescent="0.3">
      <c r="A1015" s="1" t="s">
        <v>828</v>
      </c>
      <c r="B1015" s="1" t="s">
        <v>672</v>
      </c>
      <c r="C1015" s="1" t="s">
        <v>829</v>
      </c>
      <c r="D1015" s="1" t="s">
        <v>746</v>
      </c>
      <c r="E1015" s="1" t="s">
        <v>747</v>
      </c>
      <c r="F1015" s="1" t="s">
        <v>748</v>
      </c>
      <c r="G1015" s="1" t="s">
        <v>817</v>
      </c>
      <c r="H1015">
        <v>2008</v>
      </c>
      <c r="I1015">
        <v>2012</v>
      </c>
      <c r="J1015">
        <f t="shared" si="30"/>
        <v>5</v>
      </c>
      <c r="K1015" s="1" t="s">
        <v>741</v>
      </c>
      <c r="L1015" s="1" t="s">
        <v>666</v>
      </c>
      <c r="M1015">
        <f t="shared" si="31"/>
        <v>14</v>
      </c>
      <c r="N1015" t="s">
        <v>650</v>
      </c>
    </row>
    <row r="1016" spans="1:14" hidden="1" x14ac:dyDescent="0.3">
      <c r="A1016" s="1" t="s">
        <v>830</v>
      </c>
      <c r="B1016" s="1" t="s">
        <v>672</v>
      </c>
      <c r="C1016" s="1" t="s">
        <v>831</v>
      </c>
      <c r="D1016" s="1" t="s">
        <v>746</v>
      </c>
      <c r="E1016" s="1" t="s">
        <v>747</v>
      </c>
      <c r="F1016" s="1" t="s">
        <v>748</v>
      </c>
      <c r="G1016" s="1" t="s">
        <v>817</v>
      </c>
      <c r="H1016">
        <v>2003</v>
      </c>
      <c r="I1016">
        <v>2011</v>
      </c>
      <c r="J1016">
        <f t="shared" si="30"/>
        <v>9</v>
      </c>
      <c r="K1016" s="1" t="s">
        <v>741</v>
      </c>
      <c r="L1016" s="1" t="s">
        <v>666</v>
      </c>
      <c r="M1016">
        <f t="shared" si="31"/>
        <v>15</v>
      </c>
      <c r="N1016" t="s">
        <v>650</v>
      </c>
    </row>
    <row r="1017" spans="1:14" hidden="1" x14ac:dyDescent="0.3">
      <c r="A1017" s="1" t="s">
        <v>832</v>
      </c>
      <c r="B1017" s="1" t="s">
        <v>672</v>
      </c>
      <c r="C1017" s="1" t="s">
        <v>833</v>
      </c>
      <c r="D1017" s="1" t="s">
        <v>746</v>
      </c>
      <c r="E1017" s="1" t="s">
        <v>747</v>
      </c>
      <c r="F1017" s="1" t="s">
        <v>748</v>
      </c>
      <c r="G1017" s="1" t="s">
        <v>817</v>
      </c>
      <c r="H1017">
        <v>2007</v>
      </c>
      <c r="I1017">
        <v>2012</v>
      </c>
      <c r="J1017">
        <f t="shared" si="30"/>
        <v>6</v>
      </c>
      <c r="K1017" s="1" t="s">
        <v>741</v>
      </c>
      <c r="L1017" s="1" t="s">
        <v>666</v>
      </c>
      <c r="M1017">
        <f t="shared" si="31"/>
        <v>14</v>
      </c>
      <c r="N1017" t="s">
        <v>650</v>
      </c>
    </row>
    <row r="1018" spans="1:14" hidden="1" x14ac:dyDescent="0.3">
      <c r="A1018" s="1" t="s">
        <v>834</v>
      </c>
      <c r="B1018" s="1" t="s">
        <v>672</v>
      </c>
      <c r="C1018" s="1" t="s">
        <v>835</v>
      </c>
      <c r="D1018" s="1" t="s">
        <v>746</v>
      </c>
      <c r="E1018" s="1" t="s">
        <v>747</v>
      </c>
      <c r="F1018" s="1" t="s">
        <v>748</v>
      </c>
      <c r="G1018" s="1" t="s">
        <v>817</v>
      </c>
      <c r="H1018">
        <v>2015</v>
      </c>
      <c r="I1018">
        <v>2016</v>
      </c>
      <c r="J1018">
        <f t="shared" si="30"/>
        <v>2</v>
      </c>
      <c r="K1018" s="1" t="s">
        <v>741</v>
      </c>
      <c r="L1018" s="1" t="s">
        <v>666</v>
      </c>
      <c r="M1018">
        <f t="shared" si="31"/>
        <v>10</v>
      </c>
      <c r="N1018" t="s">
        <v>650</v>
      </c>
    </row>
    <row r="1019" spans="1:14" hidden="1" x14ac:dyDescent="0.3">
      <c r="A1019" s="1" t="s">
        <v>836</v>
      </c>
      <c r="B1019" s="1" t="s">
        <v>672</v>
      </c>
      <c r="C1019" s="1" t="s">
        <v>837</v>
      </c>
      <c r="D1019" s="1" t="s">
        <v>746</v>
      </c>
      <c r="E1019" s="1" t="s">
        <v>747</v>
      </c>
      <c r="F1019" s="1" t="s">
        <v>748</v>
      </c>
      <c r="G1019" s="1" t="s">
        <v>817</v>
      </c>
      <c r="H1019">
        <v>2019</v>
      </c>
      <c r="I1019">
        <v>2022</v>
      </c>
      <c r="J1019">
        <f t="shared" si="30"/>
        <v>4</v>
      </c>
      <c r="K1019" s="1" t="s">
        <v>741</v>
      </c>
      <c r="L1019" s="1" t="s">
        <v>666</v>
      </c>
      <c r="M1019">
        <f t="shared" si="31"/>
        <v>4</v>
      </c>
      <c r="N1019" t="s">
        <v>650</v>
      </c>
    </row>
    <row r="1020" spans="1:14" hidden="1" x14ac:dyDescent="0.3">
      <c r="A1020" t="s">
        <v>11205</v>
      </c>
      <c r="B1020" t="s">
        <v>672</v>
      </c>
      <c r="C1020" t="s">
        <v>11206</v>
      </c>
      <c r="E1020" s="1" t="e">
        <v>#N/A</v>
      </c>
      <c r="F1020" s="1" t="e">
        <v>#N/A</v>
      </c>
      <c r="G1020" s="1" t="s">
        <v>817</v>
      </c>
      <c r="H1020">
        <v>2023</v>
      </c>
      <c r="I1020">
        <v>2026</v>
      </c>
      <c r="J1020">
        <f t="shared" si="30"/>
        <v>4</v>
      </c>
      <c r="K1020" s="1" t="s">
        <v>741</v>
      </c>
      <c r="L1020" s="1" t="s">
        <v>666</v>
      </c>
      <c r="M1020">
        <f t="shared" si="31"/>
        <v>0</v>
      </c>
    </row>
    <row r="1021" spans="1:14" hidden="1" x14ac:dyDescent="0.3">
      <c r="A1021" t="s">
        <v>11207</v>
      </c>
      <c r="B1021" t="s">
        <v>672</v>
      </c>
      <c r="C1021" t="s">
        <v>11208</v>
      </c>
      <c r="E1021" s="1" t="e">
        <v>#N/A</v>
      </c>
      <c r="F1021" s="1" t="e">
        <v>#N/A</v>
      </c>
      <c r="G1021" s="1" t="s">
        <v>817</v>
      </c>
      <c r="H1021">
        <v>2023</v>
      </c>
      <c r="I1021">
        <v>2024</v>
      </c>
      <c r="J1021">
        <f t="shared" si="30"/>
        <v>2</v>
      </c>
      <c r="K1021" s="1" t="s">
        <v>3665</v>
      </c>
      <c r="L1021" s="1" t="s">
        <v>666</v>
      </c>
      <c r="M1021">
        <f t="shared" si="31"/>
        <v>2</v>
      </c>
    </row>
    <row r="1022" spans="1:14" hidden="1" x14ac:dyDescent="0.3">
      <c r="A1022" t="s">
        <v>11209</v>
      </c>
      <c r="B1022" t="s">
        <v>672</v>
      </c>
      <c r="C1022" t="s">
        <v>11210</v>
      </c>
      <c r="E1022" s="1" t="e">
        <v>#N/A</v>
      </c>
      <c r="F1022" s="1" t="e">
        <v>#N/A</v>
      </c>
      <c r="G1022" s="1" t="s">
        <v>817</v>
      </c>
      <c r="H1022">
        <v>2023</v>
      </c>
      <c r="I1022">
        <v>2024</v>
      </c>
      <c r="J1022">
        <f t="shared" si="30"/>
        <v>2</v>
      </c>
      <c r="K1022" s="1" t="s">
        <v>3665</v>
      </c>
      <c r="L1022" s="1" t="s">
        <v>666</v>
      </c>
      <c r="M1022">
        <f t="shared" si="31"/>
        <v>2</v>
      </c>
    </row>
    <row r="1023" spans="1:14" hidden="1" x14ac:dyDescent="0.3">
      <c r="A1023" t="s">
        <v>11211</v>
      </c>
      <c r="B1023" t="s">
        <v>672</v>
      </c>
      <c r="C1023" t="s">
        <v>11212</v>
      </c>
      <c r="E1023" s="1" t="e">
        <v>#N/A</v>
      </c>
      <c r="F1023" s="1" t="e">
        <v>#N/A</v>
      </c>
      <c r="G1023" s="1" t="s">
        <v>817</v>
      </c>
      <c r="H1023">
        <v>2023</v>
      </c>
      <c r="I1023">
        <v>2023</v>
      </c>
      <c r="J1023">
        <f t="shared" si="30"/>
        <v>1</v>
      </c>
      <c r="K1023" s="1" t="s">
        <v>3665</v>
      </c>
      <c r="L1023" s="1" t="s">
        <v>666</v>
      </c>
      <c r="M1023">
        <f t="shared" si="31"/>
        <v>3</v>
      </c>
    </row>
    <row r="1024" spans="1:14" hidden="1" x14ac:dyDescent="0.3">
      <c r="A1024" t="s">
        <v>11213</v>
      </c>
      <c r="B1024" t="s">
        <v>672</v>
      </c>
      <c r="C1024" t="s">
        <v>11214</v>
      </c>
      <c r="E1024" s="1" t="e">
        <v>#N/A</v>
      </c>
      <c r="F1024" s="1" t="e">
        <v>#N/A</v>
      </c>
      <c r="G1024" s="1" t="s">
        <v>817</v>
      </c>
      <c r="H1024">
        <v>2023</v>
      </c>
      <c r="I1024">
        <v>2023</v>
      </c>
      <c r="J1024">
        <f t="shared" si="30"/>
        <v>1</v>
      </c>
      <c r="K1024" s="1" t="s">
        <v>3665</v>
      </c>
      <c r="L1024" s="1" t="s">
        <v>666</v>
      </c>
      <c r="M1024">
        <f t="shared" si="31"/>
        <v>3</v>
      </c>
    </row>
    <row r="1025" spans="1:14" hidden="1" x14ac:dyDescent="0.3">
      <c r="A1025" s="1" t="s">
        <v>838</v>
      </c>
      <c r="B1025" s="1" t="s">
        <v>672</v>
      </c>
      <c r="C1025" s="1" t="s">
        <v>839</v>
      </c>
      <c r="D1025" s="1" t="s">
        <v>746</v>
      </c>
      <c r="E1025" s="1" t="s">
        <v>747</v>
      </c>
      <c r="F1025" s="1" t="s">
        <v>748</v>
      </c>
      <c r="G1025" s="1" t="s">
        <v>817</v>
      </c>
      <c r="H1025">
        <v>2003</v>
      </c>
      <c r="I1025">
        <v>2012</v>
      </c>
      <c r="J1025">
        <f t="shared" si="30"/>
        <v>10</v>
      </c>
      <c r="K1025" s="1" t="s">
        <v>741</v>
      </c>
      <c r="L1025" s="1" t="s">
        <v>666</v>
      </c>
      <c r="M1025">
        <f t="shared" si="31"/>
        <v>14</v>
      </c>
      <c r="N1025" t="s">
        <v>650</v>
      </c>
    </row>
    <row r="1026" spans="1:14" hidden="1" x14ac:dyDescent="0.3">
      <c r="A1026" s="1" t="s">
        <v>840</v>
      </c>
      <c r="B1026" s="1" t="s">
        <v>672</v>
      </c>
      <c r="C1026" s="1" t="s">
        <v>841</v>
      </c>
      <c r="D1026" s="1" t="s">
        <v>746</v>
      </c>
      <c r="E1026" s="1" t="s">
        <v>747</v>
      </c>
      <c r="F1026" s="1" t="s">
        <v>748</v>
      </c>
      <c r="G1026" s="1" t="s">
        <v>817</v>
      </c>
      <c r="H1026">
        <v>2009</v>
      </c>
      <c r="I1026">
        <v>2010</v>
      </c>
      <c r="J1026">
        <f t="shared" si="30"/>
        <v>2</v>
      </c>
      <c r="K1026" s="1" t="s">
        <v>741</v>
      </c>
      <c r="L1026" s="1" t="s">
        <v>666</v>
      </c>
      <c r="M1026">
        <f t="shared" si="31"/>
        <v>16</v>
      </c>
      <c r="N1026" t="s">
        <v>640</v>
      </c>
    </row>
    <row r="1027" spans="1:14" hidden="1" x14ac:dyDescent="0.3">
      <c r="A1027" s="1" t="s">
        <v>842</v>
      </c>
      <c r="B1027" s="1" t="s">
        <v>672</v>
      </c>
      <c r="C1027" s="1" t="s">
        <v>843</v>
      </c>
      <c r="D1027" s="1" t="s">
        <v>746</v>
      </c>
      <c r="E1027" s="1" t="s">
        <v>747</v>
      </c>
      <c r="F1027" s="1" t="s">
        <v>748</v>
      </c>
      <c r="G1027" s="1" t="s">
        <v>817</v>
      </c>
      <c r="H1027">
        <v>2002</v>
      </c>
      <c r="I1027">
        <v>2010</v>
      </c>
      <c r="J1027">
        <f t="shared" si="30"/>
        <v>9</v>
      </c>
      <c r="K1027" s="1" t="s">
        <v>741</v>
      </c>
      <c r="L1027" s="1" t="s">
        <v>666</v>
      </c>
      <c r="M1027">
        <f t="shared" si="31"/>
        <v>16</v>
      </c>
      <c r="N1027" t="s">
        <v>640</v>
      </c>
    </row>
    <row r="1028" spans="1:14" hidden="1" x14ac:dyDescent="0.3">
      <c r="A1028" t="s">
        <v>11215</v>
      </c>
      <c r="B1028" t="s">
        <v>672</v>
      </c>
      <c r="C1028" t="s">
        <v>11216</v>
      </c>
      <c r="E1028" s="1" t="e">
        <v>#N/A</v>
      </c>
      <c r="F1028" s="1" t="e">
        <v>#N/A</v>
      </c>
      <c r="G1028" s="1" t="s">
        <v>817</v>
      </c>
      <c r="H1028">
        <v>2023</v>
      </c>
      <c r="I1028">
        <v>2026</v>
      </c>
      <c r="J1028">
        <f t="shared" si="30"/>
        <v>4</v>
      </c>
      <c r="K1028" s="1" t="s">
        <v>741</v>
      </c>
      <c r="L1028" s="1" t="s">
        <v>666</v>
      </c>
      <c r="M1028">
        <f t="shared" si="31"/>
        <v>0</v>
      </c>
    </row>
    <row r="1029" spans="1:14" hidden="1" x14ac:dyDescent="0.3">
      <c r="A1029" t="s">
        <v>11217</v>
      </c>
      <c r="B1029" t="s">
        <v>672</v>
      </c>
      <c r="C1029" t="s">
        <v>11218</v>
      </c>
      <c r="E1029" s="1" t="e">
        <v>#N/A</v>
      </c>
      <c r="F1029" s="1" t="e">
        <v>#N/A</v>
      </c>
      <c r="G1029" s="1" t="s">
        <v>817</v>
      </c>
      <c r="H1029">
        <v>2023</v>
      </c>
      <c r="I1029">
        <v>2026</v>
      </c>
      <c r="J1029">
        <f t="shared" si="30"/>
        <v>4</v>
      </c>
      <c r="K1029" s="1" t="s">
        <v>741</v>
      </c>
      <c r="L1029" s="1" t="s">
        <v>666</v>
      </c>
      <c r="M1029">
        <f t="shared" si="31"/>
        <v>0</v>
      </c>
    </row>
    <row r="1030" spans="1:14" hidden="1" x14ac:dyDescent="0.3">
      <c r="A1030" t="s">
        <v>11219</v>
      </c>
      <c r="B1030" t="s">
        <v>672</v>
      </c>
      <c r="C1030" t="s">
        <v>11220</v>
      </c>
      <c r="E1030" s="1" t="e">
        <v>#N/A</v>
      </c>
      <c r="F1030" s="1" t="e">
        <v>#N/A</v>
      </c>
      <c r="G1030" s="1" t="s">
        <v>817</v>
      </c>
      <c r="H1030">
        <v>2024</v>
      </c>
      <c r="I1030">
        <v>2024</v>
      </c>
      <c r="J1030">
        <f t="shared" ref="J1030:J1093" si="32">1+(I1030-H1030)</f>
        <v>1</v>
      </c>
      <c r="K1030" s="1" t="s">
        <v>741</v>
      </c>
      <c r="L1030" s="1" t="s">
        <v>666</v>
      </c>
      <c r="M1030">
        <f t="shared" ref="M1030:M1093" si="33">IF(I1030=0,0,$B$2-I1030)</f>
        <v>2</v>
      </c>
    </row>
    <row r="1031" spans="1:14" hidden="1" x14ac:dyDescent="0.3">
      <c r="A1031" s="1" t="s">
        <v>4881</v>
      </c>
      <c r="B1031" s="1" t="s">
        <v>672</v>
      </c>
      <c r="C1031" s="1" t="s">
        <v>4882</v>
      </c>
      <c r="D1031" s="1" t="s">
        <v>746</v>
      </c>
      <c r="E1031" s="1" t="s">
        <v>747</v>
      </c>
      <c r="F1031" s="1" t="s">
        <v>748</v>
      </c>
      <c r="G1031" s="1" t="s">
        <v>817</v>
      </c>
      <c r="H1031">
        <v>2004</v>
      </c>
      <c r="I1031">
        <v>2005</v>
      </c>
      <c r="J1031">
        <f t="shared" si="32"/>
        <v>2</v>
      </c>
      <c r="K1031" s="1" t="s">
        <v>4668</v>
      </c>
      <c r="L1031" s="1" t="s">
        <v>3793</v>
      </c>
      <c r="M1031">
        <f t="shared" si="33"/>
        <v>21</v>
      </c>
      <c r="N1031" t="s">
        <v>640</v>
      </c>
    </row>
    <row r="1032" spans="1:14" hidden="1" x14ac:dyDescent="0.3">
      <c r="A1032" s="1" t="s">
        <v>844</v>
      </c>
      <c r="B1032" s="1" t="s">
        <v>672</v>
      </c>
      <c r="C1032" s="1" t="s">
        <v>845</v>
      </c>
      <c r="D1032" s="1" t="s">
        <v>746</v>
      </c>
      <c r="E1032" s="1" t="s">
        <v>747</v>
      </c>
      <c r="F1032" s="1" t="s">
        <v>748</v>
      </c>
      <c r="G1032" s="1" t="s">
        <v>817</v>
      </c>
      <c r="H1032">
        <v>2012</v>
      </c>
      <c r="I1032">
        <v>2017</v>
      </c>
      <c r="J1032">
        <f t="shared" si="32"/>
        <v>6</v>
      </c>
      <c r="K1032" s="1" t="s">
        <v>741</v>
      </c>
      <c r="L1032" s="1" t="s">
        <v>666</v>
      </c>
      <c r="M1032">
        <f t="shared" si="33"/>
        <v>9</v>
      </c>
      <c r="N1032" t="s">
        <v>650</v>
      </c>
    </row>
    <row r="1033" spans="1:14" hidden="1" x14ac:dyDescent="0.3">
      <c r="A1033" s="1" t="s">
        <v>846</v>
      </c>
      <c r="B1033" s="1" t="s">
        <v>672</v>
      </c>
      <c r="C1033" s="1" t="s">
        <v>847</v>
      </c>
      <c r="D1033" s="1" t="s">
        <v>746</v>
      </c>
      <c r="E1033" s="1" t="s">
        <v>747</v>
      </c>
      <c r="F1033" s="1" t="s">
        <v>748</v>
      </c>
      <c r="G1033" s="1" t="s">
        <v>817</v>
      </c>
      <c r="H1033">
        <v>2017</v>
      </c>
      <c r="I1033">
        <v>2020</v>
      </c>
      <c r="J1033">
        <f t="shared" si="32"/>
        <v>4</v>
      </c>
      <c r="K1033" s="1" t="s">
        <v>741</v>
      </c>
      <c r="L1033" s="1" t="s">
        <v>666</v>
      </c>
      <c r="M1033">
        <f t="shared" si="33"/>
        <v>6</v>
      </c>
      <c r="N1033" t="s">
        <v>650</v>
      </c>
    </row>
    <row r="1034" spans="1:14" x14ac:dyDescent="0.3">
      <c r="A1034" s="1" t="s">
        <v>6537</v>
      </c>
      <c r="B1034" s="1" t="s">
        <v>672</v>
      </c>
      <c r="C1034" s="1" t="s">
        <v>6538</v>
      </c>
      <c r="D1034" s="1" t="s">
        <v>738</v>
      </c>
      <c r="E1034" s="1" t="s">
        <v>6076</v>
      </c>
      <c r="F1034" s="1" t="s">
        <v>6076</v>
      </c>
      <c r="G1034" s="1" t="s">
        <v>817</v>
      </c>
      <c r="H1034">
        <v>2012</v>
      </c>
      <c r="I1034">
        <v>2015</v>
      </c>
      <c r="J1034">
        <f t="shared" si="32"/>
        <v>4</v>
      </c>
      <c r="K1034" s="1" t="s">
        <v>6076</v>
      </c>
      <c r="L1034" s="1" t="s">
        <v>6076</v>
      </c>
      <c r="M1034">
        <f t="shared" si="33"/>
        <v>11</v>
      </c>
      <c r="N1034" t="s">
        <v>650</v>
      </c>
    </row>
    <row r="1035" spans="1:14" x14ac:dyDescent="0.3">
      <c r="A1035" s="1" t="s">
        <v>6539</v>
      </c>
      <c r="B1035" s="1" t="s">
        <v>672</v>
      </c>
      <c r="C1035" s="1" t="s">
        <v>6540</v>
      </c>
      <c r="D1035" s="1" t="s">
        <v>738</v>
      </c>
      <c r="E1035" s="1" t="s">
        <v>6076</v>
      </c>
      <c r="F1035" s="1" t="s">
        <v>6076</v>
      </c>
      <c r="G1035" s="1" t="s">
        <v>817</v>
      </c>
      <c r="H1035">
        <v>2012</v>
      </c>
      <c r="I1035">
        <v>2015</v>
      </c>
      <c r="J1035">
        <f t="shared" si="32"/>
        <v>4</v>
      </c>
      <c r="K1035" s="1" t="s">
        <v>6076</v>
      </c>
      <c r="L1035" s="1" t="s">
        <v>6076</v>
      </c>
      <c r="M1035">
        <f t="shared" si="33"/>
        <v>11</v>
      </c>
      <c r="N1035" t="s">
        <v>650</v>
      </c>
    </row>
    <row r="1036" spans="1:14" x14ac:dyDescent="0.3">
      <c r="A1036" s="1" t="s">
        <v>6541</v>
      </c>
      <c r="B1036" s="1" t="s">
        <v>672</v>
      </c>
      <c r="C1036" s="1" t="s">
        <v>6542</v>
      </c>
      <c r="D1036" s="1" t="s">
        <v>738</v>
      </c>
      <c r="E1036" s="1" t="s">
        <v>6076</v>
      </c>
      <c r="F1036" s="1" t="s">
        <v>6076</v>
      </c>
      <c r="G1036" s="1" t="s">
        <v>817</v>
      </c>
      <c r="H1036">
        <v>2012</v>
      </c>
      <c r="I1036">
        <v>2014</v>
      </c>
      <c r="J1036">
        <f t="shared" si="32"/>
        <v>3</v>
      </c>
      <c r="K1036" s="1" t="s">
        <v>6076</v>
      </c>
      <c r="L1036" s="1" t="s">
        <v>6076</v>
      </c>
      <c r="M1036">
        <f t="shared" si="33"/>
        <v>12</v>
      </c>
      <c r="N1036" t="s">
        <v>650</v>
      </c>
    </row>
    <row r="1037" spans="1:14" x14ac:dyDescent="0.3">
      <c r="A1037" s="1" t="s">
        <v>6543</v>
      </c>
      <c r="B1037" s="1" t="s">
        <v>672</v>
      </c>
      <c r="C1037" s="1" t="s">
        <v>6544</v>
      </c>
      <c r="D1037" s="1" t="s">
        <v>738</v>
      </c>
      <c r="E1037" s="1" t="s">
        <v>6076</v>
      </c>
      <c r="F1037" s="1" t="s">
        <v>6076</v>
      </c>
      <c r="G1037" s="1" t="s">
        <v>817</v>
      </c>
      <c r="H1037">
        <v>2011</v>
      </c>
      <c r="I1037">
        <v>2012</v>
      </c>
      <c r="J1037">
        <f t="shared" si="32"/>
        <v>2</v>
      </c>
      <c r="K1037" s="1" t="s">
        <v>6076</v>
      </c>
      <c r="L1037" s="1" t="s">
        <v>6076</v>
      </c>
      <c r="M1037">
        <f t="shared" si="33"/>
        <v>14</v>
      </c>
      <c r="N1037" t="s">
        <v>650</v>
      </c>
    </row>
    <row r="1038" spans="1:14" x14ac:dyDescent="0.3">
      <c r="A1038" s="1" t="s">
        <v>6545</v>
      </c>
      <c r="B1038" s="1" t="s">
        <v>672</v>
      </c>
      <c r="C1038" s="1" t="s">
        <v>6546</v>
      </c>
      <c r="D1038" s="1" t="s">
        <v>738</v>
      </c>
      <c r="E1038" s="1" t="s">
        <v>6076</v>
      </c>
      <c r="F1038" s="1" t="s">
        <v>6076</v>
      </c>
      <c r="G1038" s="1" t="s">
        <v>817</v>
      </c>
      <c r="H1038">
        <v>2013</v>
      </c>
      <c r="I1038">
        <v>2014</v>
      </c>
      <c r="J1038">
        <f t="shared" si="32"/>
        <v>2</v>
      </c>
      <c r="K1038" s="1" t="s">
        <v>6076</v>
      </c>
      <c r="L1038" s="1" t="s">
        <v>6076</v>
      </c>
      <c r="M1038">
        <f t="shared" si="33"/>
        <v>12</v>
      </c>
      <c r="N1038" t="s">
        <v>650</v>
      </c>
    </row>
    <row r="1039" spans="1:14" x14ac:dyDescent="0.3">
      <c r="A1039" s="1" t="s">
        <v>6547</v>
      </c>
      <c r="B1039" s="1" t="s">
        <v>672</v>
      </c>
      <c r="C1039" s="1" t="s">
        <v>6548</v>
      </c>
      <c r="D1039" s="1" t="s">
        <v>738</v>
      </c>
      <c r="E1039" s="1" t="s">
        <v>6076</v>
      </c>
      <c r="F1039" s="1" t="s">
        <v>6076</v>
      </c>
      <c r="G1039" s="1" t="s">
        <v>817</v>
      </c>
      <c r="H1039">
        <v>2011</v>
      </c>
      <c r="I1039">
        <v>2014</v>
      </c>
      <c r="J1039">
        <f t="shared" si="32"/>
        <v>4</v>
      </c>
      <c r="K1039" s="1" t="s">
        <v>6076</v>
      </c>
      <c r="L1039" s="1" t="s">
        <v>6076</v>
      </c>
      <c r="M1039">
        <f t="shared" si="33"/>
        <v>12</v>
      </c>
      <c r="N1039" t="s">
        <v>650</v>
      </c>
    </row>
    <row r="1040" spans="1:14" x14ac:dyDescent="0.3">
      <c r="A1040" s="1" t="s">
        <v>6549</v>
      </c>
      <c r="B1040" s="1" t="s">
        <v>672</v>
      </c>
      <c r="C1040" s="1" t="s">
        <v>6550</v>
      </c>
      <c r="D1040" s="1" t="s">
        <v>738</v>
      </c>
      <c r="E1040" s="1" t="s">
        <v>6076</v>
      </c>
      <c r="F1040" s="1" t="s">
        <v>6076</v>
      </c>
      <c r="G1040" s="1" t="s">
        <v>817</v>
      </c>
      <c r="H1040">
        <v>2011</v>
      </c>
      <c r="I1040">
        <v>2012</v>
      </c>
      <c r="J1040">
        <f t="shared" si="32"/>
        <v>2</v>
      </c>
      <c r="K1040" s="1" t="s">
        <v>6076</v>
      </c>
      <c r="L1040" s="1" t="s">
        <v>6076</v>
      </c>
      <c r="M1040">
        <f t="shared" si="33"/>
        <v>14</v>
      </c>
      <c r="N1040" t="s">
        <v>650</v>
      </c>
    </row>
    <row r="1041" spans="1:14" x14ac:dyDescent="0.3">
      <c r="A1041" s="1" t="s">
        <v>6551</v>
      </c>
      <c r="B1041" s="1" t="s">
        <v>672</v>
      </c>
      <c r="C1041" s="1" t="s">
        <v>6552</v>
      </c>
      <c r="D1041" s="1" t="s">
        <v>738</v>
      </c>
      <c r="E1041" s="1" t="s">
        <v>6076</v>
      </c>
      <c r="F1041" s="1" t="s">
        <v>6076</v>
      </c>
      <c r="G1041" s="1" t="s">
        <v>817</v>
      </c>
      <c r="H1041">
        <v>2015</v>
      </c>
      <c r="I1041">
        <v>2015</v>
      </c>
      <c r="J1041">
        <f t="shared" si="32"/>
        <v>1</v>
      </c>
      <c r="K1041" s="1" t="s">
        <v>6076</v>
      </c>
      <c r="L1041" s="1" t="s">
        <v>6076</v>
      </c>
      <c r="M1041">
        <f t="shared" si="33"/>
        <v>11</v>
      </c>
      <c r="N1041" t="s">
        <v>650</v>
      </c>
    </row>
    <row r="1042" spans="1:14" x14ac:dyDescent="0.3">
      <c r="A1042" s="1" t="s">
        <v>6553</v>
      </c>
      <c r="B1042" s="1" t="s">
        <v>672</v>
      </c>
      <c r="C1042" s="1" t="s">
        <v>6554</v>
      </c>
      <c r="D1042" s="1" t="s">
        <v>738</v>
      </c>
      <c r="E1042" s="1" t="s">
        <v>6076</v>
      </c>
      <c r="F1042" s="1" t="s">
        <v>6076</v>
      </c>
      <c r="G1042" s="1" t="s">
        <v>817</v>
      </c>
      <c r="H1042">
        <v>2015</v>
      </c>
      <c r="I1042">
        <v>2015</v>
      </c>
      <c r="J1042">
        <f t="shared" si="32"/>
        <v>1</v>
      </c>
      <c r="K1042" s="1" t="s">
        <v>6076</v>
      </c>
      <c r="L1042" s="1" t="s">
        <v>6076</v>
      </c>
      <c r="M1042">
        <f t="shared" si="33"/>
        <v>11</v>
      </c>
      <c r="N1042" t="s">
        <v>650</v>
      </c>
    </row>
    <row r="1043" spans="1:14" x14ac:dyDescent="0.3">
      <c r="A1043" s="1" t="s">
        <v>6555</v>
      </c>
      <c r="B1043" s="1" t="s">
        <v>672</v>
      </c>
      <c r="C1043" s="1" t="s">
        <v>6556</v>
      </c>
      <c r="D1043" s="1" t="s">
        <v>738</v>
      </c>
      <c r="E1043" s="1" t="s">
        <v>6076</v>
      </c>
      <c r="F1043" s="1" t="s">
        <v>6076</v>
      </c>
      <c r="G1043" s="1" t="s">
        <v>817</v>
      </c>
      <c r="H1043">
        <v>2012</v>
      </c>
      <c r="I1043">
        <v>2015</v>
      </c>
      <c r="J1043">
        <f t="shared" si="32"/>
        <v>4</v>
      </c>
      <c r="K1043" s="1" t="s">
        <v>6076</v>
      </c>
      <c r="L1043" s="1" t="s">
        <v>6076</v>
      </c>
      <c r="M1043">
        <f t="shared" si="33"/>
        <v>11</v>
      </c>
      <c r="N1043" t="s">
        <v>650</v>
      </c>
    </row>
    <row r="1044" spans="1:14" hidden="1" x14ac:dyDescent="0.3">
      <c r="A1044" s="1" t="s">
        <v>848</v>
      </c>
      <c r="B1044" s="1" t="s">
        <v>672</v>
      </c>
      <c r="C1044" s="1" t="s">
        <v>849</v>
      </c>
      <c r="D1044" s="1" t="s">
        <v>746</v>
      </c>
      <c r="E1044" s="1" t="s">
        <v>747</v>
      </c>
      <c r="F1044" s="1" t="s">
        <v>748</v>
      </c>
      <c r="G1044" s="1" t="s">
        <v>817</v>
      </c>
      <c r="H1044">
        <v>2017</v>
      </c>
      <c r="I1044">
        <v>2018</v>
      </c>
      <c r="J1044">
        <f t="shared" si="32"/>
        <v>2</v>
      </c>
      <c r="K1044" s="1" t="s">
        <v>741</v>
      </c>
      <c r="L1044" s="1" t="s">
        <v>666</v>
      </c>
      <c r="M1044">
        <f t="shared" si="33"/>
        <v>8</v>
      </c>
      <c r="N1044" t="s">
        <v>650</v>
      </c>
    </row>
    <row r="1045" spans="1:14" hidden="1" x14ac:dyDescent="0.3">
      <c r="A1045" s="1" t="s">
        <v>850</v>
      </c>
      <c r="B1045" s="1" t="s">
        <v>672</v>
      </c>
      <c r="C1045" s="1" t="s">
        <v>851</v>
      </c>
      <c r="D1045" s="1" t="s">
        <v>746</v>
      </c>
      <c r="E1045" s="1" t="s">
        <v>747</v>
      </c>
      <c r="F1045" s="1" t="s">
        <v>748</v>
      </c>
      <c r="G1045" s="1" t="s">
        <v>817</v>
      </c>
      <c r="H1045">
        <v>2017</v>
      </c>
      <c r="I1045">
        <v>2017</v>
      </c>
      <c r="J1045">
        <f t="shared" si="32"/>
        <v>1</v>
      </c>
      <c r="K1045" s="1" t="s">
        <v>741</v>
      </c>
      <c r="L1045" s="1" t="s">
        <v>666</v>
      </c>
      <c r="M1045">
        <f t="shared" si="33"/>
        <v>9</v>
      </c>
      <c r="N1045" t="s">
        <v>650</v>
      </c>
    </row>
    <row r="1046" spans="1:14" hidden="1" x14ac:dyDescent="0.3">
      <c r="A1046" s="1" t="s">
        <v>852</v>
      </c>
      <c r="B1046" s="1" t="s">
        <v>672</v>
      </c>
      <c r="C1046" s="1" t="s">
        <v>853</v>
      </c>
      <c r="D1046" s="1" t="s">
        <v>746</v>
      </c>
      <c r="E1046" s="1" t="s">
        <v>747</v>
      </c>
      <c r="F1046" s="1" t="s">
        <v>748</v>
      </c>
      <c r="G1046" s="1" t="s">
        <v>817</v>
      </c>
      <c r="H1046">
        <v>2017</v>
      </c>
      <c r="I1046">
        <v>2017</v>
      </c>
      <c r="J1046">
        <f t="shared" si="32"/>
        <v>1</v>
      </c>
      <c r="K1046" s="1" t="s">
        <v>741</v>
      </c>
      <c r="L1046" s="1" t="s">
        <v>666</v>
      </c>
      <c r="M1046">
        <f t="shared" si="33"/>
        <v>9</v>
      </c>
      <c r="N1046" t="s">
        <v>650</v>
      </c>
    </row>
    <row r="1047" spans="1:14" hidden="1" x14ac:dyDescent="0.3">
      <c r="A1047" s="1" t="s">
        <v>854</v>
      </c>
      <c r="B1047" s="1" t="s">
        <v>672</v>
      </c>
      <c r="C1047" s="1" t="s">
        <v>855</v>
      </c>
      <c r="D1047" s="1" t="s">
        <v>746</v>
      </c>
      <c r="E1047" s="1" t="s">
        <v>747</v>
      </c>
      <c r="F1047" s="1" t="s">
        <v>748</v>
      </c>
      <c r="G1047" s="1" t="s">
        <v>817</v>
      </c>
      <c r="H1047">
        <v>2013</v>
      </c>
      <c r="I1047">
        <v>2017</v>
      </c>
      <c r="J1047">
        <f t="shared" si="32"/>
        <v>5</v>
      </c>
      <c r="K1047" s="1" t="s">
        <v>741</v>
      </c>
      <c r="L1047" s="1" t="s">
        <v>666</v>
      </c>
      <c r="M1047">
        <f t="shared" si="33"/>
        <v>9</v>
      </c>
      <c r="N1047" t="s">
        <v>650</v>
      </c>
    </row>
    <row r="1048" spans="1:14" hidden="1" x14ac:dyDescent="0.3">
      <c r="A1048" s="1" t="s">
        <v>856</v>
      </c>
      <c r="B1048" s="1" t="s">
        <v>672</v>
      </c>
      <c r="C1048" s="1" t="s">
        <v>857</v>
      </c>
      <c r="D1048" s="1" t="s">
        <v>746</v>
      </c>
      <c r="E1048" s="1" t="s">
        <v>747</v>
      </c>
      <c r="F1048" s="1" t="s">
        <v>748</v>
      </c>
      <c r="G1048" s="1" t="s">
        <v>817</v>
      </c>
      <c r="H1048">
        <v>2015</v>
      </c>
      <c r="I1048">
        <v>2018</v>
      </c>
      <c r="J1048">
        <f t="shared" si="32"/>
        <v>4</v>
      </c>
      <c r="K1048" s="1" t="s">
        <v>741</v>
      </c>
      <c r="L1048" s="1" t="s">
        <v>666</v>
      </c>
      <c r="M1048">
        <f t="shared" si="33"/>
        <v>8</v>
      </c>
      <c r="N1048" t="s">
        <v>650</v>
      </c>
    </row>
    <row r="1049" spans="1:14" hidden="1" x14ac:dyDescent="0.3">
      <c r="A1049" s="1" t="s">
        <v>858</v>
      </c>
      <c r="B1049" s="1" t="s">
        <v>672</v>
      </c>
      <c r="C1049" s="1" t="s">
        <v>859</v>
      </c>
      <c r="D1049" s="1" t="s">
        <v>746</v>
      </c>
      <c r="E1049" s="1" t="s">
        <v>747</v>
      </c>
      <c r="F1049" s="1" t="s">
        <v>748</v>
      </c>
      <c r="G1049" s="1" t="s">
        <v>817</v>
      </c>
      <c r="H1049">
        <v>2016</v>
      </c>
      <c r="I1049">
        <v>2020</v>
      </c>
      <c r="J1049">
        <f t="shared" si="32"/>
        <v>5</v>
      </c>
      <c r="K1049" s="1" t="s">
        <v>741</v>
      </c>
      <c r="L1049" s="1" t="s">
        <v>666</v>
      </c>
      <c r="M1049">
        <f t="shared" si="33"/>
        <v>6</v>
      </c>
      <c r="N1049" t="s">
        <v>650</v>
      </c>
    </row>
    <row r="1050" spans="1:14" hidden="1" x14ac:dyDescent="0.3">
      <c r="A1050" s="1" t="s">
        <v>860</v>
      </c>
      <c r="B1050" s="1" t="s">
        <v>672</v>
      </c>
      <c r="C1050" s="1" t="s">
        <v>861</v>
      </c>
      <c r="D1050" s="1" t="s">
        <v>746</v>
      </c>
      <c r="E1050" s="1" t="s">
        <v>747</v>
      </c>
      <c r="F1050" s="1" t="s">
        <v>748</v>
      </c>
      <c r="G1050" s="1" t="s">
        <v>817</v>
      </c>
      <c r="H1050">
        <v>2019</v>
      </c>
      <c r="I1050">
        <v>2022</v>
      </c>
      <c r="J1050">
        <f t="shared" si="32"/>
        <v>4</v>
      </c>
      <c r="K1050" s="1" t="s">
        <v>741</v>
      </c>
      <c r="L1050" s="1" t="s">
        <v>666</v>
      </c>
      <c r="M1050">
        <f t="shared" si="33"/>
        <v>4</v>
      </c>
      <c r="N1050" t="s">
        <v>650</v>
      </c>
    </row>
    <row r="1051" spans="1:14" hidden="1" x14ac:dyDescent="0.3">
      <c r="A1051" s="1" t="s">
        <v>862</v>
      </c>
      <c r="B1051" s="1" t="s">
        <v>672</v>
      </c>
      <c r="C1051" s="1" t="s">
        <v>863</v>
      </c>
      <c r="D1051" s="1" t="s">
        <v>746</v>
      </c>
      <c r="E1051" s="1" t="s">
        <v>747</v>
      </c>
      <c r="F1051" s="1" t="s">
        <v>748</v>
      </c>
      <c r="G1051" s="1" t="s">
        <v>817</v>
      </c>
      <c r="H1051">
        <v>2019</v>
      </c>
      <c r="I1051">
        <v>2019</v>
      </c>
      <c r="J1051">
        <f t="shared" si="32"/>
        <v>1</v>
      </c>
      <c r="K1051" s="1" t="s">
        <v>741</v>
      </c>
      <c r="L1051" s="1" t="s">
        <v>666</v>
      </c>
      <c r="M1051">
        <f t="shared" si="33"/>
        <v>7</v>
      </c>
      <c r="N1051" t="s">
        <v>650</v>
      </c>
    </row>
    <row r="1052" spans="1:14" hidden="1" x14ac:dyDescent="0.3">
      <c r="A1052" s="1" t="s">
        <v>864</v>
      </c>
      <c r="B1052" s="1" t="s">
        <v>672</v>
      </c>
      <c r="C1052" s="1" t="s">
        <v>865</v>
      </c>
      <c r="D1052" s="1" t="s">
        <v>746</v>
      </c>
      <c r="E1052" s="1" t="s">
        <v>747</v>
      </c>
      <c r="F1052" s="1" t="s">
        <v>748</v>
      </c>
      <c r="G1052" s="1" t="s">
        <v>817</v>
      </c>
      <c r="H1052">
        <v>2014</v>
      </c>
      <c r="I1052">
        <v>2014</v>
      </c>
      <c r="J1052">
        <f t="shared" si="32"/>
        <v>1</v>
      </c>
      <c r="K1052" s="1" t="s">
        <v>741</v>
      </c>
      <c r="L1052" s="1" t="s">
        <v>666</v>
      </c>
      <c r="M1052">
        <f t="shared" si="33"/>
        <v>12</v>
      </c>
      <c r="N1052" t="s">
        <v>650</v>
      </c>
    </row>
    <row r="1053" spans="1:14" hidden="1" x14ac:dyDescent="0.3">
      <c r="A1053" t="s">
        <v>11221</v>
      </c>
      <c r="B1053" t="s">
        <v>672</v>
      </c>
      <c r="C1053" t="s">
        <v>11222</v>
      </c>
      <c r="E1053" s="1" t="e">
        <v>#N/A</v>
      </c>
      <c r="F1053" s="1" t="e">
        <v>#N/A</v>
      </c>
      <c r="G1053" s="1" t="s">
        <v>817</v>
      </c>
      <c r="H1053">
        <v>2025</v>
      </c>
      <c r="I1053">
        <v>2026</v>
      </c>
      <c r="J1053">
        <f t="shared" si="32"/>
        <v>2</v>
      </c>
      <c r="K1053" s="1" t="s">
        <v>741</v>
      </c>
      <c r="L1053" s="1" t="s">
        <v>666</v>
      </c>
      <c r="M1053">
        <f t="shared" si="33"/>
        <v>0</v>
      </c>
    </row>
    <row r="1054" spans="1:14" hidden="1" x14ac:dyDescent="0.3">
      <c r="A1054" s="1" t="s">
        <v>866</v>
      </c>
      <c r="B1054" s="1" t="s">
        <v>672</v>
      </c>
      <c r="C1054" s="1" t="s">
        <v>867</v>
      </c>
      <c r="D1054" s="1" t="s">
        <v>746</v>
      </c>
      <c r="E1054" s="1" t="s">
        <v>747</v>
      </c>
      <c r="F1054" s="1" t="s">
        <v>748</v>
      </c>
      <c r="G1054" s="1" t="s">
        <v>817</v>
      </c>
      <c r="H1054">
        <v>2007</v>
      </c>
      <c r="I1054">
        <v>2012</v>
      </c>
      <c r="J1054">
        <f t="shared" si="32"/>
        <v>6</v>
      </c>
      <c r="K1054" s="1" t="s">
        <v>741</v>
      </c>
      <c r="L1054" s="1" t="s">
        <v>666</v>
      </c>
      <c r="M1054">
        <f t="shared" si="33"/>
        <v>14</v>
      </c>
      <c r="N1054" t="s">
        <v>650</v>
      </c>
    </row>
    <row r="1055" spans="1:14" hidden="1" x14ac:dyDescent="0.3">
      <c r="A1055" s="1" t="s">
        <v>868</v>
      </c>
      <c r="B1055" s="1" t="s">
        <v>672</v>
      </c>
      <c r="C1055" s="1" t="s">
        <v>869</v>
      </c>
      <c r="D1055" s="1" t="s">
        <v>746</v>
      </c>
      <c r="E1055" s="1" t="s">
        <v>747</v>
      </c>
      <c r="F1055" s="1" t="s">
        <v>748</v>
      </c>
      <c r="G1055" s="1" t="s">
        <v>817</v>
      </c>
      <c r="H1055">
        <v>2006</v>
      </c>
      <c r="I1055">
        <v>2011</v>
      </c>
      <c r="J1055">
        <f t="shared" si="32"/>
        <v>6</v>
      </c>
      <c r="K1055" s="1" t="s">
        <v>741</v>
      </c>
      <c r="L1055" s="1" t="s">
        <v>666</v>
      </c>
      <c r="M1055">
        <f t="shared" si="33"/>
        <v>15</v>
      </c>
      <c r="N1055" t="s">
        <v>650</v>
      </c>
    </row>
    <row r="1056" spans="1:14" hidden="1" x14ac:dyDescent="0.3">
      <c r="A1056" t="s">
        <v>11223</v>
      </c>
      <c r="B1056" t="s">
        <v>672</v>
      </c>
      <c r="C1056" t="s">
        <v>11224</v>
      </c>
      <c r="E1056" s="1" t="e">
        <v>#N/A</v>
      </c>
      <c r="F1056" s="1" t="e">
        <v>#N/A</v>
      </c>
      <c r="G1056" s="1" t="s">
        <v>817</v>
      </c>
      <c r="H1056">
        <v>2025</v>
      </c>
      <c r="I1056">
        <v>2026</v>
      </c>
      <c r="J1056">
        <f t="shared" si="32"/>
        <v>2</v>
      </c>
      <c r="K1056" s="1" t="s">
        <v>741</v>
      </c>
      <c r="L1056" s="1" t="s">
        <v>666</v>
      </c>
      <c r="M1056">
        <f t="shared" si="33"/>
        <v>0</v>
      </c>
    </row>
    <row r="1057" spans="1:13" x14ac:dyDescent="0.3">
      <c r="A1057" t="s">
        <v>12373</v>
      </c>
      <c r="B1057" t="s">
        <v>12697</v>
      </c>
      <c r="C1057" t="s">
        <v>12374</v>
      </c>
      <c r="E1057" s="1" t="s">
        <v>6076</v>
      </c>
      <c r="F1057" s="1" t="s">
        <v>6076</v>
      </c>
      <c r="G1057" s="1" t="s">
        <v>12889</v>
      </c>
      <c r="H1057">
        <v>2007</v>
      </c>
      <c r="I1057">
        <v>2012</v>
      </c>
      <c r="J1057">
        <f t="shared" si="32"/>
        <v>6</v>
      </c>
      <c r="K1057" s="1" t="s">
        <v>6076</v>
      </c>
      <c r="L1057" s="1" t="s">
        <v>6076</v>
      </c>
      <c r="M1057">
        <f t="shared" si="33"/>
        <v>14</v>
      </c>
    </row>
    <row r="1058" spans="1:13" x14ac:dyDescent="0.3">
      <c r="A1058" t="s">
        <v>12375</v>
      </c>
      <c r="B1058" t="s">
        <v>12697</v>
      </c>
      <c r="C1058" t="s">
        <v>12376</v>
      </c>
      <c r="E1058" s="1" t="s">
        <v>6076</v>
      </c>
      <c r="F1058" s="1" t="s">
        <v>6076</v>
      </c>
      <c r="G1058" s="1" t="s">
        <v>12889</v>
      </c>
      <c r="H1058">
        <v>2007</v>
      </c>
      <c r="I1058">
        <v>2009</v>
      </c>
      <c r="J1058">
        <f t="shared" si="32"/>
        <v>3</v>
      </c>
      <c r="K1058" s="1" t="s">
        <v>6076</v>
      </c>
      <c r="L1058" s="1" t="s">
        <v>6076</v>
      </c>
      <c r="M1058">
        <f t="shared" si="33"/>
        <v>17</v>
      </c>
    </row>
    <row r="1059" spans="1:13" x14ac:dyDescent="0.3">
      <c r="A1059" t="s">
        <v>12377</v>
      </c>
      <c r="B1059" t="s">
        <v>12697</v>
      </c>
      <c r="C1059" t="s">
        <v>12378</v>
      </c>
      <c r="E1059" s="1" t="s">
        <v>6076</v>
      </c>
      <c r="F1059" s="1" t="s">
        <v>6076</v>
      </c>
      <c r="G1059" s="1" t="s">
        <v>12889</v>
      </c>
      <c r="H1059">
        <v>2007</v>
      </c>
      <c r="I1059">
        <v>2011</v>
      </c>
      <c r="J1059">
        <f t="shared" si="32"/>
        <v>5</v>
      </c>
      <c r="K1059" s="1" t="s">
        <v>6076</v>
      </c>
      <c r="L1059" s="1" t="s">
        <v>6076</v>
      </c>
      <c r="M1059">
        <f t="shared" si="33"/>
        <v>15</v>
      </c>
    </row>
    <row r="1060" spans="1:13" x14ac:dyDescent="0.3">
      <c r="A1060" t="s">
        <v>12379</v>
      </c>
      <c r="B1060" t="s">
        <v>12697</v>
      </c>
      <c r="C1060" t="s">
        <v>12380</v>
      </c>
      <c r="E1060" s="1" t="s">
        <v>6076</v>
      </c>
      <c r="F1060" s="1" t="s">
        <v>6076</v>
      </c>
      <c r="G1060" s="1" t="s">
        <v>12889</v>
      </c>
      <c r="H1060">
        <v>2008</v>
      </c>
      <c r="I1060">
        <v>2009</v>
      </c>
      <c r="J1060">
        <f t="shared" si="32"/>
        <v>2</v>
      </c>
      <c r="K1060" s="1" t="s">
        <v>6076</v>
      </c>
      <c r="L1060" s="1" t="s">
        <v>6076</v>
      </c>
      <c r="M1060">
        <f t="shared" si="33"/>
        <v>17</v>
      </c>
    </row>
    <row r="1061" spans="1:13" x14ac:dyDescent="0.3">
      <c r="A1061" t="s">
        <v>12381</v>
      </c>
      <c r="B1061" t="s">
        <v>12697</v>
      </c>
      <c r="C1061" t="s">
        <v>12382</v>
      </c>
      <c r="E1061" s="1" t="s">
        <v>6076</v>
      </c>
      <c r="F1061" s="1" t="s">
        <v>6076</v>
      </c>
      <c r="G1061" s="1" t="s">
        <v>12889</v>
      </c>
      <c r="H1061">
        <v>2011</v>
      </c>
      <c r="I1061">
        <v>2012</v>
      </c>
      <c r="J1061">
        <f t="shared" si="32"/>
        <v>2</v>
      </c>
      <c r="K1061" s="1" t="s">
        <v>6076</v>
      </c>
      <c r="L1061" s="1" t="s">
        <v>6076</v>
      </c>
      <c r="M1061">
        <f t="shared" si="33"/>
        <v>14</v>
      </c>
    </row>
    <row r="1062" spans="1:13" x14ac:dyDescent="0.3">
      <c r="A1062" s="1" t="s">
        <v>6557</v>
      </c>
      <c r="B1062" s="1" t="s">
        <v>5931</v>
      </c>
      <c r="C1062" s="1" t="s">
        <v>6558</v>
      </c>
      <c r="D1062" s="1" t="s">
        <v>738</v>
      </c>
      <c r="E1062" s="1" t="s">
        <v>6076</v>
      </c>
      <c r="F1062" s="1" t="s">
        <v>6076</v>
      </c>
      <c r="G1062" s="1" t="s">
        <v>6559</v>
      </c>
      <c r="H1062">
        <v>2022</v>
      </c>
      <c r="I1062">
        <v>2022</v>
      </c>
      <c r="J1062">
        <f t="shared" si="32"/>
        <v>1</v>
      </c>
      <c r="K1062" s="1" t="s">
        <v>6076</v>
      </c>
      <c r="L1062" s="1" t="s">
        <v>6076</v>
      </c>
      <c r="M1062">
        <f t="shared" si="33"/>
        <v>4</v>
      </c>
    </row>
    <row r="1063" spans="1:13" x14ac:dyDescent="0.3">
      <c r="A1063" s="1" t="s">
        <v>6560</v>
      </c>
      <c r="B1063" s="1" t="s">
        <v>5931</v>
      </c>
      <c r="C1063" s="1" t="s">
        <v>6561</v>
      </c>
      <c r="D1063" s="1" t="s">
        <v>738</v>
      </c>
      <c r="E1063" s="1" t="s">
        <v>6076</v>
      </c>
      <c r="F1063" s="1" t="s">
        <v>6076</v>
      </c>
      <c r="G1063" s="1" t="s">
        <v>6559</v>
      </c>
      <c r="H1063">
        <v>2017</v>
      </c>
      <c r="I1063">
        <v>2017</v>
      </c>
      <c r="J1063">
        <f t="shared" si="32"/>
        <v>1</v>
      </c>
      <c r="K1063" s="1" t="s">
        <v>6076</v>
      </c>
      <c r="L1063" s="1" t="s">
        <v>6076</v>
      </c>
      <c r="M1063">
        <f t="shared" si="33"/>
        <v>9</v>
      </c>
    </row>
    <row r="1064" spans="1:13" x14ac:dyDescent="0.3">
      <c r="A1064" s="1" t="s">
        <v>6562</v>
      </c>
      <c r="B1064" s="1" t="s">
        <v>5931</v>
      </c>
      <c r="C1064" s="1" t="s">
        <v>6563</v>
      </c>
      <c r="D1064" s="1" t="s">
        <v>738</v>
      </c>
      <c r="E1064" s="1" t="s">
        <v>6076</v>
      </c>
      <c r="F1064" s="1" t="s">
        <v>6076</v>
      </c>
      <c r="G1064" s="1" t="s">
        <v>6559</v>
      </c>
      <c r="H1064">
        <v>2010</v>
      </c>
      <c r="I1064">
        <v>2011</v>
      </c>
      <c r="J1064">
        <f t="shared" si="32"/>
        <v>2</v>
      </c>
      <c r="K1064" s="1" t="s">
        <v>6076</v>
      </c>
      <c r="L1064" s="1" t="s">
        <v>6076</v>
      </c>
      <c r="M1064">
        <f t="shared" si="33"/>
        <v>15</v>
      </c>
    </row>
    <row r="1065" spans="1:13" x14ac:dyDescent="0.3">
      <c r="A1065" s="1" t="s">
        <v>6564</v>
      </c>
      <c r="B1065" s="1" t="s">
        <v>5931</v>
      </c>
      <c r="C1065" s="1" t="s">
        <v>6565</v>
      </c>
      <c r="D1065" s="1" t="s">
        <v>3850</v>
      </c>
      <c r="E1065" s="1" t="s">
        <v>6076</v>
      </c>
      <c r="F1065" s="1" t="s">
        <v>6076</v>
      </c>
      <c r="G1065" s="1" t="s">
        <v>6559</v>
      </c>
      <c r="H1065">
        <v>2017</v>
      </c>
      <c r="I1065">
        <v>2022</v>
      </c>
      <c r="J1065">
        <f t="shared" si="32"/>
        <v>6</v>
      </c>
      <c r="K1065" s="1" t="s">
        <v>6076</v>
      </c>
      <c r="L1065" s="1" t="s">
        <v>6076</v>
      </c>
      <c r="M1065">
        <f t="shared" si="33"/>
        <v>4</v>
      </c>
    </row>
    <row r="1066" spans="1:13" x14ac:dyDescent="0.3">
      <c r="A1066" s="1" t="s">
        <v>6566</v>
      </c>
      <c r="B1066" s="1" t="s">
        <v>5931</v>
      </c>
      <c r="C1066" s="1" t="s">
        <v>6567</v>
      </c>
      <c r="D1066" s="1" t="s">
        <v>738</v>
      </c>
      <c r="E1066" s="1" t="s">
        <v>6076</v>
      </c>
      <c r="F1066" s="1" t="s">
        <v>6076</v>
      </c>
      <c r="G1066" s="1" t="s">
        <v>6559</v>
      </c>
      <c r="H1066">
        <v>2019</v>
      </c>
      <c r="I1066">
        <v>2020</v>
      </c>
      <c r="J1066">
        <f t="shared" si="32"/>
        <v>2</v>
      </c>
      <c r="K1066" s="1" t="s">
        <v>6076</v>
      </c>
      <c r="L1066" s="1" t="s">
        <v>6076</v>
      </c>
      <c r="M1066">
        <f t="shared" si="33"/>
        <v>6</v>
      </c>
    </row>
    <row r="1067" spans="1:13" x14ac:dyDescent="0.3">
      <c r="A1067" s="1" t="s">
        <v>6568</v>
      </c>
      <c r="B1067" s="1" t="s">
        <v>5931</v>
      </c>
      <c r="C1067" s="1" t="s">
        <v>6569</v>
      </c>
      <c r="D1067" s="1" t="s">
        <v>738</v>
      </c>
      <c r="E1067" s="1" t="s">
        <v>6076</v>
      </c>
      <c r="F1067" s="1" t="s">
        <v>6076</v>
      </c>
      <c r="G1067" s="1" t="s">
        <v>6559</v>
      </c>
      <c r="H1067">
        <v>2017</v>
      </c>
      <c r="I1067">
        <v>2018</v>
      </c>
      <c r="J1067">
        <f t="shared" si="32"/>
        <v>2</v>
      </c>
      <c r="K1067" s="1" t="s">
        <v>6076</v>
      </c>
      <c r="L1067" s="1" t="s">
        <v>6076</v>
      </c>
      <c r="M1067">
        <f t="shared" si="33"/>
        <v>8</v>
      </c>
    </row>
    <row r="1068" spans="1:13" x14ac:dyDescent="0.3">
      <c r="A1068" s="1" t="s">
        <v>6570</v>
      </c>
      <c r="B1068" s="1" t="s">
        <v>5931</v>
      </c>
      <c r="C1068" s="1" t="s">
        <v>6571</v>
      </c>
      <c r="D1068" s="1" t="s">
        <v>738</v>
      </c>
      <c r="E1068" s="1" t="s">
        <v>6076</v>
      </c>
      <c r="F1068" s="1" t="s">
        <v>6076</v>
      </c>
      <c r="G1068" s="1" t="s">
        <v>6559</v>
      </c>
      <c r="H1068">
        <v>2017</v>
      </c>
      <c r="I1068">
        <v>2022</v>
      </c>
      <c r="J1068">
        <f t="shared" si="32"/>
        <v>6</v>
      </c>
      <c r="K1068" s="1" t="s">
        <v>6076</v>
      </c>
      <c r="L1068" s="1" t="s">
        <v>6076</v>
      </c>
      <c r="M1068">
        <f t="shared" si="33"/>
        <v>4</v>
      </c>
    </row>
    <row r="1069" spans="1:13" x14ac:dyDescent="0.3">
      <c r="A1069" s="1" t="s">
        <v>6572</v>
      </c>
      <c r="B1069" s="1" t="s">
        <v>5931</v>
      </c>
      <c r="C1069" s="1" t="s">
        <v>6573</v>
      </c>
      <c r="D1069" s="1" t="s">
        <v>738</v>
      </c>
      <c r="E1069" s="1" t="s">
        <v>6076</v>
      </c>
      <c r="F1069" s="1" t="s">
        <v>6076</v>
      </c>
      <c r="G1069" s="1" t="s">
        <v>6559</v>
      </c>
      <c r="H1069">
        <v>2010</v>
      </c>
      <c r="I1069">
        <v>2011</v>
      </c>
      <c r="J1069">
        <f t="shared" si="32"/>
        <v>2</v>
      </c>
      <c r="K1069" s="1" t="s">
        <v>6076</v>
      </c>
      <c r="L1069" s="1" t="s">
        <v>6076</v>
      </c>
      <c r="M1069">
        <f t="shared" si="33"/>
        <v>15</v>
      </c>
    </row>
    <row r="1070" spans="1:13" x14ac:dyDescent="0.3">
      <c r="A1070" s="1" t="s">
        <v>6574</v>
      </c>
      <c r="B1070" s="1" t="s">
        <v>5931</v>
      </c>
      <c r="C1070" s="1" t="s">
        <v>6575</v>
      </c>
      <c r="D1070" s="1" t="s">
        <v>738</v>
      </c>
      <c r="E1070" s="1" t="s">
        <v>6076</v>
      </c>
      <c r="F1070" s="1" t="s">
        <v>6076</v>
      </c>
      <c r="G1070" s="1" t="s">
        <v>6576</v>
      </c>
      <c r="H1070">
        <v>2001</v>
      </c>
      <c r="I1070">
        <v>2005</v>
      </c>
      <c r="J1070">
        <f t="shared" si="32"/>
        <v>5</v>
      </c>
      <c r="K1070" s="1" t="s">
        <v>6076</v>
      </c>
      <c r="L1070" s="1" t="s">
        <v>6076</v>
      </c>
      <c r="M1070">
        <f t="shared" si="33"/>
        <v>21</v>
      </c>
    </row>
    <row r="1071" spans="1:13" x14ac:dyDescent="0.3">
      <c r="A1071" s="1" t="s">
        <v>6577</v>
      </c>
      <c r="B1071" s="1" t="s">
        <v>5931</v>
      </c>
      <c r="C1071" s="1" t="s">
        <v>6578</v>
      </c>
      <c r="D1071" s="1" t="s">
        <v>738</v>
      </c>
      <c r="E1071" s="1" t="s">
        <v>6076</v>
      </c>
      <c r="F1071" s="1" t="s">
        <v>6076</v>
      </c>
      <c r="G1071" s="1" t="s">
        <v>6576</v>
      </c>
      <c r="H1071">
        <v>2001</v>
      </c>
      <c r="I1071">
        <v>2005</v>
      </c>
      <c r="J1071">
        <f t="shared" si="32"/>
        <v>5</v>
      </c>
      <c r="K1071" s="1" t="s">
        <v>6076</v>
      </c>
      <c r="L1071" s="1" t="s">
        <v>6076</v>
      </c>
      <c r="M1071">
        <f t="shared" si="33"/>
        <v>21</v>
      </c>
    </row>
    <row r="1072" spans="1:13" x14ac:dyDescent="0.3">
      <c r="A1072" s="1" t="s">
        <v>6579</v>
      </c>
      <c r="B1072" s="1" t="s">
        <v>5931</v>
      </c>
      <c r="C1072" s="1" t="s">
        <v>6580</v>
      </c>
      <c r="D1072" s="1" t="s">
        <v>738</v>
      </c>
      <c r="E1072" s="1" t="s">
        <v>6076</v>
      </c>
      <c r="F1072" s="1" t="s">
        <v>6076</v>
      </c>
      <c r="G1072" s="1" t="s">
        <v>6576</v>
      </c>
      <c r="H1072">
        <v>2002</v>
      </c>
      <c r="I1072">
        <v>2005</v>
      </c>
      <c r="J1072">
        <f t="shared" si="32"/>
        <v>4</v>
      </c>
      <c r="K1072" s="1" t="s">
        <v>6076</v>
      </c>
      <c r="L1072" s="1" t="s">
        <v>6076</v>
      </c>
      <c r="M1072">
        <f t="shared" si="33"/>
        <v>21</v>
      </c>
    </row>
    <row r="1073" spans="1:14" x14ac:dyDescent="0.3">
      <c r="A1073" s="1" t="s">
        <v>6581</v>
      </c>
      <c r="B1073" s="1" t="s">
        <v>5931</v>
      </c>
      <c r="C1073" s="1" t="s">
        <v>6582</v>
      </c>
      <c r="D1073" s="1" t="s">
        <v>738</v>
      </c>
      <c r="E1073" s="1" t="s">
        <v>6076</v>
      </c>
      <c r="F1073" s="1" t="s">
        <v>6076</v>
      </c>
      <c r="G1073" s="1" t="s">
        <v>6583</v>
      </c>
      <c r="H1073">
        <v>2006</v>
      </c>
      <c r="I1073">
        <v>2008</v>
      </c>
      <c r="J1073">
        <f t="shared" si="32"/>
        <v>3</v>
      </c>
      <c r="K1073" s="1" t="s">
        <v>6076</v>
      </c>
      <c r="L1073" s="1" t="s">
        <v>6076</v>
      </c>
      <c r="M1073">
        <f t="shared" si="33"/>
        <v>18</v>
      </c>
    </row>
    <row r="1074" spans="1:14" x14ac:dyDescent="0.3">
      <c r="A1074" s="1" t="s">
        <v>6584</v>
      </c>
      <c r="B1074" s="1" t="s">
        <v>5931</v>
      </c>
      <c r="C1074" s="1" t="s">
        <v>6585</v>
      </c>
      <c r="D1074" s="1" t="s">
        <v>738</v>
      </c>
      <c r="E1074" s="1" t="s">
        <v>6076</v>
      </c>
      <c r="F1074" s="1" t="s">
        <v>6076</v>
      </c>
      <c r="G1074" s="1" t="s">
        <v>6583</v>
      </c>
      <c r="H1074">
        <v>2012</v>
      </c>
      <c r="I1074">
        <v>2012</v>
      </c>
      <c r="J1074">
        <f t="shared" si="32"/>
        <v>1</v>
      </c>
      <c r="K1074" s="1" t="s">
        <v>6076</v>
      </c>
      <c r="L1074" s="1" t="s">
        <v>6076</v>
      </c>
      <c r="M1074">
        <f t="shared" si="33"/>
        <v>14</v>
      </c>
    </row>
    <row r="1075" spans="1:14" x14ac:dyDescent="0.3">
      <c r="A1075" s="1" t="s">
        <v>6586</v>
      </c>
      <c r="B1075" s="1" t="s">
        <v>5931</v>
      </c>
      <c r="C1075" s="1" t="s">
        <v>6587</v>
      </c>
      <c r="D1075" s="1" t="s">
        <v>738</v>
      </c>
      <c r="E1075" s="1" t="s">
        <v>6076</v>
      </c>
      <c r="F1075" s="1" t="s">
        <v>6076</v>
      </c>
      <c r="G1075" s="1" t="s">
        <v>6583</v>
      </c>
      <c r="H1075">
        <v>2008</v>
      </c>
      <c r="I1075">
        <v>2011</v>
      </c>
      <c r="J1075">
        <f t="shared" si="32"/>
        <v>4</v>
      </c>
      <c r="K1075" s="1" t="s">
        <v>6076</v>
      </c>
      <c r="L1075" s="1" t="s">
        <v>6076</v>
      </c>
      <c r="M1075">
        <f t="shared" si="33"/>
        <v>15</v>
      </c>
    </row>
    <row r="1076" spans="1:14" x14ac:dyDescent="0.3">
      <c r="A1076" s="1" t="s">
        <v>6588</v>
      </c>
      <c r="B1076" s="1" t="s">
        <v>5931</v>
      </c>
      <c r="C1076" s="1" t="s">
        <v>6589</v>
      </c>
      <c r="D1076" s="1" t="s">
        <v>738</v>
      </c>
      <c r="E1076" s="1" t="s">
        <v>6076</v>
      </c>
      <c r="F1076" s="1" t="s">
        <v>6076</v>
      </c>
      <c r="G1076" s="1" t="s">
        <v>6583</v>
      </c>
      <c r="H1076">
        <v>2006</v>
      </c>
      <c r="I1076">
        <v>2007</v>
      </c>
      <c r="J1076">
        <f t="shared" si="32"/>
        <v>2</v>
      </c>
      <c r="K1076" s="1" t="s">
        <v>6076</v>
      </c>
      <c r="L1076" s="1" t="s">
        <v>6076</v>
      </c>
      <c r="M1076">
        <f t="shared" si="33"/>
        <v>19</v>
      </c>
    </row>
    <row r="1077" spans="1:14" x14ac:dyDescent="0.3">
      <c r="A1077" s="1" t="s">
        <v>6590</v>
      </c>
      <c r="B1077" s="1" t="s">
        <v>5931</v>
      </c>
      <c r="C1077" s="1" t="s">
        <v>6591</v>
      </c>
      <c r="D1077" s="1" t="s">
        <v>738</v>
      </c>
      <c r="E1077" s="1" t="s">
        <v>6076</v>
      </c>
      <c r="F1077" s="1" t="s">
        <v>6076</v>
      </c>
      <c r="G1077" s="1" t="s">
        <v>6583</v>
      </c>
      <c r="H1077">
        <v>2006</v>
      </c>
      <c r="I1077">
        <v>2007</v>
      </c>
      <c r="J1077">
        <f t="shared" si="32"/>
        <v>2</v>
      </c>
      <c r="K1077" s="1" t="s">
        <v>6076</v>
      </c>
      <c r="L1077" s="1" t="s">
        <v>6076</v>
      </c>
      <c r="M1077">
        <f t="shared" si="33"/>
        <v>19</v>
      </c>
    </row>
    <row r="1078" spans="1:14" x14ac:dyDescent="0.3">
      <c r="A1078" s="1" t="s">
        <v>6592</v>
      </c>
      <c r="B1078" s="1" t="s">
        <v>5931</v>
      </c>
      <c r="C1078" s="1" t="s">
        <v>6593</v>
      </c>
      <c r="D1078" s="1" t="s">
        <v>738</v>
      </c>
      <c r="E1078" s="1" t="s">
        <v>6076</v>
      </c>
      <c r="F1078" s="1" t="s">
        <v>6076</v>
      </c>
      <c r="G1078" s="1" t="s">
        <v>6594</v>
      </c>
      <c r="H1078">
        <v>1995</v>
      </c>
      <c r="I1078">
        <v>1997</v>
      </c>
      <c r="J1078">
        <f t="shared" si="32"/>
        <v>3</v>
      </c>
      <c r="K1078" s="1" t="s">
        <v>6076</v>
      </c>
      <c r="L1078" s="1" t="s">
        <v>6076</v>
      </c>
      <c r="M1078">
        <f t="shared" si="33"/>
        <v>29</v>
      </c>
    </row>
    <row r="1079" spans="1:14" hidden="1" x14ac:dyDescent="0.3">
      <c r="A1079" s="1" t="s">
        <v>3687</v>
      </c>
      <c r="B1079" s="1" t="s">
        <v>672</v>
      </c>
      <c r="C1079" s="1" t="s">
        <v>3688</v>
      </c>
      <c r="D1079" s="1" t="s">
        <v>1395</v>
      </c>
      <c r="E1079" s="1" t="s">
        <v>1396</v>
      </c>
      <c r="F1079" s="1" t="s">
        <v>1397</v>
      </c>
      <c r="G1079" s="1" t="s">
        <v>3689</v>
      </c>
      <c r="H1079">
        <v>2020</v>
      </c>
      <c r="I1079">
        <v>2020</v>
      </c>
      <c r="J1079">
        <f t="shared" si="32"/>
        <v>1</v>
      </c>
      <c r="K1079" s="1" t="s">
        <v>3665</v>
      </c>
      <c r="L1079" s="1" t="s">
        <v>649</v>
      </c>
      <c r="M1079">
        <f t="shared" si="33"/>
        <v>6</v>
      </c>
      <c r="N1079" t="s">
        <v>650</v>
      </c>
    </row>
    <row r="1080" spans="1:14" hidden="1" x14ac:dyDescent="0.3">
      <c r="A1080" s="1" t="s">
        <v>3690</v>
      </c>
      <c r="B1080" s="1" t="s">
        <v>672</v>
      </c>
      <c r="C1080" s="1" t="s">
        <v>3691</v>
      </c>
      <c r="D1080" s="1" t="s">
        <v>1395</v>
      </c>
      <c r="E1080" s="1" t="s">
        <v>1396</v>
      </c>
      <c r="F1080" s="1" t="s">
        <v>1397</v>
      </c>
      <c r="G1080" s="1" t="s">
        <v>3689</v>
      </c>
      <c r="H1080">
        <v>2021</v>
      </c>
      <c r="I1080">
        <v>2022</v>
      </c>
      <c r="J1080">
        <f t="shared" si="32"/>
        <v>2</v>
      </c>
      <c r="K1080" s="1" t="s">
        <v>3665</v>
      </c>
      <c r="L1080" s="1" t="s">
        <v>649</v>
      </c>
      <c r="M1080">
        <f t="shared" si="33"/>
        <v>4</v>
      </c>
      <c r="N1080" t="s">
        <v>650</v>
      </c>
    </row>
    <row r="1081" spans="1:14" hidden="1" x14ac:dyDescent="0.3">
      <c r="A1081" s="1" t="s">
        <v>3692</v>
      </c>
      <c r="B1081" s="1" t="s">
        <v>672</v>
      </c>
      <c r="C1081" s="1" t="s">
        <v>3693</v>
      </c>
      <c r="D1081" s="1" t="s">
        <v>1395</v>
      </c>
      <c r="E1081" s="1" t="s">
        <v>1396</v>
      </c>
      <c r="F1081" s="1" t="s">
        <v>1397</v>
      </c>
      <c r="G1081" s="1" t="s">
        <v>3689</v>
      </c>
      <c r="H1081">
        <v>2019</v>
      </c>
      <c r="I1081">
        <v>2022</v>
      </c>
      <c r="J1081">
        <f t="shared" si="32"/>
        <v>4</v>
      </c>
      <c r="K1081" s="1" t="s">
        <v>3665</v>
      </c>
      <c r="L1081" s="1" t="s">
        <v>649</v>
      </c>
      <c r="M1081">
        <f t="shared" si="33"/>
        <v>4</v>
      </c>
      <c r="N1081" t="s">
        <v>650</v>
      </c>
    </row>
    <row r="1082" spans="1:14" hidden="1" x14ac:dyDescent="0.3">
      <c r="A1082" s="1" t="s">
        <v>3694</v>
      </c>
      <c r="B1082" s="1" t="s">
        <v>672</v>
      </c>
      <c r="C1082" s="1" t="s">
        <v>3695</v>
      </c>
      <c r="D1082" s="1" t="s">
        <v>1395</v>
      </c>
      <c r="E1082" s="1" t="s">
        <v>1396</v>
      </c>
      <c r="F1082" s="1" t="s">
        <v>1397</v>
      </c>
      <c r="G1082" s="1" t="s">
        <v>3689</v>
      </c>
      <c r="H1082">
        <v>2019</v>
      </c>
      <c r="I1082">
        <v>2022</v>
      </c>
      <c r="J1082">
        <f t="shared" si="32"/>
        <v>4</v>
      </c>
      <c r="K1082" s="1" t="s">
        <v>3665</v>
      </c>
      <c r="L1082" s="1" t="s">
        <v>649</v>
      </c>
      <c r="M1082">
        <f t="shared" si="33"/>
        <v>4</v>
      </c>
      <c r="N1082" t="s">
        <v>650</v>
      </c>
    </row>
    <row r="1083" spans="1:14" hidden="1" x14ac:dyDescent="0.3">
      <c r="A1083" s="1" t="s">
        <v>3696</v>
      </c>
      <c r="B1083" s="1" t="s">
        <v>672</v>
      </c>
      <c r="C1083" s="1" t="s">
        <v>3697</v>
      </c>
      <c r="D1083" s="1" t="s">
        <v>1395</v>
      </c>
      <c r="E1083" s="1" t="s">
        <v>1396</v>
      </c>
      <c r="F1083" s="1" t="s">
        <v>1397</v>
      </c>
      <c r="G1083" s="1" t="s">
        <v>3689</v>
      </c>
      <c r="H1083">
        <v>2019</v>
      </c>
      <c r="I1083">
        <v>2021</v>
      </c>
      <c r="J1083">
        <f t="shared" si="32"/>
        <v>3</v>
      </c>
      <c r="K1083" s="1" t="s">
        <v>3665</v>
      </c>
      <c r="L1083" s="1" t="s">
        <v>649</v>
      </c>
      <c r="M1083">
        <f t="shared" si="33"/>
        <v>5</v>
      </c>
      <c r="N1083" t="s">
        <v>650</v>
      </c>
    </row>
    <row r="1084" spans="1:14" hidden="1" x14ac:dyDescent="0.3">
      <c r="A1084" s="1" t="s">
        <v>3698</v>
      </c>
      <c r="B1084" s="1" t="s">
        <v>672</v>
      </c>
      <c r="C1084" s="1" t="s">
        <v>3699</v>
      </c>
      <c r="D1084" s="1" t="s">
        <v>1395</v>
      </c>
      <c r="E1084" s="1" t="s">
        <v>1396</v>
      </c>
      <c r="F1084" s="1" t="s">
        <v>1397</v>
      </c>
      <c r="G1084" s="1" t="s">
        <v>3689</v>
      </c>
      <c r="H1084">
        <v>2019</v>
      </c>
      <c r="I1084">
        <v>2022</v>
      </c>
      <c r="J1084">
        <f t="shared" si="32"/>
        <v>4</v>
      </c>
      <c r="K1084" s="1" t="s">
        <v>3665</v>
      </c>
      <c r="L1084" s="1" t="s">
        <v>649</v>
      </c>
      <c r="M1084">
        <f t="shared" si="33"/>
        <v>4</v>
      </c>
      <c r="N1084" t="s">
        <v>650</v>
      </c>
    </row>
    <row r="1085" spans="1:14" hidden="1" x14ac:dyDescent="0.3">
      <c r="A1085" s="1" t="s">
        <v>3700</v>
      </c>
      <c r="B1085" s="1" t="s">
        <v>672</v>
      </c>
      <c r="C1085" s="1" t="s">
        <v>3701</v>
      </c>
      <c r="D1085" s="1" t="s">
        <v>1395</v>
      </c>
      <c r="E1085" s="1" t="s">
        <v>1396</v>
      </c>
      <c r="F1085" s="1" t="s">
        <v>1397</v>
      </c>
      <c r="G1085" s="1" t="s">
        <v>3689</v>
      </c>
      <c r="H1085">
        <v>2019</v>
      </c>
      <c r="I1085">
        <v>2022</v>
      </c>
      <c r="J1085">
        <f t="shared" si="32"/>
        <v>4</v>
      </c>
      <c r="K1085" s="1" t="s">
        <v>3665</v>
      </c>
      <c r="L1085" s="1" t="s">
        <v>649</v>
      </c>
      <c r="M1085">
        <f t="shared" si="33"/>
        <v>4</v>
      </c>
      <c r="N1085" t="s">
        <v>650</v>
      </c>
    </row>
    <row r="1086" spans="1:14" hidden="1" x14ac:dyDescent="0.3">
      <c r="A1086" s="1" t="s">
        <v>3702</v>
      </c>
      <c r="B1086" s="1" t="s">
        <v>672</v>
      </c>
      <c r="C1086" s="1" t="s">
        <v>3703</v>
      </c>
      <c r="D1086" s="1" t="s">
        <v>1395</v>
      </c>
      <c r="E1086" s="1" t="s">
        <v>1396</v>
      </c>
      <c r="F1086" s="1" t="s">
        <v>1397</v>
      </c>
      <c r="G1086" s="1" t="s">
        <v>3689</v>
      </c>
      <c r="H1086">
        <v>2019</v>
      </c>
      <c r="I1086">
        <v>2022</v>
      </c>
      <c r="J1086">
        <f t="shared" si="32"/>
        <v>4</v>
      </c>
      <c r="K1086" s="1" t="s">
        <v>3665</v>
      </c>
      <c r="L1086" s="1" t="s">
        <v>649</v>
      </c>
      <c r="M1086">
        <f t="shared" si="33"/>
        <v>4</v>
      </c>
      <c r="N1086" t="s">
        <v>650</v>
      </c>
    </row>
    <row r="1087" spans="1:14" hidden="1" x14ac:dyDescent="0.3">
      <c r="A1087" t="s">
        <v>11225</v>
      </c>
      <c r="B1087" t="s">
        <v>672</v>
      </c>
      <c r="C1087" t="s">
        <v>11226</v>
      </c>
      <c r="E1087" s="1" t="e">
        <v>#N/A</v>
      </c>
      <c r="F1087" s="1" t="e">
        <v>#N/A</v>
      </c>
      <c r="G1087" s="1" t="s">
        <v>3689</v>
      </c>
      <c r="H1087">
        <v>2024</v>
      </c>
      <c r="I1087">
        <v>2024</v>
      </c>
      <c r="J1087">
        <f t="shared" si="32"/>
        <v>1</v>
      </c>
      <c r="K1087" s="1" t="s">
        <v>4668</v>
      </c>
      <c r="L1087" s="1" t="s">
        <v>649</v>
      </c>
      <c r="M1087">
        <f t="shared" si="33"/>
        <v>2</v>
      </c>
    </row>
    <row r="1088" spans="1:14" hidden="1" x14ac:dyDescent="0.3">
      <c r="A1088" s="1" t="s">
        <v>3704</v>
      </c>
      <c r="B1088" s="1" t="s">
        <v>672</v>
      </c>
      <c r="C1088" s="1" t="s">
        <v>3705</v>
      </c>
      <c r="D1088" s="1" t="s">
        <v>1395</v>
      </c>
      <c r="E1088" s="1" t="s">
        <v>1396</v>
      </c>
      <c r="F1088" s="1" t="s">
        <v>1397</v>
      </c>
      <c r="G1088" s="1" t="s">
        <v>3689</v>
      </c>
      <c r="H1088">
        <v>2022</v>
      </c>
      <c r="I1088">
        <v>2022</v>
      </c>
      <c r="J1088">
        <f t="shared" si="32"/>
        <v>1</v>
      </c>
      <c r="K1088" s="1" t="s">
        <v>3665</v>
      </c>
      <c r="L1088" s="1" t="s">
        <v>649</v>
      </c>
      <c r="M1088">
        <f t="shared" si="33"/>
        <v>4</v>
      </c>
      <c r="N1088" t="s">
        <v>650</v>
      </c>
    </row>
    <row r="1089" spans="1:14" hidden="1" x14ac:dyDescent="0.3">
      <c r="A1089" t="s">
        <v>11227</v>
      </c>
      <c r="B1089" t="s">
        <v>672</v>
      </c>
      <c r="C1089" t="s">
        <v>11228</v>
      </c>
      <c r="E1089" s="1" t="e">
        <v>#N/A</v>
      </c>
      <c r="F1089" s="1" t="e">
        <v>#N/A</v>
      </c>
      <c r="G1089" s="1" t="s">
        <v>3689</v>
      </c>
      <c r="H1089">
        <v>2022</v>
      </c>
      <c r="I1089">
        <v>2023</v>
      </c>
      <c r="J1089">
        <f t="shared" si="32"/>
        <v>2</v>
      </c>
      <c r="K1089" s="1" t="s">
        <v>4668</v>
      </c>
      <c r="L1089" s="1" t="s">
        <v>649</v>
      </c>
      <c r="M1089">
        <f t="shared" si="33"/>
        <v>3</v>
      </c>
    </row>
    <row r="1090" spans="1:14" hidden="1" x14ac:dyDescent="0.3">
      <c r="A1090" s="1" t="s">
        <v>3706</v>
      </c>
      <c r="B1090" s="1" t="s">
        <v>672</v>
      </c>
      <c r="C1090" s="1" t="s">
        <v>3707</v>
      </c>
      <c r="D1090" s="1" t="s">
        <v>1395</v>
      </c>
      <c r="E1090" s="1" t="s">
        <v>1396</v>
      </c>
      <c r="F1090" s="1" t="s">
        <v>1397</v>
      </c>
      <c r="G1090" s="1" t="s">
        <v>3689</v>
      </c>
      <c r="H1090">
        <v>2019</v>
      </c>
      <c r="I1090">
        <v>2022</v>
      </c>
      <c r="J1090">
        <f t="shared" si="32"/>
        <v>4</v>
      </c>
      <c r="K1090" s="1" t="s">
        <v>3665</v>
      </c>
      <c r="L1090" s="1" t="s">
        <v>649</v>
      </c>
      <c r="M1090">
        <f t="shared" si="33"/>
        <v>4</v>
      </c>
      <c r="N1090" t="s">
        <v>650</v>
      </c>
    </row>
    <row r="1091" spans="1:14" hidden="1" x14ac:dyDescent="0.3">
      <c r="A1091" s="1" t="s">
        <v>3708</v>
      </c>
      <c r="B1091" s="1" t="s">
        <v>672</v>
      </c>
      <c r="C1091" s="1" t="s">
        <v>3709</v>
      </c>
      <c r="D1091" s="1" t="s">
        <v>1395</v>
      </c>
      <c r="E1091" s="1" t="s">
        <v>1396</v>
      </c>
      <c r="F1091" s="1" t="s">
        <v>1397</v>
      </c>
      <c r="G1091" s="1" t="s">
        <v>3689</v>
      </c>
      <c r="H1091">
        <v>2019</v>
      </c>
      <c r="I1091">
        <v>2022</v>
      </c>
      <c r="J1091">
        <f t="shared" si="32"/>
        <v>4</v>
      </c>
      <c r="K1091" s="1" t="s">
        <v>3665</v>
      </c>
      <c r="L1091" s="1" t="s">
        <v>649</v>
      </c>
      <c r="M1091">
        <f t="shared" si="33"/>
        <v>4</v>
      </c>
      <c r="N1091" t="s">
        <v>650</v>
      </c>
    </row>
    <row r="1092" spans="1:14" hidden="1" x14ac:dyDescent="0.3">
      <c r="A1092" s="1" t="s">
        <v>3710</v>
      </c>
      <c r="B1092" s="1" t="s">
        <v>672</v>
      </c>
      <c r="C1092" s="1" t="s">
        <v>3711</v>
      </c>
      <c r="D1092" s="1" t="s">
        <v>1395</v>
      </c>
      <c r="E1092" s="1" t="s">
        <v>1396</v>
      </c>
      <c r="F1092" s="1" t="s">
        <v>1397</v>
      </c>
      <c r="G1092" s="1" t="s">
        <v>3689</v>
      </c>
      <c r="H1092">
        <v>2022</v>
      </c>
      <c r="I1092">
        <v>2022</v>
      </c>
      <c r="J1092">
        <f t="shared" si="32"/>
        <v>1</v>
      </c>
      <c r="K1092" s="1" t="s">
        <v>3665</v>
      </c>
      <c r="L1092" s="1" t="s">
        <v>649</v>
      </c>
      <c r="M1092">
        <f t="shared" si="33"/>
        <v>4</v>
      </c>
      <c r="N1092" t="s">
        <v>650</v>
      </c>
    </row>
    <row r="1093" spans="1:14" x14ac:dyDescent="0.3">
      <c r="A1093" s="1" t="s">
        <v>6595</v>
      </c>
      <c r="B1093" s="1" t="s">
        <v>672</v>
      </c>
      <c r="C1093" s="1" t="s">
        <v>6596</v>
      </c>
      <c r="D1093" s="1" t="s">
        <v>746</v>
      </c>
      <c r="E1093" s="1" t="s">
        <v>6076</v>
      </c>
      <c r="F1093" s="1" t="s">
        <v>6076</v>
      </c>
      <c r="G1093" s="1" t="s">
        <v>3689</v>
      </c>
      <c r="H1093">
        <v>2014</v>
      </c>
      <c r="I1093">
        <v>2014</v>
      </c>
      <c r="J1093">
        <f t="shared" si="32"/>
        <v>1</v>
      </c>
      <c r="K1093" s="1" t="s">
        <v>6076</v>
      </c>
      <c r="L1093" s="1" t="s">
        <v>6076</v>
      </c>
      <c r="M1093">
        <f t="shared" si="33"/>
        <v>12</v>
      </c>
      <c r="N1093" t="s">
        <v>650</v>
      </c>
    </row>
    <row r="1094" spans="1:14" x14ac:dyDescent="0.3">
      <c r="A1094" s="1" t="s">
        <v>6597</v>
      </c>
      <c r="B1094" s="1" t="s">
        <v>672</v>
      </c>
      <c r="C1094" s="1" t="s">
        <v>6598</v>
      </c>
      <c r="D1094" s="1" t="s">
        <v>746</v>
      </c>
      <c r="E1094" s="1" t="s">
        <v>6076</v>
      </c>
      <c r="F1094" s="1" t="s">
        <v>6076</v>
      </c>
      <c r="G1094" s="1" t="s">
        <v>3689</v>
      </c>
      <c r="H1094">
        <v>2014</v>
      </c>
      <c r="I1094">
        <v>2014</v>
      </c>
      <c r="J1094">
        <f t="shared" ref="J1094:J1157" si="34">1+(I1094-H1094)</f>
        <v>1</v>
      </c>
      <c r="K1094" s="1" t="s">
        <v>6076</v>
      </c>
      <c r="L1094" s="1" t="s">
        <v>6076</v>
      </c>
      <c r="M1094">
        <f t="shared" ref="M1094:M1157" si="35">IF(I1094=0,0,$B$2-I1094)</f>
        <v>12</v>
      </c>
      <c r="N1094" t="s">
        <v>650</v>
      </c>
    </row>
    <row r="1095" spans="1:14" hidden="1" x14ac:dyDescent="0.3">
      <c r="A1095" s="1" t="s">
        <v>3712</v>
      </c>
      <c r="B1095" s="1" t="s">
        <v>672</v>
      </c>
      <c r="C1095" s="1" t="s">
        <v>3713</v>
      </c>
      <c r="D1095" s="1" t="s">
        <v>746</v>
      </c>
      <c r="E1095" s="1" t="s">
        <v>1358</v>
      </c>
      <c r="F1095" s="1" t="s">
        <v>1359</v>
      </c>
      <c r="G1095" s="1" t="s">
        <v>3689</v>
      </c>
      <c r="H1095">
        <v>2009</v>
      </c>
      <c r="I1095">
        <v>2013</v>
      </c>
      <c r="J1095">
        <f t="shared" si="34"/>
        <v>5</v>
      </c>
      <c r="K1095" s="1" t="s">
        <v>3665</v>
      </c>
      <c r="L1095" s="1" t="s">
        <v>666</v>
      </c>
      <c r="M1095">
        <f t="shared" si="35"/>
        <v>13</v>
      </c>
      <c r="N1095" t="s">
        <v>650</v>
      </c>
    </row>
    <row r="1096" spans="1:14" hidden="1" x14ac:dyDescent="0.3">
      <c r="A1096" s="1" t="s">
        <v>3714</v>
      </c>
      <c r="B1096" s="1" t="s">
        <v>672</v>
      </c>
      <c r="C1096" s="1" t="s">
        <v>3715</v>
      </c>
      <c r="D1096" s="1" t="s">
        <v>746</v>
      </c>
      <c r="E1096" s="1" t="s">
        <v>1358</v>
      </c>
      <c r="F1096" s="1" t="s">
        <v>1359</v>
      </c>
      <c r="G1096" s="1" t="s">
        <v>3689</v>
      </c>
      <c r="H1096">
        <v>2009</v>
      </c>
      <c r="I1096">
        <v>2014</v>
      </c>
      <c r="J1096">
        <f t="shared" si="34"/>
        <v>6</v>
      </c>
      <c r="K1096" s="1" t="s">
        <v>3665</v>
      </c>
      <c r="L1096" s="1" t="s">
        <v>666</v>
      </c>
      <c r="M1096">
        <f t="shared" si="35"/>
        <v>12</v>
      </c>
      <c r="N1096" t="s">
        <v>650</v>
      </c>
    </row>
    <row r="1097" spans="1:14" hidden="1" x14ac:dyDescent="0.3">
      <c r="A1097" s="1" t="s">
        <v>3716</v>
      </c>
      <c r="B1097" s="1" t="s">
        <v>672</v>
      </c>
      <c r="C1097" s="1" t="s">
        <v>3717</v>
      </c>
      <c r="D1097" s="1" t="s">
        <v>746</v>
      </c>
      <c r="E1097" s="1" t="s">
        <v>1358</v>
      </c>
      <c r="F1097" s="1" t="s">
        <v>1359</v>
      </c>
      <c r="G1097" s="1" t="s">
        <v>3689</v>
      </c>
      <c r="H1097">
        <v>2009</v>
      </c>
      <c r="I1097">
        <v>2013</v>
      </c>
      <c r="J1097">
        <f t="shared" si="34"/>
        <v>5</v>
      </c>
      <c r="K1097" s="1" t="s">
        <v>3665</v>
      </c>
      <c r="L1097" s="1" t="s">
        <v>666</v>
      </c>
      <c r="M1097">
        <f t="shared" si="35"/>
        <v>13</v>
      </c>
      <c r="N1097" t="s">
        <v>650</v>
      </c>
    </row>
    <row r="1098" spans="1:14" hidden="1" x14ac:dyDescent="0.3">
      <c r="A1098" s="1" t="s">
        <v>3718</v>
      </c>
      <c r="B1098" s="1" t="s">
        <v>672</v>
      </c>
      <c r="C1098" s="1" t="s">
        <v>3719</v>
      </c>
      <c r="D1098" s="1" t="s">
        <v>746</v>
      </c>
      <c r="E1098" s="1" t="s">
        <v>1358</v>
      </c>
      <c r="F1098" s="1" t="s">
        <v>1359</v>
      </c>
      <c r="G1098" s="1" t="s">
        <v>3689</v>
      </c>
      <c r="H1098">
        <v>2009</v>
      </c>
      <c r="I1098">
        <v>2013</v>
      </c>
      <c r="J1098">
        <f t="shared" si="34"/>
        <v>5</v>
      </c>
      <c r="K1098" s="1" t="s">
        <v>3665</v>
      </c>
      <c r="L1098" s="1" t="s">
        <v>666</v>
      </c>
      <c r="M1098">
        <f t="shared" si="35"/>
        <v>13</v>
      </c>
      <c r="N1098" t="s">
        <v>650</v>
      </c>
    </row>
    <row r="1099" spans="1:14" x14ac:dyDescent="0.3">
      <c r="A1099" s="1" t="s">
        <v>6599</v>
      </c>
      <c r="B1099" s="1" t="s">
        <v>672</v>
      </c>
      <c r="C1099" s="1" t="s">
        <v>6600</v>
      </c>
      <c r="D1099" s="1" t="s">
        <v>738</v>
      </c>
      <c r="E1099" s="1" t="s">
        <v>6076</v>
      </c>
      <c r="F1099" s="1" t="s">
        <v>6076</v>
      </c>
      <c r="G1099" s="1" t="s">
        <v>3689</v>
      </c>
      <c r="H1099">
        <v>2010</v>
      </c>
      <c r="I1099">
        <v>2010</v>
      </c>
      <c r="J1099">
        <f t="shared" si="34"/>
        <v>1</v>
      </c>
      <c r="K1099" s="1" t="s">
        <v>6076</v>
      </c>
      <c r="L1099" s="1" t="s">
        <v>6076</v>
      </c>
      <c r="M1099">
        <f t="shared" si="35"/>
        <v>16</v>
      </c>
      <c r="N1099" t="s">
        <v>640</v>
      </c>
    </row>
    <row r="1100" spans="1:14" hidden="1" x14ac:dyDescent="0.3">
      <c r="A1100" s="1" t="s">
        <v>3720</v>
      </c>
      <c r="B1100" s="1" t="s">
        <v>672</v>
      </c>
      <c r="C1100" s="1" t="s">
        <v>3721</v>
      </c>
      <c r="D1100" s="1" t="s">
        <v>738</v>
      </c>
      <c r="E1100" s="1" t="s">
        <v>812</v>
      </c>
      <c r="F1100" s="1" t="s">
        <v>813</v>
      </c>
      <c r="G1100" s="1" t="s">
        <v>3689</v>
      </c>
      <c r="H1100">
        <v>2022</v>
      </c>
      <c r="I1100">
        <v>2021</v>
      </c>
      <c r="J1100">
        <f t="shared" si="34"/>
        <v>0</v>
      </c>
      <c r="K1100" s="1" t="s">
        <v>3665</v>
      </c>
      <c r="L1100" s="1" t="s">
        <v>649</v>
      </c>
      <c r="M1100">
        <f t="shared" si="35"/>
        <v>5</v>
      </c>
      <c r="N1100" t="s">
        <v>650</v>
      </c>
    </row>
    <row r="1101" spans="1:14" hidden="1" x14ac:dyDescent="0.3">
      <c r="A1101" s="1" t="s">
        <v>3722</v>
      </c>
      <c r="B1101" s="1" t="s">
        <v>672</v>
      </c>
      <c r="C1101" s="1" t="s">
        <v>3723</v>
      </c>
      <c r="D1101" s="1" t="s">
        <v>738</v>
      </c>
      <c r="E1101" s="1" t="s">
        <v>812</v>
      </c>
      <c r="F1101" s="1" t="s">
        <v>813</v>
      </c>
      <c r="G1101" s="1" t="s">
        <v>3689</v>
      </c>
      <c r="H1101">
        <v>2014</v>
      </c>
      <c r="I1101">
        <v>2015</v>
      </c>
      <c r="J1101">
        <f t="shared" si="34"/>
        <v>2</v>
      </c>
      <c r="K1101" s="1" t="s">
        <v>3665</v>
      </c>
      <c r="L1101" s="1" t="s">
        <v>666</v>
      </c>
      <c r="M1101">
        <f t="shared" si="35"/>
        <v>11</v>
      </c>
      <c r="N1101" t="s">
        <v>650</v>
      </c>
    </row>
    <row r="1102" spans="1:14" hidden="1" x14ac:dyDescent="0.3">
      <c r="A1102" s="1" t="s">
        <v>3724</v>
      </c>
      <c r="B1102" s="1" t="s">
        <v>672</v>
      </c>
      <c r="C1102" s="1" t="s">
        <v>3725</v>
      </c>
      <c r="D1102" s="1" t="s">
        <v>738</v>
      </c>
      <c r="E1102" s="1" t="s">
        <v>812</v>
      </c>
      <c r="F1102" s="1" t="s">
        <v>813</v>
      </c>
      <c r="G1102" s="1" t="s">
        <v>3689</v>
      </c>
      <c r="H1102">
        <v>2015</v>
      </c>
      <c r="I1102">
        <v>2018</v>
      </c>
      <c r="J1102">
        <f t="shared" si="34"/>
        <v>4</v>
      </c>
      <c r="K1102" s="1" t="s">
        <v>3665</v>
      </c>
      <c r="L1102" s="1" t="s">
        <v>649</v>
      </c>
      <c r="M1102">
        <f t="shared" si="35"/>
        <v>8</v>
      </c>
      <c r="N1102" t="s">
        <v>650</v>
      </c>
    </row>
    <row r="1103" spans="1:14" hidden="1" x14ac:dyDescent="0.3">
      <c r="A1103" s="1" t="s">
        <v>3726</v>
      </c>
      <c r="B1103" s="1" t="s">
        <v>672</v>
      </c>
      <c r="C1103" s="1" t="s">
        <v>3727</v>
      </c>
      <c r="D1103" s="1" t="s">
        <v>738</v>
      </c>
      <c r="E1103" s="1" t="s">
        <v>812</v>
      </c>
      <c r="F1103" s="1" t="s">
        <v>813</v>
      </c>
      <c r="G1103" s="1" t="s">
        <v>3689</v>
      </c>
      <c r="H1103">
        <v>2014</v>
      </c>
      <c r="I1103">
        <v>2015</v>
      </c>
      <c r="J1103">
        <f t="shared" si="34"/>
        <v>2</v>
      </c>
      <c r="K1103" s="1" t="s">
        <v>3665</v>
      </c>
      <c r="L1103" s="1" t="s">
        <v>649</v>
      </c>
      <c r="M1103">
        <f t="shared" si="35"/>
        <v>11</v>
      </c>
      <c r="N1103" t="s">
        <v>650</v>
      </c>
    </row>
    <row r="1104" spans="1:14" hidden="1" x14ac:dyDescent="0.3">
      <c r="A1104" s="1" t="s">
        <v>3728</v>
      </c>
      <c r="B1104" s="1" t="s">
        <v>672</v>
      </c>
      <c r="C1104" s="1" t="s">
        <v>3729</v>
      </c>
      <c r="D1104" s="1" t="s">
        <v>738</v>
      </c>
      <c r="E1104" s="1" t="s">
        <v>812</v>
      </c>
      <c r="F1104" s="1" t="s">
        <v>813</v>
      </c>
      <c r="G1104" s="1" t="s">
        <v>3689</v>
      </c>
      <c r="H1104">
        <v>2018</v>
      </c>
      <c r="I1104">
        <v>2019</v>
      </c>
      <c r="J1104">
        <f t="shared" si="34"/>
        <v>2</v>
      </c>
      <c r="K1104" s="1" t="s">
        <v>3665</v>
      </c>
      <c r="L1104" s="1" t="s">
        <v>649</v>
      </c>
      <c r="M1104">
        <f t="shared" si="35"/>
        <v>7</v>
      </c>
      <c r="N1104" t="s">
        <v>650</v>
      </c>
    </row>
    <row r="1105" spans="1:14" hidden="1" x14ac:dyDescent="0.3">
      <c r="A1105" s="1" t="s">
        <v>3730</v>
      </c>
      <c r="B1105" s="1" t="s">
        <v>672</v>
      </c>
      <c r="C1105" s="1" t="s">
        <v>3731</v>
      </c>
      <c r="D1105" s="1" t="s">
        <v>738</v>
      </c>
      <c r="E1105" s="1" t="s">
        <v>812</v>
      </c>
      <c r="F1105" s="1" t="s">
        <v>813</v>
      </c>
      <c r="G1105" s="1" t="s">
        <v>3689</v>
      </c>
      <c r="H1105">
        <v>2018</v>
      </c>
      <c r="I1105">
        <v>2019</v>
      </c>
      <c r="J1105">
        <f t="shared" si="34"/>
        <v>2</v>
      </c>
      <c r="K1105" s="1" t="s">
        <v>3665</v>
      </c>
      <c r="L1105" s="1" t="s">
        <v>649</v>
      </c>
      <c r="M1105">
        <f t="shared" si="35"/>
        <v>7</v>
      </c>
      <c r="N1105" t="s">
        <v>650</v>
      </c>
    </row>
    <row r="1106" spans="1:14" hidden="1" x14ac:dyDescent="0.3">
      <c r="A1106" s="1" t="s">
        <v>3732</v>
      </c>
      <c r="B1106" s="1" t="s">
        <v>672</v>
      </c>
      <c r="C1106" s="1" t="s">
        <v>3733</v>
      </c>
      <c r="D1106" s="1" t="s">
        <v>738</v>
      </c>
      <c r="E1106" s="1" t="s">
        <v>812</v>
      </c>
      <c r="F1106" s="1" t="s">
        <v>813</v>
      </c>
      <c r="G1106" s="1" t="s">
        <v>3689</v>
      </c>
      <c r="H1106">
        <v>2018</v>
      </c>
      <c r="I1106">
        <v>2022</v>
      </c>
      <c r="J1106">
        <f t="shared" si="34"/>
        <v>5</v>
      </c>
      <c r="K1106" s="1" t="s">
        <v>3665</v>
      </c>
      <c r="L1106" s="1" t="s">
        <v>649</v>
      </c>
      <c r="M1106">
        <f t="shared" si="35"/>
        <v>4</v>
      </c>
      <c r="N1106" t="s">
        <v>650</v>
      </c>
    </row>
    <row r="1107" spans="1:14" hidden="1" x14ac:dyDescent="0.3">
      <c r="A1107" s="1" t="s">
        <v>3734</v>
      </c>
      <c r="B1107" s="1" t="s">
        <v>672</v>
      </c>
      <c r="C1107" s="1" t="s">
        <v>3735</v>
      </c>
      <c r="D1107" s="1" t="s">
        <v>738</v>
      </c>
      <c r="E1107" s="1" t="s">
        <v>812</v>
      </c>
      <c r="F1107" s="1" t="s">
        <v>813</v>
      </c>
      <c r="G1107" s="1" t="s">
        <v>3689</v>
      </c>
      <c r="H1107">
        <v>2017</v>
      </c>
      <c r="I1107">
        <v>2017</v>
      </c>
      <c r="J1107">
        <f t="shared" si="34"/>
        <v>1</v>
      </c>
      <c r="K1107" s="1" t="s">
        <v>3665</v>
      </c>
      <c r="L1107" s="1" t="s">
        <v>649</v>
      </c>
      <c r="M1107">
        <f t="shared" si="35"/>
        <v>9</v>
      </c>
      <c r="N1107" t="s">
        <v>650</v>
      </c>
    </row>
    <row r="1108" spans="1:14" hidden="1" x14ac:dyDescent="0.3">
      <c r="A1108" s="1" t="s">
        <v>3736</v>
      </c>
      <c r="B1108" s="1" t="s">
        <v>672</v>
      </c>
      <c r="C1108" s="1" t="s">
        <v>3737</v>
      </c>
      <c r="D1108" s="1" t="s">
        <v>738</v>
      </c>
      <c r="E1108" s="1" t="s">
        <v>812</v>
      </c>
      <c r="F1108" s="1" t="s">
        <v>813</v>
      </c>
      <c r="G1108" s="1" t="s">
        <v>3689</v>
      </c>
      <c r="H1108">
        <v>2017</v>
      </c>
      <c r="I1108">
        <v>2018</v>
      </c>
      <c r="J1108">
        <f t="shared" si="34"/>
        <v>2</v>
      </c>
      <c r="K1108" s="1" t="s">
        <v>3665</v>
      </c>
      <c r="L1108" s="1" t="s">
        <v>649</v>
      </c>
      <c r="M1108">
        <f t="shared" si="35"/>
        <v>8</v>
      </c>
      <c r="N1108" t="s">
        <v>650</v>
      </c>
    </row>
    <row r="1109" spans="1:14" hidden="1" x14ac:dyDescent="0.3">
      <c r="A1109" s="1" t="s">
        <v>3738</v>
      </c>
      <c r="B1109" s="1" t="s">
        <v>672</v>
      </c>
      <c r="C1109" s="1" t="s">
        <v>3739</v>
      </c>
      <c r="D1109" s="1" t="s">
        <v>738</v>
      </c>
      <c r="E1109" s="1" t="s">
        <v>812</v>
      </c>
      <c r="F1109" s="1" t="s">
        <v>813</v>
      </c>
      <c r="G1109" s="1" t="s">
        <v>3689</v>
      </c>
      <c r="H1109">
        <v>2017</v>
      </c>
      <c r="I1109">
        <v>2017</v>
      </c>
      <c r="J1109">
        <f t="shared" si="34"/>
        <v>1</v>
      </c>
      <c r="K1109" s="1" t="s">
        <v>3665</v>
      </c>
      <c r="L1109" s="1" t="s">
        <v>649</v>
      </c>
      <c r="M1109">
        <f t="shared" si="35"/>
        <v>9</v>
      </c>
      <c r="N1109" t="s">
        <v>650</v>
      </c>
    </row>
    <row r="1110" spans="1:14" hidden="1" x14ac:dyDescent="0.3">
      <c r="A1110" s="1" t="s">
        <v>3740</v>
      </c>
      <c r="B1110" s="1" t="s">
        <v>672</v>
      </c>
      <c r="C1110" s="1" t="s">
        <v>3741</v>
      </c>
      <c r="D1110" s="1" t="s">
        <v>738</v>
      </c>
      <c r="E1110" s="1" t="s">
        <v>812</v>
      </c>
      <c r="F1110" s="1" t="s">
        <v>813</v>
      </c>
      <c r="G1110" s="1" t="s">
        <v>3689</v>
      </c>
      <c r="H1110">
        <v>2016</v>
      </c>
      <c r="I1110">
        <v>2016</v>
      </c>
      <c r="J1110">
        <f t="shared" si="34"/>
        <v>1</v>
      </c>
      <c r="K1110" s="1" t="s">
        <v>3665</v>
      </c>
      <c r="L1110" s="1" t="s">
        <v>649</v>
      </c>
      <c r="M1110">
        <f t="shared" si="35"/>
        <v>10</v>
      </c>
      <c r="N1110" t="s">
        <v>650</v>
      </c>
    </row>
    <row r="1111" spans="1:14" hidden="1" x14ac:dyDescent="0.3">
      <c r="A1111" s="1" t="s">
        <v>3742</v>
      </c>
      <c r="B1111" s="1" t="s">
        <v>672</v>
      </c>
      <c r="C1111" s="1" t="s">
        <v>3743</v>
      </c>
      <c r="D1111" s="1" t="s">
        <v>738</v>
      </c>
      <c r="E1111" s="1" t="s">
        <v>812</v>
      </c>
      <c r="F1111" s="1" t="s">
        <v>813</v>
      </c>
      <c r="G1111" s="1" t="s">
        <v>3689</v>
      </c>
      <c r="H1111">
        <v>2017</v>
      </c>
      <c r="I1111">
        <v>2017</v>
      </c>
      <c r="J1111">
        <f t="shared" si="34"/>
        <v>1</v>
      </c>
      <c r="K1111" s="1" t="s">
        <v>3665</v>
      </c>
      <c r="L1111" s="1" t="s">
        <v>649</v>
      </c>
      <c r="M1111">
        <f t="shared" si="35"/>
        <v>9</v>
      </c>
      <c r="N1111" t="s">
        <v>650</v>
      </c>
    </row>
    <row r="1112" spans="1:14" hidden="1" x14ac:dyDescent="0.3">
      <c r="A1112" s="1" t="s">
        <v>3744</v>
      </c>
      <c r="B1112" s="1" t="s">
        <v>672</v>
      </c>
      <c r="C1112" s="1" t="s">
        <v>3745</v>
      </c>
      <c r="D1112" s="1" t="s">
        <v>738</v>
      </c>
      <c r="E1112" s="1" t="s">
        <v>812</v>
      </c>
      <c r="F1112" s="1" t="s">
        <v>813</v>
      </c>
      <c r="G1112" s="1" t="s">
        <v>3689</v>
      </c>
      <c r="H1112">
        <v>2017</v>
      </c>
      <c r="I1112">
        <v>2017</v>
      </c>
      <c r="J1112">
        <f t="shared" si="34"/>
        <v>1</v>
      </c>
      <c r="K1112" s="1" t="s">
        <v>3665</v>
      </c>
      <c r="L1112" s="1" t="s">
        <v>649</v>
      </c>
      <c r="M1112">
        <f t="shared" si="35"/>
        <v>9</v>
      </c>
      <c r="N1112" t="s">
        <v>650</v>
      </c>
    </row>
    <row r="1113" spans="1:14" hidden="1" x14ac:dyDescent="0.3">
      <c r="A1113" s="1" t="s">
        <v>3746</v>
      </c>
      <c r="B1113" s="1" t="s">
        <v>672</v>
      </c>
      <c r="C1113" s="1" t="s">
        <v>3747</v>
      </c>
      <c r="D1113" s="1" t="s">
        <v>738</v>
      </c>
      <c r="E1113" s="1" t="s">
        <v>812</v>
      </c>
      <c r="F1113" s="1" t="s">
        <v>813</v>
      </c>
      <c r="G1113" s="1" t="s">
        <v>3689</v>
      </c>
      <c r="H1113">
        <v>2018</v>
      </c>
      <c r="I1113">
        <v>2022</v>
      </c>
      <c r="J1113">
        <f t="shared" si="34"/>
        <v>5</v>
      </c>
      <c r="K1113" s="1" t="s">
        <v>3665</v>
      </c>
      <c r="L1113" s="1" t="s">
        <v>649</v>
      </c>
      <c r="M1113">
        <f t="shared" si="35"/>
        <v>4</v>
      </c>
      <c r="N1113" t="s">
        <v>650</v>
      </c>
    </row>
    <row r="1114" spans="1:14" hidden="1" x14ac:dyDescent="0.3">
      <c r="A1114" s="1" t="s">
        <v>3748</v>
      </c>
      <c r="B1114" s="1" t="s">
        <v>672</v>
      </c>
      <c r="C1114" s="1" t="s">
        <v>3749</v>
      </c>
      <c r="D1114" s="1" t="s">
        <v>738</v>
      </c>
      <c r="E1114" s="1" t="s">
        <v>812</v>
      </c>
      <c r="F1114" s="1" t="s">
        <v>813</v>
      </c>
      <c r="G1114" s="1" t="s">
        <v>3689</v>
      </c>
      <c r="H1114">
        <v>2015</v>
      </c>
      <c r="I1114">
        <v>2015</v>
      </c>
      <c r="J1114">
        <f t="shared" si="34"/>
        <v>1</v>
      </c>
      <c r="K1114" s="1" t="s">
        <v>3665</v>
      </c>
      <c r="L1114" s="1" t="s">
        <v>666</v>
      </c>
      <c r="M1114">
        <f t="shared" si="35"/>
        <v>11</v>
      </c>
      <c r="N1114" t="s">
        <v>650</v>
      </c>
    </row>
    <row r="1115" spans="1:14" hidden="1" x14ac:dyDescent="0.3">
      <c r="A1115" s="1" t="s">
        <v>3750</v>
      </c>
      <c r="B1115" s="1" t="s">
        <v>672</v>
      </c>
      <c r="C1115" s="1" t="s">
        <v>3751</v>
      </c>
      <c r="D1115" s="1" t="s">
        <v>738</v>
      </c>
      <c r="E1115" s="1" t="s">
        <v>812</v>
      </c>
      <c r="F1115" s="1" t="s">
        <v>813</v>
      </c>
      <c r="G1115" s="1" t="s">
        <v>3689</v>
      </c>
      <c r="H1115">
        <v>2015</v>
      </c>
      <c r="I1115">
        <v>2018</v>
      </c>
      <c r="J1115">
        <f t="shared" si="34"/>
        <v>4</v>
      </c>
      <c r="K1115" s="1" t="s">
        <v>3665</v>
      </c>
      <c r="L1115" s="1" t="s">
        <v>649</v>
      </c>
      <c r="M1115">
        <f t="shared" si="35"/>
        <v>8</v>
      </c>
      <c r="N1115" t="s">
        <v>650</v>
      </c>
    </row>
    <row r="1116" spans="1:14" hidden="1" x14ac:dyDescent="0.3">
      <c r="A1116" s="1" t="s">
        <v>3752</v>
      </c>
      <c r="B1116" s="1" t="s">
        <v>672</v>
      </c>
      <c r="C1116" s="1" t="s">
        <v>3753</v>
      </c>
      <c r="D1116" s="1" t="s">
        <v>738</v>
      </c>
      <c r="E1116" s="1" t="s">
        <v>812</v>
      </c>
      <c r="F1116" s="1" t="s">
        <v>813</v>
      </c>
      <c r="G1116" s="1" t="s">
        <v>3689</v>
      </c>
      <c r="H1116">
        <v>2014</v>
      </c>
      <c r="I1116">
        <v>2016</v>
      </c>
      <c r="J1116">
        <f t="shared" si="34"/>
        <v>3</v>
      </c>
      <c r="K1116" s="1" t="s">
        <v>3665</v>
      </c>
      <c r="L1116" s="1" t="s">
        <v>666</v>
      </c>
      <c r="M1116">
        <f t="shared" si="35"/>
        <v>10</v>
      </c>
      <c r="N1116" t="s">
        <v>650</v>
      </c>
    </row>
    <row r="1117" spans="1:14" hidden="1" x14ac:dyDescent="0.3">
      <c r="A1117" s="1" t="s">
        <v>3754</v>
      </c>
      <c r="B1117" s="1" t="s">
        <v>672</v>
      </c>
      <c r="C1117" s="1" t="s">
        <v>3755</v>
      </c>
      <c r="D1117" s="1" t="s">
        <v>738</v>
      </c>
      <c r="E1117" s="1" t="s">
        <v>812</v>
      </c>
      <c r="F1117" s="1" t="s">
        <v>813</v>
      </c>
      <c r="G1117" s="1" t="s">
        <v>3689</v>
      </c>
      <c r="H1117">
        <v>2014</v>
      </c>
      <c r="I1117">
        <v>2016</v>
      </c>
      <c r="J1117">
        <f t="shared" si="34"/>
        <v>3</v>
      </c>
      <c r="K1117" s="1" t="s">
        <v>3665</v>
      </c>
      <c r="L1117" s="1" t="s">
        <v>649</v>
      </c>
      <c r="M1117">
        <f t="shared" si="35"/>
        <v>10</v>
      </c>
      <c r="N1117" t="s">
        <v>650</v>
      </c>
    </row>
    <row r="1118" spans="1:14" hidden="1" x14ac:dyDescent="0.3">
      <c r="A1118" s="1" t="s">
        <v>3756</v>
      </c>
      <c r="B1118" s="1" t="s">
        <v>672</v>
      </c>
      <c r="C1118" s="1" t="s">
        <v>3757</v>
      </c>
      <c r="D1118" s="1" t="s">
        <v>738</v>
      </c>
      <c r="E1118" s="1" t="s">
        <v>812</v>
      </c>
      <c r="F1118" s="1" t="s">
        <v>813</v>
      </c>
      <c r="G1118" s="1" t="s">
        <v>3689</v>
      </c>
      <c r="H1118">
        <v>2007</v>
      </c>
      <c r="I1118">
        <v>2013</v>
      </c>
      <c r="J1118">
        <f t="shared" si="34"/>
        <v>7</v>
      </c>
      <c r="K1118" s="1" t="s">
        <v>3665</v>
      </c>
      <c r="L1118" s="1" t="s">
        <v>649</v>
      </c>
      <c r="M1118">
        <f t="shared" si="35"/>
        <v>13</v>
      </c>
      <c r="N1118" t="s">
        <v>650</v>
      </c>
    </row>
    <row r="1119" spans="1:14" hidden="1" x14ac:dyDescent="0.3">
      <c r="A1119" s="1" t="s">
        <v>3758</v>
      </c>
      <c r="B1119" s="1" t="s">
        <v>672</v>
      </c>
      <c r="C1119" s="1" t="s">
        <v>3759</v>
      </c>
      <c r="D1119" s="1" t="s">
        <v>738</v>
      </c>
      <c r="E1119" s="1" t="s">
        <v>812</v>
      </c>
      <c r="F1119" s="1" t="s">
        <v>813</v>
      </c>
      <c r="G1119" s="1" t="s">
        <v>3689</v>
      </c>
      <c r="H1119">
        <v>2007</v>
      </c>
      <c r="I1119">
        <v>2010</v>
      </c>
      <c r="J1119">
        <f t="shared" si="34"/>
        <v>4</v>
      </c>
      <c r="K1119" s="1" t="s">
        <v>3665</v>
      </c>
      <c r="L1119" s="1" t="s">
        <v>649</v>
      </c>
      <c r="M1119">
        <f t="shared" si="35"/>
        <v>16</v>
      </c>
      <c r="N1119" t="s">
        <v>640</v>
      </c>
    </row>
    <row r="1120" spans="1:14" hidden="1" x14ac:dyDescent="0.3">
      <c r="A1120" s="1" t="s">
        <v>3760</v>
      </c>
      <c r="B1120" s="1" t="s">
        <v>672</v>
      </c>
      <c r="C1120" s="1" t="s">
        <v>3761</v>
      </c>
      <c r="D1120" s="1" t="s">
        <v>738</v>
      </c>
      <c r="E1120" s="1" t="s">
        <v>812</v>
      </c>
      <c r="F1120" s="1" t="s">
        <v>813</v>
      </c>
      <c r="G1120" s="1" t="s">
        <v>3689</v>
      </c>
      <c r="H1120">
        <v>2007</v>
      </c>
      <c r="I1120">
        <v>2013</v>
      </c>
      <c r="J1120">
        <f t="shared" si="34"/>
        <v>7</v>
      </c>
      <c r="K1120" s="1" t="s">
        <v>3665</v>
      </c>
      <c r="L1120" s="1" t="s">
        <v>649</v>
      </c>
      <c r="M1120">
        <f t="shared" si="35"/>
        <v>13</v>
      </c>
      <c r="N1120" t="s">
        <v>650</v>
      </c>
    </row>
    <row r="1121" spans="1:14" hidden="1" x14ac:dyDescent="0.3">
      <c r="A1121" s="1" t="s">
        <v>3762</v>
      </c>
      <c r="B1121" s="1" t="s">
        <v>672</v>
      </c>
      <c r="C1121" s="1" t="s">
        <v>3763</v>
      </c>
      <c r="D1121" s="1" t="s">
        <v>738</v>
      </c>
      <c r="E1121" s="1" t="s">
        <v>812</v>
      </c>
      <c r="F1121" s="1" t="s">
        <v>813</v>
      </c>
      <c r="G1121" s="1" t="s">
        <v>3689</v>
      </c>
      <c r="H1121">
        <v>2007</v>
      </c>
      <c r="I1121">
        <v>2013</v>
      </c>
      <c r="J1121">
        <f t="shared" si="34"/>
        <v>7</v>
      </c>
      <c r="K1121" s="1" t="s">
        <v>3665</v>
      </c>
      <c r="L1121" s="1" t="s">
        <v>666</v>
      </c>
      <c r="M1121">
        <f t="shared" si="35"/>
        <v>13</v>
      </c>
      <c r="N1121" t="s">
        <v>650</v>
      </c>
    </row>
    <row r="1122" spans="1:14" x14ac:dyDescent="0.3">
      <c r="A1122" s="1" t="s">
        <v>6601</v>
      </c>
      <c r="B1122" s="1" t="s">
        <v>672</v>
      </c>
      <c r="C1122" s="1" t="s">
        <v>6602</v>
      </c>
      <c r="D1122" s="1" t="s">
        <v>738</v>
      </c>
      <c r="E1122" s="1" t="s">
        <v>6076</v>
      </c>
      <c r="F1122" s="1" t="s">
        <v>6076</v>
      </c>
      <c r="G1122" s="1" t="s">
        <v>3689</v>
      </c>
      <c r="H1122">
        <v>2007</v>
      </c>
      <c r="I1122">
        <v>2014</v>
      </c>
      <c r="J1122">
        <f t="shared" si="34"/>
        <v>8</v>
      </c>
      <c r="K1122" s="1" t="s">
        <v>6076</v>
      </c>
      <c r="L1122" s="1" t="s">
        <v>6076</v>
      </c>
      <c r="M1122">
        <f t="shared" si="35"/>
        <v>12</v>
      </c>
      <c r="N1122" t="s">
        <v>650</v>
      </c>
    </row>
    <row r="1123" spans="1:14" x14ac:dyDescent="0.3">
      <c r="A1123" s="1" t="s">
        <v>6603</v>
      </c>
      <c r="B1123" s="1" t="s">
        <v>672</v>
      </c>
      <c r="C1123" s="1" t="s">
        <v>6604</v>
      </c>
      <c r="D1123" s="1" t="s">
        <v>738</v>
      </c>
      <c r="E1123" s="1" t="s">
        <v>6076</v>
      </c>
      <c r="F1123" s="1" t="s">
        <v>6076</v>
      </c>
      <c r="G1123" s="1" t="s">
        <v>3689</v>
      </c>
      <c r="H1123">
        <v>2016</v>
      </c>
      <c r="I1123">
        <v>2019</v>
      </c>
      <c r="J1123">
        <f t="shared" si="34"/>
        <v>4</v>
      </c>
      <c r="K1123" s="1" t="s">
        <v>6076</v>
      </c>
      <c r="L1123" s="1" t="s">
        <v>6076</v>
      </c>
      <c r="M1123">
        <f t="shared" si="35"/>
        <v>7</v>
      </c>
      <c r="N1123" t="s">
        <v>650</v>
      </c>
    </row>
    <row r="1124" spans="1:14" x14ac:dyDescent="0.3">
      <c r="A1124" s="1" t="s">
        <v>6605</v>
      </c>
      <c r="B1124" s="1" t="s">
        <v>672</v>
      </c>
      <c r="C1124" s="1" t="s">
        <v>6606</v>
      </c>
      <c r="D1124" s="1" t="s">
        <v>738</v>
      </c>
      <c r="E1124" s="1" t="s">
        <v>6076</v>
      </c>
      <c r="F1124" s="1" t="s">
        <v>6076</v>
      </c>
      <c r="G1124" s="1" t="s">
        <v>3689</v>
      </c>
      <c r="H1124">
        <v>2016</v>
      </c>
      <c r="I1124">
        <v>2018</v>
      </c>
      <c r="J1124">
        <f t="shared" si="34"/>
        <v>3</v>
      </c>
      <c r="K1124" s="1" t="s">
        <v>6076</v>
      </c>
      <c r="L1124" s="1" t="s">
        <v>6076</v>
      </c>
      <c r="M1124">
        <f t="shared" si="35"/>
        <v>8</v>
      </c>
      <c r="N1124" t="s">
        <v>650</v>
      </c>
    </row>
    <row r="1125" spans="1:14" x14ac:dyDescent="0.3">
      <c r="A1125" s="1" t="s">
        <v>6607</v>
      </c>
      <c r="B1125" s="1" t="s">
        <v>672</v>
      </c>
      <c r="C1125" s="1" t="s">
        <v>6608</v>
      </c>
      <c r="D1125" s="1" t="s">
        <v>738</v>
      </c>
      <c r="E1125" s="1" t="s">
        <v>6076</v>
      </c>
      <c r="F1125" s="1" t="s">
        <v>6076</v>
      </c>
      <c r="G1125" s="1" t="s">
        <v>3689</v>
      </c>
      <c r="H1125">
        <v>2009</v>
      </c>
      <c r="I1125">
        <v>2014</v>
      </c>
      <c r="J1125">
        <f t="shared" si="34"/>
        <v>6</v>
      </c>
      <c r="K1125" s="1" t="s">
        <v>6076</v>
      </c>
      <c r="L1125" s="1" t="s">
        <v>6076</v>
      </c>
      <c r="M1125">
        <f t="shared" si="35"/>
        <v>12</v>
      </c>
      <c r="N1125" t="s">
        <v>650</v>
      </c>
    </row>
    <row r="1126" spans="1:14" x14ac:dyDescent="0.3">
      <c r="A1126" s="1" t="s">
        <v>6609</v>
      </c>
      <c r="B1126" s="1" t="s">
        <v>672</v>
      </c>
      <c r="C1126" s="1" t="s">
        <v>6610</v>
      </c>
      <c r="D1126" s="1" t="s">
        <v>746</v>
      </c>
      <c r="E1126" s="1" t="s">
        <v>6076</v>
      </c>
      <c r="F1126" s="1" t="s">
        <v>6076</v>
      </c>
      <c r="G1126" s="1" t="s">
        <v>3689</v>
      </c>
      <c r="H1126">
        <v>2014</v>
      </c>
      <c r="I1126">
        <v>2014</v>
      </c>
      <c r="J1126">
        <f t="shared" si="34"/>
        <v>1</v>
      </c>
      <c r="K1126" s="1" t="s">
        <v>6076</v>
      </c>
      <c r="L1126" s="1" t="s">
        <v>6076</v>
      </c>
      <c r="M1126">
        <f t="shared" si="35"/>
        <v>12</v>
      </c>
      <c r="N1126" t="s">
        <v>650</v>
      </c>
    </row>
    <row r="1127" spans="1:14" hidden="1" x14ac:dyDescent="0.3">
      <c r="A1127" s="1" t="s">
        <v>3764</v>
      </c>
      <c r="B1127" s="1" t="s">
        <v>672</v>
      </c>
      <c r="C1127" s="1" t="s">
        <v>3765</v>
      </c>
      <c r="D1127" s="1" t="s">
        <v>738</v>
      </c>
      <c r="E1127" s="1" t="s">
        <v>812</v>
      </c>
      <c r="F1127" s="1" t="s">
        <v>813</v>
      </c>
      <c r="G1127" s="1" t="s">
        <v>3689</v>
      </c>
      <c r="H1127">
        <v>2014</v>
      </c>
      <c r="I1127">
        <v>2014</v>
      </c>
      <c r="J1127">
        <f t="shared" si="34"/>
        <v>1</v>
      </c>
      <c r="K1127" s="1" t="s">
        <v>3665</v>
      </c>
      <c r="L1127" s="1" t="s">
        <v>649</v>
      </c>
      <c r="M1127">
        <f t="shared" si="35"/>
        <v>12</v>
      </c>
      <c r="N1127" t="s">
        <v>650</v>
      </c>
    </row>
    <row r="1128" spans="1:14" hidden="1" x14ac:dyDescent="0.3">
      <c r="A1128" s="1" t="s">
        <v>3766</v>
      </c>
      <c r="B1128" s="1" t="s">
        <v>672</v>
      </c>
      <c r="C1128" s="1" t="s">
        <v>3767</v>
      </c>
      <c r="D1128" s="1" t="s">
        <v>738</v>
      </c>
      <c r="E1128" s="1" t="s">
        <v>812</v>
      </c>
      <c r="F1128" s="1" t="s">
        <v>813</v>
      </c>
      <c r="G1128" s="1" t="s">
        <v>3689</v>
      </c>
      <c r="H1128">
        <v>2014</v>
      </c>
      <c r="I1128">
        <v>2014</v>
      </c>
      <c r="J1128">
        <f t="shared" si="34"/>
        <v>1</v>
      </c>
      <c r="K1128" s="1" t="s">
        <v>3665</v>
      </c>
      <c r="L1128" s="1" t="s">
        <v>649</v>
      </c>
      <c r="M1128">
        <f t="shared" si="35"/>
        <v>12</v>
      </c>
      <c r="N1128" t="s">
        <v>650</v>
      </c>
    </row>
    <row r="1129" spans="1:14" x14ac:dyDescent="0.3">
      <c r="A1129" s="1" t="s">
        <v>6611</v>
      </c>
      <c r="B1129" s="1" t="s">
        <v>672</v>
      </c>
      <c r="C1129" s="1" t="s">
        <v>6612</v>
      </c>
      <c r="D1129" s="1" t="s">
        <v>746</v>
      </c>
      <c r="E1129" s="1" t="s">
        <v>6076</v>
      </c>
      <c r="F1129" s="1" t="s">
        <v>6076</v>
      </c>
      <c r="G1129" s="1" t="s">
        <v>3689</v>
      </c>
      <c r="H1129">
        <v>2005</v>
      </c>
      <c r="I1129">
        <v>2009</v>
      </c>
      <c r="J1129">
        <f t="shared" si="34"/>
        <v>5</v>
      </c>
      <c r="K1129" s="1" t="s">
        <v>6076</v>
      </c>
      <c r="L1129" s="1" t="s">
        <v>6076</v>
      </c>
      <c r="M1129">
        <f t="shared" si="35"/>
        <v>17</v>
      </c>
      <c r="N1129" t="s">
        <v>640</v>
      </c>
    </row>
    <row r="1130" spans="1:14" x14ac:dyDescent="0.3">
      <c r="A1130" t="s">
        <v>12383</v>
      </c>
      <c r="B1130" t="s">
        <v>12697</v>
      </c>
      <c r="C1130" t="s">
        <v>12384</v>
      </c>
      <c r="E1130" s="1" t="s">
        <v>6076</v>
      </c>
      <c r="F1130" s="1" t="s">
        <v>6076</v>
      </c>
      <c r="G1130" s="1" t="s">
        <v>12470</v>
      </c>
      <c r="H1130">
        <v>2022</v>
      </c>
      <c r="I1130">
        <v>2022</v>
      </c>
      <c r="J1130">
        <f t="shared" si="34"/>
        <v>1</v>
      </c>
      <c r="K1130" s="1" t="s">
        <v>6076</v>
      </c>
      <c r="L1130" s="1" t="s">
        <v>6076</v>
      </c>
      <c r="M1130">
        <f t="shared" si="35"/>
        <v>4</v>
      </c>
    </row>
    <row r="1131" spans="1:14" x14ac:dyDescent="0.3">
      <c r="A1131" t="s">
        <v>12385</v>
      </c>
      <c r="B1131" t="s">
        <v>12697</v>
      </c>
      <c r="C1131" t="s">
        <v>12386</v>
      </c>
      <c r="E1131" s="1" t="s">
        <v>6076</v>
      </c>
      <c r="F1131" s="1" t="s">
        <v>6076</v>
      </c>
      <c r="G1131" s="1" t="s">
        <v>12470</v>
      </c>
      <c r="H1131">
        <v>2024</v>
      </c>
      <c r="I1131">
        <v>2026</v>
      </c>
      <c r="J1131">
        <f t="shared" si="34"/>
        <v>3</v>
      </c>
      <c r="K1131" s="1" t="s">
        <v>6076</v>
      </c>
      <c r="L1131" s="1" t="s">
        <v>6076</v>
      </c>
      <c r="M1131">
        <f t="shared" si="35"/>
        <v>0</v>
      </c>
    </row>
    <row r="1132" spans="1:14" x14ac:dyDescent="0.3">
      <c r="A1132" t="s">
        <v>12387</v>
      </c>
      <c r="B1132" t="s">
        <v>12697</v>
      </c>
      <c r="C1132" t="s">
        <v>12388</v>
      </c>
      <c r="E1132" s="1" t="s">
        <v>6076</v>
      </c>
      <c r="F1132" s="1" t="s">
        <v>6076</v>
      </c>
      <c r="G1132" s="1" t="s">
        <v>12470</v>
      </c>
      <c r="H1132">
        <v>2023</v>
      </c>
      <c r="I1132">
        <v>2024</v>
      </c>
      <c r="J1132">
        <f t="shared" si="34"/>
        <v>2</v>
      </c>
      <c r="K1132" s="1" t="s">
        <v>6076</v>
      </c>
      <c r="L1132" s="1" t="s">
        <v>6076</v>
      </c>
      <c r="M1132">
        <f t="shared" si="35"/>
        <v>2</v>
      </c>
    </row>
    <row r="1133" spans="1:14" x14ac:dyDescent="0.3">
      <c r="A1133" s="1" t="s">
        <v>6613</v>
      </c>
      <c r="B1133" s="1" t="s">
        <v>5931</v>
      </c>
      <c r="C1133" s="1" t="s">
        <v>6614</v>
      </c>
      <c r="D1133" s="1" t="s">
        <v>738</v>
      </c>
      <c r="E1133" s="1" t="s">
        <v>6076</v>
      </c>
      <c r="F1133" s="1" t="s">
        <v>6076</v>
      </c>
      <c r="G1133" s="1" t="s">
        <v>6615</v>
      </c>
      <c r="H1133">
        <v>1998</v>
      </c>
      <c r="I1133">
        <v>2000</v>
      </c>
      <c r="J1133">
        <f t="shared" si="34"/>
        <v>3</v>
      </c>
      <c r="K1133" s="1" t="s">
        <v>6076</v>
      </c>
      <c r="L1133" s="1" t="s">
        <v>6076</v>
      </c>
      <c r="M1133">
        <f t="shared" si="35"/>
        <v>26</v>
      </c>
    </row>
    <row r="1134" spans="1:14" x14ac:dyDescent="0.3">
      <c r="A1134" s="1" t="s">
        <v>6616</v>
      </c>
      <c r="B1134" s="1" t="s">
        <v>5931</v>
      </c>
      <c r="C1134" s="1" t="s">
        <v>6617</v>
      </c>
      <c r="D1134" s="1" t="s">
        <v>3850</v>
      </c>
      <c r="E1134" s="1" t="s">
        <v>6076</v>
      </c>
      <c r="F1134" s="1" t="s">
        <v>6076</v>
      </c>
      <c r="G1134" s="1" t="s">
        <v>6615</v>
      </c>
      <c r="H1134">
        <v>2017</v>
      </c>
      <c r="I1134">
        <v>2022</v>
      </c>
      <c r="J1134">
        <f t="shared" si="34"/>
        <v>6</v>
      </c>
      <c r="K1134" s="1" t="s">
        <v>6076</v>
      </c>
      <c r="L1134" s="1" t="s">
        <v>6076</v>
      </c>
      <c r="M1134">
        <f t="shared" si="35"/>
        <v>4</v>
      </c>
    </row>
    <row r="1135" spans="1:14" x14ac:dyDescent="0.3">
      <c r="A1135" s="1" t="s">
        <v>6618</v>
      </c>
      <c r="B1135" s="1" t="s">
        <v>5931</v>
      </c>
      <c r="C1135" s="1" t="s">
        <v>6619</v>
      </c>
      <c r="D1135" s="1" t="s">
        <v>3850</v>
      </c>
      <c r="E1135" s="1" t="s">
        <v>6076</v>
      </c>
      <c r="F1135" s="1" t="s">
        <v>6076</v>
      </c>
      <c r="G1135" s="1" t="s">
        <v>6615</v>
      </c>
      <c r="H1135">
        <v>2017</v>
      </c>
      <c r="I1135">
        <v>2022</v>
      </c>
      <c r="J1135">
        <f t="shared" si="34"/>
        <v>6</v>
      </c>
      <c r="K1135" s="1" t="s">
        <v>6076</v>
      </c>
      <c r="L1135" s="1" t="s">
        <v>6076</v>
      </c>
      <c r="M1135">
        <f t="shared" si="35"/>
        <v>4</v>
      </c>
    </row>
    <row r="1136" spans="1:14" x14ac:dyDescent="0.3">
      <c r="A1136" s="1" t="s">
        <v>6620</v>
      </c>
      <c r="B1136" s="1" t="s">
        <v>5931</v>
      </c>
      <c r="C1136" s="1" t="s">
        <v>6621</v>
      </c>
      <c r="D1136" s="1" t="s">
        <v>738</v>
      </c>
      <c r="E1136" s="1" t="s">
        <v>6076</v>
      </c>
      <c r="F1136" s="1" t="s">
        <v>6076</v>
      </c>
      <c r="G1136" s="1" t="s">
        <v>6622</v>
      </c>
      <c r="H1136">
        <v>2016</v>
      </c>
      <c r="I1136">
        <v>2016</v>
      </c>
      <c r="J1136">
        <f t="shared" si="34"/>
        <v>1</v>
      </c>
      <c r="K1136" s="1" t="s">
        <v>6076</v>
      </c>
      <c r="L1136" s="1" t="s">
        <v>6076</v>
      </c>
      <c r="M1136">
        <f t="shared" si="35"/>
        <v>10</v>
      </c>
    </row>
    <row r="1137" spans="1:14" x14ac:dyDescent="0.3">
      <c r="A1137" s="1" t="s">
        <v>6623</v>
      </c>
      <c r="B1137" s="1" t="s">
        <v>672</v>
      </c>
      <c r="C1137" s="1" t="s">
        <v>6624</v>
      </c>
      <c r="D1137" s="1" t="s">
        <v>738</v>
      </c>
      <c r="E1137" s="1" t="s">
        <v>6076</v>
      </c>
      <c r="F1137" s="1" t="s">
        <v>6076</v>
      </c>
      <c r="G1137" s="1" t="s">
        <v>5939</v>
      </c>
      <c r="H1137">
        <v>2001</v>
      </c>
      <c r="I1137">
        <v>2008</v>
      </c>
      <c r="J1137">
        <f t="shared" si="34"/>
        <v>8</v>
      </c>
      <c r="K1137" s="1" t="s">
        <v>6076</v>
      </c>
      <c r="L1137" s="1" t="s">
        <v>6076</v>
      </c>
      <c r="M1137">
        <f t="shared" si="35"/>
        <v>18</v>
      </c>
      <c r="N1137" t="s">
        <v>640</v>
      </c>
    </row>
    <row r="1138" spans="1:14" x14ac:dyDescent="0.3">
      <c r="A1138" s="1" t="s">
        <v>6625</v>
      </c>
      <c r="B1138" s="1" t="s">
        <v>672</v>
      </c>
      <c r="C1138" s="1" t="s">
        <v>6626</v>
      </c>
      <c r="D1138" s="1" t="s">
        <v>738</v>
      </c>
      <c r="E1138" s="1" t="s">
        <v>6076</v>
      </c>
      <c r="F1138" s="1" t="s">
        <v>6076</v>
      </c>
      <c r="G1138" s="1" t="s">
        <v>5939</v>
      </c>
      <c r="H1138">
        <v>2001</v>
      </c>
      <c r="I1138">
        <v>2003</v>
      </c>
      <c r="J1138">
        <f t="shared" si="34"/>
        <v>3</v>
      </c>
      <c r="K1138" s="1" t="s">
        <v>6076</v>
      </c>
      <c r="L1138" s="1" t="s">
        <v>6076</v>
      </c>
      <c r="M1138">
        <f t="shared" si="35"/>
        <v>23</v>
      </c>
      <c r="N1138" t="s">
        <v>640</v>
      </c>
    </row>
    <row r="1139" spans="1:14" x14ac:dyDescent="0.3">
      <c r="A1139" s="1" t="s">
        <v>5937</v>
      </c>
      <c r="B1139" s="1" t="s">
        <v>672</v>
      </c>
      <c r="C1139" s="1" t="s">
        <v>5938</v>
      </c>
      <c r="D1139" s="1" t="s">
        <v>738</v>
      </c>
      <c r="E1139" s="1" t="s">
        <v>6076</v>
      </c>
      <c r="F1139" s="1" t="s">
        <v>6076</v>
      </c>
      <c r="G1139" s="1" t="s">
        <v>5939</v>
      </c>
      <c r="H1139">
        <v>2001</v>
      </c>
      <c r="I1139">
        <v>2012</v>
      </c>
      <c r="J1139">
        <f t="shared" si="34"/>
        <v>12</v>
      </c>
      <c r="K1139" s="1" t="s">
        <v>6076</v>
      </c>
      <c r="L1139" s="1" t="s">
        <v>6076</v>
      </c>
      <c r="M1139">
        <f t="shared" si="35"/>
        <v>14</v>
      </c>
      <c r="N1139" t="s">
        <v>650</v>
      </c>
    </row>
    <row r="1140" spans="1:14" x14ac:dyDescent="0.3">
      <c r="A1140" s="1" t="s">
        <v>6627</v>
      </c>
      <c r="B1140" s="1" t="s">
        <v>672</v>
      </c>
      <c r="C1140" s="1" t="s">
        <v>6628</v>
      </c>
      <c r="D1140" s="1" t="s">
        <v>738</v>
      </c>
      <c r="E1140" s="1" t="s">
        <v>6076</v>
      </c>
      <c r="F1140" s="1" t="s">
        <v>6076</v>
      </c>
      <c r="G1140" s="1" t="s">
        <v>5939</v>
      </c>
      <c r="H1140">
        <v>2001</v>
      </c>
      <c r="I1140">
        <v>2002</v>
      </c>
      <c r="J1140">
        <f t="shared" si="34"/>
        <v>2</v>
      </c>
      <c r="K1140" s="1" t="s">
        <v>6076</v>
      </c>
      <c r="L1140" s="1" t="s">
        <v>6076</v>
      </c>
      <c r="M1140">
        <f t="shared" si="35"/>
        <v>24</v>
      </c>
      <c r="N1140" t="s">
        <v>640</v>
      </c>
    </row>
    <row r="1141" spans="1:14" x14ac:dyDescent="0.3">
      <c r="A1141" s="1" t="s">
        <v>6629</v>
      </c>
      <c r="B1141" s="1" t="s">
        <v>672</v>
      </c>
      <c r="C1141" s="1" t="s">
        <v>6630</v>
      </c>
      <c r="D1141" s="1" t="s">
        <v>738</v>
      </c>
      <c r="E1141" s="1" t="s">
        <v>6076</v>
      </c>
      <c r="F1141" s="1" t="s">
        <v>6076</v>
      </c>
      <c r="G1141" s="1" t="s">
        <v>5939</v>
      </c>
      <c r="H1141">
        <v>2001</v>
      </c>
      <c r="I1141">
        <v>2008</v>
      </c>
      <c r="J1141">
        <f t="shared" si="34"/>
        <v>8</v>
      </c>
      <c r="K1141" s="1" t="s">
        <v>6076</v>
      </c>
      <c r="L1141" s="1" t="s">
        <v>6076</v>
      </c>
      <c r="M1141">
        <f t="shared" si="35"/>
        <v>18</v>
      </c>
      <c r="N1141" t="s">
        <v>640</v>
      </c>
    </row>
    <row r="1142" spans="1:14" x14ac:dyDescent="0.3">
      <c r="A1142" s="1" t="s">
        <v>6631</v>
      </c>
      <c r="B1142" s="1" t="s">
        <v>672</v>
      </c>
      <c r="C1142" s="1" t="s">
        <v>6632</v>
      </c>
      <c r="D1142" s="1" t="s">
        <v>738</v>
      </c>
      <c r="E1142" s="1" t="s">
        <v>6076</v>
      </c>
      <c r="F1142" s="1" t="s">
        <v>6076</v>
      </c>
      <c r="G1142" s="1" t="s">
        <v>5939</v>
      </c>
      <c r="H1142">
        <v>2008</v>
      </c>
      <c r="I1142">
        <v>2012</v>
      </c>
      <c r="J1142">
        <f t="shared" si="34"/>
        <v>5</v>
      </c>
      <c r="K1142" s="1" t="s">
        <v>6076</v>
      </c>
      <c r="L1142" s="1" t="s">
        <v>6076</v>
      </c>
      <c r="M1142">
        <f t="shared" si="35"/>
        <v>14</v>
      </c>
      <c r="N1142" t="s">
        <v>650</v>
      </c>
    </row>
    <row r="1143" spans="1:14" x14ac:dyDescent="0.3">
      <c r="A1143" s="1" t="s">
        <v>6633</v>
      </c>
      <c r="B1143" s="1" t="s">
        <v>5931</v>
      </c>
      <c r="C1143" s="1" t="s">
        <v>6634</v>
      </c>
      <c r="D1143" s="1" t="s">
        <v>738</v>
      </c>
      <c r="E1143" s="1" t="s">
        <v>6076</v>
      </c>
      <c r="F1143" s="1" t="s">
        <v>6076</v>
      </c>
      <c r="G1143" s="1" t="s">
        <v>6635</v>
      </c>
      <c r="H1143">
        <v>2004</v>
      </c>
      <c r="I1143">
        <v>2006</v>
      </c>
      <c r="J1143">
        <f t="shared" si="34"/>
        <v>3</v>
      </c>
      <c r="K1143" s="1" t="s">
        <v>6076</v>
      </c>
      <c r="L1143" s="1" t="s">
        <v>6076</v>
      </c>
      <c r="M1143">
        <f t="shared" si="35"/>
        <v>20</v>
      </c>
    </row>
    <row r="1144" spans="1:14" x14ac:dyDescent="0.3">
      <c r="A1144" s="1" t="s">
        <v>6636</v>
      </c>
      <c r="B1144" s="1" t="s">
        <v>5931</v>
      </c>
      <c r="C1144" s="1" t="s">
        <v>6637</v>
      </c>
      <c r="D1144" s="1" t="s">
        <v>738</v>
      </c>
      <c r="E1144" s="1" t="s">
        <v>6076</v>
      </c>
      <c r="F1144" s="1" t="s">
        <v>6076</v>
      </c>
      <c r="G1144" s="1" t="s">
        <v>6638</v>
      </c>
      <c r="H1144">
        <v>2006</v>
      </c>
      <c r="I1144">
        <v>2006</v>
      </c>
      <c r="J1144">
        <f t="shared" si="34"/>
        <v>1</v>
      </c>
      <c r="K1144" s="1" t="s">
        <v>6076</v>
      </c>
      <c r="L1144" s="1" t="s">
        <v>6076</v>
      </c>
      <c r="M1144">
        <f t="shared" si="35"/>
        <v>20</v>
      </c>
    </row>
    <row r="1145" spans="1:14" x14ac:dyDescent="0.3">
      <c r="A1145" s="1" t="s">
        <v>6639</v>
      </c>
      <c r="B1145" s="1" t="s">
        <v>672</v>
      </c>
      <c r="C1145" s="1" t="s">
        <v>6640</v>
      </c>
      <c r="D1145" s="1" t="s">
        <v>738</v>
      </c>
      <c r="E1145" s="1" t="s">
        <v>6076</v>
      </c>
      <c r="F1145" s="1" t="s">
        <v>6076</v>
      </c>
      <c r="G1145" s="1" t="s">
        <v>6641</v>
      </c>
      <c r="H1145">
        <v>2006</v>
      </c>
      <c r="I1145">
        <v>2008</v>
      </c>
      <c r="J1145">
        <f t="shared" si="34"/>
        <v>3</v>
      </c>
      <c r="K1145" s="1" t="s">
        <v>6076</v>
      </c>
      <c r="L1145" s="1" t="s">
        <v>6076</v>
      </c>
      <c r="M1145">
        <f t="shared" si="35"/>
        <v>18</v>
      </c>
      <c r="N1145" t="s">
        <v>640</v>
      </c>
    </row>
    <row r="1146" spans="1:14" x14ac:dyDescent="0.3">
      <c r="A1146" s="1" t="s">
        <v>6642</v>
      </c>
      <c r="B1146" s="1" t="s">
        <v>5931</v>
      </c>
      <c r="C1146" s="1" t="s">
        <v>6643</v>
      </c>
      <c r="D1146" s="1" t="s">
        <v>3850</v>
      </c>
      <c r="E1146" s="1" t="s">
        <v>6076</v>
      </c>
      <c r="F1146" s="1" t="s">
        <v>6076</v>
      </c>
      <c r="G1146" s="1" t="s">
        <v>6644</v>
      </c>
      <c r="H1146">
        <v>2016</v>
      </c>
      <c r="I1146">
        <v>2020</v>
      </c>
      <c r="J1146">
        <f t="shared" si="34"/>
        <v>5</v>
      </c>
      <c r="K1146" s="1" t="s">
        <v>6076</v>
      </c>
      <c r="L1146" s="1" t="s">
        <v>6076</v>
      </c>
      <c r="M1146">
        <f t="shared" si="35"/>
        <v>6</v>
      </c>
    </row>
    <row r="1147" spans="1:14" x14ac:dyDescent="0.3">
      <c r="A1147" s="1" t="s">
        <v>6645</v>
      </c>
      <c r="B1147" s="1" t="s">
        <v>5931</v>
      </c>
      <c r="C1147" s="1" t="s">
        <v>6646</v>
      </c>
      <c r="D1147" s="1" t="s">
        <v>738</v>
      </c>
      <c r="E1147" s="1" t="s">
        <v>6076</v>
      </c>
      <c r="F1147" s="1" t="s">
        <v>6076</v>
      </c>
      <c r="G1147" s="1" t="s">
        <v>6644</v>
      </c>
      <c r="H1147">
        <v>2008</v>
      </c>
      <c r="I1147">
        <v>2014</v>
      </c>
      <c r="J1147">
        <f t="shared" si="34"/>
        <v>7</v>
      </c>
      <c r="K1147" s="1" t="s">
        <v>6076</v>
      </c>
      <c r="L1147" s="1" t="s">
        <v>6076</v>
      </c>
      <c r="M1147">
        <f t="shared" si="35"/>
        <v>12</v>
      </c>
    </row>
    <row r="1148" spans="1:14" x14ac:dyDescent="0.3">
      <c r="A1148" t="s">
        <v>11762</v>
      </c>
      <c r="B1148" t="s">
        <v>5931</v>
      </c>
      <c r="C1148" t="s">
        <v>11763</v>
      </c>
      <c r="E1148" s="1" t="s">
        <v>6076</v>
      </c>
      <c r="F1148" s="1" t="s">
        <v>6076</v>
      </c>
      <c r="G1148" s="1" t="s">
        <v>6644</v>
      </c>
      <c r="H1148">
        <v>2024</v>
      </c>
      <c r="I1148">
        <v>2026</v>
      </c>
      <c r="J1148">
        <f t="shared" si="34"/>
        <v>3</v>
      </c>
      <c r="K1148" s="1" t="s">
        <v>6076</v>
      </c>
      <c r="L1148" s="1" t="s">
        <v>6076</v>
      </c>
      <c r="M1148">
        <f t="shared" si="35"/>
        <v>0</v>
      </c>
    </row>
    <row r="1149" spans="1:14" x14ac:dyDescent="0.3">
      <c r="A1149" t="s">
        <v>11764</v>
      </c>
      <c r="B1149" t="s">
        <v>5931</v>
      </c>
      <c r="C1149" t="s">
        <v>11765</v>
      </c>
      <c r="E1149" s="1" t="s">
        <v>6076</v>
      </c>
      <c r="F1149" s="1" t="s">
        <v>6076</v>
      </c>
      <c r="G1149" s="1" t="s">
        <v>6644</v>
      </c>
      <c r="H1149">
        <v>2024</v>
      </c>
      <c r="I1149">
        <v>2026</v>
      </c>
      <c r="J1149">
        <f t="shared" si="34"/>
        <v>3</v>
      </c>
      <c r="K1149" s="1" t="s">
        <v>6076</v>
      </c>
      <c r="L1149" s="1" t="s">
        <v>6076</v>
      </c>
      <c r="M1149">
        <f t="shared" si="35"/>
        <v>0</v>
      </c>
    </row>
    <row r="1150" spans="1:14" x14ac:dyDescent="0.3">
      <c r="A1150" s="1" t="s">
        <v>6647</v>
      </c>
      <c r="B1150" s="1" t="s">
        <v>5931</v>
      </c>
      <c r="C1150" s="1" t="s">
        <v>6648</v>
      </c>
      <c r="D1150" s="1" t="s">
        <v>3850</v>
      </c>
      <c r="E1150" s="1" t="s">
        <v>6076</v>
      </c>
      <c r="F1150" s="1" t="s">
        <v>6076</v>
      </c>
      <c r="G1150" s="1" t="s">
        <v>6644</v>
      </c>
      <c r="H1150">
        <v>2012</v>
      </c>
      <c r="I1150">
        <v>2014</v>
      </c>
      <c r="J1150">
        <f t="shared" si="34"/>
        <v>3</v>
      </c>
      <c r="K1150" s="1" t="s">
        <v>6076</v>
      </c>
      <c r="L1150" s="1" t="s">
        <v>6076</v>
      </c>
      <c r="M1150">
        <f t="shared" si="35"/>
        <v>12</v>
      </c>
    </row>
    <row r="1151" spans="1:14" x14ac:dyDescent="0.3">
      <c r="A1151" s="1" t="s">
        <v>6649</v>
      </c>
      <c r="B1151" s="1" t="s">
        <v>5931</v>
      </c>
      <c r="C1151" s="1" t="s">
        <v>6650</v>
      </c>
      <c r="D1151" s="1" t="s">
        <v>3850</v>
      </c>
      <c r="E1151" s="1" t="s">
        <v>6076</v>
      </c>
      <c r="F1151" s="1" t="s">
        <v>6076</v>
      </c>
      <c r="G1151" s="1" t="s">
        <v>6644</v>
      </c>
      <c r="H1151">
        <v>2012</v>
      </c>
      <c r="I1151">
        <v>2013</v>
      </c>
      <c r="J1151">
        <f t="shared" si="34"/>
        <v>2</v>
      </c>
      <c r="K1151" s="1" t="s">
        <v>6076</v>
      </c>
      <c r="L1151" s="1" t="s">
        <v>6076</v>
      </c>
      <c r="M1151">
        <f t="shared" si="35"/>
        <v>13</v>
      </c>
    </row>
    <row r="1152" spans="1:14" x14ac:dyDescent="0.3">
      <c r="A1152" s="1" t="s">
        <v>6651</v>
      </c>
      <c r="B1152" s="1" t="s">
        <v>5931</v>
      </c>
      <c r="C1152" s="1" t="s">
        <v>6652</v>
      </c>
      <c r="D1152" s="1" t="s">
        <v>738</v>
      </c>
      <c r="E1152" s="1" t="s">
        <v>6076</v>
      </c>
      <c r="F1152" s="1" t="s">
        <v>6076</v>
      </c>
      <c r="G1152" s="1" t="s">
        <v>6644</v>
      </c>
      <c r="H1152">
        <v>2016</v>
      </c>
      <c r="I1152">
        <v>2020</v>
      </c>
      <c r="J1152">
        <f t="shared" si="34"/>
        <v>5</v>
      </c>
      <c r="K1152" s="1" t="s">
        <v>6076</v>
      </c>
      <c r="L1152" s="1" t="s">
        <v>6076</v>
      </c>
      <c r="M1152">
        <f t="shared" si="35"/>
        <v>6</v>
      </c>
    </row>
    <row r="1153" spans="1:14" x14ac:dyDescent="0.3">
      <c r="A1153" s="1" t="s">
        <v>6653</v>
      </c>
      <c r="B1153" s="1" t="s">
        <v>5931</v>
      </c>
      <c r="C1153" s="1" t="s">
        <v>6654</v>
      </c>
      <c r="D1153" s="1" t="s">
        <v>3850</v>
      </c>
      <c r="E1153" s="1" t="s">
        <v>6076</v>
      </c>
      <c r="F1153" s="1" t="s">
        <v>6076</v>
      </c>
      <c r="G1153" s="1" t="s">
        <v>6644</v>
      </c>
      <c r="H1153">
        <v>2017</v>
      </c>
      <c r="I1153">
        <v>2020</v>
      </c>
      <c r="J1153">
        <f t="shared" si="34"/>
        <v>4</v>
      </c>
      <c r="K1153" s="1" t="s">
        <v>6076</v>
      </c>
      <c r="L1153" s="1" t="s">
        <v>6076</v>
      </c>
      <c r="M1153">
        <f t="shared" si="35"/>
        <v>6</v>
      </c>
    </row>
    <row r="1154" spans="1:14" x14ac:dyDescent="0.3">
      <c r="A1154" s="1" t="s">
        <v>6655</v>
      </c>
      <c r="B1154" s="1" t="s">
        <v>5931</v>
      </c>
      <c r="C1154" s="1" t="s">
        <v>6656</v>
      </c>
      <c r="D1154" s="1" t="s">
        <v>738</v>
      </c>
      <c r="E1154" s="1" t="s">
        <v>6076</v>
      </c>
      <c r="F1154" s="1" t="s">
        <v>6076</v>
      </c>
      <c r="G1154" s="1" t="s">
        <v>6644</v>
      </c>
      <c r="H1154">
        <v>2008</v>
      </c>
      <c r="I1154">
        <v>2012</v>
      </c>
      <c r="J1154">
        <f t="shared" si="34"/>
        <v>5</v>
      </c>
      <c r="K1154" s="1" t="s">
        <v>6076</v>
      </c>
      <c r="L1154" s="1" t="s">
        <v>6076</v>
      </c>
      <c r="M1154">
        <f t="shared" si="35"/>
        <v>14</v>
      </c>
    </row>
    <row r="1155" spans="1:14" x14ac:dyDescent="0.3">
      <c r="A1155" t="s">
        <v>12389</v>
      </c>
      <c r="B1155" t="s">
        <v>12697</v>
      </c>
      <c r="C1155" t="s">
        <v>12390</v>
      </c>
      <c r="E1155" s="1" t="s">
        <v>6076</v>
      </c>
      <c r="F1155" s="1" t="s">
        <v>6076</v>
      </c>
      <c r="G1155" s="1" t="s">
        <v>12890</v>
      </c>
      <c r="H1155">
        <v>1999</v>
      </c>
      <c r="I1155">
        <v>2011</v>
      </c>
      <c r="J1155">
        <f t="shared" si="34"/>
        <v>13</v>
      </c>
      <c r="K1155" s="1" t="s">
        <v>6076</v>
      </c>
      <c r="L1155" s="1" t="s">
        <v>6076</v>
      </c>
      <c r="M1155">
        <f t="shared" si="35"/>
        <v>15</v>
      </c>
    </row>
    <row r="1156" spans="1:14" x14ac:dyDescent="0.3">
      <c r="A1156" t="s">
        <v>12391</v>
      </c>
      <c r="B1156" t="s">
        <v>12697</v>
      </c>
      <c r="C1156" t="s">
        <v>12392</v>
      </c>
      <c r="E1156" s="1" t="s">
        <v>6076</v>
      </c>
      <c r="F1156" s="1" t="s">
        <v>6076</v>
      </c>
      <c r="G1156" s="1" t="s">
        <v>12890</v>
      </c>
      <c r="H1156">
        <v>1998</v>
      </c>
      <c r="I1156">
        <v>2002</v>
      </c>
      <c r="J1156">
        <f t="shared" si="34"/>
        <v>5</v>
      </c>
      <c r="K1156" s="1" t="s">
        <v>6076</v>
      </c>
      <c r="L1156" s="1" t="s">
        <v>6076</v>
      </c>
      <c r="M1156">
        <f t="shared" si="35"/>
        <v>24</v>
      </c>
    </row>
    <row r="1157" spans="1:14" x14ac:dyDescent="0.3">
      <c r="A1157" s="1" t="s">
        <v>6657</v>
      </c>
      <c r="B1157" s="1" t="s">
        <v>672</v>
      </c>
      <c r="C1157" s="1" t="s">
        <v>6658</v>
      </c>
      <c r="D1157" s="1" t="s">
        <v>738</v>
      </c>
      <c r="E1157" s="1" t="s">
        <v>6076</v>
      </c>
      <c r="F1157" s="1" t="s">
        <v>6076</v>
      </c>
      <c r="G1157" s="1" t="s">
        <v>6659</v>
      </c>
      <c r="H1157">
        <v>2003</v>
      </c>
      <c r="I1157">
        <v>2005</v>
      </c>
      <c r="J1157">
        <f t="shared" si="34"/>
        <v>3</v>
      </c>
      <c r="K1157" s="1" t="s">
        <v>6076</v>
      </c>
      <c r="L1157" s="1" t="s">
        <v>6076</v>
      </c>
      <c r="M1157">
        <f t="shared" si="35"/>
        <v>21</v>
      </c>
      <c r="N1157" t="s">
        <v>640</v>
      </c>
    </row>
    <row r="1158" spans="1:14" x14ac:dyDescent="0.3">
      <c r="A1158" s="1" t="s">
        <v>6660</v>
      </c>
      <c r="B1158" s="1" t="s">
        <v>2667</v>
      </c>
      <c r="C1158" s="1" t="s">
        <v>6661</v>
      </c>
      <c r="D1158" s="1" t="s">
        <v>738</v>
      </c>
      <c r="E1158" s="1" t="s">
        <v>6076</v>
      </c>
      <c r="F1158" s="1" t="s">
        <v>6076</v>
      </c>
      <c r="G1158" s="1" t="s">
        <v>6662</v>
      </c>
      <c r="H1158">
        <v>2011</v>
      </c>
      <c r="I1158">
        <v>2017</v>
      </c>
      <c r="J1158">
        <f t="shared" ref="J1158:J1221" si="36">1+(I1158-H1158)</f>
        <v>7</v>
      </c>
      <c r="K1158" s="1" t="s">
        <v>6076</v>
      </c>
      <c r="L1158" s="1" t="s">
        <v>6076</v>
      </c>
      <c r="M1158">
        <f t="shared" ref="M1158:M1221" si="37">IF(I1158=0,0,$B$2-I1158)</f>
        <v>9</v>
      </c>
      <c r="N1158" t="s">
        <v>650</v>
      </c>
    </row>
    <row r="1159" spans="1:14" x14ac:dyDescent="0.3">
      <c r="A1159" s="1" t="s">
        <v>6663</v>
      </c>
      <c r="B1159" s="1" t="s">
        <v>795</v>
      </c>
      <c r="C1159" s="1" t="s">
        <v>6664</v>
      </c>
      <c r="D1159" s="1" t="s">
        <v>738</v>
      </c>
      <c r="E1159" s="1" t="s">
        <v>6076</v>
      </c>
      <c r="F1159" s="1" t="s">
        <v>6076</v>
      </c>
      <c r="G1159" s="1" t="s">
        <v>6665</v>
      </c>
      <c r="H1159">
        <v>1994</v>
      </c>
      <c r="I1159">
        <v>1996</v>
      </c>
      <c r="J1159">
        <f t="shared" si="36"/>
        <v>3</v>
      </c>
      <c r="K1159" s="1" t="s">
        <v>6076</v>
      </c>
      <c r="L1159" s="1" t="s">
        <v>6076</v>
      </c>
      <c r="M1159">
        <f t="shared" si="37"/>
        <v>30</v>
      </c>
      <c r="N1159" t="s">
        <v>640</v>
      </c>
    </row>
    <row r="1160" spans="1:14" x14ac:dyDescent="0.3">
      <c r="A1160" s="1" t="s">
        <v>6666</v>
      </c>
      <c r="B1160" s="1" t="s">
        <v>795</v>
      </c>
      <c r="C1160" s="1" t="s">
        <v>6667</v>
      </c>
      <c r="D1160" s="1" t="s">
        <v>3850</v>
      </c>
      <c r="E1160" s="1" t="s">
        <v>6076</v>
      </c>
      <c r="F1160" s="1" t="s">
        <v>6076</v>
      </c>
      <c r="G1160" s="1" t="s">
        <v>6668</v>
      </c>
      <c r="H1160">
        <v>2017</v>
      </c>
      <c r="I1160">
        <v>2017</v>
      </c>
      <c r="J1160">
        <f t="shared" si="36"/>
        <v>1</v>
      </c>
      <c r="K1160" s="1" t="s">
        <v>6076</v>
      </c>
      <c r="L1160" s="1" t="s">
        <v>6076</v>
      </c>
      <c r="M1160">
        <f t="shared" si="37"/>
        <v>9</v>
      </c>
      <c r="N1160" t="s">
        <v>650</v>
      </c>
    </row>
    <row r="1161" spans="1:14" x14ac:dyDescent="0.3">
      <c r="A1161" s="1" t="s">
        <v>6669</v>
      </c>
      <c r="B1161" s="1" t="s">
        <v>795</v>
      </c>
      <c r="C1161" s="1" t="s">
        <v>6670</v>
      </c>
      <c r="D1161" s="1" t="s">
        <v>3850</v>
      </c>
      <c r="E1161" s="1" t="s">
        <v>6076</v>
      </c>
      <c r="F1161" s="1" t="s">
        <v>6076</v>
      </c>
      <c r="G1161" s="1" t="s">
        <v>6668</v>
      </c>
      <c r="H1161">
        <v>1991</v>
      </c>
      <c r="I1161">
        <v>1994</v>
      </c>
      <c r="J1161">
        <f t="shared" si="36"/>
        <v>4</v>
      </c>
      <c r="K1161" s="1" t="s">
        <v>6076</v>
      </c>
      <c r="L1161" s="1" t="s">
        <v>6076</v>
      </c>
      <c r="M1161">
        <f t="shared" si="37"/>
        <v>32</v>
      </c>
      <c r="N1161" t="s">
        <v>640</v>
      </c>
    </row>
    <row r="1162" spans="1:14" x14ac:dyDescent="0.3">
      <c r="A1162" s="1" t="s">
        <v>6671</v>
      </c>
      <c r="B1162" s="1" t="s">
        <v>795</v>
      </c>
      <c r="C1162" s="1" t="s">
        <v>6672</v>
      </c>
      <c r="D1162" s="1" t="s">
        <v>3850</v>
      </c>
      <c r="E1162" s="1" t="s">
        <v>6076</v>
      </c>
      <c r="F1162" s="1" t="s">
        <v>6076</v>
      </c>
      <c r="G1162" s="1" t="s">
        <v>6668</v>
      </c>
      <c r="H1162">
        <v>1992</v>
      </c>
      <c r="I1162">
        <v>1995</v>
      </c>
      <c r="J1162">
        <f t="shared" si="36"/>
        <v>4</v>
      </c>
      <c r="K1162" s="1" t="s">
        <v>6076</v>
      </c>
      <c r="L1162" s="1" t="s">
        <v>6076</v>
      </c>
      <c r="M1162">
        <f t="shared" si="37"/>
        <v>31</v>
      </c>
      <c r="N1162" t="s">
        <v>640</v>
      </c>
    </row>
    <row r="1163" spans="1:14" x14ac:dyDescent="0.3">
      <c r="A1163" s="1" t="s">
        <v>6673</v>
      </c>
      <c r="B1163" s="1" t="s">
        <v>795</v>
      </c>
      <c r="C1163" s="1" t="s">
        <v>6674</v>
      </c>
      <c r="D1163" s="1" t="s">
        <v>3850</v>
      </c>
      <c r="E1163" s="1" t="s">
        <v>6076</v>
      </c>
      <c r="F1163" s="1" t="s">
        <v>6076</v>
      </c>
      <c r="G1163" s="1" t="s">
        <v>6668</v>
      </c>
      <c r="H1163">
        <v>2010</v>
      </c>
      <c r="I1163">
        <v>2022</v>
      </c>
      <c r="J1163">
        <f t="shared" si="36"/>
        <v>13</v>
      </c>
      <c r="K1163" s="1" t="s">
        <v>6076</v>
      </c>
      <c r="L1163" s="1" t="s">
        <v>6076</v>
      </c>
      <c r="M1163">
        <f t="shared" si="37"/>
        <v>4</v>
      </c>
      <c r="N1163" t="s">
        <v>650</v>
      </c>
    </row>
    <row r="1164" spans="1:14" x14ac:dyDescent="0.3">
      <c r="A1164" t="s">
        <v>11069</v>
      </c>
      <c r="B1164" t="s">
        <v>795</v>
      </c>
      <c r="C1164" t="s">
        <v>11070</v>
      </c>
      <c r="E1164" s="1" t="s">
        <v>6076</v>
      </c>
      <c r="F1164" s="1" t="s">
        <v>6076</v>
      </c>
      <c r="G1164" s="1" t="s">
        <v>12786</v>
      </c>
      <c r="H1164">
        <v>2024</v>
      </c>
      <c r="I1164">
        <v>2026</v>
      </c>
      <c r="J1164">
        <f t="shared" si="36"/>
        <v>3</v>
      </c>
      <c r="K1164" s="1" t="s">
        <v>6076</v>
      </c>
      <c r="L1164" s="1" t="s">
        <v>6076</v>
      </c>
      <c r="M1164">
        <f t="shared" si="37"/>
        <v>0</v>
      </c>
    </row>
    <row r="1165" spans="1:14" x14ac:dyDescent="0.3">
      <c r="A1165" s="1" t="s">
        <v>6675</v>
      </c>
      <c r="B1165" s="1" t="s">
        <v>795</v>
      </c>
      <c r="C1165" s="1" t="s">
        <v>6676</v>
      </c>
      <c r="D1165" s="1" t="s">
        <v>3850</v>
      </c>
      <c r="E1165" s="1" t="s">
        <v>6076</v>
      </c>
      <c r="F1165" s="1" t="s">
        <v>6076</v>
      </c>
      <c r="G1165" s="1" t="s">
        <v>6668</v>
      </c>
      <c r="H1165">
        <v>2014</v>
      </c>
      <c r="I1165">
        <v>2022</v>
      </c>
      <c r="J1165">
        <f t="shared" si="36"/>
        <v>9</v>
      </c>
      <c r="K1165" s="1" t="s">
        <v>6076</v>
      </c>
      <c r="L1165" s="1" t="s">
        <v>6076</v>
      </c>
      <c r="M1165">
        <f t="shared" si="37"/>
        <v>4</v>
      </c>
      <c r="N1165" t="s">
        <v>650</v>
      </c>
    </row>
    <row r="1166" spans="1:14" x14ac:dyDescent="0.3">
      <c r="A1166" s="1" t="s">
        <v>6677</v>
      </c>
      <c r="B1166" s="1" t="s">
        <v>795</v>
      </c>
      <c r="C1166" s="1" t="s">
        <v>6678</v>
      </c>
      <c r="D1166" s="1" t="s">
        <v>3850</v>
      </c>
      <c r="E1166" s="1" t="s">
        <v>6076</v>
      </c>
      <c r="F1166" s="1" t="s">
        <v>6076</v>
      </c>
      <c r="G1166" s="1" t="s">
        <v>6668</v>
      </c>
      <c r="H1166">
        <v>1991</v>
      </c>
      <c r="I1166">
        <v>1995</v>
      </c>
      <c r="J1166">
        <f t="shared" si="36"/>
        <v>5</v>
      </c>
      <c r="K1166" s="1" t="s">
        <v>6076</v>
      </c>
      <c r="L1166" s="1" t="s">
        <v>6076</v>
      </c>
      <c r="M1166">
        <f t="shared" si="37"/>
        <v>31</v>
      </c>
      <c r="N1166" t="s">
        <v>640</v>
      </c>
    </row>
    <row r="1167" spans="1:14" x14ac:dyDescent="0.3">
      <c r="A1167" s="1" t="s">
        <v>6679</v>
      </c>
      <c r="B1167" s="1" t="s">
        <v>1205</v>
      </c>
      <c r="C1167" s="1" t="s">
        <v>6680</v>
      </c>
      <c r="D1167" s="1" t="s">
        <v>738</v>
      </c>
      <c r="E1167" s="1" t="s">
        <v>6076</v>
      </c>
      <c r="F1167" s="1" t="s">
        <v>6076</v>
      </c>
      <c r="G1167" s="1" t="s">
        <v>6681</v>
      </c>
      <c r="H1167">
        <v>1993</v>
      </c>
      <c r="I1167">
        <v>2000</v>
      </c>
      <c r="J1167">
        <f t="shared" si="36"/>
        <v>8</v>
      </c>
      <c r="K1167" s="1" t="s">
        <v>6076</v>
      </c>
      <c r="L1167" s="1" t="s">
        <v>6076</v>
      </c>
      <c r="M1167">
        <f t="shared" si="37"/>
        <v>26</v>
      </c>
      <c r="N1167" t="s">
        <v>640</v>
      </c>
    </row>
    <row r="1168" spans="1:14" x14ac:dyDescent="0.3">
      <c r="A1168" s="1" t="s">
        <v>6682</v>
      </c>
      <c r="B1168" s="1" t="s">
        <v>1205</v>
      </c>
      <c r="C1168" s="1" t="s">
        <v>6683</v>
      </c>
      <c r="D1168" s="1" t="s">
        <v>738</v>
      </c>
      <c r="E1168" s="1" t="s">
        <v>6076</v>
      </c>
      <c r="F1168" s="1" t="s">
        <v>6076</v>
      </c>
      <c r="G1168" s="1" t="s">
        <v>6681</v>
      </c>
      <c r="H1168">
        <v>1993</v>
      </c>
      <c r="I1168">
        <v>1993</v>
      </c>
      <c r="J1168">
        <f t="shared" si="36"/>
        <v>1</v>
      </c>
      <c r="K1168" s="1" t="s">
        <v>6076</v>
      </c>
      <c r="L1168" s="1" t="s">
        <v>6076</v>
      </c>
      <c r="M1168">
        <f t="shared" si="37"/>
        <v>33</v>
      </c>
      <c r="N1168" t="s">
        <v>640</v>
      </c>
    </row>
    <row r="1169" spans="1:14" x14ac:dyDescent="0.3">
      <c r="A1169" s="1" t="s">
        <v>6684</v>
      </c>
      <c r="B1169" s="1" t="s">
        <v>1205</v>
      </c>
      <c r="C1169" s="1" t="s">
        <v>6685</v>
      </c>
      <c r="D1169" s="1" t="s">
        <v>738</v>
      </c>
      <c r="E1169" s="1" t="s">
        <v>6076</v>
      </c>
      <c r="F1169" s="1" t="s">
        <v>6076</v>
      </c>
      <c r="G1169" s="1" t="s">
        <v>6681</v>
      </c>
      <c r="H1169">
        <v>1992</v>
      </c>
      <c r="I1169">
        <v>1993</v>
      </c>
      <c r="J1169">
        <f t="shared" si="36"/>
        <v>2</v>
      </c>
      <c r="K1169" s="1" t="s">
        <v>6076</v>
      </c>
      <c r="L1169" s="1" t="s">
        <v>6076</v>
      </c>
      <c r="M1169">
        <f t="shared" si="37"/>
        <v>33</v>
      </c>
      <c r="N1169" t="s">
        <v>640</v>
      </c>
    </row>
    <row r="1170" spans="1:14" x14ac:dyDescent="0.3">
      <c r="A1170" t="s">
        <v>12317</v>
      </c>
      <c r="B1170" t="s">
        <v>1205</v>
      </c>
      <c r="C1170" t="s">
        <v>12318</v>
      </c>
      <c r="E1170" s="1" t="s">
        <v>6076</v>
      </c>
      <c r="F1170" s="1" t="s">
        <v>6076</v>
      </c>
      <c r="G1170" s="1" t="s">
        <v>12883</v>
      </c>
      <c r="H1170">
        <v>2023</v>
      </c>
      <c r="I1170">
        <v>2026</v>
      </c>
      <c r="J1170">
        <f t="shared" si="36"/>
        <v>4</v>
      </c>
      <c r="K1170" s="1" t="s">
        <v>6076</v>
      </c>
      <c r="L1170" s="1" t="s">
        <v>6076</v>
      </c>
      <c r="M1170">
        <f t="shared" si="37"/>
        <v>0</v>
      </c>
    </row>
    <row r="1171" spans="1:14" x14ac:dyDescent="0.3">
      <c r="A1171" s="1" t="s">
        <v>6686</v>
      </c>
      <c r="B1171" s="1" t="s">
        <v>1205</v>
      </c>
      <c r="C1171" s="1" t="s">
        <v>6687</v>
      </c>
      <c r="D1171" s="1" t="s">
        <v>738</v>
      </c>
      <c r="E1171" s="1" t="s">
        <v>6076</v>
      </c>
      <c r="F1171" s="1" t="s">
        <v>6076</v>
      </c>
      <c r="G1171" s="1" t="s">
        <v>6681</v>
      </c>
      <c r="H1171">
        <v>1992</v>
      </c>
      <c r="I1171">
        <v>1993</v>
      </c>
      <c r="J1171">
        <f t="shared" si="36"/>
        <v>2</v>
      </c>
      <c r="K1171" s="1" t="s">
        <v>6076</v>
      </c>
      <c r="L1171" s="1" t="s">
        <v>6076</v>
      </c>
      <c r="M1171">
        <f t="shared" si="37"/>
        <v>33</v>
      </c>
      <c r="N1171" t="s">
        <v>640</v>
      </c>
    </row>
    <row r="1172" spans="1:14" x14ac:dyDescent="0.3">
      <c r="A1172" s="1" t="s">
        <v>6688</v>
      </c>
      <c r="B1172" s="1" t="s">
        <v>1205</v>
      </c>
      <c r="C1172" s="1" t="s">
        <v>6689</v>
      </c>
      <c r="D1172" s="1" t="s">
        <v>738</v>
      </c>
      <c r="E1172" s="1" t="s">
        <v>6076</v>
      </c>
      <c r="F1172" s="1" t="s">
        <v>6076</v>
      </c>
      <c r="G1172" s="1" t="s">
        <v>6681</v>
      </c>
      <c r="H1172">
        <v>1993</v>
      </c>
      <c r="I1172">
        <v>2000</v>
      </c>
      <c r="J1172">
        <f t="shared" si="36"/>
        <v>8</v>
      </c>
      <c r="K1172" s="1" t="s">
        <v>6076</v>
      </c>
      <c r="L1172" s="1" t="s">
        <v>6076</v>
      </c>
      <c r="M1172">
        <f t="shared" si="37"/>
        <v>26</v>
      </c>
      <c r="N1172" t="s">
        <v>640</v>
      </c>
    </row>
    <row r="1173" spans="1:14" x14ac:dyDescent="0.3">
      <c r="A1173" s="1" t="s">
        <v>6690</v>
      </c>
      <c r="B1173" s="1" t="s">
        <v>795</v>
      </c>
      <c r="C1173" s="1" t="s">
        <v>6691</v>
      </c>
      <c r="D1173" s="1" t="s">
        <v>738</v>
      </c>
      <c r="E1173" s="1" t="s">
        <v>6076</v>
      </c>
      <c r="F1173" s="1" t="s">
        <v>6076</v>
      </c>
      <c r="G1173" s="1" t="s">
        <v>6692</v>
      </c>
      <c r="H1173">
        <v>1994</v>
      </c>
      <c r="I1173">
        <v>1995</v>
      </c>
      <c r="J1173">
        <f t="shared" si="36"/>
        <v>2</v>
      </c>
      <c r="K1173" s="1" t="s">
        <v>6076</v>
      </c>
      <c r="L1173" s="1" t="s">
        <v>6076</v>
      </c>
      <c r="M1173">
        <f t="shared" si="37"/>
        <v>31</v>
      </c>
      <c r="N1173" t="s">
        <v>640</v>
      </c>
    </row>
    <row r="1174" spans="1:14" x14ac:dyDescent="0.3">
      <c r="A1174" s="1" t="s">
        <v>6693</v>
      </c>
      <c r="B1174" s="1" t="s">
        <v>795</v>
      </c>
      <c r="C1174" s="1" t="s">
        <v>6694</v>
      </c>
      <c r="D1174" s="1" t="s">
        <v>738</v>
      </c>
      <c r="E1174" s="1" t="s">
        <v>6076</v>
      </c>
      <c r="F1174" s="1" t="s">
        <v>6076</v>
      </c>
      <c r="G1174" s="1" t="s">
        <v>6692</v>
      </c>
      <c r="H1174">
        <v>1995</v>
      </c>
      <c r="I1174">
        <v>1995</v>
      </c>
      <c r="J1174">
        <f t="shared" si="36"/>
        <v>1</v>
      </c>
      <c r="K1174" s="1" t="s">
        <v>6076</v>
      </c>
      <c r="L1174" s="1" t="s">
        <v>6076</v>
      </c>
      <c r="M1174">
        <f t="shared" si="37"/>
        <v>31</v>
      </c>
      <c r="N1174" t="s">
        <v>640</v>
      </c>
    </row>
    <row r="1175" spans="1:14" x14ac:dyDescent="0.3">
      <c r="A1175" s="1" t="s">
        <v>6695</v>
      </c>
      <c r="B1175" s="1" t="s">
        <v>795</v>
      </c>
      <c r="C1175" s="1" t="s">
        <v>6696</v>
      </c>
      <c r="D1175" s="1" t="s">
        <v>738</v>
      </c>
      <c r="E1175" s="1" t="s">
        <v>6076</v>
      </c>
      <c r="F1175" s="1" t="s">
        <v>6076</v>
      </c>
      <c r="G1175" s="1" t="s">
        <v>6692</v>
      </c>
      <c r="H1175">
        <v>1994</v>
      </c>
      <c r="I1175">
        <v>1995</v>
      </c>
      <c r="J1175">
        <f t="shared" si="36"/>
        <v>2</v>
      </c>
      <c r="K1175" s="1" t="s">
        <v>6076</v>
      </c>
      <c r="L1175" s="1" t="s">
        <v>6076</v>
      </c>
      <c r="M1175">
        <f t="shared" si="37"/>
        <v>31</v>
      </c>
      <c r="N1175" t="s">
        <v>640</v>
      </c>
    </row>
    <row r="1176" spans="1:14" hidden="1" x14ac:dyDescent="0.3">
      <c r="A1176" s="1" t="s">
        <v>4916</v>
      </c>
      <c r="B1176" s="1" t="s">
        <v>795</v>
      </c>
      <c r="C1176" s="1" t="s">
        <v>4917</v>
      </c>
      <c r="D1176" s="1" t="s">
        <v>1395</v>
      </c>
      <c r="E1176" s="1" t="s">
        <v>3905</v>
      </c>
      <c r="F1176" s="1" t="s">
        <v>3906</v>
      </c>
      <c r="G1176" s="1" t="s">
        <v>4089</v>
      </c>
      <c r="H1176">
        <v>2011</v>
      </c>
      <c r="I1176">
        <v>2013</v>
      </c>
      <c r="J1176">
        <f t="shared" si="36"/>
        <v>3</v>
      </c>
      <c r="K1176" s="1" t="s">
        <v>4668</v>
      </c>
      <c r="L1176" s="1" t="s">
        <v>3793</v>
      </c>
      <c r="M1176">
        <f t="shared" si="37"/>
        <v>13</v>
      </c>
      <c r="N1176" t="s">
        <v>650</v>
      </c>
    </row>
    <row r="1177" spans="1:14" hidden="1" x14ac:dyDescent="0.3">
      <c r="A1177" s="1" t="s">
        <v>5071</v>
      </c>
      <c r="B1177" s="1" t="s">
        <v>795</v>
      </c>
      <c r="C1177" s="1" t="s">
        <v>5072</v>
      </c>
      <c r="D1177" s="1" t="s">
        <v>1395</v>
      </c>
      <c r="E1177" s="1" t="s">
        <v>3905</v>
      </c>
      <c r="F1177" s="1" t="s">
        <v>3906</v>
      </c>
      <c r="G1177" s="1" t="s">
        <v>4089</v>
      </c>
      <c r="H1177">
        <v>2008</v>
      </c>
      <c r="I1177">
        <v>2010</v>
      </c>
      <c r="J1177">
        <f t="shared" si="36"/>
        <v>3</v>
      </c>
      <c r="K1177" s="1" t="s">
        <v>4668</v>
      </c>
      <c r="L1177" s="1" t="s">
        <v>3793</v>
      </c>
      <c r="M1177">
        <f t="shared" si="37"/>
        <v>16</v>
      </c>
      <c r="N1177" t="s">
        <v>640</v>
      </c>
    </row>
    <row r="1178" spans="1:14" hidden="1" x14ac:dyDescent="0.3">
      <c r="A1178" s="1" t="s">
        <v>4914</v>
      </c>
      <c r="B1178" s="1" t="s">
        <v>795</v>
      </c>
      <c r="C1178" s="1" t="s">
        <v>4915</v>
      </c>
      <c r="D1178" s="1" t="s">
        <v>1395</v>
      </c>
      <c r="E1178" s="1" t="s">
        <v>3905</v>
      </c>
      <c r="F1178" s="1" t="s">
        <v>3906</v>
      </c>
      <c r="G1178" s="1" t="s">
        <v>4089</v>
      </c>
      <c r="H1178">
        <v>2009</v>
      </c>
      <c r="I1178">
        <v>2017</v>
      </c>
      <c r="J1178">
        <f t="shared" si="36"/>
        <v>9</v>
      </c>
      <c r="K1178" s="1" t="s">
        <v>4668</v>
      </c>
      <c r="L1178" s="1" t="s">
        <v>3793</v>
      </c>
      <c r="M1178">
        <f t="shared" si="37"/>
        <v>9</v>
      </c>
      <c r="N1178" t="s">
        <v>650</v>
      </c>
    </row>
    <row r="1179" spans="1:14" hidden="1" x14ac:dyDescent="0.3">
      <c r="A1179" s="1" t="s">
        <v>5069</v>
      </c>
      <c r="B1179" s="1" t="s">
        <v>795</v>
      </c>
      <c r="C1179" s="1" t="s">
        <v>5070</v>
      </c>
      <c r="D1179" s="1" t="s">
        <v>1395</v>
      </c>
      <c r="E1179" s="1" t="s">
        <v>3905</v>
      </c>
      <c r="F1179" s="1" t="s">
        <v>3906</v>
      </c>
      <c r="G1179" s="1" t="s">
        <v>4089</v>
      </c>
      <c r="H1179">
        <v>2011</v>
      </c>
      <c r="I1179">
        <v>2012</v>
      </c>
      <c r="J1179">
        <f t="shared" si="36"/>
        <v>2</v>
      </c>
      <c r="K1179" s="1" t="s">
        <v>4668</v>
      </c>
      <c r="L1179" s="1" t="s">
        <v>3793</v>
      </c>
      <c r="M1179">
        <f t="shared" si="37"/>
        <v>14</v>
      </c>
      <c r="N1179" t="s">
        <v>650</v>
      </c>
    </row>
    <row r="1180" spans="1:14" hidden="1" x14ac:dyDescent="0.3">
      <c r="A1180" s="1" t="s">
        <v>5073</v>
      </c>
      <c r="B1180" s="1" t="s">
        <v>795</v>
      </c>
      <c r="C1180" s="1" t="s">
        <v>5074</v>
      </c>
      <c r="D1180" s="1" t="s">
        <v>1395</v>
      </c>
      <c r="E1180" s="1" t="s">
        <v>3905</v>
      </c>
      <c r="F1180" s="1" t="s">
        <v>3906</v>
      </c>
      <c r="G1180" s="1" t="s">
        <v>4089</v>
      </c>
      <c r="H1180">
        <v>2008</v>
      </c>
      <c r="I1180">
        <v>2010</v>
      </c>
      <c r="J1180">
        <f t="shared" si="36"/>
        <v>3</v>
      </c>
      <c r="K1180" s="1" t="s">
        <v>4668</v>
      </c>
      <c r="L1180" s="1" t="s">
        <v>3793</v>
      </c>
      <c r="M1180">
        <f t="shared" si="37"/>
        <v>16</v>
      </c>
      <c r="N1180" t="s">
        <v>640</v>
      </c>
    </row>
    <row r="1181" spans="1:14" hidden="1" x14ac:dyDescent="0.3">
      <c r="A1181" s="1" t="s">
        <v>3768</v>
      </c>
      <c r="B1181" s="1" t="s">
        <v>12756</v>
      </c>
      <c r="C1181" s="1" t="s">
        <v>3769</v>
      </c>
      <c r="D1181" s="1" t="s">
        <v>1395</v>
      </c>
      <c r="E1181" s="1" t="s">
        <v>1396</v>
      </c>
      <c r="F1181" s="1" t="s">
        <v>1397</v>
      </c>
      <c r="G1181" s="1" t="s">
        <v>3770</v>
      </c>
      <c r="H1181">
        <v>2021</v>
      </c>
      <c r="I1181">
        <v>2022</v>
      </c>
      <c r="J1181">
        <f t="shared" si="36"/>
        <v>2</v>
      </c>
      <c r="K1181" s="1" t="s">
        <v>3665</v>
      </c>
      <c r="L1181" s="1" t="s">
        <v>649</v>
      </c>
      <c r="M1181">
        <f t="shared" si="37"/>
        <v>4</v>
      </c>
      <c r="N1181" t="s">
        <v>650</v>
      </c>
    </row>
    <row r="1182" spans="1:14" hidden="1" x14ac:dyDescent="0.3">
      <c r="A1182" s="1" t="s">
        <v>3771</v>
      </c>
      <c r="B1182" s="1" t="s">
        <v>12756</v>
      </c>
      <c r="C1182" s="1" t="s">
        <v>3772</v>
      </c>
      <c r="D1182" s="1" t="s">
        <v>1395</v>
      </c>
      <c r="E1182" s="1" t="s">
        <v>1396</v>
      </c>
      <c r="F1182" s="1" t="s">
        <v>1397</v>
      </c>
      <c r="G1182" s="1" t="s">
        <v>3770</v>
      </c>
      <c r="H1182">
        <v>2022</v>
      </c>
      <c r="I1182">
        <v>2022</v>
      </c>
      <c r="J1182">
        <f t="shared" si="36"/>
        <v>1</v>
      </c>
      <c r="K1182" s="1" t="s">
        <v>3665</v>
      </c>
      <c r="L1182" s="1" t="s">
        <v>649</v>
      </c>
      <c r="M1182">
        <f t="shared" si="37"/>
        <v>4</v>
      </c>
      <c r="N1182" t="s">
        <v>650</v>
      </c>
    </row>
    <row r="1183" spans="1:14" hidden="1" x14ac:dyDescent="0.3">
      <c r="A1183" s="1" t="s">
        <v>3773</v>
      </c>
      <c r="B1183" s="1" t="s">
        <v>12756</v>
      </c>
      <c r="C1183" s="1" t="s">
        <v>3774</v>
      </c>
      <c r="D1183" s="1" t="s">
        <v>1395</v>
      </c>
      <c r="E1183" s="1" t="s">
        <v>1396</v>
      </c>
      <c r="F1183" s="1" t="s">
        <v>1397</v>
      </c>
      <c r="G1183" s="1" t="s">
        <v>3770</v>
      </c>
      <c r="H1183">
        <v>2017</v>
      </c>
      <c r="I1183">
        <v>2022</v>
      </c>
      <c r="J1183">
        <f t="shared" si="36"/>
        <v>6</v>
      </c>
      <c r="K1183" s="1" t="s">
        <v>3665</v>
      </c>
      <c r="L1183" s="1" t="s">
        <v>649</v>
      </c>
      <c r="M1183">
        <f t="shared" si="37"/>
        <v>4</v>
      </c>
      <c r="N1183" t="s">
        <v>650</v>
      </c>
    </row>
    <row r="1184" spans="1:14" hidden="1" x14ac:dyDescent="0.3">
      <c r="A1184" s="1" t="s">
        <v>3775</v>
      </c>
      <c r="B1184" s="1" t="s">
        <v>12756</v>
      </c>
      <c r="C1184" s="1" t="s">
        <v>3776</v>
      </c>
      <c r="D1184" s="1" t="s">
        <v>1395</v>
      </c>
      <c r="E1184" s="1" t="s">
        <v>1396</v>
      </c>
      <c r="F1184" s="1" t="s">
        <v>1397</v>
      </c>
      <c r="G1184" s="1" t="s">
        <v>3770</v>
      </c>
      <c r="H1184">
        <v>2017</v>
      </c>
      <c r="I1184">
        <v>2022</v>
      </c>
      <c r="J1184">
        <f t="shared" si="36"/>
        <v>6</v>
      </c>
      <c r="K1184" s="1" t="s">
        <v>3665</v>
      </c>
      <c r="L1184" s="1" t="s">
        <v>649</v>
      </c>
      <c r="M1184">
        <f t="shared" si="37"/>
        <v>4</v>
      </c>
      <c r="N1184" t="s">
        <v>650</v>
      </c>
    </row>
    <row r="1185" spans="1:14" hidden="1" x14ac:dyDescent="0.3">
      <c r="A1185" s="1" t="s">
        <v>3777</v>
      </c>
      <c r="B1185" s="1" t="s">
        <v>12756</v>
      </c>
      <c r="C1185" s="1" t="s">
        <v>3778</v>
      </c>
      <c r="D1185" s="1" t="s">
        <v>1395</v>
      </c>
      <c r="E1185" s="1" t="s">
        <v>1396</v>
      </c>
      <c r="F1185" s="1" t="s">
        <v>1397</v>
      </c>
      <c r="G1185" s="1" t="s">
        <v>3770</v>
      </c>
      <c r="H1185">
        <v>2020</v>
      </c>
      <c r="I1185">
        <v>2022</v>
      </c>
      <c r="J1185">
        <f t="shared" si="36"/>
        <v>3</v>
      </c>
      <c r="K1185" s="1" t="s">
        <v>3665</v>
      </c>
      <c r="L1185" s="1" t="s">
        <v>649</v>
      </c>
      <c r="M1185">
        <f t="shared" si="37"/>
        <v>4</v>
      </c>
      <c r="N1185" t="s">
        <v>650</v>
      </c>
    </row>
    <row r="1186" spans="1:14" hidden="1" x14ac:dyDescent="0.3">
      <c r="A1186" s="1" t="s">
        <v>3779</v>
      </c>
      <c r="B1186" s="1" t="s">
        <v>12756</v>
      </c>
      <c r="C1186" s="1" t="s">
        <v>3780</v>
      </c>
      <c r="D1186" s="1" t="s">
        <v>1395</v>
      </c>
      <c r="E1186" s="1" t="s">
        <v>1396</v>
      </c>
      <c r="F1186" s="1" t="s">
        <v>1397</v>
      </c>
      <c r="G1186" s="1" t="s">
        <v>3770</v>
      </c>
      <c r="H1186">
        <v>2020</v>
      </c>
      <c r="I1186">
        <v>2022</v>
      </c>
      <c r="J1186">
        <f t="shared" si="36"/>
        <v>3</v>
      </c>
      <c r="K1186" s="1" t="s">
        <v>3665</v>
      </c>
      <c r="L1186" s="1" t="s">
        <v>649</v>
      </c>
      <c r="M1186">
        <f t="shared" si="37"/>
        <v>4</v>
      </c>
      <c r="N1186" t="s">
        <v>650</v>
      </c>
    </row>
    <row r="1187" spans="1:14" hidden="1" x14ac:dyDescent="0.3">
      <c r="A1187" s="1" t="s">
        <v>3781</v>
      </c>
      <c r="B1187" s="1" t="s">
        <v>12756</v>
      </c>
      <c r="C1187" s="1" t="s">
        <v>3782</v>
      </c>
      <c r="D1187" s="1" t="s">
        <v>1395</v>
      </c>
      <c r="E1187" s="1" t="s">
        <v>1396</v>
      </c>
      <c r="F1187" s="1" t="s">
        <v>1397</v>
      </c>
      <c r="G1187" s="1" t="s">
        <v>3770</v>
      </c>
      <c r="H1187">
        <v>2018</v>
      </c>
      <c r="I1187">
        <v>2022</v>
      </c>
      <c r="J1187">
        <f t="shared" si="36"/>
        <v>5</v>
      </c>
      <c r="K1187" s="1" t="s">
        <v>3665</v>
      </c>
      <c r="L1187" s="1" t="s">
        <v>649</v>
      </c>
      <c r="M1187">
        <f t="shared" si="37"/>
        <v>4</v>
      </c>
      <c r="N1187" t="s">
        <v>650</v>
      </c>
    </row>
    <row r="1188" spans="1:14" hidden="1" x14ac:dyDescent="0.3">
      <c r="A1188" s="1" t="s">
        <v>3783</v>
      </c>
      <c r="B1188" s="1" t="s">
        <v>12756</v>
      </c>
      <c r="C1188" s="1" t="s">
        <v>3784</v>
      </c>
      <c r="D1188" s="1" t="s">
        <v>1395</v>
      </c>
      <c r="E1188" s="1" t="s">
        <v>1396</v>
      </c>
      <c r="F1188" s="1" t="s">
        <v>1397</v>
      </c>
      <c r="G1188" s="1" t="s">
        <v>3770</v>
      </c>
      <c r="H1188">
        <v>2022</v>
      </c>
      <c r="I1188">
        <v>2022</v>
      </c>
      <c r="J1188">
        <f t="shared" si="36"/>
        <v>1</v>
      </c>
      <c r="K1188" s="1" t="s">
        <v>3665</v>
      </c>
      <c r="L1188" s="1" t="s">
        <v>649</v>
      </c>
      <c r="M1188">
        <f t="shared" si="37"/>
        <v>4</v>
      </c>
      <c r="N1188" t="s">
        <v>650</v>
      </c>
    </row>
    <row r="1189" spans="1:14" hidden="1" x14ac:dyDescent="0.3">
      <c r="A1189" s="1" t="s">
        <v>3785</v>
      </c>
      <c r="B1189" s="1" t="s">
        <v>12756</v>
      </c>
      <c r="C1189" s="1" t="s">
        <v>3786</v>
      </c>
      <c r="D1189" s="1" t="s">
        <v>1395</v>
      </c>
      <c r="E1189" s="1" t="s">
        <v>1396</v>
      </c>
      <c r="F1189" s="1" t="s">
        <v>1397</v>
      </c>
      <c r="G1189" s="1" t="s">
        <v>3770</v>
      </c>
      <c r="H1189">
        <v>2018</v>
      </c>
      <c r="I1189">
        <v>2020</v>
      </c>
      <c r="J1189">
        <f t="shared" si="36"/>
        <v>3</v>
      </c>
      <c r="K1189" s="1" t="s">
        <v>3665</v>
      </c>
      <c r="L1189" s="1" t="s">
        <v>649</v>
      </c>
      <c r="M1189">
        <f t="shared" si="37"/>
        <v>6</v>
      </c>
      <c r="N1189" t="s">
        <v>650</v>
      </c>
    </row>
    <row r="1190" spans="1:14" hidden="1" x14ac:dyDescent="0.3">
      <c r="A1190" s="1" t="s">
        <v>3787</v>
      </c>
      <c r="B1190" s="1" t="s">
        <v>12756</v>
      </c>
      <c r="C1190" s="1" t="s">
        <v>3788</v>
      </c>
      <c r="D1190" s="1" t="s">
        <v>1395</v>
      </c>
      <c r="E1190" s="1" t="s">
        <v>1396</v>
      </c>
      <c r="F1190" s="1" t="s">
        <v>1397</v>
      </c>
      <c r="G1190" s="1" t="s">
        <v>3770</v>
      </c>
      <c r="H1190">
        <v>2017</v>
      </c>
      <c r="I1190">
        <v>2022</v>
      </c>
      <c r="J1190">
        <f t="shared" si="36"/>
        <v>6</v>
      </c>
      <c r="K1190" s="1" t="s">
        <v>3665</v>
      </c>
      <c r="L1190" s="1" t="s">
        <v>649</v>
      </c>
      <c r="M1190">
        <f t="shared" si="37"/>
        <v>4</v>
      </c>
      <c r="N1190" t="s">
        <v>650</v>
      </c>
    </row>
    <row r="1191" spans="1:14" x14ac:dyDescent="0.3">
      <c r="A1191" s="1" t="s">
        <v>6697</v>
      </c>
      <c r="B1191" s="1" t="s">
        <v>795</v>
      </c>
      <c r="C1191" s="1" t="s">
        <v>6698</v>
      </c>
      <c r="D1191" s="1" t="s">
        <v>738</v>
      </c>
      <c r="E1191" s="1" t="s">
        <v>6076</v>
      </c>
      <c r="F1191" s="1" t="s">
        <v>6076</v>
      </c>
      <c r="G1191" s="1" t="s">
        <v>6699</v>
      </c>
      <c r="H1191">
        <v>1985</v>
      </c>
      <c r="I1191">
        <v>1992</v>
      </c>
      <c r="J1191">
        <f t="shared" si="36"/>
        <v>8</v>
      </c>
      <c r="K1191" s="1" t="s">
        <v>6076</v>
      </c>
      <c r="L1191" s="1" t="s">
        <v>6076</v>
      </c>
      <c r="M1191">
        <f t="shared" si="37"/>
        <v>34</v>
      </c>
      <c r="N1191" t="s">
        <v>640</v>
      </c>
    </row>
    <row r="1192" spans="1:14" x14ac:dyDescent="0.3">
      <c r="A1192" s="1" t="s">
        <v>6700</v>
      </c>
      <c r="B1192" s="1" t="s">
        <v>795</v>
      </c>
      <c r="C1192" s="1" t="s">
        <v>6701</v>
      </c>
      <c r="D1192" s="1" t="s">
        <v>738</v>
      </c>
      <c r="E1192" s="1" t="s">
        <v>6076</v>
      </c>
      <c r="F1192" s="1" t="s">
        <v>6076</v>
      </c>
      <c r="G1192" s="1" t="s">
        <v>6699</v>
      </c>
      <c r="H1192">
        <v>1985</v>
      </c>
      <c r="I1192">
        <v>1992</v>
      </c>
      <c r="J1192">
        <f t="shared" si="36"/>
        <v>8</v>
      </c>
      <c r="K1192" s="1" t="s">
        <v>6076</v>
      </c>
      <c r="L1192" s="1" t="s">
        <v>6076</v>
      </c>
      <c r="M1192">
        <f t="shared" si="37"/>
        <v>34</v>
      </c>
      <c r="N1192" t="s">
        <v>640</v>
      </c>
    </row>
    <row r="1193" spans="1:14" x14ac:dyDescent="0.3">
      <c r="A1193" s="1" t="s">
        <v>6702</v>
      </c>
      <c r="B1193" s="1" t="s">
        <v>795</v>
      </c>
      <c r="C1193" s="1" t="s">
        <v>6703</v>
      </c>
      <c r="D1193" s="1" t="s">
        <v>738</v>
      </c>
      <c r="E1193" s="1" t="s">
        <v>6076</v>
      </c>
      <c r="F1193" s="1" t="s">
        <v>6076</v>
      </c>
      <c r="G1193" s="1" t="s">
        <v>6699</v>
      </c>
      <c r="H1193">
        <v>1985</v>
      </c>
      <c r="I1193">
        <v>1992</v>
      </c>
      <c r="J1193">
        <f t="shared" si="36"/>
        <v>8</v>
      </c>
      <c r="K1193" s="1" t="s">
        <v>6076</v>
      </c>
      <c r="L1193" s="1" t="s">
        <v>6076</v>
      </c>
      <c r="M1193">
        <f t="shared" si="37"/>
        <v>34</v>
      </c>
      <c r="N1193" t="s">
        <v>640</v>
      </c>
    </row>
    <row r="1194" spans="1:14" x14ac:dyDescent="0.3">
      <c r="A1194" t="s">
        <v>11127</v>
      </c>
      <c r="B1194" t="s">
        <v>10997</v>
      </c>
      <c r="C1194" t="s">
        <v>11128</v>
      </c>
      <c r="E1194" s="1" t="s">
        <v>6076</v>
      </c>
      <c r="F1194" s="1" t="s">
        <v>6076</v>
      </c>
      <c r="G1194" s="1" t="s">
        <v>12789</v>
      </c>
      <c r="H1194">
        <v>1993</v>
      </c>
      <c r="I1194">
        <v>2000</v>
      </c>
      <c r="J1194">
        <f t="shared" si="36"/>
        <v>8</v>
      </c>
      <c r="K1194" s="1" t="s">
        <v>6076</v>
      </c>
      <c r="L1194" s="1" t="s">
        <v>6076</v>
      </c>
      <c r="M1194">
        <f t="shared" si="37"/>
        <v>26</v>
      </c>
    </row>
    <row r="1195" spans="1:14" x14ac:dyDescent="0.3">
      <c r="A1195" t="s">
        <v>11129</v>
      </c>
      <c r="B1195" t="s">
        <v>10997</v>
      </c>
      <c r="C1195" t="s">
        <v>11130</v>
      </c>
      <c r="E1195" s="1" t="s">
        <v>6076</v>
      </c>
      <c r="F1195" s="1" t="s">
        <v>6076</v>
      </c>
      <c r="G1195" s="1" t="s">
        <v>12789</v>
      </c>
      <c r="H1195">
        <v>2005</v>
      </c>
      <c r="I1195">
        <v>2007</v>
      </c>
      <c r="J1195">
        <f t="shared" si="36"/>
        <v>3</v>
      </c>
      <c r="K1195" s="1" t="s">
        <v>6076</v>
      </c>
      <c r="L1195" s="1" t="s">
        <v>6076</v>
      </c>
      <c r="M1195">
        <f t="shared" si="37"/>
        <v>19</v>
      </c>
    </row>
    <row r="1196" spans="1:14" x14ac:dyDescent="0.3">
      <c r="A1196" t="s">
        <v>11131</v>
      </c>
      <c r="B1196" t="s">
        <v>10997</v>
      </c>
      <c r="C1196" t="s">
        <v>11132</v>
      </c>
      <c r="E1196" s="1" t="s">
        <v>6076</v>
      </c>
      <c r="F1196" s="1" t="s">
        <v>6076</v>
      </c>
      <c r="G1196" s="1" t="s">
        <v>12789</v>
      </c>
      <c r="H1196">
        <v>1997</v>
      </c>
      <c r="I1196">
        <v>1999</v>
      </c>
      <c r="J1196">
        <f t="shared" si="36"/>
        <v>3</v>
      </c>
      <c r="K1196" s="1" t="s">
        <v>6076</v>
      </c>
      <c r="L1196" s="1" t="s">
        <v>6076</v>
      </c>
      <c r="M1196">
        <f t="shared" si="37"/>
        <v>27</v>
      </c>
    </row>
    <row r="1197" spans="1:14" x14ac:dyDescent="0.3">
      <c r="A1197" t="s">
        <v>11133</v>
      </c>
      <c r="B1197" t="s">
        <v>10997</v>
      </c>
      <c r="C1197" t="s">
        <v>11134</v>
      </c>
      <c r="E1197" s="1" t="s">
        <v>6076</v>
      </c>
      <c r="F1197" s="1" t="s">
        <v>6076</v>
      </c>
      <c r="G1197" s="1" t="s">
        <v>12789</v>
      </c>
      <c r="H1197">
        <v>1993</v>
      </c>
      <c r="I1197">
        <v>2001</v>
      </c>
      <c r="J1197">
        <f t="shared" si="36"/>
        <v>9</v>
      </c>
      <c r="K1197" s="1" t="s">
        <v>6076</v>
      </c>
      <c r="L1197" s="1" t="s">
        <v>6076</v>
      </c>
      <c r="M1197">
        <f t="shared" si="37"/>
        <v>25</v>
      </c>
    </row>
    <row r="1198" spans="1:14" x14ac:dyDescent="0.3">
      <c r="A1198" s="1" t="s">
        <v>6704</v>
      </c>
      <c r="B1198" s="1" t="s">
        <v>810</v>
      </c>
      <c r="C1198" s="1" t="s">
        <v>6705</v>
      </c>
      <c r="D1198" s="1" t="s">
        <v>644</v>
      </c>
      <c r="E1198" s="1" t="s">
        <v>6076</v>
      </c>
      <c r="F1198" s="1" t="s">
        <v>6076</v>
      </c>
      <c r="G1198" s="1" t="s">
        <v>6706</v>
      </c>
      <c r="H1198">
        <v>1998</v>
      </c>
      <c r="I1198">
        <v>2000</v>
      </c>
      <c r="J1198">
        <f t="shared" si="36"/>
        <v>3</v>
      </c>
      <c r="K1198" s="1" t="s">
        <v>6076</v>
      </c>
      <c r="L1198" s="1" t="s">
        <v>6076</v>
      </c>
      <c r="M1198">
        <f t="shared" si="37"/>
        <v>26</v>
      </c>
      <c r="N1198" t="s">
        <v>640</v>
      </c>
    </row>
    <row r="1199" spans="1:14" x14ac:dyDescent="0.3">
      <c r="A1199" s="1" t="s">
        <v>6707</v>
      </c>
      <c r="B1199" s="1" t="s">
        <v>2667</v>
      </c>
      <c r="C1199" s="1" t="s">
        <v>6708</v>
      </c>
      <c r="D1199" s="1" t="s">
        <v>738</v>
      </c>
      <c r="E1199" s="1" t="s">
        <v>6076</v>
      </c>
      <c r="F1199" s="1" t="s">
        <v>6076</v>
      </c>
      <c r="G1199" s="1" t="s">
        <v>6709</v>
      </c>
      <c r="H1199">
        <v>2009</v>
      </c>
      <c r="I1199">
        <v>2013</v>
      </c>
      <c r="J1199">
        <f t="shared" si="36"/>
        <v>5</v>
      </c>
      <c r="K1199" s="1" t="s">
        <v>6076</v>
      </c>
      <c r="L1199" s="1" t="s">
        <v>6076</v>
      </c>
      <c r="M1199">
        <f t="shared" si="37"/>
        <v>13</v>
      </c>
      <c r="N1199" t="s">
        <v>650</v>
      </c>
    </row>
    <row r="1200" spans="1:14" x14ac:dyDescent="0.3">
      <c r="A1200" s="1" t="s">
        <v>6710</v>
      </c>
      <c r="B1200" s="1" t="s">
        <v>2667</v>
      </c>
      <c r="C1200" s="1" t="s">
        <v>6711</v>
      </c>
      <c r="D1200" s="1" t="s">
        <v>738</v>
      </c>
      <c r="E1200" s="1" t="s">
        <v>6076</v>
      </c>
      <c r="F1200" s="1" t="s">
        <v>6076</v>
      </c>
      <c r="G1200" s="1" t="s">
        <v>6709</v>
      </c>
      <c r="H1200">
        <v>2001</v>
      </c>
      <c r="I1200">
        <v>2001</v>
      </c>
      <c r="J1200">
        <f t="shared" si="36"/>
        <v>1</v>
      </c>
      <c r="K1200" s="1" t="s">
        <v>6076</v>
      </c>
      <c r="L1200" s="1" t="s">
        <v>6076</v>
      </c>
      <c r="M1200">
        <f t="shared" si="37"/>
        <v>25</v>
      </c>
      <c r="N1200" t="s">
        <v>640</v>
      </c>
    </row>
    <row r="1201" spans="1:14" x14ac:dyDescent="0.3">
      <c r="A1201" s="1" t="s">
        <v>6712</v>
      </c>
      <c r="B1201" s="1" t="s">
        <v>2667</v>
      </c>
      <c r="C1201" s="1" t="s">
        <v>6713</v>
      </c>
      <c r="D1201" s="1" t="s">
        <v>738</v>
      </c>
      <c r="E1201" s="1" t="s">
        <v>6076</v>
      </c>
      <c r="F1201" s="1" t="s">
        <v>6076</v>
      </c>
      <c r="G1201" s="1" t="s">
        <v>6709</v>
      </c>
      <c r="H1201">
        <v>2001</v>
      </c>
      <c r="I1201">
        <v>2001</v>
      </c>
      <c r="J1201">
        <f t="shared" si="36"/>
        <v>1</v>
      </c>
      <c r="K1201" s="1" t="s">
        <v>6076</v>
      </c>
      <c r="L1201" s="1" t="s">
        <v>6076</v>
      </c>
      <c r="M1201">
        <f t="shared" si="37"/>
        <v>25</v>
      </c>
      <c r="N1201" t="s">
        <v>640</v>
      </c>
    </row>
    <row r="1202" spans="1:14" x14ac:dyDescent="0.3">
      <c r="A1202" s="1" t="s">
        <v>6714</v>
      </c>
      <c r="B1202" s="1" t="s">
        <v>2667</v>
      </c>
      <c r="C1202" s="1" t="s">
        <v>6715</v>
      </c>
      <c r="D1202" s="1" t="s">
        <v>644</v>
      </c>
      <c r="E1202" s="1" t="s">
        <v>6076</v>
      </c>
      <c r="F1202" s="1" t="s">
        <v>6076</v>
      </c>
      <c r="G1202" s="1" t="s">
        <v>6716</v>
      </c>
      <c r="H1202">
        <v>1999</v>
      </c>
      <c r="I1202">
        <v>2006</v>
      </c>
      <c r="J1202">
        <f t="shared" si="36"/>
        <v>8</v>
      </c>
      <c r="K1202" s="1" t="s">
        <v>6076</v>
      </c>
      <c r="L1202" s="1" t="s">
        <v>6076</v>
      </c>
      <c r="M1202">
        <f t="shared" si="37"/>
        <v>20</v>
      </c>
      <c r="N1202" t="s">
        <v>640</v>
      </c>
    </row>
    <row r="1203" spans="1:14" x14ac:dyDescent="0.3">
      <c r="A1203" s="1" t="s">
        <v>6717</v>
      </c>
      <c r="B1203" s="1" t="s">
        <v>2667</v>
      </c>
      <c r="C1203" s="1" t="s">
        <v>6718</v>
      </c>
      <c r="D1203" s="1" t="s">
        <v>644</v>
      </c>
      <c r="E1203" s="1" t="s">
        <v>6076</v>
      </c>
      <c r="F1203" s="1" t="s">
        <v>6076</v>
      </c>
      <c r="G1203" s="1" t="s">
        <v>6716</v>
      </c>
      <c r="H1203">
        <v>2011</v>
      </c>
      <c r="I1203">
        <v>2022</v>
      </c>
      <c r="J1203">
        <f t="shared" si="36"/>
        <v>12</v>
      </c>
      <c r="K1203" s="1" t="s">
        <v>6076</v>
      </c>
      <c r="L1203" s="1" t="s">
        <v>6076</v>
      </c>
      <c r="M1203">
        <f t="shared" si="37"/>
        <v>4</v>
      </c>
      <c r="N1203" t="s">
        <v>650</v>
      </c>
    </row>
    <row r="1204" spans="1:14" x14ac:dyDescent="0.3">
      <c r="A1204" s="1" t="s">
        <v>6719</v>
      </c>
      <c r="B1204" s="1" t="s">
        <v>2667</v>
      </c>
      <c r="C1204" s="1" t="s">
        <v>6720</v>
      </c>
      <c r="D1204" s="1" t="s">
        <v>644</v>
      </c>
      <c r="E1204" s="1" t="s">
        <v>6076</v>
      </c>
      <c r="F1204" s="1" t="s">
        <v>6076</v>
      </c>
      <c r="G1204" s="1" t="s">
        <v>6716</v>
      </c>
      <c r="H1204">
        <v>2006</v>
      </c>
      <c r="I1204">
        <v>2011</v>
      </c>
      <c r="J1204">
        <f t="shared" si="36"/>
        <v>6</v>
      </c>
      <c r="K1204" s="1" t="s">
        <v>6076</v>
      </c>
      <c r="L1204" s="1" t="s">
        <v>6076</v>
      </c>
      <c r="M1204">
        <f t="shared" si="37"/>
        <v>15</v>
      </c>
      <c r="N1204" t="s">
        <v>640</v>
      </c>
    </row>
    <row r="1205" spans="1:14" x14ac:dyDescent="0.3">
      <c r="A1205" s="1" t="s">
        <v>6721</v>
      </c>
      <c r="B1205" s="1" t="s">
        <v>2667</v>
      </c>
      <c r="C1205" s="1" t="s">
        <v>6722</v>
      </c>
      <c r="D1205" s="1" t="s">
        <v>644</v>
      </c>
      <c r="E1205" s="1" t="s">
        <v>6076</v>
      </c>
      <c r="F1205" s="1" t="s">
        <v>6076</v>
      </c>
      <c r="G1205" s="1" t="s">
        <v>6716</v>
      </c>
      <c r="H1205">
        <v>2001</v>
      </c>
      <c r="I1205">
        <v>2005</v>
      </c>
      <c r="J1205">
        <f t="shared" si="36"/>
        <v>5</v>
      </c>
      <c r="K1205" s="1" t="s">
        <v>6076</v>
      </c>
      <c r="L1205" s="1" t="s">
        <v>6076</v>
      </c>
      <c r="M1205">
        <f t="shared" si="37"/>
        <v>21</v>
      </c>
      <c r="N1205" t="s">
        <v>640</v>
      </c>
    </row>
    <row r="1206" spans="1:14" x14ac:dyDescent="0.3">
      <c r="A1206" s="1" t="s">
        <v>6723</v>
      </c>
      <c r="B1206" s="1" t="s">
        <v>795</v>
      </c>
      <c r="C1206" s="1" t="s">
        <v>6724</v>
      </c>
      <c r="D1206" s="1" t="s">
        <v>738</v>
      </c>
      <c r="E1206" s="1" t="s">
        <v>6076</v>
      </c>
      <c r="F1206" s="1" t="s">
        <v>6076</v>
      </c>
      <c r="G1206" s="1" t="s">
        <v>6725</v>
      </c>
      <c r="H1206">
        <v>1991</v>
      </c>
      <c r="I1206">
        <v>1994</v>
      </c>
      <c r="J1206">
        <f t="shared" si="36"/>
        <v>4</v>
      </c>
      <c r="K1206" s="1" t="s">
        <v>6076</v>
      </c>
      <c r="L1206" s="1" t="s">
        <v>6076</v>
      </c>
      <c r="M1206">
        <f t="shared" si="37"/>
        <v>32</v>
      </c>
      <c r="N1206" t="s">
        <v>640</v>
      </c>
    </row>
    <row r="1207" spans="1:14" x14ac:dyDescent="0.3">
      <c r="A1207" s="1" t="s">
        <v>6726</v>
      </c>
      <c r="B1207" s="1" t="s">
        <v>795</v>
      </c>
      <c r="C1207" s="1" t="s">
        <v>6727</v>
      </c>
      <c r="D1207" s="1" t="s">
        <v>738</v>
      </c>
      <c r="E1207" s="1" t="s">
        <v>6076</v>
      </c>
      <c r="F1207" s="1" t="s">
        <v>6076</v>
      </c>
      <c r="G1207" s="1" t="s">
        <v>6725</v>
      </c>
      <c r="H1207">
        <v>1991</v>
      </c>
      <c r="I1207">
        <v>1995</v>
      </c>
      <c r="J1207">
        <f t="shared" si="36"/>
        <v>5</v>
      </c>
      <c r="K1207" s="1" t="s">
        <v>6076</v>
      </c>
      <c r="L1207" s="1" t="s">
        <v>6076</v>
      </c>
      <c r="M1207">
        <f t="shared" si="37"/>
        <v>31</v>
      </c>
      <c r="N1207" t="s">
        <v>640</v>
      </c>
    </row>
    <row r="1208" spans="1:14" x14ac:dyDescent="0.3">
      <c r="A1208" s="1" t="s">
        <v>6728</v>
      </c>
      <c r="B1208" s="1" t="s">
        <v>3790</v>
      </c>
      <c r="C1208" s="1" t="s">
        <v>6729</v>
      </c>
      <c r="D1208" s="1" t="s">
        <v>746</v>
      </c>
      <c r="E1208" s="1" t="s">
        <v>6076</v>
      </c>
      <c r="F1208" s="1" t="s">
        <v>6076</v>
      </c>
      <c r="G1208" s="1" t="s">
        <v>3792</v>
      </c>
      <c r="H1208">
        <v>2013</v>
      </c>
      <c r="I1208">
        <v>2017</v>
      </c>
      <c r="J1208">
        <f t="shared" si="36"/>
        <v>5</v>
      </c>
      <c r="K1208" s="1" t="s">
        <v>6076</v>
      </c>
      <c r="L1208" s="1" t="s">
        <v>6076</v>
      </c>
      <c r="M1208">
        <f t="shared" si="37"/>
        <v>9</v>
      </c>
      <c r="N1208" t="s">
        <v>650</v>
      </c>
    </row>
    <row r="1209" spans="1:14" x14ac:dyDescent="0.3">
      <c r="A1209" s="1" t="s">
        <v>6730</v>
      </c>
      <c r="B1209" s="1" t="s">
        <v>3790</v>
      </c>
      <c r="C1209" s="1" t="s">
        <v>6731</v>
      </c>
      <c r="D1209" s="1" t="s">
        <v>746</v>
      </c>
      <c r="E1209" s="1" t="s">
        <v>6076</v>
      </c>
      <c r="F1209" s="1" t="s">
        <v>6076</v>
      </c>
      <c r="G1209" s="1" t="s">
        <v>3792</v>
      </c>
      <c r="H1209">
        <v>2013</v>
      </c>
      <c r="I1209">
        <v>2017</v>
      </c>
      <c r="J1209">
        <f t="shared" si="36"/>
        <v>5</v>
      </c>
      <c r="K1209" s="1" t="s">
        <v>6076</v>
      </c>
      <c r="L1209" s="1" t="s">
        <v>6076</v>
      </c>
      <c r="M1209">
        <f t="shared" si="37"/>
        <v>9</v>
      </c>
      <c r="N1209" t="s">
        <v>650</v>
      </c>
    </row>
    <row r="1210" spans="1:14" x14ac:dyDescent="0.3">
      <c r="A1210" s="1" t="s">
        <v>6732</v>
      </c>
      <c r="B1210" s="1" t="s">
        <v>3790</v>
      </c>
      <c r="C1210" s="1" t="s">
        <v>6733</v>
      </c>
      <c r="D1210" s="1" t="s">
        <v>738</v>
      </c>
      <c r="E1210" s="1" t="s">
        <v>6076</v>
      </c>
      <c r="F1210" s="1" t="s">
        <v>6076</v>
      </c>
      <c r="G1210" s="1" t="s">
        <v>3792</v>
      </c>
      <c r="H1210">
        <v>2013</v>
      </c>
      <c r="I1210">
        <v>2018</v>
      </c>
      <c r="J1210">
        <f t="shared" si="36"/>
        <v>6</v>
      </c>
      <c r="K1210" s="1" t="s">
        <v>6076</v>
      </c>
      <c r="L1210" s="1" t="s">
        <v>6076</v>
      </c>
      <c r="M1210">
        <f t="shared" si="37"/>
        <v>8</v>
      </c>
      <c r="N1210" t="s">
        <v>650</v>
      </c>
    </row>
    <row r="1211" spans="1:14" hidden="1" x14ac:dyDescent="0.3">
      <c r="A1211" s="1" t="s">
        <v>3789</v>
      </c>
      <c r="B1211" s="1" t="s">
        <v>3790</v>
      </c>
      <c r="C1211" s="1" t="s">
        <v>3791</v>
      </c>
      <c r="D1211" s="1" t="s">
        <v>738</v>
      </c>
      <c r="E1211" s="1" t="s">
        <v>739</v>
      </c>
      <c r="F1211" s="1" t="s">
        <v>781</v>
      </c>
      <c r="G1211" s="1" t="s">
        <v>3792</v>
      </c>
      <c r="H1211">
        <v>2015</v>
      </c>
      <c r="I1211">
        <v>2018</v>
      </c>
      <c r="J1211">
        <f t="shared" si="36"/>
        <v>4</v>
      </c>
      <c r="K1211" s="1" t="s">
        <v>3665</v>
      </c>
      <c r="L1211" s="1" t="s">
        <v>3793</v>
      </c>
      <c r="M1211">
        <f t="shared" si="37"/>
        <v>8</v>
      </c>
      <c r="N1211" t="s">
        <v>650</v>
      </c>
    </row>
    <row r="1212" spans="1:14" x14ac:dyDescent="0.3">
      <c r="A1212" s="1" t="s">
        <v>6734</v>
      </c>
      <c r="B1212" s="1" t="s">
        <v>1205</v>
      </c>
      <c r="C1212" s="1" t="s">
        <v>6735</v>
      </c>
      <c r="D1212" s="1" t="s">
        <v>738</v>
      </c>
      <c r="E1212" s="1" t="s">
        <v>6076</v>
      </c>
      <c r="F1212" s="1" t="s">
        <v>6076</v>
      </c>
      <c r="G1212" s="1" t="s">
        <v>6736</v>
      </c>
      <c r="H1212">
        <v>1993</v>
      </c>
      <c r="I1212">
        <v>1995</v>
      </c>
      <c r="J1212">
        <f t="shared" si="36"/>
        <v>3</v>
      </c>
      <c r="K1212" s="1" t="s">
        <v>6076</v>
      </c>
      <c r="L1212" s="1" t="s">
        <v>6076</v>
      </c>
      <c r="M1212">
        <f t="shared" si="37"/>
        <v>31</v>
      </c>
      <c r="N1212" t="s">
        <v>640</v>
      </c>
    </row>
    <row r="1213" spans="1:14" x14ac:dyDescent="0.3">
      <c r="A1213" s="1" t="s">
        <v>6737</v>
      </c>
      <c r="B1213" s="1" t="s">
        <v>1205</v>
      </c>
      <c r="C1213" s="1" t="s">
        <v>6738</v>
      </c>
      <c r="D1213" s="1" t="s">
        <v>738</v>
      </c>
      <c r="E1213" s="1" t="s">
        <v>6076</v>
      </c>
      <c r="F1213" s="1" t="s">
        <v>6076</v>
      </c>
      <c r="G1213" s="1" t="s">
        <v>6736</v>
      </c>
      <c r="H1213">
        <v>1992</v>
      </c>
      <c r="I1213">
        <v>1993</v>
      </c>
      <c r="J1213">
        <f t="shared" si="36"/>
        <v>2</v>
      </c>
      <c r="K1213" s="1" t="s">
        <v>6076</v>
      </c>
      <c r="L1213" s="1" t="s">
        <v>6076</v>
      </c>
      <c r="M1213">
        <f t="shared" si="37"/>
        <v>33</v>
      </c>
      <c r="N1213" t="s">
        <v>640</v>
      </c>
    </row>
    <row r="1214" spans="1:14" hidden="1" x14ac:dyDescent="0.3">
      <c r="A1214" s="1" t="s">
        <v>870</v>
      </c>
      <c r="B1214" s="1" t="s">
        <v>795</v>
      </c>
      <c r="C1214" s="1" t="s">
        <v>871</v>
      </c>
      <c r="D1214" s="1" t="s">
        <v>746</v>
      </c>
      <c r="E1214" s="1" t="s">
        <v>747</v>
      </c>
      <c r="F1214" s="1" t="s">
        <v>748</v>
      </c>
      <c r="G1214" s="1" t="s">
        <v>872</v>
      </c>
      <c r="H1214">
        <v>2003</v>
      </c>
      <c r="I1214">
        <v>2005</v>
      </c>
      <c r="J1214">
        <f t="shared" si="36"/>
        <v>3</v>
      </c>
      <c r="K1214" s="1" t="s">
        <v>741</v>
      </c>
      <c r="L1214" s="1" t="s">
        <v>798</v>
      </c>
      <c r="M1214">
        <f t="shared" si="37"/>
        <v>21</v>
      </c>
      <c r="N1214" t="s">
        <v>650</v>
      </c>
    </row>
    <row r="1215" spans="1:14" hidden="1" x14ac:dyDescent="0.3">
      <c r="A1215" s="1" t="s">
        <v>873</v>
      </c>
      <c r="B1215" s="1" t="s">
        <v>795</v>
      </c>
      <c r="C1215" s="1" t="s">
        <v>874</v>
      </c>
      <c r="D1215" s="1" t="s">
        <v>746</v>
      </c>
      <c r="E1215" s="1" t="s">
        <v>747</v>
      </c>
      <c r="F1215" s="1" t="s">
        <v>748</v>
      </c>
      <c r="G1215" s="1" t="s">
        <v>872</v>
      </c>
      <c r="H1215">
        <v>2001</v>
      </c>
      <c r="I1215">
        <v>2005</v>
      </c>
      <c r="J1215">
        <f t="shared" si="36"/>
        <v>5</v>
      </c>
      <c r="K1215" s="1" t="s">
        <v>741</v>
      </c>
      <c r="L1215" s="1" t="s">
        <v>798</v>
      </c>
      <c r="M1215">
        <f t="shared" si="37"/>
        <v>21</v>
      </c>
      <c r="N1215" t="s">
        <v>650</v>
      </c>
    </row>
    <row r="1216" spans="1:14" hidden="1" x14ac:dyDescent="0.3">
      <c r="A1216" s="1" t="s">
        <v>875</v>
      </c>
      <c r="B1216" s="1" t="s">
        <v>795</v>
      </c>
      <c r="C1216" s="1" t="s">
        <v>876</v>
      </c>
      <c r="D1216" s="1" t="s">
        <v>746</v>
      </c>
      <c r="E1216" s="1" t="s">
        <v>747</v>
      </c>
      <c r="F1216" s="1" t="s">
        <v>748</v>
      </c>
      <c r="G1216" s="1" t="s">
        <v>872</v>
      </c>
      <c r="H1216">
        <v>2004</v>
      </c>
      <c r="I1216">
        <v>2007</v>
      </c>
      <c r="J1216">
        <f t="shared" si="36"/>
        <v>4</v>
      </c>
      <c r="K1216" s="1" t="s">
        <v>741</v>
      </c>
      <c r="L1216" s="1" t="s">
        <v>798</v>
      </c>
      <c r="M1216">
        <f t="shared" si="37"/>
        <v>19</v>
      </c>
      <c r="N1216" t="s">
        <v>650</v>
      </c>
    </row>
    <row r="1217" spans="1:14" hidden="1" x14ac:dyDescent="0.3">
      <c r="A1217" s="1" t="s">
        <v>877</v>
      </c>
      <c r="B1217" s="1" t="s">
        <v>795</v>
      </c>
      <c r="C1217" s="1" t="s">
        <v>878</v>
      </c>
      <c r="D1217" s="1" t="s">
        <v>746</v>
      </c>
      <c r="E1217" s="1" t="s">
        <v>747</v>
      </c>
      <c r="F1217" s="1" t="s">
        <v>748</v>
      </c>
      <c r="G1217" s="1" t="s">
        <v>872</v>
      </c>
      <c r="H1217">
        <v>2003</v>
      </c>
      <c r="I1217">
        <v>2007</v>
      </c>
      <c r="J1217">
        <f t="shared" si="36"/>
        <v>5</v>
      </c>
      <c r="K1217" s="1" t="s">
        <v>741</v>
      </c>
      <c r="L1217" s="1" t="s">
        <v>798</v>
      </c>
      <c r="M1217">
        <f t="shared" si="37"/>
        <v>19</v>
      </c>
      <c r="N1217" t="s">
        <v>650</v>
      </c>
    </row>
    <row r="1218" spans="1:14" hidden="1" x14ac:dyDescent="0.3">
      <c r="A1218" s="1" t="s">
        <v>879</v>
      </c>
      <c r="B1218" s="1" t="s">
        <v>795</v>
      </c>
      <c r="C1218" s="1" t="s">
        <v>880</v>
      </c>
      <c r="D1218" s="1" t="s">
        <v>746</v>
      </c>
      <c r="E1218" s="1" t="s">
        <v>747</v>
      </c>
      <c r="F1218" s="1" t="s">
        <v>748</v>
      </c>
      <c r="G1218" s="1" t="s">
        <v>872</v>
      </c>
      <c r="H1218">
        <v>2014</v>
      </c>
      <c r="I1218">
        <v>2014</v>
      </c>
      <c r="J1218">
        <f t="shared" si="36"/>
        <v>1</v>
      </c>
      <c r="K1218" s="1" t="s">
        <v>741</v>
      </c>
      <c r="L1218" s="1" t="s">
        <v>798</v>
      </c>
      <c r="M1218">
        <f t="shared" si="37"/>
        <v>12</v>
      </c>
      <c r="N1218" t="s">
        <v>650</v>
      </c>
    </row>
    <row r="1219" spans="1:14" hidden="1" x14ac:dyDescent="0.3">
      <c r="A1219" s="1" t="s">
        <v>881</v>
      </c>
      <c r="B1219" s="1" t="s">
        <v>795</v>
      </c>
      <c r="C1219" s="1" t="s">
        <v>882</v>
      </c>
      <c r="D1219" s="1" t="s">
        <v>746</v>
      </c>
      <c r="E1219" s="1" t="s">
        <v>747</v>
      </c>
      <c r="F1219" s="1" t="s">
        <v>748</v>
      </c>
      <c r="G1219" s="1" t="s">
        <v>872</v>
      </c>
      <c r="H1219">
        <v>2005</v>
      </c>
      <c r="I1219">
        <v>2006</v>
      </c>
      <c r="J1219">
        <f t="shared" si="36"/>
        <v>2</v>
      </c>
      <c r="K1219" s="1" t="s">
        <v>741</v>
      </c>
      <c r="L1219" s="1" t="s">
        <v>798</v>
      </c>
      <c r="M1219">
        <f t="shared" si="37"/>
        <v>20</v>
      </c>
      <c r="N1219" t="s">
        <v>650</v>
      </c>
    </row>
    <row r="1220" spans="1:14" hidden="1" x14ac:dyDescent="0.3">
      <c r="A1220" s="1" t="s">
        <v>883</v>
      </c>
      <c r="B1220" s="1" t="s">
        <v>795</v>
      </c>
      <c r="C1220" s="1" t="s">
        <v>884</v>
      </c>
      <c r="D1220" s="1" t="s">
        <v>746</v>
      </c>
      <c r="E1220" s="1" t="s">
        <v>747</v>
      </c>
      <c r="F1220" s="1" t="s">
        <v>748</v>
      </c>
      <c r="G1220" s="1" t="s">
        <v>872</v>
      </c>
      <c r="H1220">
        <v>2005</v>
      </c>
      <c r="I1220">
        <v>2006</v>
      </c>
      <c r="J1220">
        <f t="shared" si="36"/>
        <v>2</v>
      </c>
      <c r="K1220" s="1" t="s">
        <v>741</v>
      </c>
      <c r="L1220" s="1" t="s">
        <v>798</v>
      </c>
      <c r="M1220">
        <f t="shared" si="37"/>
        <v>20</v>
      </c>
      <c r="N1220" t="s">
        <v>650</v>
      </c>
    </row>
    <row r="1221" spans="1:14" hidden="1" x14ac:dyDescent="0.3">
      <c r="A1221" s="1" t="s">
        <v>885</v>
      </c>
      <c r="B1221" s="1" t="s">
        <v>795</v>
      </c>
      <c r="C1221" s="1" t="s">
        <v>886</v>
      </c>
      <c r="D1221" s="1" t="s">
        <v>746</v>
      </c>
      <c r="E1221" s="1" t="s">
        <v>747</v>
      </c>
      <c r="F1221" s="1" t="s">
        <v>748</v>
      </c>
      <c r="G1221" s="1" t="s">
        <v>872</v>
      </c>
      <c r="H1221">
        <v>2005</v>
      </c>
      <c r="I1221">
        <v>2007</v>
      </c>
      <c r="J1221">
        <f t="shared" si="36"/>
        <v>3</v>
      </c>
      <c r="K1221" s="1" t="s">
        <v>741</v>
      </c>
      <c r="L1221" s="1" t="s">
        <v>798</v>
      </c>
      <c r="M1221">
        <f t="shared" si="37"/>
        <v>19</v>
      </c>
      <c r="N1221" t="s">
        <v>650</v>
      </c>
    </row>
    <row r="1222" spans="1:14" hidden="1" x14ac:dyDescent="0.3">
      <c r="A1222" s="1" t="s">
        <v>887</v>
      </c>
      <c r="B1222" s="1" t="s">
        <v>795</v>
      </c>
      <c r="C1222" s="1" t="s">
        <v>888</v>
      </c>
      <c r="D1222" s="1" t="s">
        <v>746</v>
      </c>
      <c r="E1222" s="1" t="s">
        <v>747</v>
      </c>
      <c r="F1222" s="1" t="s">
        <v>748</v>
      </c>
      <c r="G1222" s="1" t="s">
        <v>872</v>
      </c>
      <c r="H1222">
        <v>2005</v>
      </c>
      <c r="I1222">
        <v>2007</v>
      </c>
      <c r="J1222">
        <f t="shared" ref="J1222:J1285" si="38">1+(I1222-H1222)</f>
        <v>3</v>
      </c>
      <c r="K1222" s="1" t="s">
        <v>741</v>
      </c>
      <c r="L1222" s="1" t="s">
        <v>798</v>
      </c>
      <c r="M1222">
        <f t="shared" ref="M1222:M1285" si="39">IF(I1222=0,0,$B$2-I1222)</f>
        <v>19</v>
      </c>
      <c r="N1222" t="s">
        <v>650</v>
      </c>
    </row>
    <row r="1223" spans="1:14" hidden="1" x14ac:dyDescent="0.3">
      <c r="A1223" s="1" t="s">
        <v>889</v>
      </c>
      <c r="B1223" s="1" t="s">
        <v>795</v>
      </c>
      <c r="C1223" s="1" t="s">
        <v>890</v>
      </c>
      <c r="D1223" s="1" t="s">
        <v>746</v>
      </c>
      <c r="E1223" s="1" t="s">
        <v>747</v>
      </c>
      <c r="F1223" s="1" t="s">
        <v>748</v>
      </c>
      <c r="G1223" s="1" t="s">
        <v>872</v>
      </c>
      <c r="H1223">
        <v>2006</v>
      </c>
      <c r="I1223">
        <v>2014</v>
      </c>
      <c r="J1223">
        <f t="shared" si="38"/>
        <v>9</v>
      </c>
      <c r="K1223" s="1" t="s">
        <v>741</v>
      </c>
      <c r="L1223" s="1" t="s">
        <v>798</v>
      </c>
      <c r="M1223">
        <f t="shared" si="39"/>
        <v>12</v>
      </c>
      <c r="N1223" t="s">
        <v>650</v>
      </c>
    </row>
    <row r="1224" spans="1:14" hidden="1" x14ac:dyDescent="0.3">
      <c r="A1224" s="1" t="s">
        <v>891</v>
      </c>
      <c r="B1224" s="1" t="s">
        <v>795</v>
      </c>
      <c r="C1224" s="1" t="s">
        <v>892</v>
      </c>
      <c r="D1224" s="1" t="s">
        <v>746</v>
      </c>
      <c r="E1224" s="1" t="s">
        <v>747</v>
      </c>
      <c r="F1224" s="1" t="s">
        <v>748</v>
      </c>
      <c r="G1224" s="1" t="s">
        <v>872</v>
      </c>
      <c r="H1224">
        <v>2006</v>
      </c>
      <c r="I1224">
        <v>2014</v>
      </c>
      <c r="J1224">
        <f t="shared" si="38"/>
        <v>9</v>
      </c>
      <c r="K1224" s="1" t="s">
        <v>741</v>
      </c>
      <c r="L1224" s="1" t="s">
        <v>798</v>
      </c>
      <c r="M1224">
        <f t="shared" si="39"/>
        <v>12</v>
      </c>
      <c r="N1224" t="s">
        <v>650</v>
      </c>
    </row>
    <row r="1225" spans="1:14" hidden="1" x14ac:dyDescent="0.3">
      <c r="A1225" s="1" t="s">
        <v>893</v>
      </c>
      <c r="B1225" s="1" t="s">
        <v>795</v>
      </c>
      <c r="C1225" s="1" t="s">
        <v>894</v>
      </c>
      <c r="D1225" s="1" t="s">
        <v>746</v>
      </c>
      <c r="E1225" s="1" t="s">
        <v>747</v>
      </c>
      <c r="F1225" s="1" t="s">
        <v>748</v>
      </c>
      <c r="G1225" s="1" t="s">
        <v>872</v>
      </c>
      <c r="H1225">
        <v>2006</v>
      </c>
      <c r="I1225">
        <v>2011</v>
      </c>
      <c r="J1225">
        <f t="shared" si="38"/>
        <v>6</v>
      </c>
      <c r="K1225" s="1" t="s">
        <v>741</v>
      </c>
      <c r="L1225" s="1" t="s">
        <v>798</v>
      </c>
      <c r="M1225">
        <f t="shared" si="39"/>
        <v>15</v>
      </c>
      <c r="N1225" t="s">
        <v>650</v>
      </c>
    </row>
    <row r="1226" spans="1:14" hidden="1" x14ac:dyDescent="0.3">
      <c r="A1226" s="1" t="s">
        <v>895</v>
      </c>
      <c r="B1226" s="1" t="s">
        <v>795</v>
      </c>
      <c r="C1226" s="1" t="s">
        <v>896</v>
      </c>
      <c r="D1226" s="1" t="s">
        <v>746</v>
      </c>
      <c r="E1226" s="1" t="s">
        <v>747</v>
      </c>
      <c r="F1226" s="1" t="s">
        <v>748</v>
      </c>
      <c r="G1226" s="1" t="s">
        <v>872</v>
      </c>
      <c r="H1226">
        <v>2005</v>
      </c>
      <c r="I1226">
        <v>2005</v>
      </c>
      <c r="J1226">
        <f t="shared" si="38"/>
        <v>1</v>
      </c>
      <c r="K1226" s="1" t="s">
        <v>741</v>
      </c>
      <c r="L1226" s="1" t="s">
        <v>798</v>
      </c>
      <c r="M1226">
        <f t="shared" si="39"/>
        <v>21</v>
      </c>
      <c r="N1226" t="s">
        <v>650</v>
      </c>
    </row>
    <row r="1227" spans="1:14" hidden="1" x14ac:dyDescent="0.3">
      <c r="A1227" s="1" t="s">
        <v>897</v>
      </c>
      <c r="B1227" s="1" t="s">
        <v>795</v>
      </c>
      <c r="C1227" s="1" t="s">
        <v>898</v>
      </c>
      <c r="D1227" s="1" t="s">
        <v>746</v>
      </c>
      <c r="E1227" s="1" t="s">
        <v>747</v>
      </c>
      <c r="F1227" s="1" t="s">
        <v>748</v>
      </c>
      <c r="G1227" s="1" t="s">
        <v>872</v>
      </c>
      <c r="H1227">
        <v>2005</v>
      </c>
      <c r="I1227">
        <v>2005</v>
      </c>
      <c r="J1227">
        <f t="shared" si="38"/>
        <v>1</v>
      </c>
      <c r="K1227" s="1" t="s">
        <v>741</v>
      </c>
      <c r="L1227" s="1" t="s">
        <v>798</v>
      </c>
      <c r="M1227">
        <f t="shared" si="39"/>
        <v>21</v>
      </c>
      <c r="N1227" t="s">
        <v>650</v>
      </c>
    </row>
    <row r="1228" spans="1:14" hidden="1" x14ac:dyDescent="0.3">
      <c r="A1228" s="1" t="s">
        <v>899</v>
      </c>
      <c r="B1228" s="1" t="s">
        <v>795</v>
      </c>
      <c r="C1228" s="1" t="s">
        <v>900</v>
      </c>
      <c r="D1228" s="1" t="s">
        <v>746</v>
      </c>
      <c r="E1228" s="1" t="s">
        <v>747</v>
      </c>
      <c r="F1228" s="1" t="s">
        <v>748</v>
      </c>
      <c r="G1228" s="1" t="s">
        <v>872</v>
      </c>
      <c r="H1228">
        <v>2005</v>
      </c>
      <c r="I1228">
        <v>2007</v>
      </c>
      <c r="J1228">
        <f t="shared" si="38"/>
        <v>3</v>
      </c>
      <c r="K1228" s="1" t="s">
        <v>741</v>
      </c>
      <c r="L1228" s="1" t="s">
        <v>798</v>
      </c>
      <c r="M1228">
        <f t="shared" si="39"/>
        <v>19</v>
      </c>
      <c r="N1228" t="s">
        <v>650</v>
      </c>
    </row>
    <row r="1229" spans="1:14" hidden="1" x14ac:dyDescent="0.3">
      <c r="A1229" s="1" t="s">
        <v>901</v>
      </c>
      <c r="B1229" s="1" t="s">
        <v>795</v>
      </c>
      <c r="C1229" s="1" t="s">
        <v>902</v>
      </c>
      <c r="D1229" s="1" t="s">
        <v>746</v>
      </c>
      <c r="E1229" s="1" t="s">
        <v>747</v>
      </c>
      <c r="F1229" s="1" t="s">
        <v>748</v>
      </c>
      <c r="G1229" s="1" t="s">
        <v>872</v>
      </c>
      <c r="H1229">
        <v>2005</v>
      </c>
      <c r="I1229">
        <v>2007</v>
      </c>
      <c r="J1229">
        <f t="shared" si="38"/>
        <v>3</v>
      </c>
      <c r="K1229" s="1" t="s">
        <v>741</v>
      </c>
      <c r="L1229" s="1" t="s">
        <v>798</v>
      </c>
      <c r="M1229">
        <f t="shared" si="39"/>
        <v>19</v>
      </c>
      <c r="N1229" t="s">
        <v>650</v>
      </c>
    </row>
    <row r="1230" spans="1:14" hidden="1" x14ac:dyDescent="0.3">
      <c r="A1230" s="1" t="s">
        <v>903</v>
      </c>
      <c r="B1230" s="1" t="s">
        <v>795</v>
      </c>
      <c r="C1230" s="1" t="s">
        <v>904</v>
      </c>
      <c r="D1230" s="1" t="s">
        <v>746</v>
      </c>
      <c r="E1230" s="1" t="s">
        <v>747</v>
      </c>
      <c r="F1230" s="1" t="s">
        <v>748</v>
      </c>
      <c r="G1230" s="1" t="s">
        <v>872</v>
      </c>
      <c r="H1230">
        <v>2006</v>
      </c>
      <c r="I1230">
        <v>2016</v>
      </c>
      <c r="J1230">
        <f t="shared" si="38"/>
        <v>11</v>
      </c>
      <c r="K1230" s="1" t="s">
        <v>741</v>
      </c>
      <c r="L1230" s="1" t="s">
        <v>798</v>
      </c>
      <c r="M1230">
        <f t="shared" si="39"/>
        <v>10</v>
      </c>
      <c r="N1230" t="s">
        <v>650</v>
      </c>
    </row>
    <row r="1231" spans="1:14" hidden="1" x14ac:dyDescent="0.3">
      <c r="A1231" s="1" t="s">
        <v>905</v>
      </c>
      <c r="B1231" s="1" t="s">
        <v>795</v>
      </c>
      <c r="C1231" s="1" t="s">
        <v>906</v>
      </c>
      <c r="D1231" s="1" t="s">
        <v>746</v>
      </c>
      <c r="E1231" s="1" t="s">
        <v>747</v>
      </c>
      <c r="F1231" s="1" t="s">
        <v>748</v>
      </c>
      <c r="G1231" s="1" t="s">
        <v>872</v>
      </c>
      <c r="H1231">
        <v>2006</v>
      </c>
      <c r="I1231">
        <v>2009</v>
      </c>
      <c r="J1231">
        <f t="shared" si="38"/>
        <v>4</v>
      </c>
      <c r="K1231" s="1" t="s">
        <v>741</v>
      </c>
      <c r="L1231" s="1" t="s">
        <v>798</v>
      </c>
      <c r="M1231">
        <f t="shared" si="39"/>
        <v>17</v>
      </c>
      <c r="N1231" t="s">
        <v>650</v>
      </c>
    </row>
    <row r="1232" spans="1:14" hidden="1" x14ac:dyDescent="0.3">
      <c r="A1232" s="1" t="s">
        <v>907</v>
      </c>
      <c r="B1232" s="1" t="s">
        <v>795</v>
      </c>
      <c r="C1232" s="1" t="s">
        <v>908</v>
      </c>
      <c r="D1232" s="1" t="s">
        <v>746</v>
      </c>
      <c r="E1232" s="1" t="s">
        <v>747</v>
      </c>
      <c r="F1232" s="1" t="s">
        <v>748</v>
      </c>
      <c r="G1232" s="1" t="s">
        <v>872</v>
      </c>
      <c r="H1232">
        <v>2006</v>
      </c>
      <c r="I1232">
        <v>2009</v>
      </c>
      <c r="J1232">
        <f t="shared" si="38"/>
        <v>4</v>
      </c>
      <c r="K1232" s="1" t="s">
        <v>741</v>
      </c>
      <c r="L1232" s="1" t="s">
        <v>798</v>
      </c>
      <c r="M1232">
        <f t="shared" si="39"/>
        <v>17</v>
      </c>
      <c r="N1232" t="s">
        <v>650</v>
      </c>
    </row>
    <row r="1233" spans="1:14" x14ac:dyDescent="0.3">
      <c r="A1233" s="1" t="s">
        <v>6739</v>
      </c>
      <c r="B1233" s="1" t="s">
        <v>2667</v>
      </c>
      <c r="C1233" s="1" t="s">
        <v>6740</v>
      </c>
      <c r="D1233" s="1" t="s">
        <v>738</v>
      </c>
      <c r="E1233" s="1" t="s">
        <v>6076</v>
      </c>
      <c r="F1233" s="1" t="s">
        <v>6076</v>
      </c>
      <c r="G1233" s="1" t="s">
        <v>3796</v>
      </c>
      <c r="H1233">
        <v>2013</v>
      </c>
      <c r="I1233">
        <v>2014</v>
      </c>
      <c r="J1233">
        <f t="shared" si="38"/>
        <v>2</v>
      </c>
      <c r="K1233" s="1" t="s">
        <v>6076</v>
      </c>
      <c r="L1233" s="1" t="s">
        <v>6076</v>
      </c>
      <c r="M1233">
        <f t="shared" si="39"/>
        <v>12</v>
      </c>
      <c r="N1233" t="s">
        <v>650</v>
      </c>
    </row>
    <row r="1234" spans="1:14" hidden="1" x14ac:dyDescent="0.3">
      <c r="A1234" s="1" t="s">
        <v>3794</v>
      </c>
      <c r="B1234" s="1" t="s">
        <v>2667</v>
      </c>
      <c r="C1234" s="1" t="s">
        <v>3795</v>
      </c>
      <c r="D1234" s="1" t="s">
        <v>738</v>
      </c>
      <c r="E1234" s="1" t="s">
        <v>812</v>
      </c>
      <c r="F1234" s="1" t="s">
        <v>813</v>
      </c>
      <c r="G1234" s="1" t="s">
        <v>3796</v>
      </c>
      <c r="H1234">
        <v>2008</v>
      </c>
      <c r="I1234">
        <v>2013</v>
      </c>
      <c r="J1234">
        <f t="shared" si="38"/>
        <v>6</v>
      </c>
      <c r="K1234" s="1" t="s">
        <v>3665</v>
      </c>
      <c r="L1234" s="1" t="s">
        <v>666</v>
      </c>
      <c r="M1234">
        <f t="shared" si="39"/>
        <v>13</v>
      </c>
      <c r="N1234" t="s">
        <v>650</v>
      </c>
    </row>
    <row r="1235" spans="1:14" hidden="1" x14ac:dyDescent="0.3">
      <c r="A1235" s="1" t="s">
        <v>3797</v>
      </c>
      <c r="B1235" s="1" t="s">
        <v>2667</v>
      </c>
      <c r="C1235" s="1" t="s">
        <v>3798</v>
      </c>
      <c r="D1235" s="1" t="s">
        <v>738</v>
      </c>
      <c r="E1235" s="1" t="s">
        <v>812</v>
      </c>
      <c r="F1235" s="1" t="s">
        <v>813</v>
      </c>
      <c r="G1235" s="1" t="s">
        <v>3796</v>
      </c>
      <c r="H1235">
        <v>2013</v>
      </c>
      <c r="I1235">
        <v>2019</v>
      </c>
      <c r="J1235">
        <f t="shared" si="38"/>
        <v>7</v>
      </c>
      <c r="K1235" s="1" t="s">
        <v>3665</v>
      </c>
      <c r="L1235" s="1" t="s">
        <v>666</v>
      </c>
      <c r="M1235">
        <f t="shared" si="39"/>
        <v>7</v>
      </c>
      <c r="N1235" t="s">
        <v>650</v>
      </c>
    </row>
    <row r="1236" spans="1:14" hidden="1" x14ac:dyDescent="0.3">
      <c r="A1236" s="1" t="s">
        <v>3799</v>
      </c>
      <c r="B1236" s="1" t="s">
        <v>2667</v>
      </c>
      <c r="C1236" s="1" t="s">
        <v>3800</v>
      </c>
      <c r="D1236" s="1" t="s">
        <v>738</v>
      </c>
      <c r="E1236" s="1" t="s">
        <v>812</v>
      </c>
      <c r="F1236" s="1" t="s">
        <v>813</v>
      </c>
      <c r="G1236" s="1" t="s">
        <v>3796</v>
      </c>
      <c r="H1236">
        <v>2013</v>
      </c>
      <c r="I1236">
        <v>2022</v>
      </c>
      <c r="J1236">
        <f t="shared" si="38"/>
        <v>10</v>
      </c>
      <c r="K1236" s="1" t="s">
        <v>3665</v>
      </c>
      <c r="L1236" s="1" t="s">
        <v>666</v>
      </c>
      <c r="M1236">
        <f t="shared" si="39"/>
        <v>4</v>
      </c>
      <c r="N1236" t="s">
        <v>650</v>
      </c>
    </row>
    <row r="1237" spans="1:14" x14ac:dyDescent="0.3">
      <c r="A1237" s="1" t="s">
        <v>6741</v>
      </c>
      <c r="B1237" s="1" t="s">
        <v>2667</v>
      </c>
      <c r="C1237" s="1" t="s">
        <v>6742</v>
      </c>
      <c r="D1237" s="1" t="s">
        <v>738</v>
      </c>
      <c r="E1237" s="1" t="s">
        <v>6076</v>
      </c>
      <c r="F1237" s="1" t="s">
        <v>6076</v>
      </c>
      <c r="G1237" s="1" t="s">
        <v>3796</v>
      </c>
      <c r="H1237">
        <v>2006</v>
      </c>
      <c r="I1237">
        <v>2006</v>
      </c>
      <c r="J1237">
        <f t="shared" si="38"/>
        <v>1</v>
      </c>
      <c r="K1237" s="1" t="s">
        <v>6076</v>
      </c>
      <c r="L1237" s="1" t="s">
        <v>6076</v>
      </c>
      <c r="M1237">
        <f t="shared" si="39"/>
        <v>20</v>
      </c>
      <c r="N1237" t="s">
        <v>640</v>
      </c>
    </row>
    <row r="1238" spans="1:14" hidden="1" x14ac:dyDescent="0.3">
      <c r="A1238" s="1" t="s">
        <v>4883</v>
      </c>
      <c r="B1238" s="1" t="s">
        <v>2667</v>
      </c>
      <c r="C1238" s="1" t="s">
        <v>4884</v>
      </c>
      <c r="D1238" s="1" t="s">
        <v>738</v>
      </c>
      <c r="E1238" s="1" t="s">
        <v>812</v>
      </c>
      <c r="F1238" s="1" t="s">
        <v>813</v>
      </c>
      <c r="G1238" s="1" t="s">
        <v>3796</v>
      </c>
      <c r="H1238">
        <v>2006</v>
      </c>
      <c r="I1238">
        <v>2006</v>
      </c>
      <c r="J1238">
        <f t="shared" si="38"/>
        <v>1</v>
      </c>
      <c r="K1238" s="1" t="s">
        <v>4668</v>
      </c>
      <c r="L1238" s="1" t="s">
        <v>3793</v>
      </c>
      <c r="M1238">
        <f t="shared" si="39"/>
        <v>20</v>
      </c>
      <c r="N1238" t="s">
        <v>640</v>
      </c>
    </row>
    <row r="1239" spans="1:14" x14ac:dyDescent="0.3">
      <c r="A1239" s="1" t="s">
        <v>6743</v>
      </c>
      <c r="B1239" s="1" t="s">
        <v>2667</v>
      </c>
      <c r="C1239" s="1" t="s">
        <v>6744</v>
      </c>
      <c r="D1239" s="1" t="s">
        <v>738</v>
      </c>
      <c r="E1239" s="1" t="s">
        <v>6076</v>
      </c>
      <c r="F1239" s="1" t="s">
        <v>6076</v>
      </c>
      <c r="G1239" s="1" t="s">
        <v>3796</v>
      </c>
      <c r="H1239">
        <v>2011</v>
      </c>
      <c r="I1239">
        <v>2013</v>
      </c>
      <c r="J1239">
        <f t="shared" si="38"/>
        <v>3</v>
      </c>
      <c r="K1239" s="1" t="s">
        <v>6076</v>
      </c>
      <c r="L1239" s="1" t="s">
        <v>6076</v>
      </c>
      <c r="M1239">
        <f t="shared" si="39"/>
        <v>13</v>
      </c>
      <c r="N1239" t="s">
        <v>650</v>
      </c>
    </row>
    <row r="1240" spans="1:14" x14ac:dyDescent="0.3">
      <c r="A1240" s="1" t="s">
        <v>6745</v>
      </c>
      <c r="B1240" s="1" t="s">
        <v>2667</v>
      </c>
      <c r="C1240" s="1" t="s">
        <v>6746</v>
      </c>
      <c r="D1240" s="1" t="s">
        <v>738</v>
      </c>
      <c r="E1240" s="1" t="s">
        <v>6076</v>
      </c>
      <c r="F1240" s="1" t="s">
        <v>6076</v>
      </c>
      <c r="G1240" s="1" t="s">
        <v>3796</v>
      </c>
      <c r="H1240">
        <v>2020</v>
      </c>
      <c r="I1240">
        <v>2022</v>
      </c>
      <c r="J1240">
        <f t="shared" si="38"/>
        <v>3</v>
      </c>
      <c r="K1240" s="1" t="s">
        <v>6076</v>
      </c>
      <c r="L1240" s="1" t="s">
        <v>6076</v>
      </c>
      <c r="M1240">
        <f t="shared" si="39"/>
        <v>4</v>
      </c>
      <c r="N1240" t="s">
        <v>650</v>
      </c>
    </row>
    <row r="1241" spans="1:14" x14ac:dyDescent="0.3">
      <c r="A1241" s="1" t="s">
        <v>6747</v>
      </c>
      <c r="B1241" s="1" t="s">
        <v>2667</v>
      </c>
      <c r="C1241" s="1" t="s">
        <v>6748</v>
      </c>
      <c r="D1241" s="1" t="s">
        <v>644</v>
      </c>
      <c r="E1241" s="1" t="s">
        <v>6076</v>
      </c>
      <c r="F1241" s="1" t="s">
        <v>6076</v>
      </c>
      <c r="G1241" s="1" t="s">
        <v>6749</v>
      </c>
      <c r="H1241">
        <v>1993</v>
      </c>
      <c r="I1241">
        <v>1996</v>
      </c>
      <c r="J1241">
        <f t="shared" si="38"/>
        <v>4</v>
      </c>
      <c r="K1241" s="1" t="s">
        <v>6076</v>
      </c>
      <c r="L1241" s="1" t="s">
        <v>6076</v>
      </c>
      <c r="M1241">
        <f t="shared" si="39"/>
        <v>30</v>
      </c>
      <c r="N1241" t="s">
        <v>640</v>
      </c>
    </row>
    <row r="1242" spans="1:14" x14ac:dyDescent="0.3">
      <c r="A1242" s="1" t="s">
        <v>6750</v>
      </c>
      <c r="B1242" s="1" t="s">
        <v>2783</v>
      </c>
      <c r="C1242" s="1" t="s">
        <v>6751</v>
      </c>
      <c r="D1242" s="1" t="s">
        <v>1395</v>
      </c>
      <c r="E1242" s="1" t="s">
        <v>6076</v>
      </c>
      <c r="F1242" s="1" t="s">
        <v>6076</v>
      </c>
      <c r="G1242" s="1" t="s">
        <v>6752</v>
      </c>
      <c r="H1242">
        <v>1992</v>
      </c>
      <c r="I1242">
        <v>1994</v>
      </c>
      <c r="J1242">
        <f t="shared" si="38"/>
        <v>3</v>
      </c>
      <c r="K1242" s="1" t="s">
        <v>6076</v>
      </c>
      <c r="L1242" s="1" t="s">
        <v>6076</v>
      </c>
      <c r="M1242">
        <f t="shared" si="39"/>
        <v>32</v>
      </c>
      <c r="N1242" t="s">
        <v>640</v>
      </c>
    </row>
    <row r="1243" spans="1:14" x14ac:dyDescent="0.3">
      <c r="A1243" s="1" t="s">
        <v>6753</v>
      </c>
      <c r="B1243" s="1" t="s">
        <v>2783</v>
      </c>
      <c r="C1243" s="1" t="s">
        <v>6754</v>
      </c>
      <c r="D1243" s="1" t="s">
        <v>1395</v>
      </c>
      <c r="E1243" s="1" t="s">
        <v>6076</v>
      </c>
      <c r="F1243" s="1" t="s">
        <v>6076</v>
      </c>
      <c r="G1243" s="1" t="s">
        <v>6752</v>
      </c>
      <c r="H1243">
        <v>2014</v>
      </c>
      <c r="I1243">
        <v>2015</v>
      </c>
      <c r="J1243">
        <f t="shared" si="38"/>
        <v>2</v>
      </c>
      <c r="K1243" s="1" t="s">
        <v>6076</v>
      </c>
      <c r="L1243" s="1" t="s">
        <v>6076</v>
      </c>
      <c r="M1243">
        <f t="shared" si="39"/>
        <v>11</v>
      </c>
      <c r="N1243" t="s">
        <v>650</v>
      </c>
    </row>
    <row r="1244" spans="1:14" x14ac:dyDescent="0.3">
      <c r="A1244" s="1" t="s">
        <v>6755</v>
      </c>
      <c r="B1244" s="1" t="s">
        <v>2783</v>
      </c>
      <c r="C1244" s="1" t="s">
        <v>6756</v>
      </c>
      <c r="D1244" s="1" t="s">
        <v>1395</v>
      </c>
      <c r="E1244" s="1" t="s">
        <v>6076</v>
      </c>
      <c r="F1244" s="1" t="s">
        <v>6076</v>
      </c>
      <c r="G1244" s="1" t="s">
        <v>6752</v>
      </c>
      <c r="H1244">
        <v>2009</v>
      </c>
      <c r="I1244">
        <v>2012</v>
      </c>
      <c r="J1244">
        <f t="shared" si="38"/>
        <v>4</v>
      </c>
      <c r="K1244" s="1" t="s">
        <v>6076</v>
      </c>
      <c r="L1244" s="1" t="s">
        <v>6076</v>
      </c>
      <c r="M1244">
        <f t="shared" si="39"/>
        <v>14</v>
      </c>
      <c r="N1244" t="s">
        <v>650</v>
      </c>
    </row>
    <row r="1245" spans="1:14" x14ac:dyDescent="0.3">
      <c r="A1245" s="1" t="s">
        <v>6757</v>
      </c>
      <c r="B1245" s="1" t="s">
        <v>2783</v>
      </c>
      <c r="C1245" s="1" t="s">
        <v>6758</v>
      </c>
      <c r="D1245" s="1" t="s">
        <v>1395</v>
      </c>
      <c r="E1245" s="1" t="s">
        <v>6076</v>
      </c>
      <c r="F1245" s="1" t="s">
        <v>6076</v>
      </c>
      <c r="G1245" s="1" t="s">
        <v>6752</v>
      </c>
      <c r="H1245">
        <v>2015</v>
      </c>
      <c r="I1245">
        <v>2015</v>
      </c>
      <c r="J1245">
        <f t="shared" si="38"/>
        <v>1</v>
      </c>
      <c r="K1245" s="1" t="s">
        <v>6076</v>
      </c>
      <c r="L1245" s="1" t="s">
        <v>6076</v>
      </c>
      <c r="M1245">
        <f t="shared" si="39"/>
        <v>11</v>
      </c>
      <c r="N1245" t="s">
        <v>650</v>
      </c>
    </row>
    <row r="1246" spans="1:14" x14ac:dyDescent="0.3">
      <c r="A1246" s="1" t="s">
        <v>6759</v>
      </c>
      <c r="B1246" s="1" t="s">
        <v>2783</v>
      </c>
      <c r="C1246" s="1" t="s">
        <v>6760</v>
      </c>
      <c r="D1246" s="1" t="s">
        <v>1395</v>
      </c>
      <c r="E1246" s="1" t="s">
        <v>6076</v>
      </c>
      <c r="F1246" s="1" t="s">
        <v>6076</v>
      </c>
      <c r="G1246" s="1" t="s">
        <v>6752</v>
      </c>
      <c r="H1246">
        <v>1998</v>
      </c>
      <c r="I1246">
        <v>1998</v>
      </c>
      <c r="J1246">
        <f t="shared" si="38"/>
        <v>1</v>
      </c>
      <c r="K1246" s="1" t="s">
        <v>6076</v>
      </c>
      <c r="L1246" s="1" t="s">
        <v>6076</v>
      </c>
      <c r="M1246">
        <f t="shared" si="39"/>
        <v>28</v>
      </c>
      <c r="N1246" t="s">
        <v>640</v>
      </c>
    </row>
    <row r="1247" spans="1:14" x14ac:dyDescent="0.3">
      <c r="A1247" s="1" t="s">
        <v>6761</v>
      </c>
      <c r="B1247" s="1" t="s">
        <v>2783</v>
      </c>
      <c r="C1247" s="1" t="s">
        <v>6762</v>
      </c>
      <c r="D1247" s="1" t="s">
        <v>1395</v>
      </c>
      <c r="E1247" s="1" t="s">
        <v>6076</v>
      </c>
      <c r="F1247" s="1" t="s">
        <v>6076</v>
      </c>
      <c r="G1247" s="1" t="s">
        <v>6752</v>
      </c>
      <c r="H1247">
        <v>1999</v>
      </c>
      <c r="I1247">
        <v>2001</v>
      </c>
      <c r="J1247">
        <f t="shared" si="38"/>
        <v>3</v>
      </c>
      <c r="K1247" s="1" t="s">
        <v>6076</v>
      </c>
      <c r="L1247" s="1" t="s">
        <v>6076</v>
      </c>
      <c r="M1247">
        <f t="shared" si="39"/>
        <v>25</v>
      </c>
      <c r="N1247" t="s">
        <v>640</v>
      </c>
    </row>
    <row r="1248" spans="1:14" x14ac:dyDescent="0.3">
      <c r="A1248" s="1" t="s">
        <v>6763</v>
      </c>
      <c r="B1248" s="1" t="s">
        <v>2783</v>
      </c>
      <c r="C1248" s="1" t="s">
        <v>6764</v>
      </c>
      <c r="D1248" s="1" t="s">
        <v>1395</v>
      </c>
      <c r="E1248" s="1" t="s">
        <v>6076</v>
      </c>
      <c r="F1248" s="1" t="s">
        <v>6076</v>
      </c>
      <c r="G1248" s="1" t="s">
        <v>6752</v>
      </c>
      <c r="H1248">
        <v>2002</v>
      </c>
      <c r="I1248">
        <v>2012</v>
      </c>
      <c r="J1248">
        <f t="shared" si="38"/>
        <v>11</v>
      </c>
      <c r="K1248" s="1" t="s">
        <v>6076</v>
      </c>
      <c r="L1248" s="1" t="s">
        <v>6076</v>
      </c>
      <c r="M1248">
        <f t="shared" si="39"/>
        <v>14</v>
      </c>
      <c r="N1248" t="s">
        <v>650</v>
      </c>
    </row>
    <row r="1249" spans="1:14" x14ac:dyDescent="0.3">
      <c r="A1249" s="1" t="s">
        <v>6765</v>
      </c>
      <c r="B1249" s="1" t="s">
        <v>2783</v>
      </c>
      <c r="C1249" s="1" t="s">
        <v>6766</v>
      </c>
      <c r="D1249" s="1" t="s">
        <v>1395</v>
      </c>
      <c r="E1249" s="1" t="s">
        <v>6076</v>
      </c>
      <c r="F1249" s="1" t="s">
        <v>6076</v>
      </c>
      <c r="G1249" s="1" t="s">
        <v>6752</v>
      </c>
      <c r="H1249">
        <v>1995</v>
      </c>
      <c r="I1249">
        <v>2001</v>
      </c>
      <c r="J1249">
        <f t="shared" si="38"/>
        <v>7</v>
      </c>
      <c r="K1249" s="1" t="s">
        <v>6076</v>
      </c>
      <c r="L1249" s="1" t="s">
        <v>6076</v>
      </c>
      <c r="M1249">
        <f t="shared" si="39"/>
        <v>25</v>
      </c>
      <c r="N1249" t="s">
        <v>640</v>
      </c>
    </row>
    <row r="1250" spans="1:14" x14ac:dyDescent="0.3">
      <c r="A1250" s="1" t="s">
        <v>6767</v>
      </c>
      <c r="B1250" s="1" t="s">
        <v>2783</v>
      </c>
      <c r="C1250" s="1" t="s">
        <v>6768</v>
      </c>
      <c r="D1250" s="1" t="s">
        <v>1395</v>
      </c>
      <c r="E1250" s="1" t="s">
        <v>6076</v>
      </c>
      <c r="F1250" s="1" t="s">
        <v>6076</v>
      </c>
      <c r="G1250" s="1" t="s">
        <v>6752</v>
      </c>
      <c r="H1250">
        <v>2014</v>
      </c>
      <c r="I1250">
        <v>2015</v>
      </c>
      <c r="J1250">
        <f t="shared" si="38"/>
        <v>2</v>
      </c>
      <c r="K1250" s="1" t="s">
        <v>6076</v>
      </c>
      <c r="L1250" s="1" t="s">
        <v>6076</v>
      </c>
      <c r="M1250">
        <f t="shared" si="39"/>
        <v>11</v>
      </c>
      <c r="N1250" t="s">
        <v>650</v>
      </c>
    </row>
    <row r="1251" spans="1:14" x14ac:dyDescent="0.3">
      <c r="A1251" s="1" t="s">
        <v>6769</v>
      </c>
      <c r="B1251" s="1" t="s">
        <v>795</v>
      </c>
      <c r="C1251" s="1" t="s">
        <v>6770</v>
      </c>
      <c r="D1251" s="1" t="s">
        <v>738</v>
      </c>
      <c r="E1251" s="1" t="s">
        <v>6076</v>
      </c>
      <c r="F1251" s="1" t="s">
        <v>6076</v>
      </c>
      <c r="G1251" s="1" t="s">
        <v>6771</v>
      </c>
      <c r="H1251">
        <v>1992</v>
      </c>
      <c r="I1251">
        <v>1993</v>
      </c>
      <c r="J1251">
        <f t="shared" si="38"/>
        <v>2</v>
      </c>
      <c r="K1251" s="1" t="s">
        <v>6076</v>
      </c>
      <c r="L1251" s="1" t="s">
        <v>6076</v>
      </c>
      <c r="M1251">
        <f t="shared" si="39"/>
        <v>33</v>
      </c>
      <c r="N1251" t="s">
        <v>640</v>
      </c>
    </row>
    <row r="1252" spans="1:14" x14ac:dyDescent="0.3">
      <c r="A1252" s="1" t="s">
        <v>6772</v>
      </c>
      <c r="B1252" s="1" t="s">
        <v>795</v>
      </c>
      <c r="C1252" s="1" t="s">
        <v>6773</v>
      </c>
      <c r="D1252" s="1" t="s">
        <v>738</v>
      </c>
      <c r="E1252" s="1" t="s">
        <v>6076</v>
      </c>
      <c r="F1252" s="1" t="s">
        <v>6076</v>
      </c>
      <c r="G1252" s="1" t="s">
        <v>6771</v>
      </c>
      <c r="H1252">
        <v>1985</v>
      </c>
      <c r="I1252">
        <v>1993</v>
      </c>
      <c r="J1252">
        <f t="shared" si="38"/>
        <v>9</v>
      </c>
      <c r="K1252" s="1" t="s">
        <v>6076</v>
      </c>
      <c r="L1252" s="1" t="s">
        <v>6076</v>
      </c>
      <c r="M1252">
        <f t="shared" si="39"/>
        <v>33</v>
      </c>
      <c r="N1252" t="s">
        <v>640</v>
      </c>
    </row>
    <row r="1253" spans="1:14" x14ac:dyDescent="0.3">
      <c r="A1253" s="1" t="s">
        <v>6774</v>
      </c>
      <c r="B1253" s="1" t="s">
        <v>795</v>
      </c>
      <c r="C1253" s="1" t="s">
        <v>6775</v>
      </c>
      <c r="D1253" s="1" t="s">
        <v>1242</v>
      </c>
      <c r="E1253" s="1" t="s">
        <v>6076</v>
      </c>
      <c r="F1253" s="1" t="s">
        <v>6076</v>
      </c>
      <c r="G1253" s="1" t="s">
        <v>6776</v>
      </c>
      <c r="H1253">
        <v>1988</v>
      </c>
      <c r="I1253">
        <v>1988</v>
      </c>
      <c r="J1253">
        <f t="shared" si="38"/>
        <v>1</v>
      </c>
      <c r="K1253" s="1" t="s">
        <v>6076</v>
      </c>
      <c r="L1253" s="1" t="s">
        <v>6076</v>
      </c>
      <c r="M1253">
        <f t="shared" si="39"/>
        <v>38</v>
      </c>
      <c r="N1253" t="s">
        <v>640</v>
      </c>
    </row>
    <row r="1254" spans="1:14" x14ac:dyDescent="0.3">
      <c r="A1254" s="1" t="s">
        <v>6777</v>
      </c>
      <c r="B1254" s="1" t="s">
        <v>795</v>
      </c>
      <c r="C1254" s="1" t="s">
        <v>6778</v>
      </c>
      <c r="D1254" s="1" t="s">
        <v>1242</v>
      </c>
      <c r="E1254" s="1" t="s">
        <v>6076</v>
      </c>
      <c r="F1254" s="1" t="s">
        <v>6076</v>
      </c>
      <c r="G1254" s="1" t="s">
        <v>6779</v>
      </c>
      <c r="H1254">
        <v>1993</v>
      </c>
      <c r="I1254">
        <v>1995</v>
      </c>
      <c r="J1254">
        <f t="shared" si="38"/>
        <v>3</v>
      </c>
      <c r="K1254" s="1" t="s">
        <v>6076</v>
      </c>
      <c r="L1254" s="1" t="s">
        <v>6076</v>
      </c>
      <c r="M1254">
        <f t="shared" si="39"/>
        <v>31</v>
      </c>
      <c r="N1254" t="s">
        <v>640</v>
      </c>
    </row>
    <row r="1255" spans="1:14" x14ac:dyDescent="0.3">
      <c r="A1255" s="1" t="s">
        <v>6780</v>
      </c>
      <c r="B1255" s="1" t="s">
        <v>3790</v>
      </c>
      <c r="C1255" s="1" t="s">
        <v>6781</v>
      </c>
      <c r="D1255" s="1" t="s">
        <v>746</v>
      </c>
      <c r="E1255" s="1" t="s">
        <v>6076</v>
      </c>
      <c r="F1255" s="1" t="s">
        <v>6076</v>
      </c>
      <c r="G1255" s="1" t="s">
        <v>6782</v>
      </c>
      <c r="H1255">
        <v>2010</v>
      </c>
      <c r="I1255">
        <v>2012</v>
      </c>
      <c r="J1255">
        <f t="shared" si="38"/>
        <v>3</v>
      </c>
      <c r="K1255" s="1" t="s">
        <v>6076</v>
      </c>
      <c r="L1255" s="1" t="s">
        <v>6076</v>
      </c>
      <c r="M1255">
        <f t="shared" si="39"/>
        <v>14</v>
      </c>
      <c r="N1255" t="s">
        <v>650</v>
      </c>
    </row>
    <row r="1256" spans="1:14" x14ac:dyDescent="0.3">
      <c r="A1256" s="1" t="s">
        <v>6783</v>
      </c>
      <c r="B1256" s="1" t="s">
        <v>3790</v>
      </c>
      <c r="C1256" s="1" t="s">
        <v>6784</v>
      </c>
      <c r="D1256" s="1" t="s">
        <v>738</v>
      </c>
      <c r="E1256" s="1" t="s">
        <v>6076</v>
      </c>
      <c r="F1256" s="1" t="s">
        <v>6076</v>
      </c>
      <c r="G1256" s="1" t="s">
        <v>6782</v>
      </c>
      <c r="H1256">
        <v>2010</v>
      </c>
      <c r="I1256">
        <v>2012</v>
      </c>
      <c r="J1256">
        <f t="shared" si="38"/>
        <v>3</v>
      </c>
      <c r="K1256" s="1" t="s">
        <v>6076</v>
      </c>
      <c r="L1256" s="1" t="s">
        <v>6076</v>
      </c>
      <c r="M1256">
        <f t="shared" si="39"/>
        <v>14</v>
      </c>
      <c r="N1256" t="s">
        <v>650</v>
      </c>
    </row>
    <row r="1257" spans="1:14" x14ac:dyDescent="0.3">
      <c r="A1257" s="1" t="s">
        <v>7189</v>
      </c>
      <c r="B1257" s="1" t="s">
        <v>802</v>
      </c>
      <c r="C1257" s="1" t="s">
        <v>7190</v>
      </c>
      <c r="D1257" s="1" t="s">
        <v>746</v>
      </c>
      <c r="E1257" s="1" t="s">
        <v>6076</v>
      </c>
      <c r="F1257" s="1" t="s">
        <v>6076</v>
      </c>
      <c r="G1257" s="1">
        <v>500</v>
      </c>
      <c r="H1257">
        <v>1995</v>
      </c>
      <c r="I1257">
        <v>1995</v>
      </c>
      <c r="J1257">
        <f t="shared" si="38"/>
        <v>1</v>
      </c>
      <c r="K1257" s="1" t="s">
        <v>6076</v>
      </c>
      <c r="L1257" s="1" t="s">
        <v>6076</v>
      </c>
      <c r="M1257">
        <f t="shared" si="39"/>
        <v>31</v>
      </c>
      <c r="N1257" t="s">
        <v>640</v>
      </c>
    </row>
    <row r="1258" spans="1:14" x14ac:dyDescent="0.3">
      <c r="A1258" t="s">
        <v>11135</v>
      </c>
      <c r="B1258" t="s">
        <v>10997</v>
      </c>
      <c r="C1258" t="s">
        <v>11136</v>
      </c>
      <c r="E1258" s="1" t="s">
        <v>6076</v>
      </c>
      <c r="F1258" s="1" t="s">
        <v>6076</v>
      </c>
      <c r="G1258" s="1" t="s">
        <v>12790</v>
      </c>
      <c r="H1258">
        <v>1995</v>
      </c>
      <c r="I1258">
        <v>1995</v>
      </c>
      <c r="J1258">
        <f t="shared" si="38"/>
        <v>1</v>
      </c>
      <c r="K1258" s="1" t="s">
        <v>6076</v>
      </c>
      <c r="L1258" s="1" t="s">
        <v>6076</v>
      </c>
      <c r="M1258">
        <f t="shared" si="39"/>
        <v>31</v>
      </c>
    </row>
    <row r="1259" spans="1:14" hidden="1" x14ac:dyDescent="0.3">
      <c r="A1259" t="s">
        <v>11554</v>
      </c>
      <c r="B1259" t="s">
        <v>910</v>
      </c>
      <c r="C1259" t="s">
        <v>11555</v>
      </c>
      <c r="E1259" s="1" t="e">
        <v>#N/A</v>
      </c>
      <c r="F1259" s="1" t="e">
        <v>#N/A</v>
      </c>
      <c r="G1259" s="1" t="s">
        <v>912</v>
      </c>
      <c r="H1259">
        <v>2024</v>
      </c>
      <c r="I1259">
        <v>2026</v>
      </c>
      <c r="J1259">
        <f t="shared" si="38"/>
        <v>3</v>
      </c>
      <c r="K1259" s="1" t="s">
        <v>741</v>
      </c>
      <c r="L1259" s="1" t="s">
        <v>666</v>
      </c>
      <c r="M1259">
        <f t="shared" si="39"/>
        <v>0</v>
      </c>
    </row>
    <row r="1260" spans="1:14" hidden="1" x14ac:dyDescent="0.3">
      <c r="A1260" s="1" t="s">
        <v>909</v>
      </c>
      <c r="B1260" s="1" t="s">
        <v>910</v>
      </c>
      <c r="C1260" s="1" t="s">
        <v>911</v>
      </c>
      <c r="D1260" s="1" t="s">
        <v>746</v>
      </c>
      <c r="E1260" s="1" t="s">
        <v>747</v>
      </c>
      <c r="F1260" s="1" t="s">
        <v>748</v>
      </c>
      <c r="G1260" s="1" t="s">
        <v>912</v>
      </c>
      <c r="H1260">
        <v>2022</v>
      </c>
      <c r="I1260">
        <v>2022</v>
      </c>
      <c r="J1260">
        <f t="shared" si="38"/>
        <v>1</v>
      </c>
      <c r="K1260" s="1" t="s">
        <v>741</v>
      </c>
      <c r="L1260" s="1" t="s">
        <v>666</v>
      </c>
      <c r="M1260">
        <f t="shared" si="39"/>
        <v>4</v>
      </c>
      <c r="N1260" t="s">
        <v>650</v>
      </c>
    </row>
    <row r="1261" spans="1:14" hidden="1" x14ac:dyDescent="0.3">
      <c r="A1261" t="s">
        <v>11556</v>
      </c>
      <c r="B1261" t="s">
        <v>910</v>
      </c>
      <c r="C1261" t="s">
        <v>11557</v>
      </c>
      <c r="E1261" s="1" t="e">
        <v>#N/A</v>
      </c>
      <c r="F1261" s="1" t="e">
        <v>#N/A</v>
      </c>
      <c r="G1261" s="1" t="s">
        <v>912</v>
      </c>
      <c r="H1261">
        <v>2024</v>
      </c>
      <c r="I1261">
        <v>2026</v>
      </c>
      <c r="J1261">
        <f t="shared" si="38"/>
        <v>3</v>
      </c>
      <c r="K1261" s="1" t="s">
        <v>741</v>
      </c>
      <c r="L1261" s="1" t="s">
        <v>666</v>
      </c>
      <c r="M1261">
        <f t="shared" si="39"/>
        <v>0</v>
      </c>
    </row>
    <row r="1262" spans="1:14" hidden="1" x14ac:dyDescent="0.3">
      <c r="A1262" s="1" t="s">
        <v>913</v>
      </c>
      <c r="B1262" s="1" t="s">
        <v>910</v>
      </c>
      <c r="C1262" s="1" t="s">
        <v>914</v>
      </c>
      <c r="D1262" s="1" t="s">
        <v>746</v>
      </c>
      <c r="E1262" s="1" t="s">
        <v>747</v>
      </c>
      <c r="F1262" s="1" t="s">
        <v>748</v>
      </c>
      <c r="G1262" s="1" t="s">
        <v>912</v>
      </c>
      <c r="H1262">
        <v>2022</v>
      </c>
      <c r="I1262">
        <v>2022</v>
      </c>
      <c r="J1262">
        <f t="shared" si="38"/>
        <v>1</v>
      </c>
      <c r="K1262" s="1" t="s">
        <v>741</v>
      </c>
      <c r="L1262" s="1" t="s">
        <v>666</v>
      </c>
      <c r="M1262">
        <f t="shared" si="39"/>
        <v>4</v>
      </c>
      <c r="N1262" t="s">
        <v>650</v>
      </c>
    </row>
    <row r="1263" spans="1:14" hidden="1" x14ac:dyDescent="0.3">
      <c r="A1263" t="s">
        <v>11558</v>
      </c>
      <c r="B1263" t="s">
        <v>910</v>
      </c>
      <c r="C1263" t="s">
        <v>11559</v>
      </c>
      <c r="E1263" s="1" t="e">
        <v>#N/A</v>
      </c>
      <c r="F1263" s="1" t="e">
        <v>#N/A</v>
      </c>
      <c r="G1263" s="1" t="s">
        <v>912</v>
      </c>
      <c r="H1263">
        <v>2025</v>
      </c>
      <c r="I1263">
        <v>2026</v>
      </c>
      <c r="J1263">
        <f t="shared" si="38"/>
        <v>2</v>
      </c>
      <c r="K1263" s="1" t="s">
        <v>741</v>
      </c>
      <c r="L1263" s="1" t="s">
        <v>666</v>
      </c>
      <c r="M1263">
        <f t="shared" si="39"/>
        <v>0</v>
      </c>
    </row>
    <row r="1264" spans="1:14" hidden="1" x14ac:dyDescent="0.3">
      <c r="A1264" s="1" t="s">
        <v>915</v>
      </c>
      <c r="B1264" s="1" t="s">
        <v>910</v>
      </c>
      <c r="C1264" s="1" t="s">
        <v>916</v>
      </c>
      <c r="D1264" s="1" t="s">
        <v>738</v>
      </c>
      <c r="E1264" s="1" t="s">
        <v>739</v>
      </c>
      <c r="F1264" s="1" t="s">
        <v>781</v>
      </c>
      <c r="G1264" s="1" t="s">
        <v>912</v>
      </c>
      <c r="H1264">
        <v>2011</v>
      </c>
      <c r="I1264">
        <v>2017</v>
      </c>
      <c r="J1264">
        <f t="shared" si="38"/>
        <v>7</v>
      </c>
      <c r="K1264" s="1" t="s">
        <v>741</v>
      </c>
      <c r="L1264" s="1" t="s">
        <v>666</v>
      </c>
      <c r="M1264">
        <f t="shared" si="39"/>
        <v>9</v>
      </c>
      <c r="N1264" t="s">
        <v>650</v>
      </c>
    </row>
    <row r="1265" spans="1:14" hidden="1" x14ac:dyDescent="0.3">
      <c r="A1265" s="1" t="s">
        <v>917</v>
      </c>
      <c r="B1265" s="1" t="s">
        <v>910</v>
      </c>
      <c r="C1265" s="1" t="s">
        <v>918</v>
      </c>
      <c r="D1265" s="1" t="s">
        <v>738</v>
      </c>
      <c r="E1265" s="1" t="s">
        <v>739</v>
      </c>
      <c r="F1265" s="1" t="s">
        <v>781</v>
      </c>
      <c r="G1265" s="1" t="s">
        <v>912</v>
      </c>
      <c r="H1265">
        <v>2011</v>
      </c>
      <c r="I1265">
        <v>2017</v>
      </c>
      <c r="J1265">
        <f t="shared" si="38"/>
        <v>7</v>
      </c>
      <c r="K1265" s="1" t="s">
        <v>741</v>
      </c>
      <c r="L1265" s="1" t="s">
        <v>666</v>
      </c>
      <c r="M1265">
        <f t="shared" si="39"/>
        <v>9</v>
      </c>
      <c r="N1265" t="s">
        <v>650</v>
      </c>
    </row>
    <row r="1266" spans="1:14" hidden="1" x14ac:dyDescent="0.3">
      <c r="A1266" s="1" t="s">
        <v>919</v>
      </c>
      <c r="B1266" s="1" t="s">
        <v>910</v>
      </c>
      <c r="C1266" s="1" t="s">
        <v>920</v>
      </c>
      <c r="D1266" s="1" t="s">
        <v>738</v>
      </c>
      <c r="E1266" s="1" t="s">
        <v>739</v>
      </c>
      <c r="F1266" s="1" t="s">
        <v>781</v>
      </c>
      <c r="G1266" s="1" t="s">
        <v>912</v>
      </c>
      <c r="H1266">
        <v>2010</v>
      </c>
      <c r="I1266">
        <v>2022</v>
      </c>
      <c r="J1266">
        <f t="shared" si="38"/>
        <v>13</v>
      </c>
      <c r="K1266" s="1" t="s">
        <v>741</v>
      </c>
      <c r="L1266" s="1" t="s">
        <v>666</v>
      </c>
      <c r="M1266">
        <f t="shared" si="39"/>
        <v>4</v>
      </c>
      <c r="N1266" t="s">
        <v>650</v>
      </c>
    </row>
    <row r="1267" spans="1:14" hidden="1" x14ac:dyDescent="0.3">
      <c r="A1267" s="1" t="s">
        <v>921</v>
      </c>
      <c r="B1267" s="1" t="s">
        <v>910</v>
      </c>
      <c r="C1267" s="1" t="s">
        <v>922</v>
      </c>
      <c r="D1267" s="1" t="s">
        <v>738</v>
      </c>
      <c r="E1267" s="1" t="s">
        <v>739</v>
      </c>
      <c r="F1267" s="1" t="s">
        <v>781</v>
      </c>
      <c r="G1267" s="1" t="s">
        <v>912</v>
      </c>
      <c r="H1267">
        <v>2010</v>
      </c>
      <c r="I1267">
        <v>2013</v>
      </c>
      <c r="J1267">
        <f t="shared" si="38"/>
        <v>4</v>
      </c>
      <c r="K1267" s="1" t="s">
        <v>741</v>
      </c>
      <c r="L1267" s="1" t="s">
        <v>666</v>
      </c>
      <c r="M1267">
        <f t="shared" si="39"/>
        <v>13</v>
      </c>
      <c r="N1267" t="s">
        <v>650</v>
      </c>
    </row>
    <row r="1268" spans="1:14" hidden="1" x14ac:dyDescent="0.3">
      <c r="A1268" s="1" t="s">
        <v>923</v>
      </c>
      <c r="B1268" s="1" t="s">
        <v>910</v>
      </c>
      <c r="C1268" s="1" t="s">
        <v>924</v>
      </c>
      <c r="D1268" s="1" t="s">
        <v>738</v>
      </c>
      <c r="E1268" s="1" t="s">
        <v>739</v>
      </c>
      <c r="F1268" s="1" t="s">
        <v>781</v>
      </c>
      <c r="G1268" s="1" t="s">
        <v>912</v>
      </c>
      <c r="H1268">
        <v>2010</v>
      </c>
      <c r="I1268">
        <v>2022</v>
      </c>
      <c r="J1268">
        <f t="shared" si="38"/>
        <v>13</v>
      </c>
      <c r="K1268" s="1" t="s">
        <v>741</v>
      </c>
      <c r="L1268" s="1" t="s">
        <v>666</v>
      </c>
      <c r="M1268">
        <f t="shared" si="39"/>
        <v>4</v>
      </c>
      <c r="N1268" t="s">
        <v>650</v>
      </c>
    </row>
    <row r="1269" spans="1:14" hidden="1" x14ac:dyDescent="0.3">
      <c r="A1269" s="1" t="s">
        <v>925</v>
      </c>
      <c r="B1269" s="1" t="s">
        <v>910</v>
      </c>
      <c r="C1269" s="1" t="s">
        <v>926</v>
      </c>
      <c r="D1269" s="1" t="s">
        <v>738</v>
      </c>
      <c r="E1269" s="1" t="s">
        <v>739</v>
      </c>
      <c r="F1269" s="1" t="s">
        <v>781</v>
      </c>
      <c r="G1269" s="1" t="s">
        <v>912</v>
      </c>
      <c r="H1269">
        <v>2010</v>
      </c>
      <c r="I1269">
        <v>2011</v>
      </c>
      <c r="J1269">
        <f t="shared" si="38"/>
        <v>2</v>
      </c>
      <c r="K1269" s="1" t="s">
        <v>741</v>
      </c>
      <c r="L1269" s="1" t="s">
        <v>666</v>
      </c>
      <c r="M1269">
        <f t="shared" si="39"/>
        <v>15</v>
      </c>
      <c r="N1269" t="s">
        <v>650</v>
      </c>
    </row>
    <row r="1270" spans="1:14" hidden="1" x14ac:dyDescent="0.3">
      <c r="A1270" s="1" t="s">
        <v>927</v>
      </c>
      <c r="B1270" s="1" t="s">
        <v>910</v>
      </c>
      <c r="C1270" s="1" t="s">
        <v>928</v>
      </c>
      <c r="D1270" s="1" t="s">
        <v>738</v>
      </c>
      <c r="E1270" s="1" t="s">
        <v>739</v>
      </c>
      <c r="F1270" s="1" t="s">
        <v>781</v>
      </c>
      <c r="G1270" s="1" t="s">
        <v>912</v>
      </c>
      <c r="H1270">
        <v>2010</v>
      </c>
      <c r="I1270">
        <v>2022</v>
      </c>
      <c r="J1270">
        <f t="shared" si="38"/>
        <v>13</v>
      </c>
      <c r="K1270" s="1" t="s">
        <v>741</v>
      </c>
      <c r="L1270" s="1" t="s">
        <v>666</v>
      </c>
      <c r="M1270">
        <f t="shared" si="39"/>
        <v>4</v>
      </c>
      <c r="N1270" t="s">
        <v>650</v>
      </c>
    </row>
    <row r="1271" spans="1:14" hidden="1" x14ac:dyDescent="0.3">
      <c r="A1271" s="1" t="s">
        <v>929</v>
      </c>
      <c r="B1271" s="1" t="s">
        <v>910</v>
      </c>
      <c r="C1271" s="1" t="s">
        <v>930</v>
      </c>
      <c r="D1271" s="1" t="s">
        <v>738</v>
      </c>
      <c r="E1271" s="1" t="s">
        <v>739</v>
      </c>
      <c r="F1271" s="1" t="s">
        <v>781</v>
      </c>
      <c r="G1271" s="1" t="s">
        <v>912</v>
      </c>
      <c r="H1271">
        <v>2010</v>
      </c>
      <c r="I1271">
        <v>2013</v>
      </c>
      <c r="J1271">
        <f t="shared" si="38"/>
        <v>4</v>
      </c>
      <c r="K1271" s="1" t="s">
        <v>741</v>
      </c>
      <c r="L1271" s="1" t="s">
        <v>666</v>
      </c>
      <c r="M1271">
        <f t="shared" si="39"/>
        <v>13</v>
      </c>
      <c r="N1271" t="s">
        <v>650</v>
      </c>
    </row>
    <row r="1272" spans="1:14" hidden="1" x14ac:dyDescent="0.3">
      <c r="A1272" s="1" t="s">
        <v>931</v>
      </c>
      <c r="B1272" s="1" t="s">
        <v>910</v>
      </c>
      <c r="C1272" s="1" t="s">
        <v>932</v>
      </c>
      <c r="D1272" s="1" t="s">
        <v>738</v>
      </c>
      <c r="E1272" s="1" t="s">
        <v>739</v>
      </c>
      <c r="F1272" s="1" t="s">
        <v>781</v>
      </c>
      <c r="G1272" s="1" t="s">
        <v>912</v>
      </c>
      <c r="H1272">
        <v>2018</v>
      </c>
      <c r="I1272">
        <v>2022</v>
      </c>
      <c r="J1272">
        <f t="shared" si="38"/>
        <v>5</v>
      </c>
      <c r="K1272" s="1" t="s">
        <v>741</v>
      </c>
      <c r="L1272" s="1" t="s">
        <v>666</v>
      </c>
      <c r="M1272">
        <f t="shared" si="39"/>
        <v>4</v>
      </c>
      <c r="N1272" t="s">
        <v>650</v>
      </c>
    </row>
    <row r="1273" spans="1:14" hidden="1" x14ac:dyDescent="0.3">
      <c r="A1273" s="1" t="s">
        <v>933</v>
      </c>
      <c r="B1273" s="1" t="s">
        <v>910</v>
      </c>
      <c r="C1273" s="1" t="s">
        <v>934</v>
      </c>
      <c r="D1273" s="1" t="s">
        <v>738</v>
      </c>
      <c r="E1273" s="1" t="s">
        <v>739</v>
      </c>
      <c r="F1273" s="1" t="s">
        <v>781</v>
      </c>
      <c r="G1273" s="1" t="s">
        <v>912</v>
      </c>
      <c r="H1273">
        <v>2014</v>
      </c>
      <c r="I1273">
        <v>2014</v>
      </c>
      <c r="J1273">
        <f t="shared" si="38"/>
        <v>1</v>
      </c>
      <c r="K1273" s="1" t="s">
        <v>741</v>
      </c>
      <c r="L1273" s="1" t="s">
        <v>666</v>
      </c>
      <c r="M1273">
        <f t="shared" si="39"/>
        <v>12</v>
      </c>
      <c r="N1273" t="s">
        <v>650</v>
      </c>
    </row>
    <row r="1274" spans="1:14" hidden="1" x14ac:dyDescent="0.3">
      <c r="A1274" s="1" t="s">
        <v>935</v>
      </c>
      <c r="B1274" s="1" t="s">
        <v>910</v>
      </c>
      <c r="C1274" s="1" t="s">
        <v>936</v>
      </c>
      <c r="D1274" s="1" t="s">
        <v>738</v>
      </c>
      <c r="E1274" s="1" t="s">
        <v>739</v>
      </c>
      <c r="F1274" s="1" t="s">
        <v>781</v>
      </c>
      <c r="G1274" s="1" t="s">
        <v>912</v>
      </c>
      <c r="H1274">
        <v>2022</v>
      </c>
      <c r="I1274">
        <v>2022</v>
      </c>
      <c r="J1274">
        <f t="shared" si="38"/>
        <v>1</v>
      </c>
      <c r="K1274" s="1" t="s">
        <v>741</v>
      </c>
      <c r="L1274" s="1" t="s">
        <v>666</v>
      </c>
      <c r="M1274">
        <f t="shared" si="39"/>
        <v>4</v>
      </c>
      <c r="N1274" t="s">
        <v>650</v>
      </c>
    </row>
    <row r="1275" spans="1:14" hidden="1" x14ac:dyDescent="0.3">
      <c r="A1275" s="1" t="s">
        <v>3845</v>
      </c>
      <c r="B1275" s="1" t="s">
        <v>910</v>
      </c>
      <c r="C1275" s="1" t="s">
        <v>3846</v>
      </c>
      <c r="D1275" s="1" t="s">
        <v>738</v>
      </c>
      <c r="E1275" s="1" t="s">
        <v>812</v>
      </c>
      <c r="F1275" s="1" t="s">
        <v>813</v>
      </c>
      <c r="G1275" s="1" t="s">
        <v>3847</v>
      </c>
      <c r="H1275">
        <v>1991</v>
      </c>
      <c r="I1275">
        <v>1998</v>
      </c>
      <c r="J1275">
        <f t="shared" si="38"/>
        <v>8</v>
      </c>
      <c r="K1275" s="1" t="s">
        <v>3665</v>
      </c>
      <c r="L1275" s="1" t="s">
        <v>666</v>
      </c>
      <c r="M1275">
        <f t="shared" si="39"/>
        <v>28</v>
      </c>
      <c r="N1275" t="s">
        <v>640</v>
      </c>
    </row>
    <row r="1276" spans="1:14" hidden="1" x14ac:dyDescent="0.3">
      <c r="A1276" s="1" t="s">
        <v>3848</v>
      </c>
      <c r="B1276" s="1" t="s">
        <v>910</v>
      </c>
      <c r="C1276" s="1" t="s">
        <v>3849</v>
      </c>
      <c r="D1276" s="1" t="s">
        <v>3850</v>
      </c>
      <c r="E1276" s="1" t="s">
        <v>3851</v>
      </c>
      <c r="F1276" s="1" t="s">
        <v>3852</v>
      </c>
      <c r="G1276" s="1" t="s">
        <v>3847</v>
      </c>
      <c r="H1276">
        <v>2018</v>
      </c>
      <c r="I1276">
        <v>2020</v>
      </c>
      <c r="J1276">
        <f t="shared" si="38"/>
        <v>3</v>
      </c>
      <c r="K1276" s="1" t="s">
        <v>3665</v>
      </c>
      <c r="L1276" s="1" t="s">
        <v>666</v>
      </c>
      <c r="M1276">
        <f t="shared" si="39"/>
        <v>6</v>
      </c>
      <c r="N1276" t="s">
        <v>650</v>
      </c>
    </row>
    <row r="1277" spans="1:14" hidden="1" x14ac:dyDescent="0.3">
      <c r="A1277" s="1" t="s">
        <v>3853</v>
      </c>
      <c r="B1277" s="1" t="s">
        <v>910</v>
      </c>
      <c r="C1277" s="1" t="s">
        <v>3854</v>
      </c>
      <c r="D1277" s="1" t="s">
        <v>3850</v>
      </c>
      <c r="E1277" s="1" t="s">
        <v>3851</v>
      </c>
      <c r="F1277" s="1" t="s">
        <v>3852</v>
      </c>
      <c r="G1277" s="1" t="s">
        <v>3847</v>
      </c>
      <c r="H1277">
        <v>2014</v>
      </c>
      <c r="I1277">
        <v>2015</v>
      </c>
      <c r="J1277">
        <f t="shared" si="38"/>
        <v>2</v>
      </c>
      <c r="K1277" s="1" t="s">
        <v>3665</v>
      </c>
      <c r="L1277" s="1" t="s">
        <v>666</v>
      </c>
      <c r="M1277">
        <f t="shared" si="39"/>
        <v>11</v>
      </c>
      <c r="N1277" t="s">
        <v>650</v>
      </c>
    </row>
    <row r="1278" spans="1:14" x14ac:dyDescent="0.3">
      <c r="A1278" s="1" t="s">
        <v>6785</v>
      </c>
      <c r="B1278" s="1" t="s">
        <v>910</v>
      </c>
      <c r="C1278" s="1" t="s">
        <v>6786</v>
      </c>
      <c r="D1278" s="1" t="s">
        <v>3850</v>
      </c>
      <c r="E1278" s="1" t="s">
        <v>6076</v>
      </c>
      <c r="F1278" s="1" t="s">
        <v>6076</v>
      </c>
      <c r="G1278" s="1" t="s">
        <v>3847</v>
      </c>
      <c r="H1278">
        <v>1993</v>
      </c>
      <c r="I1278">
        <v>1995</v>
      </c>
      <c r="J1278">
        <f t="shared" si="38"/>
        <v>3</v>
      </c>
      <c r="K1278" s="1" t="s">
        <v>6076</v>
      </c>
      <c r="L1278" s="1" t="s">
        <v>6076</v>
      </c>
      <c r="M1278">
        <f t="shared" si="39"/>
        <v>31</v>
      </c>
      <c r="N1278" t="s">
        <v>640</v>
      </c>
    </row>
    <row r="1279" spans="1:14" x14ac:dyDescent="0.3">
      <c r="A1279" s="1" t="s">
        <v>6787</v>
      </c>
      <c r="B1279" s="1" t="s">
        <v>910</v>
      </c>
      <c r="C1279" s="1" t="s">
        <v>6788</v>
      </c>
      <c r="D1279" s="1" t="s">
        <v>738</v>
      </c>
      <c r="E1279" s="1" t="s">
        <v>6076</v>
      </c>
      <c r="F1279" s="1" t="s">
        <v>6076</v>
      </c>
      <c r="G1279" s="1" t="s">
        <v>3847</v>
      </c>
      <c r="H1279">
        <v>1992</v>
      </c>
      <c r="I1279">
        <v>1995</v>
      </c>
      <c r="J1279">
        <f t="shared" si="38"/>
        <v>4</v>
      </c>
      <c r="K1279" s="1" t="s">
        <v>6076</v>
      </c>
      <c r="L1279" s="1" t="s">
        <v>6076</v>
      </c>
      <c r="M1279">
        <f t="shared" si="39"/>
        <v>31</v>
      </c>
      <c r="N1279" t="s">
        <v>640</v>
      </c>
    </row>
    <row r="1280" spans="1:14" x14ac:dyDescent="0.3">
      <c r="A1280" s="1" t="s">
        <v>6789</v>
      </c>
      <c r="B1280" s="1" t="s">
        <v>910</v>
      </c>
      <c r="C1280" s="1" t="s">
        <v>6790</v>
      </c>
      <c r="D1280" s="1" t="s">
        <v>738</v>
      </c>
      <c r="E1280" s="1" t="s">
        <v>6076</v>
      </c>
      <c r="F1280" s="1" t="s">
        <v>6076</v>
      </c>
      <c r="G1280" s="1" t="s">
        <v>3847</v>
      </c>
      <c r="H1280">
        <v>1991</v>
      </c>
      <c r="I1280">
        <v>1995</v>
      </c>
      <c r="J1280">
        <f t="shared" si="38"/>
        <v>5</v>
      </c>
      <c r="K1280" s="1" t="s">
        <v>6076</v>
      </c>
      <c r="L1280" s="1" t="s">
        <v>6076</v>
      </c>
      <c r="M1280">
        <f t="shared" si="39"/>
        <v>31</v>
      </c>
      <c r="N1280" t="s">
        <v>640</v>
      </c>
    </row>
    <row r="1281" spans="1:14" x14ac:dyDescent="0.3">
      <c r="A1281" s="1" t="s">
        <v>6791</v>
      </c>
      <c r="B1281" s="1" t="s">
        <v>910</v>
      </c>
      <c r="C1281" s="1" t="s">
        <v>6792</v>
      </c>
      <c r="D1281" s="1" t="s">
        <v>738</v>
      </c>
      <c r="E1281" s="1" t="s">
        <v>6076</v>
      </c>
      <c r="F1281" s="1" t="s">
        <v>6076</v>
      </c>
      <c r="G1281" s="1" t="s">
        <v>3847</v>
      </c>
      <c r="H1281">
        <v>1992</v>
      </c>
      <c r="I1281">
        <v>1992</v>
      </c>
      <c r="J1281">
        <f t="shared" si="38"/>
        <v>1</v>
      </c>
      <c r="K1281" s="1" t="s">
        <v>6076</v>
      </c>
      <c r="L1281" s="1" t="s">
        <v>6076</v>
      </c>
      <c r="M1281">
        <f t="shared" si="39"/>
        <v>34</v>
      </c>
      <c r="N1281" t="s">
        <v>640</v>
      </c>
    </row>
    <row r="1282" spans="1:14" x14ac:dyDescent="0.3">
      <c r="A1282" s="1" t="s">
        <v>6793</v>
      </c>
      <c r="B1282" s="1" t="s">
        <v>910</v>
      </c>
      <c r="C1282" s="1" t="s">
        <v>6794</v>
      </c>
      <c r="D1282" s="1" t="s">
        <v>738</v>
      </c>
      <c r="E1282" s="1" t="s">
        <v>6076</v>
      </c>
      <c r="F1282" s="1" t="s">
        <v>6076</v>
      </c>
      <c r="G1282" s="1" t="s">
        <v>3847</v>
      </c>
      <c r="H1282">
        <v>1993</v>
      </c>
      <c r="I1282">
        <v>1995</v>
      </c>
      <c r="J1282">
        <f t="shared" si="38"/>
        <v>3</v>
      </c>
      <c r="K1282" s="1" t="s">
        <v>6076</v>
      </c>
      <c r="L1282" s="1" t="s">
        <v>6076</v>
      </c>
      <c r="M1282">
        <f t="shared" si="39"/>
        <v>31</v>
      </c>
      <c r="N1282" t="s">
        <v>640</v>
      </c>
    </row>
    <row r="1283" spans="1:14" x14ac:dyDescent="0.3">
      <c r="A1283" s="1" t="s">
        <v>6795</v>
      </c>
      <c r="B1283" s="1" t="s">
        <v>910</v>
      </c>
      <c r="C1283" s="1" t="s">
        <v>6796</v>
      </c>
      <c r="D1283" s="1" t="s">
        <v>738</v>
      </c>
      <c r="E1283" s="1" t="s">
        <v>6076</v>
      </c>
      <c r="F1283" s="1" t="s">
        <v>6076</v>
      </c>
      <c r="G1283" s="1" t="s">
        <v>3847</v>
      </c>
      <c r="H1283">
        <v>1992</v>
      </c>
      <c r="I1283">
        <v>1998</v>
      </c>
      <c r="J1283">
        <f t="shared" si="38"/>
        <v>7</v>
      </c>
      <c r="K1283" s="1" t="s">
        <v>6076</v>
      </c>
      <c r="L1283" s="1" t="s">
        <v>6076</v>
      </c>
      <c r="M1283">
        <f t="shared" si="39"/>
        <v>28</v>
      </c>
      <c r="N1283" t="s">
        <v>640</v>
      </c>
    </row>
    <row r="1284" spans="1:14" hidden="1" x14ac:dyDescent="0.3">
      <c r="A1284" s="1" t="s">
        <v>3855</v>
      </c>
      <c r="B1284" s="1" t="s">
        <v>910</v>
      </c>
      <c r="C1284" s="1" t="s">
        <v>3856</v>
      </c>
      <c r="D1284" s="1" t="s">
        <v>738</v>
      </c>
      <c r="E1284" s="1" t="s">
        <v>812</v>
      </c>
      <c r="F1284" s="1" t="s">
        <v>813</v>
      </c>
      <c r="G1284" s="1" t="s">
        <v>3847</v>
      </c>
      <c r="H1284">
        <v>2007</v>
      </c>
      <c r="I1284">
        <v>2007</v>
      </c>
      <c r="J1284">
        <f t="shared" si="38"/>
        <v>1</v>
      </c>
      <c r="K1284" s="1" t="s">
        <v>3665</v>
      </c>
      <c r="L1284" s="1" t="s">
        <v>666</v>
      </c>
      <c r="M1284">
        <f t="shared" si="39"/>
        <v>19</v>
      </c>
      <c r="N1284" t="s">
        <v>650</v>
      </c>
    </row>
    <row r="1285" spans="1:14" hidden="1" x14ac:dyDescent="0.3">
      <c r="A1285" s="1" t="s">
        <v>3857</v>
      </c>
      <c r="B1285" s="1" t="s">
        <v>910</v>
      </c>
      <c r="C1285" s="1" t="s">
        <v>3858</v>
      </c>
      <c r="D1285" s="1" t="s">
        <v>738</v>
      </c>
      <c r="E1285" s="1" t="s">
        <v>812</v>
      </c>
      <c r="F1285" s="1" t="s">
        <v>813</v>
      </c>
      <c r="G1285" s="1" t="s">
        <v>3847</v>
      </c>
      <c r="H1285">
        <v>2010</v>
      </c>
      <c r="I1285">
        <v>2013</v>
      </c>
      <c r="J1285">
        <f t="shared" si="38"/>
        <v>4</v>
      </c>
      <c r="K1285" s="1" t="s">
        <v>3665</v>
      </c>
      <c r="L1285" s="1" t="s">
        <v>666</v>
      </c>
      <c r="M1285">
        <f t="shared" si="39"/>
        <v>13</v>
      </c>
      <c r="N1285" t="s">
        <v>650</v>
      </c>
    </row>
    <row r="1286" spans="1:14" hidden="1" x14ac:dyDescent="0.3">
      <c r="A1286" s="1" t="s">
        <v>3859</v>
      </c>
      <c r="B1286" s="1" t="s">
        <v>910</v>
      </c>
      <c r="C1286" s="1" t="s">
        <v>3860</v>
      </c>
      <c r="D1286" s="1" t="s">
        <v>738</v>
      </c>
      <c r="E1286" s="1" t="s">
        <v>812</v>
      </c>
      <c r="F1286" s="1" t="s">
        <v>813</v>
      </c>
      <c r="G1286" s="1" t="s">
        <v>3847</v>
      </c>
      <c r="H1286">
        <v>2010</v>
      </c>
      <c r="I1286">
        <v>2013</v>
      </c>
      <c r="J1286">
        <f t="shared" ref="J1286:J1349" si="40">1+(I1286-H1286)</f>
        <v>4</v>
      </c>
      <c r="K1286" s="1" t="s">
        <v>3665</v>
      </c>
      <c r="L1286" s="1" t="s">
        <v>666</v>
      </c>
      <c r="M1286">
        <f t="shared" ref="M1286:M1349" si="41">IF(I1286=0,0,$B$2-I1286)</f>
        <v>13</v>
      </c>
      <c r="N1286" t="s">
        <v>650</v>
      </c>
    </row>
    <row r="1287" spans="1:14" hidden="1" x14ac:dyDescent="0.3">
      <c r="A1287" t="s">
        <v>11560</v>
      </c>
      <c r="B1287" t="s">
        <v>910</v>
      </c>
      <c r="C1287" t="s">
        <v>11561</v>
      </c>
      <c r="E1287" s="1" t="e">
        <v>#N/A</v>
      </c>
      <c r="F1287" s="1" t="e">
        <v>#N/A</v>
      </c>
      <c r="G1287" s="1" t="s">
        <v>12836</v>
      </c>
      <c r="H1287">
        <v>2023</v>
      </c>
      <c r="I1287">
        <v>2026</v>
      </c>
      <c r="J1287">
        <f t="shared" si="40"/>
        <v>4</v>
      </c>
      <c r="K1287" s="1" t="s">
        <v>12912</v>
      </c>
      <c r="L1287" s="1" t="s">
        <v>12912</v>
      </c>
      <c r="M1287">
        <f t="shared" si="41"/>
        <v>0</v>
      </c>
    </row>
    <row r="1288" spans="1:14" hidden="1" x14ac:dyDescent="0.3">
      <c r="A1288" s="1" t="s">
        <v>3861</v>
      </c>
      <c r="B1288" s="1" t="s">
        <v>910</v>
      </c>
      <c r="C1288" s="1" t="s">
        <v>3862</v>
      </c>
      <c r="D1288" s="1" t="s">
        <v>738</v>
      </c>
      <c r="E1288" s="1" t="s">
        <v>812</v>
      </c>
      <c r="F1288" s="1" t="s">
        <v>813</v>
      </c>
      <c r="G1288" s="1" t="s">
        <v>3847</v>
      </c>
      <c r="H1288">
        <v>1997</v>
      </c>
      <c r="I1288">
        <v>1997</v>
      </c>
      <c r="J1288">
        <f t="shared" si="40"/>
        <v>1</v>
      </c>
      <c r="K1288" s="1" t="s">
        <v>3665</v>
      </c>
      <c r="L1288" s="1" t="s">
        <v>666</v>
      </c>
      <c r="M1288">
        <f t="shared" si="41"/>
        <v>29</v>
      </c>
      <c r="N1288" t="s">
        <v>640</v>
      </c>
    </row>
    <row r="1289" spans="1:14" hidden="1" x14ac:dyDescent="0.3">
      <c r="A1289" s="1" t="s">
        <v>3863</v>
      </c>
      <c r="B1289" s="1" t="s">
        <v>910</v>
      </c>
      <c r="C1289" s="1" t="s">
        <v>3864</v>
      </c>
      <c r="D1289" s="1" t="s">
        <v>738</v>
      </c>
      <c r="E1289" s="1" t="s">
        <v>812</v>
      </c>
      <c r="F1289" s="1" t="s">
        <v>813</v>
      </c>
      <c r="G1289" s="1" t="s">
        <v>3847</v>
      </c>
      <c r="H1289">
        <v>1997</v>
      </c>
      <c r="I1289">
        <v>2000</v>
      </c>
      <c r="J1289">
        <f t="shared" si="40"/>
        <v>4</v>
      </c>
      <c r="K1289" s="1" t="s">
        <v>3665</v>
      </c>
      <c r="L1289" s="1" t="s">
        <v>666</v>
      </c>
      <c r="M1289">
        <f t="shared" si="41"/>
        <v>26</v>
      </c>
      <c r="N1289" t="s">
        <v>640</v>
      </c>
    </row>
    <row r="1290" spans="1:14" hidden="1" x14ac:dyDescent="0.3">
      <c r="A1290" s="1" t="s">
        <v>3865</v>
      </c>
      <c r="B1290" s="1" t="s">
        <v>910</v>
      </c>
      <c r="C1290" s="1" t="s">
        <v>3866</v>
      </c>
      <c r="D1290" s="1" t="s">
        <v>738</v>
      </c>
      <c r="E1290" s="1" t="s">
        <v>812</v>
      </c>
      <c r="F1290" s="1" t="s">
        <v>813</v>
      </c>
      <c r="G1290" s="1" t="s">
        <v>3847</v>
      </c>
      <c r="H1290">
        <v>2001</v>
      </c>
      <c r="I1290">
        <v>2006</v>
      </c>
      <c r="J1290">
        <f t="shared" si="40"/>
        <v>6</v>
      </c>
      <c r="K1290" s="1" t="s">
        <v>3665</v>
      </c>
      <c r="L1290" s="1" t="s">
        <v>666</v>
      </c>
      <c r="M1290">
        <f t="shared" si="41"/>
        <v>20</v>
      </c>
      <c r="N1290" t="s">
        <v>650</v>
      </c>
    </row>
    <row r="1291" spans="1:14" hidden="1" x14ac:dyDescent="0.3">
      <c r="A1291" s="1" t="s">
        <v>3867</v>
      </c>
      <c r="B1291" s="1" t="s">
        <v>910</v>
      </c>
      <c r="C1291" s="1" t="s">
        <v>3868</v>
      </c>
      <c r="D1291" s="1" t="s">
        <v>738</v>
      </c>
      <c r="E1291" s="1" t="s">
        <v>812</v>
      </c>
      <c r="F1291" s="1" t="s">
        <v>813</v>
      </c>
      <c r="G1291" s="1" t="s">
        <v>3847</v>
      </c>
      <c r="H1291">
        <v>2001</v>
      </c>
      <c r="I1291">
        <v>2003</v>
      </c>
      <c r="J1291">
        <f t="shared" si="40"/>
        <v>3</v>
      </c>
      <c r="K1291" s="1" t="s">
        <v>3665</v>
      </c>
      <c r="L1291" s="1" t="s">
        <v>666</v>
      </c>
      <c r="M1291">
        <f t="shared" si="41"/>
        <v>23</v>
      </c>
      <c r="N1291" t="s">
        <v>650</v>
      </c>
    </row>
    <row r="1292" spans="1:14" hidden="1" x14ac:dyDescent="0.3">
      <c r="A1292" s="1" t="s">
        <v>3869</v>
      </c>
      <c r="B1292" s="1" t="s">
        <v>910</v>
      </c>
      <c r="C1292" s="1" t="s">
        <v>3870</v>
      </c>
      <c r="D1292" s="1" t="s">
        <v>738</v>
      </c>
      <c r="E1292" s="1" t="s">
        <v>812</v>
      </c>
      <c r="F1292" s="1" t="s">
        <v>813</v>
      </c>
      <c r="G1292" s="1" t="s">
        <v>3847</v>
      </c>
      <c r="H1292">
        <v>2017</v>
      </c>
      <c r="I1292">
        <v>2022</v>
      </c>
      <c r="J1292">
        <f t="shared" si="40"/>
        <v>6</v>
      </c>
      <c r="K1292" s="1" t="s">
        <v>3665</v>
      </c>
      <c r="L1292" s="1" t="s">
        <v>666</v>
      </c>
      <c r="M1292">
        <f t="shared" si="41"/>
        <v>4</v>
      </c>
      <c r="N1292" t="s">
        <v>650</v>
      </c>
    </row>
    <row r="1293" spans="1:14" x14ac:dyDescent="0.3">
      <c r="A1293" s="1" t="s">
        <v>6797</v>
      </c>
      <c r="B1293" s="1" t="s">
        <v>910</v>
      </c>
      <c r="C1293" s="1" t="s">
        <v>6798</v>
      </c>
      <c r="D1293" s="1" t="s">
        <v>738</v>
      </c>
      <c r="E1293" s="1" t="s">
        <v>6076</v>
      </c>
      <c r="F1293" s="1" t="s">
        <v>6076</v>
      </c>
      <c r="G1293" s="1" t="s">
        <v>3847</v>
      </c>
      <c r="H1293">
        <v>1992</v>
      </c>
      <c r="I1293">
        <v>1992</v>
      </c>
      <c r="J1293">
        <f t="shared" si="40"/>
        <v>1</v>
      </c>
      <c r="K1293" s="1" t="s">
        <v>6076</v>
      </c>
      <c r="L1293" s="1" t="s">
        <v>6076</v>
      </c>
      <c r="M1293">
        <f t="shared" si="41"/>
        <v>34</v>
      </c>
      <c r="N1293" t="s">
        <v>640</v>
      </c>
    </row>
    <row r="1294" spans="1:14" x14ac:dyDescent="0.3">
      <c r="A1294" s="1" t="s">
        <v>6799</v>
      </c>
      <c r="B1294" s="1" t="s">
        <v>910</v>
      </c>
      <c r="C1294" s="1" t="s">
        <v>6800</v>
      </c>
      <c r="D1294" s="1" t="s">
        <v>738</v>
      </c>
      <c r="E1294" s="1" t="s">
        <v>6076</v>
      </c>
      <c r="F1294" s="1" t="s">
        <v>6076</v>
      </c>
      <c r="G1294" s="1" t="s">
        <v>3847</v>
      </c>
      <c r="H1294">
        <v>1992</v>
      </c>
      <c r="I1294">
        <v>1997</v>
      </c>
      <c r="J1294">
        <f t="shared" si="40"/>
        <v>6</v>
      </c>
      <c r="K1294" s="1" t="s">
        <v>6076</v>
      </c>
      <c r="L1294" s="1" t="s">
        <v>6076</v>
      </c>
      <c r="M1294">
        <f t="shared" si="41"/>
        <v>29</v>
      </c>
      <c r="N1294" t="s">
        <v>640</v>
      </c>
    </row>
    <row r="1295" spans="1:14" hidden="1" x14ac:dyDescent="0.3">
      <c r="A1295" s="1" t="s">
        <v>3871</v>
      </c>
      <c r="B1295" s="1" t="s">
        <v>910</v>
      </c>
      <c r="C1295" s="1" t="s">
        <v>3872</v>
      </c>
      <c r="D1295" s="1" t="s">
        <v>738</v>
      </c>
      <c r="E1295" s="1" t="s">
        <v>812</v>
      </c>
      <c r="F1295" s="1" t="s">
        <v>813</v>
      </c>
      <c r="G1295" s="1" t="s">
        <v>3847</v>
      </c>
      <c r="H1295">
        <v>2017</v>
      </c>
      <c r="I1295">
        <v>2022</v>
      </c>
      <c r="J1295">
        <f t="shared" si="40"/>
        <v>6</v>
      </c>
      <c r="K1295" s="1" t="s">
        <v>3665</v>
      </c>
      <c r="L1295" s="1" t="s">
        <v>666</v>
      </c>
      <c r="M1295">
        <f t="shared" si="41"/>
        <v>4</v>
      </c>
      <c r="N1295" t="s">
        <v>650</v>
      </c>
    </row>
    <row r="1296" spans="1:14" hidden="1" x14ac:dyDescent="0.3">
      <c r="A1296" s="1" t="s">
        <v>3873</v>
      </c>
      <c r="B1296" s="1" t="s">
        <v>910</v>
      </c>
      <c r="C1296" s="1" t="s">
        <v>3874</v>
      </c>
      <c r="D1296" s="1" t="s">
        <v>738</v>
      </c>
      <c r="E1296" s="1" t="s">
        <v>812</v>
      </c>
      <c r="F1296" s="1" t="s">
        <v>813</v>
      </c>
      <c r="G1296" s="1" t="s">
        <v>3847</v>
      </c>
      <c r="H1296">
        <v>2014</v>
      </c>
      <c r="I1296">
        <v>2016</v>
      </c>
      <c r="J1296">
        <f t="shared" si="40"/>
        <v>3</v>
      </c>
      <c r="K1296" s="1" t="s">
        <v>3665</v>
      </c>
      <c r="L1296" s="1" t="s">
        <v>666</v>
      </c>
      <c r="M1296">
        <f t="shared" si="41"/>
        <v>10</v>
      </c>
      <c r="N1296" t="s">
        <v>650</v>
      </c>
    </row>
    <row r="1297" spans="1:14" hidden="1" x14ac:dyDescent="0.3">
      <c r="A1297" s="1" t="s">
        <v>3875</v>
      </c>
      <c r="B1297" s="1" t="s">
        <v>910</v>
      </c>
      <c r="C1297" s="1" t="s">
        <v>3876</v>
      </c>
      <c r="D1297" s="1" t="s">
        <v>738</v>
      </c>
      <c r="E1297" s="1" t="s">
        <v>812</v>
      </c>
      <c r="F1297" s="1" t="s">
        <v>813</v>
      </c>
      <c r="G1297" s="1" t="s">
        <v>3847</v>
      </c>
      <c r="H1297">
        <v>2007</v>
      </c>
      <c r="I1297">
        <v>2013</v>
      </c>
      <c r="J1297">
        <f t="shared" si="40"/>
        <v>7</v>
      </c>
      <c r="K1297" s="1" t="s">
        <v>3665</v>
      </c>
      <c r="L1297" s="1" t="s">
        <v>666</v>
      </c>
      <c r="M1297">
        <f t="shared" si="41"/>
        <v>13</v>
      </c>
      <c r="N1297" t="s">
        <v>650</v>
      </c>
    </row>
    <row r="1298" spans="1:14" x14ac:dyDescent="0.3">
      <c r="A1298" s="1" t="s">
        <v>6801</v>
      </c>
      <c r="B1298" s="1" t="s">
        <v>910</v>
      </c>
      <c r="C1298" s="1" t="s">
        <v>6802</v>
      </c>
      <c r="D1298" s="1" t="s">
        <v>738</v>
      </c>
      <c r="E1298" s="1" t="s">
        <v>6076</v>
      </c>
      <c r="F1298" s="1" t="s">
        <v>6076</v>
      </c>
      <c r="G1298" s="1" t="s">
        <v>3847</v>
      </c>
      <c r="H1298">
        <v>1992</v>
      </c>
      <c r="I1298">
        <v>1997</v>
      </c>
      <c r="J1298">
        <f t="shared" si="40"/>
        <v>6</v>
      </c>
      <c r="K1298" s="1" t="s">
        <v>6076</v>
      </c>
      <c r="L1298" s="1" t="s">
        <v>6076</v>
      </c>
      <c r="M1298">
        <f t="shared" si="41"/>
        <v>29</v>
      </c>
      <c r="N1298" t="s">
        <v>640</v>
      </c>
    </row>
    <row r="1299" spans="1:14" hidden="1" x14ac:dyDescent="0.3">
      <c r="A1299" s="1" t="s">
        <v>3877</v>
      </c>
      <c r="B1299" s="1" t="s">
        <v>910</v>
      </c>
      <c r="C1299" s="1" t="s">
        <v>3878</v>
      </c>
      <c r="D1299" s="1" t="s">
        <v>738</v>
      </c>
      <c r="E1299" s="1" t="s">
        <v>812</v>
      </c>
      <c r="F1299" s="1" t="s">
        <v>813</v>
      </c>
      <c r="G1299" s="1" t="s">
        <v>3847</v>
      </c>
      <c r="H1299">
        <v>1997</v>
      </c>
      <c r="I1299">
        <v>1997</v>
      </c>
      <c r="J1299">
        <f t="shared" si="40"/>
        <v>1</v>
      </c>
      <c r="K1299" s="1" t="s">
        <v>3665</v>
      </c>
      <c r="L1299" s="1" t="s">
        <v>666</v>
      </c>
      <c r="M1299">
        <f t="shared" si="41"/>
        <v>29</v>
      </c>
      <c r="N1299" t="s">
        <v>640</v>
      </c>
    </row>
    <row r="1300" spans="1:14" hidden="1" x14ac:dyDescent="0.3">
      <c r="A1300" s="1" t="s">
        <v>3879</v>
      </c>
      <c r="B1300" s="1" t="s">
        <v>910</v>
      </c>
      <c r="C1300" s="1" t="s">
        <v>3880</v>
      </c>
      <c r="D1300" s="1" t="s">
        <v>738</v>
      </c>
      <c r="E1300" s="1" t="s">
        <v>812</v>
      </c>
      <c r="F1300" s="1" t="s">
        <v>813</v>
      </c>
      <c r="G1300" s="1" t="s">
        <v>3847</v>
      </c>
      <c r="H1300">
        <v>1997</v>
      </c>
      <c r="I1300">
        <v>1997</v>
      </c>
      <c r="J1300">
        <f t="shared" si="40"/>
        <v>1</v>
      </c>
      <c r="K1300" s="1" t="s">
        <v>3665</v>
      </c>
      <c r="L1300" s="1" t="s">
        <v>666</v>
      </c>
      <c r="M1300">
        <f t="shared" si="41"/>
        <v>29</v>
      </c>
      <c r="N1300" t="s">
        <v>640</v>
      </c>
    </row>
    <row r="1301" spans="1:14" x14ac:dyDescent="0.3">
      <c r="A1301" s="1" t="s">
        <v>6803</v>
      </c>
      <c r="B1301" s="1" t="s">
        <v>910</v>
      </c>
      <c r="C1301" s="1" t="s">
        <v>6804</v>
      </c>
      <c r="D1301" s="1" t="s">
        <v>738</v>
      </c>
      <c r="E1301" s="1" t="s">
        <v>6076</v>
      </c>
      <c r="F1301" s="1" t="s">
        <v>6076</v>
      </c>
      <c r="G1301" s="1" t="s">
        <v>3847</v>
      </c>
      <c r="H1301">
        <v>2001</v>
      </c>
      <c r="I1301">
        <v>2006</v>
      </c>
      <c r="J1301">
        <f t="shared" si="40"/>
        <v>6</v>
      </c>
      <c r="K1301" s="1" t="s">
        <v>6076</v>
      </c>
      <c r="L1301" s="1" t="s">
        <v>6076</v>
      </c>
      <c r="M1301">
        <f t="shared" si="41"/>
        <v>20</v>
      </c>
      <c r="N1301" t="s">
        <v>650</v>
      </c>
    </row>
    <row r="1302" spans="1:14" hidden="1" x14ac:dyDescent="0.3">
      <c r="A1302" s="1" t="s">
        <v>3881</v>
      </c>
      <c r="B1302" s="1" t="s">
        <v>910</v>
      </c>
      <c r="C1302" s="1" t="s">
        <v>3882</v>
      </c>
      <c r="D1302" s="1" t="s">
        <v>738</v>
      </c>
      <c r="E1302" s="1" t="s">
        <v>812</v>
      </c>
      <c r="F1302" s="1" t="s">
        <v>813</v>
      </c>
      <c r="G1302" s="1" t="s">
        <v>3847</v>
      </c>
      <c r="H1302">
        <v>2020</v>
      </c>
      <c r="I1302">
        <v>2022</v>
      </c>
      <c r="J1302">
        <f t="shared" si="40"/>
        <v>3</v>
      </c>
      <c r="K1302" s="1" t="s">
        <v>3665</v>
      </c>
      <c r="L1302" s="1" t="s">
        <v>666</v>
      </c>
      <c r="M1302">
        <f t="shared" si="41"/>
        <v>4</v>
      </c>
      <c r="N1302" t="s">
        <v>650</v>
      </c>
    </row>
    <row r="1303" spans="1:14" x14ac:dyDescent="0.3">
      <c r="A1303" s="1" t="s">
        <v>6805</v>
      </c>
      <c r="B1303" s="1" t="s">
        <v>910</v>
      </c>
      <c r="C1303" s="1" t="s">
        <v>6806</v>
      </c>
      <c r="D1303" s="1" t="s">
        <v>738</v>
      </c>
      <c r="E1303" s="1" t="s">
        <v>6076</v>
      </c>
      <c r="F1303" s="1" t="s">
        <v>6076</v>
      </c>
      <c r="G1303" s="1" t="s">
        <v>3847</v>
      </c>
      <c r="H1303">
        <v>2001</v>
      </c>
      <c r="I1303">
        <v>2006</v>
      </c>
      <c r="J1303">
        <f t="shared" si="40"/>
        <v>6</v>
      </c>
      <c r="K1303" s="1" t="s">
        <v>6076</v>
      </c>
      <c r="L1303" s="1" t="s">
        <v>6076</v>
      </c>
      <c r="M1303">
        <f t="shared" si="41"/>
        <v>20</v>
      </c>
      <c r="N1303" t="s">
        <v>650</v>
      </c>
    </row>
    <row r="1304" spans="1:14" hidden="1" x14ac:dyDescent="0.3">
      <c r="A1304" s="1" t="s">
        <v>3883</v>
      </c>
      <c r="B1304" s="1" t="s">
        <v>910</v>
      </c>
      <c r="C1304" s="1" t="s">
        <v>3884</v>
      </c>
      <c r="D1304" s="1" t="s">
        <v>738</v>
      </c>
      <c r="E1304" s="1" t="s">
        <v>812</v>
      </c>
      <c r="F1304" s="1" t="s">
        <v>813</v>
      </c>
      <c r="G1304" s="1" t="s">
        <v>3847</v>
      </c>
      <c r="H1304">
        <v>1997</v>
      </c>
      <c r="I1304">
        <v>1997</v>
      </c>
      <c r="J1304">
        <f t="shared" si="40"/>
        <v>1</v>
      </c>
      <c r="K1304" s="1" t="s">
        <v>3665</v>
      </c>
      <c r="L1304" s="1" t="s">
        <v>666</v>
      </c>
      <c r="M1304">
        <f t="shared" si="41"/>
        <v>29</v>
      </c>
      <c r="N1304" t="s">
        <v>640</v>
      </c>
    </row>
    <row r="1305" spans="1:14" hidden="1" x14ac:dyDescent="0.3">
      <c r="A1305" s="1" t="s">
        <v>3885</v>
      </c>
      <c r="B1305" s="1" t="s">
        <v>910</v>
      </c>
      <c r="C1305" s="1" t="s">
        <v>3886</v>
      </c>
      <c r="D1305" s="1" t="s">
        <v>738</v>
      </c>
      <c r="E1305" s="1" t="s">
        <v>812</v>
      </c>
      <c r="F1305" s="1" t="s">
        <v>813</v>
      </c>
      <c r="G1305" s="1" t="s">
        <v>3847</v>
      </c>
      <c r="H1305">
        <v>2001</v>
      </c>
      <c r="I1305">
        <v>2001</v>
      </c>
      <c r="J1305">
        <f t="shared" si="40"/>
        <v>1</v>
      </c>
      <c r="K1305" s="1" t="s">
        <v>3665</v>
      </c>
      <c r="L1305" s="1" t="s">
        <v>666</v>
      </c>
      <c r="M1305">
        <f t="shared" si="41"/>
        <v>25</v>
      </c>
      <c r="N1305" t="s">
        <v>640</v>
      </c>
    </row>
    <row r="1306" spans="1:14" x14ac:dyDescent="0.3">
      <c r="A1306" s="1" t="s">
        <v>6807</v>
      </c>
      <c r="B1306" s="1" t="s">
        <v>910</v>
      </c>
      <c r="C1306" s="1" t="s">
        <v>6808</v>
      </c>
      <c r="D1306" s="1" t="s">
        <v>738</v>
      </c>
      <c r="E1306" s="1" t="s">
        <v>6076</v>
      </c>
      <c r="F1306" s="1" t="s">
        <v>6076</v>
      </c>
      <c r="G1306" s="1" t="s">
        <v>3847</v>
      </c>
      <c r="H1306">
        <v>2005</v>
      </c>
      <c r="I1306">
        <v>2006</v>
      </c>
      <c r="J1306">
        <f t="shared" si="40"/>
        <v>2</v>
      </c>
      <c r="K1306" s="1" t="s">
        <v>6076</v>
      </c>
      <c r="L1306" s="1" t="s">
        <v>6076</v>
      </c>
      <c r="M1306">
        <f t="shared" si="41"/>
        <v>20</v>
      </c>
      <c r="N1306" t="s">
        <v>650</v>
      </c>
    </row>
    <row r="1307" spans="1:14" x14ac:dyDescent="0.3">
      <c r="A1307" s="1" t="s">
        <v>6809</v>
      </c>
      <c r="B1307" s="1" t="s">
        <v>910</v>
      </c>
      <c r="C1307" s="1" t="s">
        <v>6810</v>
      </c>
      <c r="D1307" s="1" t="s">
        <v>738</v>
      </c>
      <c r="E1307" s="1" t="s">
        <v>6076</v>
      </c>
      <c r="F1307" s="1" t="s">
        <v>6076</v>
      </c>
      <c r="G1307" s="1" t="s">
        <v>3847</v>
      </c>
      <c r="H1307">
        <v>2005</v>
      </c>
      <c r="I1307">
        <v>2006</v>
      </c>
      <c r="J1307">
        <f t="shared" si="40"/>
        <v>2</v>
      </c>
      <c r="K1307" s="1" t="s">
        <v>6076</v>
      </c>
      <c r="L1307" s="1" t="s">
        <v>6076</v>
      </c>
      <c r="M1307">
        <f t="shared" si="41"/>
        <v>20</v>
      </c>
      <c r="N1307" t="s">
        <v>650</v>
      </c>
    </row>
    <row r="1308" spans="1:14" hidden="1" x14ac:dyDescent="0.3">
      <c r="A1308" s="1" t="s">
        <v>3887</v>
      </c>
      <c r="B1308" s="1" t="s">
        <v>910</v>
      </c>
      <c r="C1308" s="1" t="s">
        <v>3888</v>
      </c>
      <c r="D1308" s="1" t="s">
        <v>738</v>
      </c>
      <c r="E1308" s="1" t="s">
        <v>812</v>
      </c>
      <c r="F1308" s="1" t="s">
        <v>813</v>
      </c>
      <c r="G1308" s="1" t="s">
        <v>3847</v>
      </c>
      <c r="H1308">
        <v>2014</v>
      </c>
      <c r="I1308">
        <v>2016</v>
      </c>
      <c r="J1308">
        <f t="shared" si="40"/>
        <v>3</v>
      </c>
      <c r="K1308" s="1" t="s">
        <v>3665</v>
      </c>
      <c r="L1308" s="1" t="s">
        <v>666</v>
      </c>
      <c r="M1308">
        <f t="shared" si="41"/>
        <v>10</v>
      </c>
      <c r="N1308" t="s">
        <v>650</v>
      </c>
    </row>
    <row r="1309" spans="1:14" hidden="1" x14ac:dyDescent="0.3">
      <c r="A1309" s="1" t="s">
        <v>3889</v>
      </c>
      <c r="B1309" s="1" t="s">
        <v>910</v>
      </c>
      <c r="C1309" s="1" t="s">
        <v>3890</v>
      </c>
      <c r="D1309" s="1" t="s">
        <v>738</v>
      </c>
      <c r="E1309" s="1" t="s">
        <v>812</v>
      </c>
      <c r="F1309" s="1" t="s">
        <v>813</v>
      </c>
      <c r="G1309" s="1" t="s">
        <v>3847</v>
      </c>
      <c r="H1309">
        <v>2007</v>
      </c>
      <c r="I1309">
        <v>2007</v>
      </c>
      <c r="J1309">
        <f t="shared" si="40"/>
        <v>1</v>
      </c>
      <c r="K1309" s="1" t="s">
        <v>3665</v>
      </c>
      <c r="L1309" s="1" t="s">
        <v>666</v>
      </c>
      <c r="M1309">
        <f t="shared" si="41"/>
        <v>19</v>
      </c>
      <c r="N1309" t="s">
        <v>650</v>
      </c>
    </row>
    <row r="1310" spans="1:14" hidden="1" x14ac:dyDescent="0.3">
      <c r="A1310" s="1" t="s">
        <v>3891</v>
      </c>
      <c r="B1310" s="1" t="s">
        <v>910</v>
      </c>
      <c r="C1310" s="1" t="s">
        <v>3892</v>
      </c>
      <c r="D1310" s="1" t="s">
        <v>738</v>
      </c>
      <c r="E1310" s="1" t="s">
        <v>812</v>
      </c>
      <c r="F1310" s="1" t="s">
        <v>813</v>
      </c>
      <c r="G1310" s="1" t="s">
        <v>3847</v>
      </c>
      <c r="H1310">
        <v>2007</v>
      </c>
      <c r="I1310">
        <v>2016</v>
      </c>
      <c r="J1310">
        <f t="shared" si="40"/>
        <v>10</v>
      </c>
      <c r="K1310" s="1" t="s">
        <v>3665</v>
      </c>
      <c r="L1310" s="1" t="s">
        <v>666</v>
      </c>
      <c r="M1310">
        <f t="shared" si="41"/>
        <v>10</v>
      </c>
      <c r="N1310" t="s">
        <v>650</v>
      </c>
    </row>
    <row r="1311" spans="1:14" hidden="1" x14ac:dyDescent="0.3">
      <c r="A1311" s="1" t="s">
        <v>3893</v>
      </c>
      <c r="B1311" s="1" t="s">
        <v>910</v>
      </c>
      <c r="C1311" s="1" t="s">
        <v>3894</v>
      </c>
      <c r="D1311" s="1" t="s">
        <v>738</v>
      </c>
      <c r="E1311" s="1" t="s">
        <v>812</v>
      </c>
      <c r="F1311" s="1" t="s">
        <v>813</v>
      </c>
      <c r="G1311" s="1" t="s">
        <v>3847</v>
      </c>
      <c r="H1311">
        <v>2007</v>
      </c>
      <c r="I1311">
        <v>2011</v>
      </c>
      <c r="J1311">
        <f t="shared" si="40"/>
        <v>5</v>
      </c>
      <c r="K1311" s="1" t="s">
        <v>3665</v>
      </c>
      <c r="L1311" s="1" t="s">
        <v>666</v>
      </c>
      <c r="M1311">
        <f t="shared" si="41"/>
        <v>15</v>
      </c>
      <c r="N1311" t="s">
        <v>650</v>
      </c>
    </row>
    <row r="1312" spans="1:14" hidden="1" x14ac:dyDescent="0.3">
      <c r="A1312" s="1" t="s">
        <v>3895</v>
      </c>
      <c r="B1312" s="1" t="s">
        <v>910</v>
      </c>
      <c r="C1312" s="1" t="s">
        <v>3896</v>
      </c>
      <c r="D1312" s="1" t="s">
        <v>738</v>
      </c>
      <c r="E1312" s="1" t="s">
        <v>812</v>
      </c>
      <c r="F1312" s="1" t="s">
        <v>813</v>
      </c>
      <c r="G1312" s="1" t="s">
        <v>3847</v>
      </c>
      <c r="H1312">
        <v>2017</v>
      </c>
      <c r="I1312">
        <v>2022</v>
      </c>
      <c r="J1312">
        <f t="shared" si="40"/>
        <v>6</v>
      </c>
      <c r="K1312" s="1" t="s">
        <v>3665</v>
      </c>
      <c r="L1312" s="1" t="s">
        <v>666</v>
      </c>
      <c r="M1312">
        <f t="shared" si="41"/>
        <v>4</v>
      </c>
      <c r="N1312" t="s">
        <v>650</v>
      </c>
    </row>
    <row r="1313" spans="1:14" hidden="1" x14ac:dyDescent="0.3">
      <c r="A1313" s="1" t="s">
        <v>3897</v>
      </c>
      <c r="B1313" s="1" t="s">
        <v>910</v>
      </c>
      <c r="C1313" s="1" t="s">
        <v>3898</v>
      </c>
      <c r="D1313" s="1" t="s">
        <v>738</v>
      </c>
      <c r="E1313" s="1" t="s">
        <v>812</v>
      </c>
      <c r="F1313" s="1" t="s">
        <v>813</v>
      </c>
      <c r="G1313" s="1" t="s">
        <v>3847</v>
      </c>
      <c r="H1313">
        <v>2017</v>
      </c>
      <c r="I1313">
        <v>2019</v>
      </c>
      <c r="J1313">
        <f t="shared" si="40"/>
        <v>3</v>
      </c>
      <c r="K1313" s="1" t="s">
        <v>3665</v>
      </c>
      <c r="L1313" s="1" t="s">
        <v>666</v>
      </c>
      <c r="M1313">
        <f t="shared" si="41"/>
        <v>7</v>
      </c>
      <c r="N1313" t="s">
        <v>650</v>
      </c>
    </row>
    <row r="1314" spans="1:14" hidden="1" x14ac:dyDescent="0.3">
      <c r="A1314" s="1" t="s">
        <v>3899</v>
      </c>
      <c r="B1314" s="1" t="s">
        <v>910</v>
      </c>
      <c r="C1314" s="1" t="s">
        <v>3900</v>
      </c>
      <c r="D1314" s="1" t="s">
        <v>738</v>
      </c>
      <c r="E1314" s="1" t="s">
        <v>812</v>
      </c>
      <c r="F1314" s="1" t="s">
        <v>813</v>
      </c>
      <c r="G1314" s="1" t="s">
        <v>3847</v>
      </c>
      <c r="H1314">
        <v>2017</v>
      </c>
      <c r="I1314">
        <v>2022</v>
      </c>
      <c r="J1314">
        <f t="shared" si="40"/>
        <v>6</v>
      </c>
      <c r="K1314" s="1" t="s">
        <v>3665</v>
      </c>
      <c r="L1314" s="1" t="s">
        <v>666</v>
      </c>
      <c r="M1314">
        <f t="shared" si="41"/>
        <v>4</v>
      </c>
      <c r="N1314" t="s">
        <v>650</v>
      </c>
    </row>
    <row r="1315" spans="1:14" x14ac:dyDescent="0.3">
      <c r="A1315" t="s">
        <v>11562</v>
      </c>
      <c r="B1315" t="s">
        <v>910</v>
      </c>
      <c r="C1315" t="s">
        <v>11563</v>
      </c>
      <c r="E1315" s="1" t="s">
        <v>6076</v>
      </c>
      <c r="F1315" s="1" t="s">
        <v>6076</v>
      </c>
      <c r="G1315" s="1" t="s">
        <v>12836</v>
      </c>
      <c r="H1315">
        <v>2023</v>
      </c>
      <c r="I1315">
        <v>2026</v>
      </c>
      <c r="J1315">
        <f t="shared" si="40"/>
        <v>4</v>
      </c>
      <c r="K1315" s="1" t="s">
        <v>6076</v>
      </c>
      <c r="L1315" s="1" t="s">
        <v>6076</v>
      </c>
      <c r="M1315">
        <f t="shared" si="41"/>
        <v>0</v>
      </c>
    </row>
    <row r="1316" spans="1:14" x14ac:dyDescent="0.3">
      <c r="A1316" s="1" t="s">
        <v>6811</v>
      </c>
      <c r="B1316" s="1" t="s">
        <v>5931</v>
      </c>
      <c r="C1316" s="1" t="s">
        <v>6812</v>
      </c>
      <c r="D1316" s="1" t="s">
        <v>738</v>
      </c>
      <c r="E1316" s="1" t="s">
        <v>6076</v>
      </c>
      <c r="F1316" s="1" t="s">
        <v>6076</v>
      </c>
      <c r="G1316" s="1" t="s">
        <v>6813</v>
      </c>
      <c r="H1316">
        <v>1997</v>
      </c>
      <c r="I1316">
        <v>2011</v>
      </c>
      <c r="J1316">
        <f t="shared" si="40"/>
        <v>15</v>
      </c>
      <c r="K1316" s="1" t="s">
        <v>6076</v>
      </c>
      <c r="L1316" s="1" t="s">
        <v>6076</v>
      </c>
      <c r="M1316">
        <f t="shared" si="41"/>
        <v>15</v>
      </c>
    </row>
    <row r="1317" spans="1:14" x14ac:dyDescent="0.3">
      <c r="A1317" s="1" t="s">
        <v>6814</v>
      </c>
      <c r="B1317" s="1" t="s">
        <v>5931</v>
      </c>
      <c r="C1317" s="1" t="s">
        <v>6815</v>
      </c>
      <c r="D1317" s="1" t="s">
        <v>738</v>
      </c>
      <c r="E1317" s="1" t="s">
        <v>6076</v>
      </c>
      <c r="F1317" s="1" t="s">
        <v>6076</v>
      </c>
      <c r="G1317" s="1" t="s">
        <v>6816</v>
      </c>
      <c r="H1317">
        <v>1998</v>
      </c>
      <c r="I1317">
        <v>2011</v>
      </c>
      <c r="J1317">
        <f t="shared" si="40"/>
        <v>14</v>
      </c>
      <c r="K1317" s="1" t="s">
        <v>6076</v>
      </c>
      <c r="L1317" s="1" t="s">
        <v>6076</v>
      </c>
      <c r="M1317">
        <f t="shared" si="41"/>
        <v>15</v>
      </c>
    </row>
    <row r="1318" spans="1:14" x14ac:dyDescent="0.3">
      <c r="A1318" s="1" t="s">
        <v>6817</v>
      </c>
      <c r="B1318" s="1" t="s">
        <v>5931</v>
      </c>
      <c r="C1318" s="1" t="s">
        <v>6818</v>
      </c>
      <c r="D1318" s="1" t="s">
        <v>738</v>
      </c>
      <c r="E1318" s="1" t="s">
        <v>6076</v>
      </c>
      <c r="F1318" s="1" t="s">
        <v>6076</v>
      </c>
      <c r="G1318" s="1" t="s">
        <v>6819</v>
      </c>
      <c r="H1318">
        <v>2008</v>
      </c>
      <c r="I1318">
        <v>2011</v>
      </c>
      <c r="J1318">
        <f t="shared" si="40"/>
        <v>4</v>
      </c>
      <c r="K1318" s="1" t="s">
        <v>6076</v>
      </c>
      <c r="L1318" s="1" t="s">
        <v>6076</v>
      </c>
      <c r="M1318">
        <f t="shared" si="41"/>
        <v>15</v>
      </c>
    </row>
    <row r="1319" spans="1:14" x14ac:dyDescent="0.3">
      <c r="A1319" s="1" t="s">
        <v>6820</v>
      </c>
      <c r="B1319" s="1" t="s">
        <v>5931</v>
      </c>
      <c r="C1319" s="1" t="s">
        <v>6821</v>
      </c>
      <c r="D1319" s="1" t="s">
        <v>738</v>
      </c>
      <c r="E1319" s="1" t="s">
        <v>6076</v>
      </c>
      <c r="F1319" s="1" t="s">
        <v>6076</v>
      </c>
      <c r="G1319" s="1" t="s">
        <v>6822</v>
      </c>
      <c r="H1319">
        <v>2008</v>
      </c>
      <c r="I1319">
        <v>2011</v>
      </c>
      <c r="J1319">
        <f t="shared" si="40"/>
        <v>4</v>
      </c>
      <c r="K1319" s="1" t="s">
        <v>6076</v>
      </c>
      <c r="L1319" s="1" t="s">
        <v>6076</v>
      </c>
      <c r="M1319">
        <f t="shared" si="41"/>
        <v>15</v>
      </c>
    </row>
    <row r="1320" spans="1:14" x14ac:dyDescent="0.3">
      <c r="A1320" s="1" t="s">
        <v>6823</v>
      </c>
      <c r="B1320" s="1" t="s">
        <v>5931</v>
      </c>
      <c r="C1320" s="1" t="s">
        <v>6824</v>
      </c>
      <c r="D1320" s="1" t="s">
        <v>738</v>
      </c>
      <c r="E1320" s="1" t="s">
        <v>6076</v>
      </c>
      <c r="F1320" s="1" t="s">
        <v>6076</v>
      </c>
      <c r="G1320" s="1" t="s">
        <v>6825</v>
      </c>
      <c r="H1320">
        <v>2018</v>
      </c>
      <c r="I1320">
        <v>2019</v>
      </c>
      <c r="J1320">
        <f t="shared" si="40"/>
        <v>2</v>
      </c>
      <c r="K1320" s="1" t="s">
        <v>6076</v>
      </c>
      <c r="L1320" s="1" t="s">
        <v>6076</v>
      </c>
      <c r="M1320">
        <f t="shared" si="41"/>
        <v>7</v>
      </c>
    </row>
    <row r="1321" spans="1:14" x14ac:dyDescent="0.3">
      <c r="A1321" s="1" t="s">
        <v>6826</v>
      </c>
      <c r="B1321" s="1" t="s">
        <v>5931</v>
      </c>
      <c r="C1321" s="1" t="s">
        <v>6827</v>
      </c>
      <c r="D1321" s="1" t="s">
        <v>738</v>
      </c>
      <c r="E1321" s="1" t="s">
        <v>6076</v>
      </c>
      <c r="F1321" s="1" t="s">
        <v>6076</v>
      </c>
      <c r="G1321" s="1" t="s">
        <v>6828</v>
      </c>
      <c r="H1321">
        <v>2017</v>
      </c>
      <c r="I1321">
        <v>2019</v>
      </c>
      <c r="J1321">
        <f t="shared" si="40"/>
        <v>3</v>
      </c>
      <c r="K1321" s="1" t="s">
        <v>6076</v>
      </c>
      <c r="L1321" s="1" t="s">
        <v>6076</v>
      </c>
      <c r="M1321">
        <f t="shared" si="41"/>
        <v>7</v>
      </c>
    </row>
    <row r="1322" spans="1:14" x14ac:dyDescent="0.3">
      <c r="A1322" t="s">
        <v>11766</v>
      </c>
      <c r="B1322" t="s">
        <v>5931</v>
      </c>
      <c r="C1322" t="s">
        <v>11767</v>
      </c>
      <c r="E1322" s="1" t="s">
        <v>6076</v>
      </c>
      <c r="F1322" s="1" t="s">
        <v>6076</v>
      </c>
      <c r="G1322" s="1" t="s">
        <v>12851</v>
      </c>
      <c r="H1322">
        <v>2024</v>
      </c>
      <c r="I1322">
        <v>2026</v>
      </c>
      <c r="J1322">
        <f t="shared" si="40"/>
        <v>3</v>
      </c>
      <c r="K1322" s="1" t="s">
        <v>6076</v>
      </c>
      <c r="L1322" s="1" t="s">
        <v>6076</v>
      </c>
      <c r="M1322">
        <f t="shared" si="41"/>
        <v>0</v>
      </c>
    </row>
    <row r="1323" spans="1:14" x14ac:dyDescent="0.3">
      <c r="A1323" s="1" t="s">
        <v>6829</v>
      </c>
      <c r="B1323" s="1" t="s">
        <v>5931</v>
      </c>
      <c r="C1323" s="1" t="s">
        <v>6830</v>
      </c>
      <c r="D1323" s="1" t="s">
        <v>738</v>
      </c>
      <c r="E1323" s="1" t="s">
        <v>6076</v>
      </c>
      <c r="F1323" s="1" t="s">
        <v>6076</v>
      </c>
      <c r="G1323" s="1" t="s">
        <v>6828</v>
      </c>
      <c r="H1323">
        <v>2014</v>
      </c>
      <c r="I1323">
        <v>2015</v>
      </c>
      <c r="J1323">
        <f t="shared" si="40"/>
        <v>2</v>
      </c>
      <c r="K1323" s="1" t="s">
        <v>6076</v>
      </c>
      <c r="L1323" s="1" t="s">
        <v>6076</v>
      </c>
      <c r="M1323">
        <f t="shared" si="41"/>
        <v>11</v>
      </c>
    </row>
    <row r="1324" spans="1:14" x14ac:dyDescent="0.3">
      <c r="A1324" t="s">
        <v>11768</v>
      </c>
      <c r="B1324" t="s">
        <v>5931</v>
      </c>
      <c r="C1324" t="s">
        <v>11769</v>
      </c>
      <c r="E1324" s="1" t="s">
        <v>6076</v>
      </c>
      <c r="F1324" s="1" t="s">
        <v>6076</v>
      </c>
      <c r="G1324" s="1" t="s">
        <v>12851</v>
      </c>
      <c r="H1324">
        <v>2025</v>
      </c>
      <c r="I1324">
        <v>2026</v>
      </c>
      <c r="J1324">
        <f t="shared" si="40"/>
        <v>2</v>
      </c>
      <c r="K1324" s="1" t="s">
        <v>6076</v>
      </c>
      <c r="L1324" s="1" t="s">
        <v>6076</v>
      </c>
      <c r="M1324">
        <f t="shared" si="41"/>
        <v>0</v>
      </c>
    </row>
    <row r="1325" spans="1:14" x14ac:dyDescent="0.3">
      <c r="A1325" s="1" t="s">
        <v>6831</v>
      </c>
      <c r="B1325" s="1" t="s">
        <v>5931</v>
      </c>
      <c r="C1325" s="1" t="s">
        <v>6832</v>
      </c>
      <c r="D1325" s="1" t="s">
        <v>738</v>
      </c>
      <c r="E1325" s="1" t="s">
        <v>6076</v>
      </c>
      <c r="F1325" s="1" t="s">
        <v>6076</v>
      </c>
      <c r="G1325" s="1" t="s">
        <v>6828</v>
      </c>
      <c r="H1325">
        <v>2014</v>
      </c>
      <c r="I1325">
        <v>2017</v>
      </c>
      <c r="J1325">
        <f t="shared" si="40"/>
        <v>4</v>
      </c>
      <c r="K1325" s="1" t="s">
        <v>6076</v>
      </c>
      <c r="L1325" s="1" t="s">
        <v>6076</v>
      </c>
      <c r="M1325">
        <f t="shared" si="41"/>
        <v>9</v>
      </c>
    </row>
    <row r="1326" spans="1:14" x14ac:dyDescent="0.3">
      <c r="A1326" s="1" t="s">
        <v>6833</v>
      </c>
      <c r="B1326" s="1" t="s">
        <v>5931</v>
      </c>
      <c r="C1326" s="1" t="s">
        <v>6834</v>
      </c>
      <c r="D1326" s="1" t="s">
        <v>738</v>
      </c>
      <c r="E1326" s="1" t="s">
        <v>6076</v>
      </c>
      <c r="F1326" s="1" t="s">
        <v>6076</v>
      </c>
      <c r="G1326" s="1" t="s">
        <v>6828</v>
      </c>
      <c r="H1326">
        <v>2014</v>
      </c>
      <c r="I1326">
        <v>2017</v>
      </c>
      <c r="J1326">
        <f t="shared" si="40"/>
        <v>4</v>
      </c>
      <c r="K1326" s="1" t="s">
        <v>6076</v>
      </c>
      <c r="L1326" s="1" t="s">
        <v>6076</v>
      </c>
      <c r="M1326">
        <f t="shared" si="41"/>
        <v>9</v>
      </c>
    </row>
    <row r="1327" spans="1:14" x14ac:dyDescent="0.3">
      <c r="A1327" s="1" t="s">
        <v>6835</v>
      </c>
      <c r="B1327" s="1" t="s">
        <v>5931</v>
      </c>
      <c r="C1327" s="1" t="s">
        <v>6836</v>
      </c>
      <c r="D1327" s="1" t="s">
        <v>738</v>
      </c>
      <c r="E1327" s="1" t="s">
        <v>6076</v>
      </c>
      <c r="F1327" s="1" t="s">
        <v>6076</v>
      </c>
      <c r="G1327" s="1" t="s">
        <v>6837</v>
      </c>
      <c r="H1327">
        <v>2020</v>
      </c>
      <c r="I1327">
        <v>2022</v>
      </c>
      <c r="J1327">
        <f t="shared" si="40"/>
        <v>3</v>
      </c>
      <c r="K1327" s="1" t="s">
        <v>6076</v>
      </c>
      <c r="L1327" s="1" t="s">
        <v>6076</v>
      </c>
      <c r="M1327">
        <f t="shared" si="41"/>
        <v>4</v>
      </c>
    </row>
    <row r="1328" spans="1:14" x14ac:dyDescent="0.3">
      <c r="A1328" s="1" t="s">
        <v>6838</v>
      </c>
      <c r="B1328" s="1" t="s">
        <v>5931</v>
      </c>
      <c r="C1328" s="1" t="s">
        <v>6839</v>
      </c>
      <c r="D1328" s="1" t="s">
        <v>738</v>
      </c>
      <c r="E1328" s="1" t="s">
        <v>6076</v>
      </c>
      <c r="F1328" s="1" t="s">
        <v>6076</v>
      </c>
      <c r="G1328" s="1" t="s">
        <v>6837</v>
      </c>
      <c r="H1328">
        <v>2014</v>
      </c>
      <c r="I1328">
        <v>2019</v>
      </c>
      <c r="J1328">
        <f t="shared" si="40"/>
        <v>6</v>
      </c>
      <c r="K1328" s="1" t="s">
        <v>6076</v>
      </c>
      <c r="L1328" s="1" t="s">
        <v>6076</v>
      </c>
      <c r="M1328">
        <f t="shared" si="41"/>
        <v>7</v>
      </c>
    </row>
    <row r="1329" spans="1:14" x14ac:dyDescent="0.3">
      <c r="A1329" s="1" t="s">
        <v>6840</v>
      </c>
      <c r="B1329" s="1" t="s">
        <v>5931</v>
      </c>
      <c r="C1329" s="1" t="s">
        <v>6841</v>
      </c>
      <c r="D1329" s="1" t="s">
        <v>738</v>
      </c>
      <c r="E1329" s="1" t="s">
        <v>6076</v>
      </c>
      <c r="F1329" s="1" t="s">
        <v>6076</v>
      </c>
      <c r="G1329" s="1" t="s">
        <v>6842</v>
      </c>
      <c r="H1329">
        <v>2020</v>
      </c>
      <c r="I1329">
        <v>2022</v>
      </c>
      <c r="J1329">
        <f t="shared" si="40"/>
        <v>3</v>
      </c>
      <c r="K1329" s="1" t="s">
        <v>6076</v>
      </c>
      <c r="L1329" s="1" t="s">
        <v>6076</v>
      </c>
      <c r="M1329">
        <f t="shared" si="41"/>
        <v>4</v>
      </c>
    </row>
    <row r="1330" spans="1:14" x14ac:dyDescent="0.3">
      <c r="A1330" t="s">
        <v>11770</v>
      </c>
      <c r="B1330" t="s">
        <v>5931</v>
      </c>
      <c r="C1330" t="s">
        <v>11771</v>
      </c>
      <c r="E1330" s="1" t="s">
        <v>6076</v>
      </c>
      <c r="F1330" s="1" t="s">
        <v>6076</v>
      </c>
      <c r="G1330" s="1" t="s">
        <v>12851</v>
      </c>
      <c r="H1330">
        <v>2024</v>
      </c>
      <c r="I1330">
        <v>2026</v>
      </c>
      <c r="J1330">
        <f t="shared" si="40"/>
        <v>3</v>
      </c>
      <c r="K1330" s="1" t="s">
        <v>6076</v>
      </c>
      <c r="L1330" s="1" t="s">
        <v>6076</v>
      </c>
      <c r="M1330">
        <f t="shared" si="41"/>
        <v>0</v>
      </c>
    </row>
    <row r="1331" spans="1:14" x14ac:dyDescent="0.3">
      <c r="A1331" s="1" t="s">
        <v>6843</v>
      </c>
      <c r="B1331" s="1" t="s">
        <v>5931</v>
      </c>
      <c r="C1331" s="1" t="s">
        <v>6844</v>
      </c>
      <c r="D1331" s="1" t="s">
        <v>738</v>
      </c>
      <c r="E1331" s="1" t="s">
        <v>6076</v>
      </c>
      <c r="F1331" s="1" t="s">
        <v>6076</v>
      </c>
      <c r="G1331" s="1" t="s">
        <v>6842</v>
      </c>
      <c r="H1331">
        <v>2020</v>
      </c>
      <c r="I1331">
        <v>2020</v>
      </c>
      <c r="J1331">
        <f t="shared" si="40"/>
        <v>1</v>
      </c>
      <c r="K1331" s="1" t="s">
        <v>6076</v>
      </c>
      <c r="L1331" s="1" t="s">
        <v>6076</v>
      </c>
      <c r="M1331">
        <f t="shared" si="41"/>
        <v>6</v>
      </c>
    </row>
    <row r="1332" spans="1:14" x14ac:dyDescent="0.3">
      <c r="A1332" s="1" t="s">
        <v>6845</v>
      </c>
      <c r="B1332" s="1" t="s">
        <v>5931</v>
      </c>
      <c r="C1332" s="1" t="s">
        <v>6846</v>
      </c>
      <c r="D1332" s="1" t="s">
        <v>738</v>
      </c>
      <c r="E1332" s="1" t="s">
        <v>6076</v>
      </c>
      <c r="F1332" s="1" t="s">
        <v>6076</v>
      </c>
      <c r="G1332" s="1" t="s">
        <v>6847</v>
      </c>
      <c r="H1332">
        <v>2014</v>
      </c>
      <c r="I1332">
        <v>2019</v>
      </c>
      <c r="J1332">
        <f t="shared" si="40"/>
        <v>6</v>
      </c>
      <c r="K1332" s="1" t="s">
        <v>6076</v>
      </c>
      <c r="L1332" s="1" t="s">
        <v>6076</v>
      </c>
      <c r="M1332">
        <f t="shared" si="41"/>
        <v>7</v>
      </c>
    </row>
    <row r="1333" spans="1:14" x14ac:dyDescent="0.3">
      <c r="A1333" s="1" t="s">
        <v>6848</v>
      </c>
      <c r="B1333" s="1" t="s">
        <v>5931</v>
      </c>
      <c r="C1333" s="1" t="s">
        <v>6849</v>
      </c>
      <c r="D1333" s="1" t="s">
        <v>738</v>
      </c>
      <c r="E1333" s="1" t="s">
        <v>6076</v>
      </c>
      <c r="F1333" s="1" t="s">
        <v>6076</v>
      </c>
      <c r="G1333" s="1" t="s">
        <v>6847</v>
      </c>
      <c r="H1333">
        <v>2020</v>
      </c>
      <c r="I1333">
        <v>2022</v>
      </c>
      <c r="J1333">
        <f t="shared" si="40"/>
        <v>3</v>
      </c>
      <c r="K1333" s="1" t="s">
        <v>6076</v>
      </c>
      <c r="L1333" s="1" t="s">
        <v>6076</v>
      </c>
      <c r="M1333">
        <f t="shared" si="41"/>
        <v>4</v>
      </c>
    </row>
    <row r="1334" spans="1:14" x14ac:dyDescent="0.3">
      <c r="A1334" s="1" t="s">
        <v>6850</v>
      </c>
      <c r="B1334" s="1" t="s">
        <v>2667</v>
      </c>
      <c r="C1334" s="1" t="s">
        <v>6851</v>
      </c>
      <c r="D1334" s="1" t="s">
        <v>738</v>
      </c>
      <c r="E1334" s="1" t="s">
        <v>6076</v>
      </c>
      <c r="F1334" s="1" t="s">
        <v>6076</v>
      </c>
      <c r="G1334" s="1" t="s">
        <v>6852</v>
      </c>
      <c r="H1334">
        <v>1997</v>
      </c>
      <c r="I1334">
        <v>2000</v>
      </c>
      <c r="J1334">
        <f t="shared" si="40"/>
        <v>4</v>
      </c>
      <c r="K1334" s="1" t="s">
        <v>6076</v>
      </c>
      <c r="L1334" s="1" t="s">
        <v>6076</v>
      </c>
      <c r="M1334">
        <f t="shared" si="41"/>
        <v>26</v>
      </c>
      <c r="N1334" t="s">
        <v>640</v>
      </c>
    </row>
    <row r="1335" spans="1:14" x14ac:dyDescent="0.3">
      <c r="A1335" s="1" t="s">
        <v>6853</v>
      </c>
      <c r="B1335" s="1" t="s">
        <v>2667</v>
      </c>
      <c r="C1335" s="1" t="s">
        <v>6854</v>
      </c>
      <c r="D1335" s="1" t="s">
        <v>738</v>
      </c>
      <c r="E1335" s="1" t="s">
        <v>6076</v>
      </c>
      <c r="F1335" s="1" t="s">
        <v>6076</v>
      </c>
      <c r="G1335" s="1" t="s">
        <v>6852</v>
      </c>
      <c r="H1335">
        <v>1997</v>
      </c>
      <c r="I1335">
        <v>2000</v>
      </c>
      <c r="J1335">
        <f t="shared" si="40"/>
        <v>4</v>
      </c>
      <c r="K1335" s="1" t="s">
        <v>6076</v>
      </c>
      <c r="L1335" s="1" t="s">
        <v>6076</v>
      </c>
      <c r="M1335">
        <f t="shared" si="41"/>
        <v>26</v>
      </c>
      <c r="N1335" t="s">
        <v>640</v>
      </c>
    </row>
    <row r="1336" spans="1:14" x14ac:dyDescent="0.3">
      <c r="A1336" s="1" t="s">
        <v>6855</v>
      </c>
      <c r="B1336" s="1" t="s">
        <v>2667</v>
      </c>
      <c r="C1336" s="1" t="s">
        <v>6856</v>
      </c>
      <c r="D1336" s="1" t="s">
        <v>738</v>
      </c>
      <c r="E1336" s="1" t="s">
        <v>6076</v>
      </c>
      <c r="F1336" s="1" t="s">
        <v>6076</v>
      </c>
      <c r="G1336" s="1" t="s">
        <v>6852</v>
      </c>
      <c r="H1336">
        <v>1999</v>
      </c>
      <c r="I1336">
        <v>2000</v>
      </c>
      <c r="J1336">
        <f t="shared" si="40"/>
        <v>2</v>
      </c>
      <c r="K1336" s="1" t="s">
        <v>6076</v>
      </c>
      <c r="L1336" s="1" t="s">
        <v>6076</v>
      </c>
      <c r="M1336">
        <f t="shared" si="41"/>
        <v>26</v>
      </c>
      <c r="N1336" t="s">
        <v>640</v>
      </c>
    </row>
    <row r="1337" spans="1:14" x14ac:dyDescent="0.3">
      <c r="A1337" s="1" t="s">
        <v>6857</v>
      </c>
      <c r="B1337" s="1" t="s">
        <v>2667</v>
      </c>
      <c r="C1337" s="1" t="s">
        <v>6858</v>
      </c>
      <c r="D1337" s="1" t="s">
        <v>738</v>
      </c>
      <c r="E1337" s="1" t="s">
        <v>6076</v>
      </c>
      <c r="F1337" s="1" t="s">
        <v>6076</v>
      </c>
      <c r="G1337" s="1" t="s">
        <v>6852</v>
      </c>
      <c r="H1337">
        <v>1998</v>
      </c>
      <c r="I1337">
        <v>2000</v>
      </c>
      <c r="J1337">
        <f t="shared" si="40"/>
        <v>3</v>
      </c>
      <c r="K1337" s="1" t="s">
        <v>6076</v>
      </c>
      <c r="L1337" s="1" t="s">
        <v>6076</v>
      </c>
      <c r="M1337">
        <f t="shared" si="41"/>
        <v>26</v>
      </c>
      <c r="N1337" t="s">
        <v>640</v>
      </c>
    </row>
    <row r="1338" spans="1:14" x14ac:dyDescent="0.3">
      <c r="A1338" s="1" t="s">
        <v>6859</v>
      </c>
      <c r="B1338" s="1" t="s">
        <v>5931</v>
      </c>
      <c r="C1338" s="1" t="s">
        <v>6860</v>
      </c>
      <c r="D1338" s="1" t="s">
        <v>738</v>
      </c>
      <c r="E1338" s="1" t="s">
        <v>6076</v>
      </c>
      <c r="F1338" s="1" t="s">
        <v>6076</v>
      </c>
      <c r="G1338" s="1" t="s">
        <v>6861</v>
      </c>
      <c r="H1338">
        <v>1999</v>
      </c>
      <c r="I1338">
        <v>2005</v>
      </c>
      <c r="J1338">
        <f t="shared" si="40"/>
        <v>7</v>
      </c>
      <c r="K1338" s="1" t="s">
        <v>6076</v>
      </c>
      <c r="L1338" s="1" t="s">
        <v>6076</v>
      </c>
      <c r="M1338">
        <f t="shared" si="41"/>
        <v>21</v>
      </c>
    </row>
    <row r="1339" spans="1:14" x14ac:dyDescent="0.3">
      <c r="A1339" s="1" t="s">
        <v>6862</v>
      </c>
      <c r="B1339" s="1" t="s">
        <v>5931</v>
      </c>
      <c r="C1339" s="1" t="s">
        <v>6863</v>
      </c>
      <c r="D1339" s="1" t="s">
        <v>738</v>
      </c>
      <c r="E1339" s="1" t="s">
        <v>6076</v>
      </c>
      <c r="F1339" s="1" t="s">
        <v>6076</v>
      </c>
      <c r="G1339" s="1" t="s">
        <v>6861</v>
      </c>
      <c r="H1339">
        <v>1999</v>
      </c>
      <c r="I1339">
        <v>2005</v>
      </c>
      <c r="J1339">
        <f t="shared" si="40"/>
        <v>7</v>
      </c>
      <c r="K1339" s="1" t="s">
        <v>6076</v>
      </c>
      <c r="L1339" s="1" t="s">
        <v>6076</v>
      </c>
      <c r="M1339">
        <f t="shared" si="41"/>
        <v>21</v>
      </c>
    </row>
    <row r="1340" spans="1:14" x14ac:dyDescent="0.3">
      <c r="A1340" s="1" t="s">
        <v>6864</v>
      </c>
      <c r="B1340" s="1" t="s">
        <v>5931</v>
      </c>
      <c r="C1340" s="1" t="s">
        <v>6865</v>
      </c>
      <c r="D1340" s="1" t="s">
        <v>738</v>
      </c>
      <c r="E1340" s="1" t="s">
        <v>6076</v>
      </c>
      <c r="F1340" s="1" t="s">
        <v>6076</v>
      </c>
      <c r="G1340" s="1" t="s">
        <v>6861</v>
      </c>
      <c r="H1340">
        <v>1999</v>
      </c>
      <c r="I1340">
        <v>2001</v>
      </c>
      <c r="J1340">
        <f t="shared" si="40"/>
        <v>3</v>
      </c>
      <c r="K1340" s="1" t="s">
        <v>6076</v>
      </c>
      <c r="L1340" s="1" t="s">
        <v>6076</v>
      </c>
      <c r="M1340">
        <f t="shared" si="41"/>
        <v>25</v>
      </c>
    </row>
    <row r="1341" spans="1:14" x14ac:dyDescent="0.3">
      <c r="A1341" s="1" t="s">
        <v>6866</v>
      </c>
      <c r="B1341" s="1" t="s">
        <v>5931</v>
      </c>
      <c r="C1341" s="1" t="s">
        <v>6867</v>
      </c>
      <c r="D1341" s="1" t="s">
        <v>738</v>
      </c>
      <c r="E1341" s="1" t="s">
        <v>6076</v>
      </c>
      <c r="F1341" s="1" t="s">
        <v>6076</v>
      </c>
      <c r="G1341" s="1" t="s">
        <v>6861</v>
      </c>
      <c r="H1341">
        <v>1999</v>
      </c>
      <c r="I1341">
        <v>2002</v>
      </c>
      <c r="J1341">
        <f t="shared" si="40"/>
        <v>4</v>
      </c>
      <c r="K1341" s="1" t="s">
        <v>6076</v>
      </c>
      <c r="L1341" s="1" t="s">
        <v>6076</v>
      </c>
      <c r="M1341">
        <f t="shared" si="41"/>
        <v>24</v>
      </c>
    </row>
    <row r="1342" spans="1:14" x14ac:dyDescent="0.3">
      <c r="A1342" s="1" t="s">
        <v>6868</v>
      </c>
      <c r="B1342" s="1" t="s">
        <v>5931</v>
      </c>
      <c r="C1342" s="1" t="s">
        <v>6869</v>
      </c>
      <c r="D1342" s="1" t="s">
        <v>738</v>
      </c>
      <c r="E1342" s="1" t="s">
        <v>6076</v>
      </c>
      <c r="F1342" s="1" t="s">
        <v>6076</v>
      </c>
      <c r="G1342" s="1" t="s">
        <v>6861</v>
      </c>
      <c r="H1342">
        <v>2001</v>
      </c>
      <c r="I1342">
        <v>2002</v>
      </c>
      <c r="J1342">
        <f t="shared" si="40"/>
        <v>2</v>
      </c>
      <c r="K1342" s="1" t="s">
        <v>6076</v>
      </c>
      <c r="L1342" s="1" t="s">
        <v>6076</v>
      </c>
      <c r="M1342">
        <f t="shared" si="41"/>
        <v>24</v>
      </c>
    </row>
    <row r="1343" spans="1:14" x14ac:dyDescent="0.3">
      <c r="A1343" s="1" t="s">
        <v>6870</v>
      </c>
      <c r="B1343" s="1" t="s">
        <v>5931</v>
      </c>
      <c r="C1343" s="1" t="s">
        <v>6871</v>
      </c>
      <c r="D1343" s="1" t="s">
        <v>738</v>
      </c>
      <c r="E1343" s="1" t="s">
        <v>6076</v>
      </c>
      <c r="F1343" s="1" t="s">
        <v>6076</v>
      </c>
      <c r="G1343" s="1" t="s">
        <v>6861</v>
      </c>
      <c r="H1343">
        <v>2001</v>
      </c>
      <c r="I1343">
        <v>2002</v>
      </c>
      <c r="J1343">
        <f t="shared" si="40"/>
        <v>2</v>
      </c>
      <c r="K1343" s="1" t="s">
        <v>6076</v>
      </c>
      <c r="L1343" s="1" t="s">
        <v>6076</v>
      </c>
      <c r="M1343">
        <f t="shared" si="41"/>
        <v>24</v>
      </c>
    </row>
    <row r="1344" spans="1:14" x14ac:dyDescent="0.3">
      <c r="A1344" s="1" t="s">
        <v>6872</v>
      </c>
      <c r="B1344" s="1" t="s">
        <v>5931</v>
      </c>
      <c r="C1344" s="1" t="s">
        <v>6873</v>
      </c>
      <c r="D1344" s="1" t="s">
        <v>738</v>
      </c>
      <c r="E1344" s="1" t="s">
        <v>6076</v>
      </c>
      <c r="F1344" s="1" t="s">
        <v>6076</v>
      </c>
      <c r="G1344" s="1" t="s">
        <v>6861</v>
      </c>
      <c r="H1344">
        <v>2001</v>
      </c>
      <c r="I1344">
        <v>2002</v>
      </c>
      <c r="J1344">
        <f t="shared" si="40"/>
        <v>2</v>
      </c>
      <c r="K1344" s="1" t="s">
        <v>6076</v>
      </c>
      <c r="L1344" s="1" t="s">
        <v>6076</v>
      </c>
      <c r="M1344">
        <f t="shared" si="41"/>
        <v>24</v>
      </c>
    </row>
    <row r="1345" spans="1:13" x14ac:dyDescent="0.3">
      <c r="A1345" s="1" t="s">
        <v>6874</v>
      </c>
      <c r="B1345" s="1" t="s">
        <v>5931</v>
      </c>
      <c r="C1345" s="1" t="s">
        <v>6875</v>
      </c>
      <c r="D1345" s="1" t="s">
        <v>738</v>
      </c>
      <c r="E1345" s="1" t="s">
        <v>6076</v>
      </c>
      <c r="F1345" s="1" t="s">
        <v>6076</v>
      </c>
      <c r="G1345" s="1" t="s">
        <v>6861</v>
      </c>
      <c r="H1345">
        <v>2001</v>
      </c>
      <c r="I1345">
        <v>2005</v>
      </c>
      <c r="J1345">
        <f t="shared" si="40"/>
        <v>5</v>
      </c>
      <c r="K1345" s="1" t="s">
        <v>6076</v>
      </c>
      <c r="L1345" s="1" t="s">
        <v>6076</v>
      </c>
      <c r="M1345">
        <f t="shared" si="41"/>
        <v>21</v>
      </c>
    </row>
    <row r="1346" spans="1:13" x14ac:dyDescent="0.3">
      <c r="A1346" s="1" t="s">
        <v>6876</v>
      </c>
      <c r="B1346" s="1" t="s">
        <v>5931</v>
      </c>
      <c r="C1346" s="1" t="s">
        <v>6877</v>
      </c>
      <c r="D1346" s="1" t="s">
        <v>738</v>
      </c>
      <c r="E1346" s="1" t="s">
        <v>6076</v>
      </c>
      <c r="F1346" s="1" t="s">
        <v>6076</v>
      </c>
      <c r="G1346" s="1" t="s">
        <v>6861</v>
      </c>
      <c r="H1346">
        <v>2001</v>
      </c>
      <c r="I1346">
        <v>2005</v>
      </c>
      <c r="J1346">
        <f t="shared" si="40"/>
        <v>5</v>
      </c>
      <c r="K1346" s="1" t="s">
        <v>6076</v>
      </c>
      <c r="L1346" s="1" t="s">
        <v>6076</v>
      </c>
      <c r="M1346">
        <f t="shared" si="41"/>
        <v>21</v>
      </c>
    </row>
    <row r="1347" spans="1:13" x14ac:dyDescent="0.3">
      <c r="A1347" s="1" t="s">
        <v>6878</v>
      </c>
      <c r="B1347" s="1" t="s">
        <v>5931</v>
      </c>
      <c r="C1347" s="1" t="s">
        <v>6879</v>
      </c>
      <c r="D1347" s="1" t="s">
        <v>738</v>
      </c>
      <c r="E1347" s="1" t="s">
        <v>6076</v>
      </c>
      <c r="F1347" s="1" t="s">
        <v>6076</v>
      </c>
      <c r="G1347" s="1" t="s">
        <v>6861</v>
      </c>
      <c r="H1347">
        <v>2001</v>
      </c>
      <c r="I1347">
        <v>2002</v>
      </c>
      <c r="J1347">
        <f t="shared" si="40"/>
        <v>2</v>
      </c>
      <c r="K1347" s="1" t="s">
        <v>6076</v>
      </c>
      <c r="L1347" s="1" t="s">
        <v>6076</v>
      </c>
      <c r="M1347">
        <f t="shared" si="41"/>
        <v>24</v>
      </c>
    </row>
    <row r="1348" spans="1:13" x14ac:dyDescent="0.3">
      <c r="A1348" s="1" t="s">
        <v>6880</v>
      </c>
      <c r="B1348" s="1" t="s">
        <v>5931</v>
      </c>
      <c r="C1348" s="1" t="s">
        <v>6881</v>
      </c>
      <c r="D1348" s="1" t="s">
        <v>738</v>
      </c>
      <c r="E1348" s="1" t="s">
        <v>6076</v>
      </c>
      <c r="F1348" s="1" t="s">
        <v>6076</v>
      </c>
      <c r="G1348" s="1" t="s">
        <v>6861</v>
      </c>
      <c r="H1348">
        <v>2000</v>
      </c>
      <c r="I1348">
        <v>2002</v>
      </c>
      <c r="J1348">
        <f t="shared" si="40"/>
        <v>3</v>
      </c>
      <c r="K1348" s="1" t="s">
        <v>6076</v>
      </c>
      <c r="L1348" s="1" t="s">
        <v>6076</v>
      </c>
      <c r="M1348">
        <f t="shared" si="41"/>
        <v>24</v>
      </c>
    </row>
    <row r="1349" spans="1:13" x14ac:dyDescent="0.3">
      <c r="A1349" s="1" t="s">
        <v>6882</v>
      </c>
      <c r="B1349" s="1" t="s">
        <v>5931</v>
      </c>
      <c r="C1349" s="1" t="s">
        <v>6883</v>
      </c>
      <c r="D1349" s="1" t="s">
        <v>746</v>
      </c>
      <c r="E1349" s="1" t="s">
        <v>6076</v>
      </c>
      <c r="F1349" s="1" t="s">
        <v>6076</v>
      </c>
      <c r="G1349" s="1" t="s">
        <v>6861</v>
      </c>
      <c r="H1349">
        <v>2013</v>
      </c>
      <c r="I1349">
        <v>2015</v>
      </c>
      <c r="J1349">
        <f t="shared" si="40"/>
        <v>3</v>
      </c>
      <c r="K1349" s="1" t="s">
        <v>6076</v>
      </c>
      <c r="L1349" s="1" t="s">
        <v>6076</v>
      </c>
      <c r="M1349">
        <f t="shared" si="41"/>
        <v>11</v>
      </c>
    </row>
    <row r="1350" spans="1:13" x14ac:dyDescent="0.3">
      <c r="A1350" s="1" t="s">
        <v>6884</v>
      </c>
      <c r="B1350" s="1" t="s">
        <v>5931</v>
      </c>
      <c r="C1350" s="1" t="s">
        <v>6885</v>
      </c>
      <c r="D1350" s="1" t="s">
        <v>746</v>
      </c>
      <c r="E1350" s="1" t="s">
        <v>6076</v>
      </c>
      <c r="F1350" s="1" t="s">
        <v>6076</v>
      </c>
      <c r="G1350" s="1" t="s">
        <v>6861</v>
      </c>
      <c r="H1350">
        <v>2013</v>
      </c>
      <c r="I1350">
        <v>2015</v>
      </c>
      <c r="J1350">
        <f t="shared" ref="J1350:J1413" si="42">1+(I1350-H1350)</f>
        <v>3</v>
      </c>
      <c r="K1350" s="1" t="s">
        <v>6076</v>
      </c>
      <c r="L1350" s="1" t="s">
        <v>6076</v>
      </c>
      <c r="M1350">
        <f t="shared" ref="M1350:M1413" si="43">IF(I1350=0,0,$B$2-I1350)</f>
        <v>11</v>
      </c>
    </row>
    <row r="1351" spans="1:13" x14ac:dyDescent="0.3">
      <c r="A1351" s="1" t="s">
        <v>6886</v>
      </c>
      <c r="B1351" s="1" t="s">
        <v>5931</v>
      </c>
      <c r="C1351" s="1" t="s">
        <v>6887</v>
      </c>
      <c r="D1351" s="1" t="s">
        <v>746</v>
      </c>
      <c r="E1351" s="1" t="s">
        <v>6076</v>
      </c>
      <c r="F1351" s="1" t="s">
        <v>6076</v>
      </c>
      <c r="G1351" s="1" t="s">
        <v>6861</v>
      </c>
      <c r="H1351">
        <v>2015</v>
      </c>
      <c r="I1351">
        <v>2018</v>
      </c>
      <c r="J1351">
        <f t="shared" si="42"/>
        <v>4</v>
      </c>
      <c r="K1351" s="1" t="s">
        <v>6076</v>
      </c>
      <c r="L1351" s="1" t="s">
        <v>6076</v>
      </c>
      <c r="M1351">
        <f t="shared" si="43"/>
        <v>8</v>
      </c>
    </row>
    <row r="1352" spans="1:13" x14ac:dyDescent="0.3">
      <c r="A1352" s="1" t="s">
        <v>6888</v>
      </c>
      <c r="B1352" s="1" t="s">
        <v>5931</v>
      </c>
      <c r="C1352" s="1" t="s">
        <v>6889</v>
      </c>
      <c r="D1352" s="1" t="s">
        <v>746</v>
      </c>
      <c r="E1352" s="1" t="s">
        <v>6076</v>
      </c>
      <c r="F1352" s="1" t="s">
        <v>6076</v>
      </c>
      <c r="G1352" s="1" t="s">
        <v>6861</v>
      </c>
      <c r="H1352">
        <v>2006</v>
      </c>
      <c r="I1352">
        <v>2010</v>
      </c>
      <c r="J1352">
        <f t="shared" si="42"/>
        <v>5</v>
      </c>
      <c r="K1352" s="1" t="s">
        <v>6076</v>
      </c>
      <c r="L1352" s="1" t="s">
        <v>6076</v>
      </c>
      <c r="M1352">
        <f t="shared" si="43"/>
        <v>16</v>
      </c>
    </row>
    <row r="1353" spans="1:13" x14ac:dyDescent="0.3">
      <c r="A1353" s="1" t="s">
        <v>6890</v>
      </c>
      <c r="B1353" s="1" t="s">
        <v>5931</v>
      </c>
      <c r="C1353" s="1" t="s">
        <v>6891</v>
      </c>
      <c r="D1353" s="1" t="s">
        <v>746</v>
      </c>
      <c r="E1353" s="1" t="s">
        <v>6076</v>
      </c>
      <c r="F1353" s="1" t="s">
        <v>6076</v>
      </c>
      <c r="G1353" s="1" t="s">
        <v>6861</v>
      </c>
      <c r="H1353">
        <v>2014</v>
      </c>
      <c r="I1353">
        <v>2019</v>
      </c>
      <c r="J1353">
        <f t="shared" si="42"/>
        <v>6</v>
      </c>
      <c r="K1353" s="1" t="s">
        <v>6076</v>
      </c>
      <c r="L1353" s="1" t="s">
        <v>6076</v>
      </c>
      <c r="M1353">
        <f t="shared" si="43"/>
        <v>7</v>
      </c>
    </row>
    <row r="1354" spans="1:13" x14ac:dyDescent="0.3">
      <c r="A1354" s="1" t="s">
        <v>6892</v>
      </c>
      <c r="B1354" s="1" t="s">
        <v>5931</v>
      </c>
      <c r="C1354" s="1" t="s">
        <v>6893</v>
      </c>
      <c r="D1354" s="1" t="s">
        <v>746</v>
      </c>
      <c r="E1354" s="1" t="s">
        <v>6076</v>
      </c>
      <c r="F1354" s="1" t="s">
        <v>6076</v>
      </c>
      <c r="G1354" s="1" t="s">
        <v>6861</v>
      </c>
      <c r="H1354">
        <v>2013</v>
      </c>
      <c r="I1354">
        <v>2018</v>
      </c>
      <c r="J1354">
        <f t="shared" si="42"/>
        <v>6</v>
      </c>
      <c r="K1354" s="1" t="s">
        <v>6076</v>
      </c>
      <c r="L1354" s="1" t="s">
        <v>6076</v>
      </c>
      <c r="M1354">
        <f t="shared" si="43"/>
        <v>8</v>
      </c>
    </row>
    <row r="1355" spans="1:13" x14ac:dyDescent="0.3">
      <c r="A1355" s="1" t="s">
        <v>6894</v>
      </c>
      <c r="B1355" s="1" t="s">
        <v>5931</v>
      </c>
      <c r="C1355" s="1" t="s">
        <v>6895</v>
      </c>
      <c r="D1355" s="1" t="s">
        <v>738</v>
      </c>
      <c r="E1355" s="1" t="s">
        <v>6076</v>
      </c>
      <c r="F1355" s="1" t="s">
        <v>6076</v>
      </c>
      <c r="G1355" s="1" t="s">
        <v>6896</v>
      </c>
      <c r="H1355">
        <v>2009</v>
      </c>
      <c r="I1355">
        <v>2009</v>
      </c>
      <c r="J1355">
        <f t="shared" si="42"/>
        <v>1</v>
      </c>
      <c r="K1355" s="1" t="s">
        <v>6076</v>
      </c>
      <c r="L1355" s="1" t="s">
        <v>6076</v>
      </c>
      <c r="M1355">
        <f t="shared" si="43"/>
        <v>17</v>
      </c>
    </row>
    <row r="1356" spans="1:13" x14ac:dyDescent="0.3">
      <c r="A1356" s="1" t="s">
        <v>6897</v>
      </c>
      <c r="B1356" s="1" t="s">
        <v>5931</v>
      </c>
      <c r="C1356" s="1" t="s">
        <v>6898</v>
      </c>
      <c r="D1356" s="1" t="s">
        <v>738</v>
      </c>
      <c r="E1356" s="1" t="s">
        <v>6076</v>
      </c>
      <c r="F1356" s="1" t="s">
        <v>6076</v>
      </c>
      <c r="G1356" s="1" t="s">
        <v>6896</v>
      </c>
      <c r="H1356">
        <v>2010</v>
      </c>
      <c r="I1356">
        <v>2011</v>
      </c>
      <c r="J1356">
        <f t="shared" si="42"/>
        <v>2</v>
      </c>
      <c r="K1356" s="1" t="s">
        <v>6076</v>
      </c>
      <c r="L1356" s="1" t="s">
        <v>6076</v>
      </c>
      <c r="M1356">
        <f t="shared" si="43"/>
        <v>15</v>
      </c>
    </row>
    <row r="1357" spans="1:13" x14ac:dyDescent="0.3">
      <c r="A1357" s="1" t="s">
        <v>6899</v>
      </c>
      <c r="B1357" s="1" t="s">
        <v>5931</v>
      </c>
      <c r="C1357" s="1" t="s">
        <v>6900</v>
      </c>
      <c r="D1357" s="1" t="s">
        <v>738</v>
      </c>
      <c r="E1357" s="1" t="s">
        <v>6076</v>
      </c>
      <c r="F1357" s="1" t="s">
        <v>6076</v>
      </c>
      <c r="G1357" s="1" t="s">
        <v>6896</v>
      </c>
      <c r="H1357">
        <v>2006</v>
      </c>
      <c r="I1357">
        <v>2010</v>
      </c>
      <c r="J1357">
        <f t="shared" si="42"/>
        <v>5</v>
      </c>
      <c r="K1357" s="1" t="s">
        <v>6076</v>
      </c>
      <c r="L1357" s="1" t="s">
        <v>6076</v>
      </c>
      <c r="M1357">
        <f t="shared" si="43"/>
        <v>16</v>
      </c>
    </row>
    <row r="1358" spans="1:13" x14ac:dyDescent="0.3">
      <c r="A1358" s="1" t="s">
        <v>6901</v>
      </c>
      <c r="B1358" s="1" t="s">
        <v>5931</v>
      </c>
      <c r="C1358" s="1" t="s">
        <v>6902</v>
      </c>
      <c r="D1358" s="1" t="s">
        <v>738</v>
      </c>
      <c r="E1358" s="1" t="s">
        <v>6076</v>
      </c>
      <c r="F1358" s="1" t="s">
        <v>6076</v>
      </c>
      <c r="G1358" s="1" t="s">
        <v>6896</v>
      </c>
      <c r="H1358">
        <v>2007</v>
      </c>
      <c r="I1358">
        <v>2011</v>
      </c>
      <c r="J1358">
        <f t="shared" si="42"/>
        <v>5</v>
      </c>
      <c r="K1358" s="1" t="s">
        <v>6076</v>
      </c>
      <c r="L1358" s="1" t="s">
        <v>6076</v>
      </c>
      <c r="M1358">
        <f t="shared" si="43"/>
        <v>15</v>
      </c>
    </row>
    <row r="1359" spans="1:13" x14ac:dyDescent="0.3">
      <c r="A1359" s="1" t="s">
        <v>6903</v>
      </c>
      <c r="B1359" s="1" t="s">
        <v>5931</v>
      </c>
      <c r="C1359" s="1" t="s">
        <v>6904</v>
      </c>
      <c r="D1359" s="1" t="s">
        <v>738</v>
      </c>
      <c r="E1359" s="1" t="s">
        <v>6076</v>
      </c>
      <c r="F1359" s="1" t="s">
        <v>6076</v>
      </c>
      <c r="G1359" s="1" t="s">
        <v>6896</v>
      </c>
      <c r="H1359">
        <v>2012</v>
      </c>
      <c r="I1359">
        <v>2015</v>
      </c>
      <c r="J1359">
        <f t="shared" si="42"/>
        <v>4</v>
      </c>
      <c r="K1359" s="1" t="s">
        <v>6076</v>
      </c>
      <c r="L1359" s="1" t="s">
        <v>6076</v>
      </c>
      <c r="M1359">
        <f t="shared" si="43"/>
        <v>11</v>
      </c>
    </row>
    <row r="1360" spans="1:13" x14ac:dyDescent="0.3">
      <c r="A1360" s="1" t="s">
        <v>6905</v>
      </c>
      <c r="B1360" s="1" t="s">
        <v>5931</v>
      </c>
      <c r="C1360" s="1" t="s">
        <v>6906</v>
      </c>
      <c r="D1360" s="1" t="s">
        <v>738</v>
      </c>
      <c r="E1360" s="1" t="s">
        <v>6076</v>
      </c>
      <c r="F1360" s="1" t="s">
        <v>6076</v>
      </c>
      <c r="G1360" s="1" t="s">
        <v>6896</v>
      </c>
      <c r="H1360">
        <v>2012</v>
      </c>
      <c r="I1360">
        <v>2018</v>
      </c>
      <c r="J1360">
        <f t="shared" si="42"/>
        <v>7</v>
      </c>
      <c r="K1360" s="1" t="s">
        <v>6076</v>
      </c>
      <c r="L1360" s="1" t="s">
        <v>6076</v>
      </c>
      <c r="M1360">
        <f t="shared" si="43"/>
        <v>8</v>
      </c>
    </row>
    <row r="1361" spans="1:14" x14ac:dyDescent="0.3">
      <c r="A1361" s="1" t="s">
        <v>6907</v>
      </c>
      <c r="B1361" s="1" t="s">
        <v>5931</v>
      </c>
      <c r="C1361" s="1" t="s">
        <v>6908</v>
      </c>
      <c r="D1361" s="1" t="s">
        <v>738</v>
      </c>
      <c r="E1361" s="1" t="s">
        <v>6076</v>
      </c>
      <c r="F1361" s="1" t="s">
        <v>6076</v>
      </c>
      <c r="G1361" s="1" t="s">
        <v>6909</v>
      </c>
      <c r="H1361">
        <v>2006</v>
      </c>
      <c r="I1361">
        <v>2008</v>
      </c>
      <c r="J1361">
        <f t="shared" si="42"/>
        <v>3</v>
      </c>
      <c r="K1361" s="1" t="s">
        <v>6076</v>
      </c>
      <c r="L1361" s="1" t="s">
        <v>6076</v>
      </c>
      <c r="M1361">
        <f t="shared" si="43"/>
        <v>18</v>
      </c>
    </row>
    <row r="1362" spans="1:14" x14ac:dyDescent="0.3">
      <c r="A1362" s="1" t="s">
        <v>6910</v>
      </c>
      <c r="B1362" s="1" t="s">
        <v>5931</v>
      </c>
      <c r="C1362" s="1" t="s">
        <v>6911</v>
      </c>
      <c r="D1362" s="1" t="s">
        <v>738</v>
      </c>
      <c r="E1362" s="1" t="s">
        <v>6076</v>
      </c>
      <c r="F1362" s="1" t="s">
        <v>6076</v>
      </c>
      <c r="G1362" s="1" t="s">
        <v>6909</v>
      </c>
      <c r="H1362">
        <v>2010</v>
      </c>
      <c r="I1362">
        <v>2011</v>
      </c>
      <c r="J1362">
        <f t="shared" si="42"/>
        <v>2</v>
      </c>
      <c r="K1362" s="1" t="s">
        <v>6076</v>
      </c>
      <c r="L1362" s="1" t="s">
        <v>6076</v>
      </c>
      <c r="M1362">
        <f t="shared" si="43"/>
        <v>15</v>
      </c>
    </row>
    <row r="1363" spans="1:14" x14ac:dyDescent="0.3">
      <c r="A1363" s="1" t="s">
        <v>6912</v>
      </c>
      <c r="B1363" s="1" t="s">
        <v>5931</v>
      </c>
      <c r="C1363" s="1" t="s">
        <v>6913</v>
      </c>
      <c r="D1363" s="1" t="s">
        <v>738</v>
      </c>
      <c r="E1363" s="1" t="s">
        <v>6076</v>
      </c>
      <c r="F1363" s="1" t="s">
        <v>6076</v>
      </c>
      <c r="G1363" s="1" t="s">
        <v>6914</v>
      </c>
      <c r="H1363">
        <v>1993</v>
      </c>
      <c r="I1363">
        <v>1995</v>
      </c>
      <c r="J1363">
        <f t="shared" si="42"/>
        <v>3</v>
      </c>
      <c r="K1363" s="1" t="s">
        <v>6076</v>
      </c>
      <c r="L1363" s="1" t="s">
        <v>6076</v>
      </c>
      <c r="M1363">
        <f t="shared" si="43"/>
        <v>31</v>
      </c>
    </row>
    <row r="1364" spans="1:14" hidden="1" x14ac:dyDescent="0.3">
      <c r="A1364" s="1" t="s">
        <v>937</v>
      </c>
      <c r="B1364" s="1" t="s">
        <v>795</v>
      </c>
      <c r="C1364" s="1" t="s">
        <v>938</v>
      </c>
      <c r="D1364" s="1" t="s">
        <v>738</v>
      </c>
      <c r="E1364" s="1" t="s">
        <v>739</v>
      </c>
      <c r="F1364" s="1" t="s">
        <v>781</v>
      </c>
      <c r="G1364" s="1" t="s">
        <v>939</v>
      </c>
      <c r="H1364">
        <v>2014</v>
      </c>
      <c r="I1364">
        <v>2015</v>
      </c>
      <c r="J1364">
        <f t="shared" si="42"/>
        <v>2</v>
      </c>
      <c r="K1364" s="1" t="s">
        <v>741</v>
      </c>
      <c r="L1364" s="1" t="s">
        <v>798</v>
      </c>
      <c r="M1364">
        <f t="shared" si="43"/>
        <v>11</v>
      </c>
      <c r="N1364" t="s">
        <v>650</v>
      </c>
    </row>
    <row r="1365" spans="1:14" x14ac:dyDescent="0.3">
      <c r="A1365" t="s">
        <v>12222</v>
      </c>
      <c r="B1365" t="s">
        <v>11000</v>
      </c>
      <c r="C1365" t="s">
        <v>12223</v>
      </c>
      <c r="E1365" s="1" t="s">
        <v>6076</v>
      </c>
      <c r="F1365" s="1" t="s">
        <v>6076</v>
      </c>
      <c r="G1365" s="1" t="s">
        <v>12875</v>
      </c>
      <c r="H1365">
        <v>2022</v>
      </c>
      <c r="I1365">
        <v>2023</v>
      </c>
      <c r="J1365">
        <f t="shared" si="42"/>
        <v>2</v>
      </c>
      <c r="K1365" s="1" t="s">
        <v>6076</v>
      </c>
      <c r="L1365" s="1" t="s">
        <v>6076</v>
      </c>
      <c r="M1365">
        <f t="shared" si="43"/>
        <v>3</v>
      </c>
    </row>
    <row r="1366" spans="1:14" x14ac:dyDescent="0.3">
      <c r="A1366" t="s">
        <v>12224</v>
      </c>
      <c r="B1366" t="s">
        <v>11000</v>
      </c>
      <c r="C1366" t="s">
        <v>12225</v>
      </c>
      <c r="E1366" s="1" t="s">
        <v>6076</v>
      </c>
      <c r="F1366" s="1" t="s">
        <v>6076</v>
      </c>
      <c r="G1366" s="1" t="s">
        <v>12875</v>
      </c>
      <c r="H1366">
        <v>2022</v>
      </c>
      <c r="I1366">
        <v>2023</v>
      </c>
      <c r="J1366">
        <f t="shared" si="42"/>
        <v>2</v>
      </c>
      <c r="K1366" s="1" t="s">
        <v>6076</v>
      </c>
      <c r="L1366" s="1" t="s">
        <v>6076</v>
      </c>
      <c r="M1366">
        <f t="shared" si="43"/>
        <v>3</v>
      </c>
    </row>
    <row r="1367" spans="1:14" hidden="1" x14ac:dyDescent="0.3">
      <c r="A1367" s="1" t="s">
        <v>940</v>
      </c>
      <c r="B1367" s="1" t="s">
        <v>795</v>
      </c>
      <c r="C1367" s="1" t="s">
        <v>941</v>
      </c>
      <c r="D1367" s="1" t="s">
        <v>738</v>
      </c>
      <c r="E1367" s="1" t="s">
        <v>739</v>
      </c>
      <c r="F1367" s="1" t="s">
        <v>781</v>
      </c>
      <c r="G1367" s="1" t="s">
        <v>939</v>
      </c>
      <c r="H1367">
        <v>2010</v>
      </c>
      <c r="I1367">
        <v>2016</v>
      </c>
      <c r="J1367">
        <f t="shared" si="42"/>
        <v>7</v>
      </c>
      <c r="K1367" s="1" t="s">
        <v>741</v>
      </c>
      <c r="L1367" s="1" t="s">
        <v>798</v>
      </c>
      <c r="M1367">
        <f t="shared" si="43"/>
        <v>10</v>
      </c>
      <c r="N1367" t="s">
        <v>650</v>
      </c>
    </row>
    <row r="1368" spans="1:14" x14ac:dyDescent="0.3">
      <c r="A1368" t="s">
        <v>12226</v>
      </c>
      <c r="B1368" t="s">
        <v>11000</v>
      </c>
      <c r="C1368" t="s">
        <v>12227</v>
      </c>
      <c r="E1368" s="1" t="s">
        <v>6076</v>
      </c>
      <c r="F1368" s="1" t="s">
        <v>6076</v>
      </c>
      <c r="G1368" s="1" t="s">
        <v>12875</v>
      </c>
      <c r="H1368">
        <v>2023</v>
      </c>
      <c r="I1368">
        <v>2023</v>
      </c>
      <c r="J1368">
        <f t="shared" si="42"/>
        <v>1</v>
      </c>
      <c r="K1368" s="1" t="s">
        <v>6076</v>
      </c>
      <c r="L1368" s="1" t="s">
        <v>6076</v>
      </c>
      <c r="M1368">
        <f t="shared" si="43"/>
        <v>3</v>
      </c>
    </row>
    <row r="1369" spans="1:14" x14ac:dyDescent="0.3">
      <c r="A1369" s="1" t="s">
        <v>6915</v>
      </c>
      <c r="B1369" s="1" t="s">
        <v>5931</v>
      </c>
      <c r="C1369" s="1" t="s">
        <v>6916</v>
      </c>
      <c r="D1369" s="1" t="s">
        <v>3850</v>
      </c>
      <c r="E1369" s="1" t="s">
        <v>6076</v>
      </c>
      <c r="F1369" s="1" t="s">
        <v>6076</v>
      </c>
      <c r="G1369" s="1" t="s">
        <v>6917</v>
      </c>
      <c r="H1369">
        <v>2009</v>
      </c>
      <c r="I1369">
        <v>2011</v>
      </c>
      <c r="J1369">
        <f t="shared" si="42"/>
        <v>3</v>
      </c>
      <c r="K1369" s="1" t="s">
        <v>6076</v>
      </c>
      <c r="L1369" s="1" t="s">
        <v>6076</v>
      </c>
      <c r="M1369">
        <f t="shared" si="43"/>
        <v>15</v>
      </c>
    </row>
    <row r="1370" spans="1:14" hidden="1" x14ac:dyDescent="0.3">
      <c r="A1370" s="1" t="s">
        <v>942</v>
      </c>
      <c r="B1370" s="1" t="s">
        <v>12756</v>
      </c>
      <c r="C1370" s="1" t="s">
        <v>943</v>
      </c>
      <c r="D1370" s="1" t="s">
        <v>746</v>
      </c>
      <c r="E1370" s="1" t="s">
        <v>747</v>
      </c>
      <c r="F1370" s="1" t="s">
        <v>748</v>
      </c>
      <c r="G1370" s="1" t="s">
        <v>944</v>
      </c>
      <c r="H1370">
        <v>2005</v>
      </c>
      <c r="I1370">
        <v>2008</v>
      </c>
      <c r="J1370">
        <f t="shared" si="42"/>
        <v>4</v>
      </c>
      <c r="K1370" s="1" t="s">
        <v>741</v>
      </c>
      <c r="L1370" s="1" t="s">
        <v>798</v>
      </c>
      <c r="M1370">
        <f t="shared" si="43"/>
        <v>18</v>
      </c>
      <c r="N1370" t="s">
        <v>650</v>
      </c>
    </row>
    <row r="1371" spans="1:14" hidden="1" x14ac:dyDescent="0.3">
      <c r="A1371" s="1" t="s">
        <v>945</v>
      </c>
      <c r="B1371" s="1" t="s">
        <v>12756</v>
      </c>
      <c r="C1371" s="1" t="s">
        <v>946</v>
      </c>
      <c r="D1371" s="1" t="s">
        <v>746</v>
      </c>
      <c r="E1371" s="1" t="s">
        <v>747</v>
      </c>
      <c r="F1371" s="1" t="s">
        <v>748</v>
      </c>
      <c r="G1371" s="1" t="s">
        <v>944</v>
      </c>
      <c r="H1371">
        <v>2003</v>
      </c>
      <c r="I1371">
        <v>2008</v>
      </c>
      <c r="J1371">
        <f t="shared" si="42"/>
        <v>6</v>
      </c>
      <c r="K1371" s="1" t="s">
        <v>741</v>
      </c>
      <c r="L1371" s="1" t="s">
        <v>798</v>
      </c>
      <c r="M1371">
        <f t="shared" si="43"/>
        <v>18</v>
      </c>
      <c r="N1371" t="s">
        <v>650</v>
      </c>
    </row>
    <row r="1372" spans="1:14" hidden="1" x14ac:dyDescent="0.3">
      <c r="A1372" s="1" t="s">
        <v>947</v>
      </c>
      <c r="B1372" s="1" t="s">
        <v>12756</v>
      </c>
      <c r="C1372" s="1" t="s">
        <v>948</v>
      </c>
      <c r="D1372" s="1" t="s">
        <v>746</v>
      </c>
      <c r="E1372" s="1" t="s">
        <v>747</v>
      </c>
      <c r="F1372" s="1" t="s">
        <v>748</v>
      </c>
      <c r="G1372" s="1" t="s">
        <v>944</v>
      </c>
      <c r="H1372">
        <v>2003</v>
      </c>
      <c r="I1372">
        <v>2016</v>
      </c>
      <c r="J1372">
        <f t="shared" si="42"/>
        <v>14</v>
      </c>
      <c r="K1372" s="1" t="s">
        <v>741</v>
      </c>
      <c r="L1372" s="1" t="s">
        <v>798</v>
      </c>
      <c r="M1372">
        <f t="shared" si="43"/>
        <v>10</v>
      </c>
      <c r="N1372" t="s">
        <v>650</v>
      </c>
    </row>
    <row r="1373" spans="1:14" hidden="1" x14ac:dyDescent="0.3">
      <c r="A1373" s="1" t="s">
        <v>949</v>
      </c>
      <c r="B1373" s="1" t="s">
        <v>12756</v>
      </c>
      <c r="C1373" s="1" t="s">
        <v>950</v>
      </c>
      <c r="D1373" s="1" t="s">
        <v>746</v>
      </c>
      <c r="E1373" s="1" t="s">
        <v>747</v>
      </c>
      <c r="F1373" s="1" t="s">
        <v>748</v>
      </c>
      <c r="G1373" s="1" t="s">
        <v>944</v>
      </c>
      <c r="H1373">
        <v>2006</v>
      </c>
      <c r="I1373">
        <v>2008</v>
      </c>
      <c r="J1373">
        <f t="shared" si="42"/>
        <v>3</v>
      </c>
      <c r="K1373" s="1" t="s">
        <v>741</v>
      </c>
      <c r="L1373" s="1" t="s">
        <v>798</v>
      </c>
      <c r="M1373">
        <f t="shared" si="43"/>
        <v>18</v>
      </c>
      <c r="N1373" t="s">
        <v>650</v>
      </c>
    </row>
    <row r="1374" spans="1:14" hidden="1" x14ac:dyDescent="0.3">
      <c r="A1374" s="1" t="s">
        <v>951</v>
      </c>
      <c r="B1374" s="1" t="s">
        <v>12756</v>
      </c>
      <c r="C1374" s="1" t="s">
        <v>952</v>
      </c>
      <c r="D1374" s="1" t="s">
        <v>746</v>
      </c>
      <c r="E1374" s="1" t="s">
        <v>747</v>
      </c>
      <c r="F1374" s="1" t="s">
        <v>748</v>
      </c>
      <c r="G1374" s="1" t="s">
        <v>944</v>
      </c>
      <c r="H1374">
        <v>2005</v>
      </c>
      <c r="I1374">
        <v>2008</v>
      </c>
      <c r="J1374">
        <f t="shared" si="42"/>
        <v>4</v>
      </c>
      <c r="K1374" s="1" t="s">
        <v>741</v>
      </c>
      <c r="L1374" s="1" t="s">
        <v>798</v>
      </c>
      <c r="M1374">
        <f t="shared" si="43"/>
        <v>18</v>
      </c>
      <c r="N1374" t="s">
        <v>650</v>
      </c>
    </row>
    <row r="1375" spans="1:14" hidden="1" x14ac:dyDescent="0.3">
      <c r="A1375" s="1" t="s">
        <v>953</v>
      </c>
      <c r="B1375" s="1" t="s">
        <v>12756</v>
      </c>
      <c r="C1375" s="1" t="s">
        <v>954</v>
      </c>
      <c r="D1375" s="1" t="s">
        <v>746</v>
      </c>
      <c r="E1375" s="1" t="s">
        <v>747</v>
      </c>
      <c r="F1375" s="1" t="s">
        <v>748</v>
      </c>
      <c r="G1375" s="1" t="s">
        <v>944</v>
      </c>
      <c r="H1375">
        <v>2005</v>
      </c>
      <c r="I1375">
        <v>2008</v>
      </c>
      <c r="J1375">
        <f t="shared" si="42"/>
        <v>4</v>
      </c>
      <c r="K1375" s="1" t="s">
        <v>741</v>
      </c>
      <c r="L1375" s="1" t="s">
        <v>798</v>
      </c>
      <c r="M1375">
        <f t="shared" si="43"/>
        <v>18</v>
      </c>
      <c r="N1375" t="s">
        <v>650</v>
      </c>
    </row>
    <row r="1376" spans="1:14" hidden="1" x14ac:dyDescent="0.3">
      <c r="A1376" s="1" t="s">
        <v>955</v>
      </c>
      <c r="B1376" s="1" t="s">
        <v>12756</v>
      </c>
      <c r="C1376" s="1" t="s">
        <v>956</v>
      </c>
      <c r="D1376" s="1" t="s">
        <v>746</v>
      </c>
      <c r="E1376" s="1" t="s">
        <v>747</v>
      </c>
      <c r="F1376" s="1" t="s">
        <v>748</v>
      </c>
      <c r="G1376" s="1" t="s">
        <v>944</v>
      </c>
      <c r="H1376">
        <v>2009</v>
      </c>
      <c r="I1376">
        <v>2010</v>
      </c>
      <c r="J1376">
        <f t="shared" si="42"/>
        <v>2</v>
      </c>
      <c r="K1376" s="1" t="s">
        <v>741</v>
      </c>
      <c r="L1376" s="1" t="s">
        <v>798</v>
      </c>
      <c r="M1376">
        <f t="shared" si="43"/>
        <v>16</v>
      </c>
      <c r="N1376" t="s">
        <v>650</v>
      </c>
    </row>
    <row r="1377" spans="1:14" hidden="1" x14ac:dyDescent="0.3">
      <c r="A1377" s="1" t="s">
        <v>957</v>
      </c>
      <c r="B1377" s="1" t="s">
        <v>12756</v>
      </c>
      <c r="C1377" s="1" t="s">
        <v>958</v>
      </c>
      <c r="D1377" s="1" t="s">
        <v>746</v>
      </c>
      <c r="E1377" s="1" t="s">
        <v>747</v>
      </c>
      <c r="F1377" s="1" t="s">
        <v>748</v>
      </c>
      <c r="G1377" s="1" t="s">
        <v>944</v>
      </c>
      <c r="H1377">
        <v>2009</v>
      </c>
      <c r="I1377">
        <v>2010</v>
      </c>
      <c r="J1377">
        <f t="shared" si="42"/>
        <v>2</v>
      </c>
      <c r="K1377" s="1" t="s">
        <v>741</v>
      </c>
      <c r="L1377" s="1" t="s">
        <v>798</v>
      </c>
      <c r="M1377">
        <f t="shared" si="43"/>
        <v>16</v>
      </c>
      <c r="N1377" t="s">
        <v>650</v>
      </c>
    </row>
    <row r="1378" spans="1:14" hidden="1" x14ac:dyDescent="0.3">
      <c r="A1378" s="1" t="s">
        <v>959</v>
      </c>
      <c r="B1378" s="1" t="s">
        <v>12756</v>
      </c>
      <c r="C1378" s="1" t="s">
        <v>960</v>
      </c>
      <c r="D1378" s="1" t="s">
        <v>746</v>
      </c>
      <c r="E1378" s="1" t="s">
        <v>747</v>
      </c>
      <c r="F1378" s="1" t="s">
        <v>748</v>
      </c>
      <c r="G1378" s="1" t="s">
        <v>944</v>
      </c>
      <c r="H1378">
        <v>2004</v>
      </c>
      <c r="I1378">
        <v>2006</v>
      </c>
      <c r="J1378">
        <f t="shared" si="42"/>
        <v>3</v>
      </c>
      <c r="K1378" s="1" t="s">
        <v>741</v>
      </c>
      <c r="L1378" s="1" t="s">
        <v>798</v>
      </c>
      <c r="M1378">
        <f t="shared" si="43"/>
        <v>20</v>
      </c>
      <c r="N1378" t="s">
        <v>640</v>
      </c>
    </row>
    <row r="1379" spans="1:14" hidden="1" x14ac:dyDescent="0.3">
      <c r="A1379" s="1" t="s">
        <v>961</v>
      </c>
      <c r="B1379" s="1" t="s">
        <v>12756</v>
      </c>
      <c r="C1379" s="1" t="s">
        <v>962</v>
      </c>
      <c r="D1379" s="1" t="s">
        <v>746</v>
      </c>
      <c r="E1379" s="1" t="s">
        <v>747</v>
      </c>
      <c r="F1379" s="1" t="s">
        <v>748</v>
      </c>
      <c r="G1379" s="1" t="s">
        <v>944</v>
      </c>
      <c r="H1379">
        <v>2004</v>
      </c>
      <c r="I1379">
        <v>2005</v>
      </c>
      <c r="J1379">
        <f t="shared" si="42"/>
        <v>2</v>
      </c>
      <c r="K1379" s="1" t="s">
        <v>741</v>
      </c>
      <c r="L1379" s="1" t="s">
        <v>798</v>
      </c>
      <c r="M1379">
        <f t="shared" si="43"/>
        <v>21</v>
      </c>
      <c r="N1379" t="s">
        <v>640</v>
      </c>
    </row>
    <row r="1380" spans="1:14" hidden="1" x14ac:dyDescent="0.3">
      <c r="A1380" s="1" t="s">
        <v>963</v>
      </c>
      <c r="B1380" s="1" t="s">
        <v>12756</v>
      </c>
      <c r="C1380" s="1" t="s">
        <v>964</v>
      </c>
      <c r="D1380" s="1" t="s">
        <v>746</v>
      </c>
      <c r="E1380" s="1" t="s">
        <v>747</v>
      </c>
      <c r="F1380" s="1" t="s">
        <v>748</v>
      </c>
      <c r="G1380" s="1" t="s">
        <v>944</v>
      </c>
      <c r="H1380">
        <v>2005</v>
      </c>
      <c r="I1380">
        <v>2006</v>
      </c>
      <c r="J1380">
        <f t="shared" si="42"/>
        <v>2</v>
      </c>
      <c r="K1380" s="1" t="s">
        <v>741</v>
      </c>
      <c r="L1380" s="1" t="s">
        <v>798</v>
      </c>
      <c r="M1380">
        <f t="shared" si="43"/>
        <v>20</v>
      </c>
      <c r="N1380" t="s">
        <v>640</v>
      </c>
    </row>
    <row r="1381" spans="1:14" hidden="1" x14ac:dyDescent="0.3">
      <c r="A1381" s="1" t="s">
        <v>965</v>
      </c>
      <c r="B1381" s="1" t="s">
        <v>12756</v>
      </c>
      <c r="C1381" s="1" t="s">
        <v>966</v>
      </c>
      <c r="D1381" s="1" t="s">
        <v>746</v>
      </c>
      <c r="E1381" s="1" t="s">
        <v>747</v>
      </c>
      <c r="F1381" s="1" t="s">
        <v>748</v>
      </c>
      <c r="G1381" s="1" t="s">
        <v>944</v>
      </c>
      <c r="H1381">
        <v>2004</v>
      </c>
      <c r="I1381">
        <v>2006</v>
      </c>
      <c r="J1381">
        <f t="shared" si="42"/>
        <v>3</v>
      </c>
      <c r="K1381" s="1" t="s">
        <v>741</v>
      </c>
      <c r="L1381" s="1" t="s">
        <v>798</v>
      </c>
      <c r="M1381">
        <f t="shared" si="43"/>
        <v>20</v>
      </c>
      <c r="N1381" t="s">
        <v>640</v>
      </c>
    </row>
    <row r="1382" spans="1:14" hidden="1" x14ac:dyDescent="0.3">
      <c r="A1382" s="1" t="s">
        <v>967</v>
      </c>
      <c r="B1382" s="1" t="s">
        <v>12756</v>
      </c>
      <c r="C1382" s="1" t="s">
        <v>968</v>
      </c>
      <c r="D1382" s="1" t="s">
        <v>746</v>
      </c>
      <c r="E1382" s="1" t="s">
        <v>747</v>
      </c>
      <c r="F1382" s="1" t="s">
        <v>748</v>
      </c>
      <c r="G1382" s="1" t="s">
        <v>944</v>
      </c>
      <c r="H1382">
        <v>2004</v>
      </c>
      <c r="I1382">
        <v>2006</v>
      </c>
      <c r="J1382">
        <f t="shared" si="42"/>
        <v>3</v>
      </c>
      <c r="K1382" s="1" t="s">
        <v>741</v>
      </c>
      <c r="L1382" s="1" t="s">
        <v>798</v>
      </c>
      <c r="M1382">
        <f t="shared" si="43"/>
        <v>20</v>
      </c>
      <c r="N1382" t="s">
        <v>640</v>
      </c>
    </row>
    <row r="1383" spans="1:14" hidden="1" x14ac:dyDescent="0.3">
      <c r="A1383" s="1" t="s">
        <v>969</v>
      </c>
      <c r="B1383" s="1" t="s">
        <v>12756</v>
      </c>
      <c r="C1383" s="1" t="s">
        <v>970</v>
      </c>
      <c r="D1383" s="1" t="s">
        <v>746</v>
      </c>
      <c r="E1383" s="1" t="s">
        <v>747</v>
      </c>
      <c r="F1383" s="1" t="s">
        <v>748</v>
      </c>
      <c r="G1383" s="1" t="s">
        <v>944</v>
      </c>
      <c r="H1383">
        <v>2006</v>
      </c>
      <c r="I1383">
        <v>2009</v>
      </c>
      <c r="J1383">
        <f t="shared" si="42"/>
        <v>4</v>
      </c>
      <c r="K1383" s="1" t="s">
        <v>741</v>
      </c>
      <c r="L1383" s="1" t="s">
        <v>798</v>
      </c>
      <c r="M1383">
        <f t="shared" si="43"/>
        <v>17</v>
      </c>
      <c r="N1383" t="s">
        <v>650</v>
      </c>
    </row>
    <row r="1384" spans="1:14" hidden="1" x14ac:dyDescent="0.3">
      <c r="A1384" s="1" t="s">
        <v>971</v>
      </c>
      <c r="B1384" s="1" t="s">
        <v>12756</v>
      </c>
      <c r="C1384" s="1" t="s">
        <v>972</v>
      </c>
      <c r="D1384" s="1" t="s">
        <v>746</v>
      </c>
      <c r="E1384" s="1" t="s">
        <v>747</v>
      </c>
      <c r="F1384" s="1" t="s">
        <v>748</v>
      </c>
      <c r="G1384" s="1" t="s">
        <v>944</v>
      </c>
      <c r="H1384">
        <v>2006</v>
      </c>
      <c r="I1384">
        <v>2008</v>
      </c>
      <c r="J1384">
        <f t="shared" si="42"/>
        <v>3</v>
      </c>
      <c r="K1384" s="1" t="s">
        <v>741</v>
      </c>
      <c r="L1384" s="1" t="s">
        <v>798</v>
      </c>
      <c r="M1384">
        <f t="shared" si="43"/>
        <v>18</v>
      </c>
      <c r="N1384" t="s">
        <v>650</v>
      </c>
    </row>
    <row r="1385" spans="1:14" hidden="1" x14ac:dyDescent="0.3">
      <c r="A1385" s="1" t="s">
        <v>973</v>
      </c>
      <c r="B1385" s="1" t="s">
        <v>12756</v>
      </c>
      <c r="C1385" s="1" t="s">
        <v>974</v>
      </c>
      <c r="D1385" s="1" t="s">
        <v>746</v>
      </c>
      <c r="E1385" s="1" t="s">
        <v>747</v>
      </c>
      <c r="F1385" s="1" t="s">
        <v>748</v>
      </c>
      <c r="G1385" s="1" t="s">
        <v>944</v>
      </c>
      <c r="H1385">
        <v>2006</v>
      </c>
      <c r="I1385">
        <v>2009</v>
      </c>
      <c r="J1385">
        <f t="shared" si="42"/>
        <v>4</v>
      </c>
      <c r="K1385" s="1" t="s">
        <v>741</v>
      </c>
      <c r="L1385" s="1" t="s">
        <v>798</v>
      </c>
      <c r="M1385">
        <f t="shared" si="43"/>
        <v>17</v>
      </c>
      <c r="N1385" t="s">
        <v>650</v>
      </c>
    </row>
    <row r="1386" spans="1:14" hidden="1" x14ac:dyDescent="0.3">
      <c r="A1386" s="1" t="s">
        <v>975</v>
      </c>
      <c r="B1386" s="1" t="s">
        <v>12756</v>
      </c>
      <c r="C1386" s="1" t="s">
        <v>976</v>
      </c>
      <c r="D1386" s="1" t="s">
        <v>746</v>
      </c>
      <c r="E1386" s="1" t="s">
        <v>747</v>
      </c>
      <c r="F1386" s="1" t="s">
        <v>748</v>
      </c>
      <c r="G1386" s="1" t="s">
        <v>944</v>
      </c>
      <c r="H1386">
        <v>2006</v>
      </c>
      <c r="I1386">
        <v>2009</v>
      </c>
      <c r="J1386">
        <f t="shared" si="42"/>
        <v>4</v>
      </c>
      <c r="K1386" s="1" t="s">
        <v>741</v>
      </c>
      <c r="L1386" s="1" t="s">
        <v>798</v>
      </c>
      <c r="M1386">
        <f t="shared" si="43"/>
        <v>17</v>
      </c>
      <c r="N1386" t="s">
        <v>650</v>
      </c>
    </row>
    <row r="1387" spans="1:14" hidden="1" x14ac:dyDescent="0.3">
      <c r="A1387" s="1" t="s">
        <v>977</v>
      </c>
      <c r="B1387" s="1" t="s">
        <v>12756</v>
      </c>
      <c r="C1387" s="1" t="s">
        <v>978</v>
      </c>
      <c r="D1387" s="1" t="s">
        <v>746</v>
      </c>
      <c r="E1387" s="1" t="s">
        <v>747</v>
      </c>
      <c r="F1387" s="1" t="s">
        <v>748</v>
      </c>
      <c r="G1387" s="1" t="s">
        <v>944</v>
      </c>
      <c r="H1387">
        <v>2011</v>
      </c>
      <c r="I1387">
        <v>2012</v>
      </c>
      <c r="J1387">
        <f t="shared" si="42"/>
        <v>2</v>
      </c>
      <c r="K1387" s="1" t="s">
        <v>741</v>
      </c>
      <c r="L1387" s="1" t="s">
        <v>798</v>
      </c>
      <c r="M1387">
        <f t="shared" si="43"/>
        <v>14</v>
      </c>
      <c r="N1387" t="s">
        <v>650</v>
      </c>
    </row>
    <row r="1388" spans="1:14" hidden="1" x14ac:dyDescent="0.3">
      <c r="A1388" s="1" t="s">
        <v>979</v>
      </c>
      <c r="B1388" s="1" t="s">
        <v>12756</v>
      </c>
      <c r="C1388" s="1" t="s">
        <v>980</v>
      </c>
      <c r="D1388" s="1" t="s">
        <v>746</v>
      </c>
      <c r="E1388" s="1" t="s">
        <v>747</v>
      </c>
      <c r="F1388" s="1" t="s">
        <v>748</v>
      </c>
      <c r="G1388" s="1" t="s">
        <v>944</v>
      </c>
      <c r="H1388">
        <v>2011</v>
      </c>
      <c r="I1388">
        <v>2012</v>
      </c>
      <c r="J1388">
        <f t="shared" si="42"/>
        <v>2</v>
      </c>
      <c r="K1388" s="1" t="s">
        <v>741</v>
      </c>
      <c r="L1388" s="1" t="s">
        <v>798</v>
      </c>
      <c r="M1388">
        <f t="shared" si="43"/>
        <v>14</v>
      </c>
      <c r="N1388" t="s">
        <v>650</v>
      </c>
    </row>
    <row r="1389" spans="1:14" hidden="1" x14ac:dyDescent="0.3">
      <c r="A1389" s="1" t="s">
        <v>981</v>
      </c>
      <c r="B1389" s="1" t="s">
        <v>12756</v>
      </c>
      <c r="C1389" s="1" t="s">
        <v>982</v>
      </c>
      <c r="D1389" s="1" t="s">
        <v>746</v>
      </c>
      <c r="E1389" s="1" t="s">
        <v>747</v>
      </c>
      <c r="F1389" s="1" t="s">
        <v>748</v>
      </c>
      <c r="G1389" s="1" t="s">
        <v>944</v>
      </c>
      <c r="H1389">
        <v>2005</v>
      </c>
      <c r="I1389">
        <v>2006</v>
      </c>
      <c r="J1389">
        <f t="shared" si="42"/>
        <v>2</v>
      </c>
      <c r="K1389" s="1" t="s">
        <v>741</v>
      </c>
      <c r="L1389" s="1" t="s">
        <v>798</v>
      </c>
      <c r="M1389">
        <f t="shared" si="43"/>
        <v>20</v>
      </c>
      <c r="N1389" t="s">
        <v>640</v>
      </c>
    </row>
    <row r="1390" spans="1:14" hidden="1" x14ac:dyDescent="0.3">
      <c r="A1390" s="1" t="s">
        <v>983</v>
      </c>
      <c r="B1390" s="1" t="s">
        <v>12756</v>
      </c>
      <c r="C1390" s="1" t="s">
        <v>984</v>
      </c>
      <c r="D1390" s="1" t="s">
        <v>746</v>
      </c>
      <c r="E1390" s="1" t="s">
        <v>747</v>
      </c>
      <c r="F1390" s="1" t="s">
        <v>748</v>
      </c>
      <c r="G1390" s="1" t="s">
        <v>944</v>
      </c>
      <c r="H1390">
        <v>2005</v>
      </c>
      <c r="I1390">
        <v>2008</v>
      </c>
      <c r="J1390">
        <f t="shared" si="42"/>
        <v>4</v>
      </c>
      <c r="K1390" s="1" t="s">
        <v>741</v>
      </c>
      <c r="L1390" s="1" t="s">
        <v>798</v>
      </c>
      <c r="M1390">
        <f t="shared" si="43"/>
        <v>18</v>
      </c>
      <c r="N1390" t="s">
        <v>650</v>
      </c>
    </row>
    <row r="1391" spans="1:14" hidden="1" x14ac:dyDescent="0.3">
      <c r="A1391" s="1" t="s">
        <v>985</v>
      </c>
      <c r="B1391" s="1" t="s">
        <v>12756</v>
      </c>
      <c r="C1391" s="1" t="s">
        <v>986</v>
      </c>
      <c r="D1391" s="1" t="s">
        <v>746</v>
      </c>
      <c r="E1391" s="1" t="s">
        <v>747</v>
      </c>
      <c r="F1391" s="1" t="s">
        <v>748</v>
      </c>
      <c r="G1391" s="1" t="s">
        <v>944</v>
      </c>
      <c r="H1391">
        <v>2006</v>
      </c>
      <c r="I1391">
        <v>2007</v>
      </c>
      <c r="J1391">
        <f t="shared" si="42"/>
        <v>2</v>
      </c>
      <c r="K1391" s="1" t="s">
        <v>741</v>
      </c>
      <c r="L1391" s="1" t="s">
        <v>798</v>
      </c>
      <c r="M1391">
        <f t="shared" si="43"/>
        <v>19</v>
      </c>
      <c r="N1391" t="s">
        <v>650</v>
      </c>
    </row>
    <row r="1392" spans="1:14" hidden="1" x14ac:dyDescent="0.3">
      <c r="A1392" s="1" t="s">
        <v>987</v>
      </c>
      <c r="B1392" s="1" t="s">
        <v>12756</v>
      </c>
      <c r="C1392" s="1" t="s">
        <v>988</v>
      </c>
      <c r="D1392" s="1" t="s">
        <v>746</v>
      </c>
      <c r="E1392" s="1" t="s">
        <v>747</v>
      </c>
      <c r="F1392" s="1" t="s">
        <v>748</v>
      </c>
      <c r="G1392" s="1" t="s">
        <v>944</v>
      </c>
      <c r="H1392">
        <v>2005</v>
      </c>
      <c r="I1392">
        <v>2007</v>
      </c>
      <c r="J1392">
        <f t="shared" si="42"/>
        <v>3</v>
      </c>
      <c r="K1392" s="1" t="s">
        <v>741</v>
      </c>
      <c r="L1392" s="1" t="s">
        <v>798</v>
      </c>
      <c r="M1392">
        <f t="shared" si="43"/>
        <v>19</v>
      </c>
      <c r="N1392" t="s">
        <v>650</v>
      </c>
    </row>
    <row r="1393" spans="1:14" hidden="1" x14ac:dyDescent="0.3">
      <c r="A1393" s="1" t="s">
        <v>989</v>
      </c>
      <c r="B1393" s="1" t="s">
        <v>12756</v>
      </c>
      <c r="C1393" s="1" t="s">
        <v>990</v>
      </c>
      <c r="D1393" s="1" t="s">
        <v>746</v>
      </c>
      <c r="E1393" s="1" t="s">
        <v>747</v>
      </c>
      <c r="F1393" s="1" t="s">
        <v>748</v>
      </c>
      <c r="G1393" s="1" t="s">
        <v>944</v>
      </c>
      <c r="H1393">
        <v>1998</v>
      </c>
      <c r="I1393">
        <v>2008</v>
      </c>
      <c r="J1393">
        <f t="shared" si="42"/>
        <v>11</v>
      </c>
      <c r="K1393" s="1" t="s">
        <v>741</v>
      </c>
      <c r="L1393" s="1" t="s">
        <v>798</v>
      </c>
      <c r="M1393">
        <f t="shared" si="43"/>
        <v>18</v>
      </c>
      <c r="N1393" t="s">
        <v>650</v>
      </c>
    </row>
    <row r="1394" spans="1:14" hidden="1" x14ac:dyDescent="0.3">
      <c r="A1394" s="1" t="s">
        <v>991</v>
      </c>
      <c r="B1394" s="1" t="s">
        <v>12756</v>
      </c>
      <c r="C1394" s="1" t="s">
        <v>992</v>
      </c>
      <c r="D1394" s="1" t="s">
        <v>746</v>
      </c>
      <c r="E1394" s="1" t="s">
        <v>747</v>
      </c>
      <c r="F1394" s="1" t="s">
        <v>748</v>
      </c>
      <c r="G1394" s="1" t="s">
        <v>944</v>
      </c>
      <c r="H1394">
        <v>1996</v>
      </c>
      <c r="I1394">
        <v>2000</v>
      </c>
      <c r="J1394">
        <f t="shared" si="42"/>
        <v>5</v>
      </c>
      <c r="K1394" s="1" t="s">
        <v>741</v>
      </c>
      <c r="L1394" s="1" t="s">
        <v>798</v>
      </c>
      <c r="M1394">
        <f t="shared" si="43"/>
        <v>26</v>
      </c>
      <c r="N1394" t="s">
        <v>640</v>
      </c>
    </row>
    <row r="1395" spans="1:14" hidden="1" x14ac:dyDescent="0.3">
      <c r="A1395" s="1" t="s">
        <v>993</v>
      </c>
      <c r="B1395" s="1" t="s">
        <v>12756</v>
      </c>
      <c r="C1395" s="1" t="s">
        <v>994</v>
      </c>
      <c r="D1395" s="1" t="s">
        <v>746</v>
      </c>
      <c r="E1395" s="1" t="s">
        <v>747</v>
      </c>
      <c r="F1395" s="1" t="s">
        <v>748</v>
      </c>
      <c r="G1395" s="1" t="s">
        <v>944</v>
      </c>
      <c r="H1395">
        <v>2003</v>
      </c>
      <c r="I1395">
        <v>2005</v>
      </c>
      <c r="J1395">
        <f t="shared" si="42"/>
        <v>3</v>
      </c>
      <c r="K1395" s="1" t="s">
        <v>741</v>
      </c>
      <c r="L1395" s="1" t="s">
        <v>798</v>
      </c>
      <c r="M1395">
        <f t="shared" si="43"/>
        <v>21</v>
      </c>
      <c r="N1395" t="s">
        <v>640</v>
      </c>
    </row>
    <row r="1396" spans="1:14" x14ac:dyDescent="0.3">
      <c r="A1396" s="1" t="s">
        <v>6918</v>
      </c>
      <c r="B1396" s="1" t="s">
        <v>12756</v>
      </c>
      <c r="C1396" s="1" t="s">
        <v>6919</v>
      </c>
      <c r="D1396" s="1" t="s">
        <v>746</v>
      </c>
      <c r="E1396" s="1" t="s">
        <v>6076</v>
      </c>
      <c r="F1396" s="1" t="s">
        <v>6076</v>
      </c>
      <c r="G1396" s="1" t="s">
        <v>944</v>
      </c>
      <c r="H1396">
        <v>2000</v>
      </c>
      <c r="I1396">
        <v>2016</v>
      </c>
      <c r="J1396">
        <f t="shared" si="42"/>
        <v>17</v>
      </c>
      <c r="K1396" s="1" t="s">
        <v>6076</v>
      </c>
      <c r="L1396" s="1" t="s">
        <v>6076</v>
      </c>
      <c r="M1396">
        <f t="shared" si="43"/>
        <v>10</v>
      </c>
      <c r="N1396" t="s">
        <v>650</v>
      </c>
    </row>
    <row r="1397" spans="1:14" x14ac:dyDescent="0.3">
      <c r="A1397" s="1" t="s">
        <v>6920</v>
      </c>
      <c r="B1397" s="1" t="s">
        <v>12756</v>
      </c>
      <c r="C1397" s="1" t="s">
        <v>6921</v>
      </c>
      <c r="D1397" s="1" t="s">
        <v>746</v>
      </c>
      <c r="E1397" s="1" t="s">
        <v>6076</v>
      </c>
      <c r="F1397" s="1" t="s">
        <v>6076</v>
      </c>
      <c r="G1397" s="1" t="s">
        <v>944</v>
      </c>
      <c r="H1397">
        <v>1996</v>
      </c>
      <c r="I1397">
        <v>1998</v>
      </c>
      <c r="J1397">
        <f t="shared" si="42"/>
        <v>3</v>
      </c>
      <c r="K1397" s="1" t="s">
        <v>6076</v>
      </c>
      <c r="L1397" s="1" t="s">
        <v>6076</v>
      </c>
      <c r="M1397">
        <f t="shared" si="43"/>
        <v>28</v>
      </c>
      <c r="N1397" t="s">
        <v>640</v>
      </c>
    </row>
    <row r="1398" spans="1:14" hidden="1" x14ac:dyDescent="0.3">
      <c r="A1398" s="1" t="s">
        <v>995</v>
      </c>
      <c r="B1398" s="1" t="s">
        <v>12756</v>
      </c>
      <c r="C1398" s="1" t="s">
        <v>996</v>
      </c>
      <c r="D1398" s="1" t="s">
        <v>746</v>
      </c>
      <c r="E1398" s="1" t="s">
        <v>747</v>
      </c>
      <c r="F1398" s="1" t="s">
        <v>748</v>
      </c>
      <c r="G1398" s="1" t="s">
        <v>944</v>
      </c>
      <c r="H1398">
        <v>1996</v>
      </c>
      <c r="I1398">
        <v>2002</v>
      </c>
      <c r="J1398">
        <f t="shared" si="42"/>
        <v>7</v>
      </c>
      <c r="K1398" s="1" t="s">
        <v>741</v>
      </c>
      <c r="L1398" s="1" t="s">
        <v>798</v>
      </c>
      <c r="M1398">
        <f t="shared" si="43"/>
        <v>24</v>
      </c>
      <c r="N1398" t="s">
        <v>640</v>
      </c>
    </row>
    <row r="1399" spans="1:14" hidden="1" x14ac:dyDescent="0.3">
      <c r="A1399" s="1" t="s">
        <v>997</v>
      </c>
      <c r="B1399" s="1" t="s">
        <v>12756</v>
      </c>
      <c r="C1399" s="1" t="s">
        <v>998</v>
      </c>
      <c r="D1399" s="1" t="s">
        <v>746</v>
      </c>
      <c r="E1399" s="1" t="s">
        <v>747</v>
      </c>
      <c r="F1399" s="1" t="s">
        <v>748</v>
      </c>
      <c r="G1399" s="1" t="s">
        <v>944</v>
      </c>
      <c r="H1399">
        <v>2000</v>
      </c>
      <c r="I1399">
        <v>2006</v>
      </c>
      <c r="J1399">
        <f t="shared" si="42"/>
        <v>7</v>
      </c>
      <c r="K1399" s="1" t="s">
        <v>741</v>
      </c>
      <c r="L1399" s="1" t="s">
        <v>798</v>
      </c>
      <c r="M1399">
        <f t="shared" si="43"/>
        <v>20</v>
      </c>
      <c r="N1399" t="s">
        <v>640</v>
      </c>
    </row>
    <row r="1400" spans="1:14" hidden="1" x14ac:dyDescent="0.3">
      <c r="A1400" s="1" t="s">
        <v>999</v>
      </c>
      <c r="B1400" s="1" t="s">
        <v>12756</v>
      </c>
      <c r="C1400" s="1" t="s">
        <v>1000</v>
      </c>
      <c r="D1400" s="1" t="s">
        <v>746</v>
      </c>
      <c r="E1400" s="1" t="s">
        <v>747</v>
      </c>
      <c r="F1400" s="1" t="s">
        <v>748</v>
      </c>
      <c r="G1400" s="1" t="s">
        <v>944</v>
      </c>
      <c r="H1400">
        <v>2000</v>
      </c>
      <c r="I1400">
        <v>2005</v>
      </c>
      <c r="J1400">
        <f t="shared" si="42"/>
        <v>6</v>
      </c>
      <c r="K1400" s="1" t="s">
        <v>741</v>
      </c>
      <c r="L1400" s="1" t="s">
        <v>798</v>
      </c>
      <c r="M1400">
        <f t="shared" si="43"/>
        <v>21</v>
      </c>
      <c r="N1400" t="s">
        <v>640</v>
      </c>
    </row>
    <row r="1401" spans="1:14" hidden="1" x14ac:dyDescent="0.3">
      <c r="A1401" s="1" t="s">
        <v>1001</v>
      </c>
      <c r="B1401" s="1" t="s">
        <v>12756</v>
      </c>
      <c r="C1401" s="1" t="s">
        <v>1002</v>
      </c>
      <c r="D1401" s="1" t="s">
        <v>746</v>
      </c>
      <c r="E1401" s="1" t="s">
        <v>747</v>
      </c>
      <c r="F1401" s="1" t="s">
        <v>748</v>
      </c>
      <c r="G1401" s="1" t="s">
        <v>944</v>
      </c>
      <c r="H1401">
        <v>2006</v>
      </c>
      <c r="I1401">
        <v>2008</v>
      </c>
      <c r="J1401">
        <f t="shared" si="42"/>
        <v>3</v>
      </c>
      <c r="K1401" s="1" t="s">
        <v>741</v>
      </c>
      <c r="L1401" s="1" t="s">
        <v>798</v>
      </c>
      <c r="M1401">
        <f t="shared" si="43"/>
        <v>18</v>
      </c>
      <c r="N1401" t="s">
        <v>650</v>
      </c>
    </row>
    <row r="1402" spans="1:14" hidden="1" x14ac:dyDescent="0.3">
      <c r="A1402" s="1" t="s">
        <v>1003</v>
      </c>
      <c r="B1402" s="1" t="s">
        <v>12756</v>
      </c>
      <c r="C1402" s="1" t="s">
        <v>1004</v>
      </c>
      <c r="D1402" s="1" t="s">
        <v>746</v>
      </c>
      <c r="E1402" s="1" t="s">
        <v>747</v>
      </c>
      <c r="F1402" s="1" t="s">
        <v>748</v>
      </c>
      <c r="G1402" s="1" t="s">
        <v>944</v>
      </c>
      <c r="H1402">
        <v>1996</v>
      </c>
      <c r="I1402">
        <v>2002</v>
      </c>
      <c r="J1402">
        <f t="shared" si="42"/>
        <v>7</v>
      </c>
      <c r="K1402" s="1" t="s">
        <v>741</v>
      </c>
      <c r="L1402" s="1" t="s">
        <v>798</v>
      </c>
      <c r="M1402">
        <f t="shared" si="43"/>
        <v>24</v>
      </c>
      <c r="N1402" t="s">
        <v>640</v>
      </c>
    </row>
    <row r="1403" spans="1:14" hidden="1" x14ac:dyDescent="0.3">
      <c r="A1403" s="1" t="s">
        <v>1005</v>
      </c>
      <c r="B1403" s="1" t="s">
        <v>12756</v>
      </c>
      <c r="C1403" s="1" t="s">
        <v>1006</v>
      </c>
      <c r="D1403" s="1" t="s">
        <v>746</v>
      </c>
      <c r="E1403" s="1" t="s">
        <v>747</v>
      </c>
      <c r="F1403" s="1" t="s">
        <v>748</v>
      </c>
      <c r="G1403" s="1" t="s">
        <v>944</v>
      </c>
      <c r="H1403">
        <v>2000</v>
      </c>
      <c r="I1403">
        <v>2005</v>
      </c>
      <c r="J1403">
        <f t="shared" si="42"/>
        <v>6</v>
      </c>
      <c r="K1403" s="1" t="s">
        <v>741</v>
      </c>
      <c r="L1403" s="1" t="s">
        <v>798</v>
      </c>
      <c r="M1403">
        <f t="shared" si="43"/>
        <v>21</v>
      </c>
      <c r="N1403" t="s">
        <v>640</v>
      </c>
    </row>
    <row r="1404" spans="1:14" hidden="1" x14ac:dyDescent="0.3">
      <c r="A1404" s="1" t="s">
        <v>1007</v>
      </c>
      <c r="B1404" s="1" t="s">
        <v>12756</v>
      </c>
      <c r="C1404" s="1" t="s">
        <v>1008</v>
      </c>
      <c r="D1404" s="1" t="s">
        <v>738</v>
      </c>
      <c r="E1404" s="1" t="s">
        <v>739</v>
      </c>
      <c r="F1404" s="1" t="s">
        <v>781</v>
      </c>
      <c r="G1404" s="1" t="s">
        <v>944</v>
      </c>
      <c r="H1404">
        <v>2000</v>
      </c>
      <c r="I1404">
        <v>2005</v>
      </c>
      <c r="J1404">
        <f t="shared" si="42"/>
        <v>6</v>
      </c>
      <c r="K1404" s="1" t="s">
        <v>741</v>
      </c>
      <c r="L1404" s="1" t="s">
        <v>798</v>
      </c>
      <c r="M1404">
        <f t="shared" si="43"/>
        <v>21</v>
      </c>
      <c r="N1404" t="s">
        <v>640</v>
      </c>
    </row>
    <row r="1405" spans="1:14" hidden="1" x14ac:dyDescent="0.3">
      <c r="A1405" s="1" t="s">
        <v>1009</v>
      </c>
      <c r="B1405" s="1" t="s">
        <v>12756</v>
      </c>
      <c r="C1405" s="1" t="s">
        <v>1010</v>
      </c>
      <c r="D1405" s="1" t="s">
        <v>738</v>
      </c>
      <c r="E1405" s="1" t="s">
        <v>739</v>
      </c>
      <c r="F1405" s="1" t="s">
        <v>781</v>
      </c>
      <c r="G1405" s="1" t="s">
        <v>944</v>
      </c>
      <c r="H1405">
        <v>2000</v>
      </c>
      <c r="I1405">
        <v>2005</v>
      </c>
      <c r="J1405">
        <f t="shared" si="42"/>
        <v>6</v>
      </c>
      <c r="K1405" s="1" t="s">
        <v>741</v>
      </c>
      <c r="L1405" s="1" t="s">
        <v>798</v>
      </c>
      <c r="M1405">
        <f t="shared" si="43"/>
        <v>21</v>
      </c>
      <c r="N1405" t="s">
        <v>640</v>
      </c>
    </row>
    <row r="1406" spans="1:14" hidden="1" x14ac:dyDescent="0.3">
      <c r="A1406" s="1" t="s">
        <v>1011</v>
      </c>
      <c r="B1406" s="1" t="s">
        <v>12756</v>
      </c>
      <c r="C1406" s="1" t="s">
        <v>1012</v>
      </c>
      <c r="D1406" s="1" t="s">
        <v>738</v>
      </c>
      <c r="E1406" s="1" t="s">
        <v>739</v>
      </c>
      <c r="F1406" s="1" t="s">
        <v>781</v>
      </c>
      <c r="G1406" s="1" t="s">
        <v>944</v>
      </c>
      <c r="H1406">
        <v>2005</v>
      </c>
      <c r="I1406">
        <v>2008</v>
      </c>
      <c r="J1406">
        <f t="shared" si="42"/>
        <v>4</v>
      </c>
      <c r="K1406" s="1" t="s">
        <v>741</v>
      </c>
      <c r="L1406" s="1" t="s">
        <v>798</v>
      </c>
      <c r="M1406">
        <f t="shared" si="43"/>
        <v>18</v>
      </c>
      <c r="N1406" t="s">
        <v>650</v>
      </c>
    </row>
    <row r="1407" spans="1:14" hidden="1" x14ac:dyDescent="0.3">
      <c r="A1407" s="1" t="s">
        <v>1013</v>
      </c>
      <c r="B1407" s="1" t="s">
        <v>12756</v>
      </c>
      <c r="C1407" s="1" t="s">
        <v>1014</v>
      </c>
      <c r="D1407" s="1" t="s">
        <v>738</v>
      </c>
      <c r="E1407" s="1" t="s">
        <v>739</v>
      </c>
      <c r="F1407" s="1" t="s">
        <v>781</v>
      </c>
      <c r="G1407" s="1" t="s">
        <v>944</v>
      </c>
      <c r="H1407">
        <v>2006</v>
      </c>
      <c r="I1407">
        <v>2009</v>
      </c>
      <c r="J1407">
        <f t="shared" si="42"/>
        <v>4</v>
      </c>
      <c r="K1407" s="1" t="s">
        <v>741</v>
      </c>
      <c r="L1407" s="1" t="s">
        <v>798</v>
      </c>
      <c r="M1407">
        <f t="shared" si="43"/>
        <v>17</v>
      </c>
      <c r="N1407" t="s">
        <v>650</v>
      </c>
    </row>
    <row r="1408" spans="1:14" hidden="1" x14ac:dyDescent="0.3">
      <c r="A1408" s="1" t="s">
        <v>1015</v>
      </c>
      <c r="B1408" s="1" t="s">
        <v>12756</v>
      </c>
      <c r="C1408" s="1" t="s">
        <v>1016</v>
      </c>
      <c r="D1408" s="1" t="s">
        <v>738</v>
      </c>
      <c r="E1408" s="1" t="s">
        <v>739</v>
      </c>
      <c r="F1408" s="1" t="s">
        <v>781</v>
      </c>
      <c r="G1408" s="1" t="s">
        <v>944</v>
      </c>
      <c r="H1408">
        <v>2005</v>
      </c>
      <c r="I1408">
        <v>2009</v>
      </c>
      <c r="J1408">
        <f t="shared" si="42"/>
        <v>5</v>
      </c>
      <c r="K1408" s="1" t="s">
        <v>741</v>
      </c>
      <c r="L1408" s="1" t="s">
        <v>798</v>
      </c>
      <c r="M1408">
        <f t="shared" si="43"/>
        <v>17</v>
      </c>
      <c r="N1408" t="s">
        <v>650</v>
      </c>
    </row>
    <row r="1409" spans="1:14" hidden="1" x14ac:dyDescent="0.3">
      <c r="A1409" s="1" t="s">
        <v>1017</v>
      </c>
      <c r="B1409" s="1" t="s">
        <v>12756</v>
      </c>
      <c r="C1409" s="1" t="s">
        <v>1018</v>
      </c>
      <c r="D1409" s="1" t="s">
        <v>738</v>
      </c>
      <c r="E1409" s="1" t="s">
        <v>739</v>
      </c>
      <c r="F1409" s="1" t="s">
        <v>781</v>
      </c>
      <c r="G1409" s="1" t="s">
        <v>944</v>
      </c>
      <c r="H1409">
        <v>2006</v>
      </c>
      <c r="I1409">
        <v>2009</v>
      </c>
      <c r="J1409">
        <f t="shared" si="42"/>
        <v>4</v>
      </c>
      <c r="K1409" s="1" t="s">
        <v>741</v>
      </c>
      <c r="L1409" s="1" t="s">
        <v>798</v>
      </c>
      <c r="M1409">
        <f t="shared" si="43"/>
        <v>17</v>
      </c>
      <c r="N1409" t="s">
        <v>650</v>
      </c>
    </row>
    <row r="1410" spans="1:14" hidden="1" x14ac:dyDescent="0.3">
      <c r="A1410" s="1" t="s">
        <v>1019</v>
      </c>
      <c r="B1410" s="1" t="s">
        <v>12756</v>
      </c>
      <c r="C1410" s="1" t="s">
        <v>1020</v>
      </c>
      <c r="D1410" s="1" t="s">
        <v>738</v>
      </c>
      <c r="E1410" s="1" t="s">
        <v>739</v>
      </c>
      <c r="F1410" s="1" t="s">
        <v>781</v>
      </c>
      <c r="G1410" s="1" t="s">
        <v>944</v>
      </c>
      <c r="H1410">
        <v>2005</v>
      </c>
      <c r="I1410">
        <v>2009</v>
      </c>
      <c r="J1410">
        <f t="shared" si="42"/>
        <v>5</v>
      </c>
      <c r="K1410" s="1" t="s">
        <v>741</v>
      </c>
      <c r="L1410" s="1" t="s">
        <v>798</v>
      </c>
      <c r="M1410">
        <f t="shared" si="43"/>
        <v>17</v>
      </c>
      <c r="N1410" t="s">
        <v>650</v>
      </c>
    </row>
    <row r="1411" spans="1:14" hidden="1" x14ac:dyDescent="0.3">
      <c r="A1411" s="1" t="s">
        <v>1021</v>
      </c>
      <c r="B1411" s="1" t="s">
        <v>12756</v>
      </c>
      <c r="C1411" s="1" t="s">
        <v>1022</v>
      </c>
      <c r="D1411" s="1" t="s">
        <v>738</v>
      </c>
      <c r="E1411" s="1" t="s">
        <v>739</v>
      </c>
      <c r="F1411" s="1" t="s">
        <v>781</v>
      </c>
      <c r="G1411" s="1" t="s">
        <v>944</v>
      </c>
      <c r="H1411">
        <v>2006</v>
      </c>
      <c r="I1411">
        <v>2009</v>
      </c>
      <c r="J1411">
        <f t="shared" si="42"/>
        <v>4</v>
      </c>
      <c r="K1411" s="1" t="s">
        <v>741</v>
      </c>
      <c r="L1411" s="1" t="s">
        <v>798</v>
      </c>
      <c r="M1411">
        <f t="shared" si="43"/>
        <v>17</v>
      </c>
      <c r="N1411" t="s">
        <v>650</v>
      </c>
    </row>
    <row r="1412" spans="1:14" hidden="1" x14ac:dyDescent="0.3">
      <c r="A1412" s="1" t="s">
        <v>1023</v>
      </c>
      <c r="B1412" s="1" t="s">
        <v>12756</v>
      </c>
      <c r="C1412" s="1" t="s">
        <v>1024</v>
      </c>
      <c r="D1412" s="1" t="s">
        <v>738</v>
      </c>
      <c r="E1412" s="1" t="s">
        <v>739</v>
      </c>
      <c r="F1412" s="1" t="s">
        <v>781</v>
      </c>
      <c r="G1412" s="1" t="s">
        <v>944</v>
      </c>
      <c r="H1412">
        <v>2005</v>
      </c>
      <c r="I1412">
        <v>2009</v>
      </c>
      <c r="J1412">
        <f t="shared" si="42"/>
        <v>5</v>
      </c>
      <c r="K1412" s="1" t="s">
        <v>741</v>
      </c>
      <c r="L1412" s="1" t="s">
        <v>798</v>
      </c>
      <c r="M1412">
        <f t="shared" si="43"/>
        <v>17</v>
      </c>
      <c r="N1412" t="s">
        <v>650</v>
      </c>
    </row>
    <row r="1413" spans="1:14" hidden="1" x14ac:dyDescent="0.3">
      <c r="A1413" s="1" t="s">
        <v>1025</v>
      </c>
      <c r="B1413" s="1" t="s">
        <v>12756</v>
      </c>
      <c r="C1413" s="1" t="s">
        <v>1026</v>
      </c>
      <c r="D1413" s="1" t="s">
        <v>738</v>
      </c>
      <c r="E1413" s="1" t="s">
        <v>739</v>
      </c>
      <c r="F1413" s="1" t="s">
        <v>781</v>
      </c>
      <c r="G1413" s="1" t="s">
        <v>944</v>
      </c>
      <c r="H1413">
        <v>2002</v>
      </c>
      <c r="I1413">
        <v>2006</v>
      </c>
      <c r="J1413">
        <f t="shared" si="42"/>
        <v>5</v>
      </c>
      <c r="K1413" s="1" t="s">
        <v>741</v>
      </c>
      <c r="L1413" s="1" t="s">
        <v>798</v>
      </c>
      <c r="M1413">
        <f t="shared" si="43"/>
        <v>20</v>
      </c>
      <c r="N1413" t="s">
        <v>640</v>
      </c>
    </row>
    <row r="1414" spans="1:14" hidden="1" x14ac:dyDescent="0.3">
      <c r="A1414" s="1" t="s">
        <v>1027</v>
      </c>
      <c r="B1414" s="1" t="s">
        <v>12756</v>
      </c>
      <c r="C1414" s="1" t="s">
        <v>1028</v>
      </c>
      <c r="D1414" s="1" t="s">
        <v>738</v>
      </c>
      <c r="E1414" s="1" t="s">
        <v>739</v>
      </c>
      <c r="F1414" s="1" t="s">
        <v>781</v>
      </c>
      <c r="G1414" s="1" t="s">
        <v>944</v>
      </c>
      <c r="H1414">
        <v>2000</v>
      </c>
      <c r="I1414">
        <v>2007</v>
      </c>
      <c r="J1414">
        <f t="shared" ref="J1414:J1477" si="44">1+(I1414-H1414)</f>
        <v>8</v>
      </c>
      <c r="K1414" s="1" t="s">
        <v>741</v>
      </c>
      <c r="L1414" s="1" t="s">
        <v>798</v>
      </c>
      <c r="M1414">
        <f t="shared" ref="M1414:M1477" si="45">IF(I1414=0,0,$B$2-I1414)</f>
        <v>19</v>
      </c>
      <c r="N1414" t="s">
        <v>650</v>
      </c>
    </row>
    <row r="1415" spans="1:14" hidden="1" x14ac:dyDescent="0.3">
      <c r="A1415" s="1" t="s">
        <v>1029</v>
      </c>
      <c r="B1415" s="1" t="s">
        <v>12756</v>
      </c>
      <c r="C1415" s="1" t="s">
        <v>1030</v>
      </c>
      <c r="D1415" s="1" t="s">
        <v>738</v>
      </c>
      <c r="E1415" s="1" t="s">
        <v>739</v>
      </c>
      <c r="F1415" s="1" t="s">
        <v>781</v>
      </c>
      <c r="G1415" s="1" t="s">
        <v>944</v>
      </c>
      <c r="H1415">
        <v>2000</v>
      </c>
      <c r="I1415">
        <v>2006</v>
      </c>
      <c r="J1415">
        <f t="shared" si="44"/>
        <v>7</v>
      </c>
      <c r="K1415" s="1" t="s">
        <v>741</v>
      </c>
      <c r="L1415" s="1" t="s">
        <v>798</v>
      </c>
      <c r="M1415">
        <f t="shared" si="45"/>
        <v>20</v>
      </c>
      <c r="N1415" t="s">
        <v>640</v>
      </c>
    </row>
    <row r="1416" spans="1:14" hidden="1" x14ac:dyDescent="0.3">
      <c r="A1416" s="1" t="s">
        <v>1031</v>
      </c>
      <c r="B1416" s="1" t="s">
        <v>12756</v>
      </c>
      <c r="C1416" s="1" t="s">
        <v>1032</v>
      </c>
      <c r="D1416" s="1" t="s">
        <v>738</v>
      </c>
      <c r="E1416" s="1" t="s">
        <v>739</v>
      </c>
      <c r="F1416" s="1" t="s">
        <v>781</v>
      </c>
      <c r="G1416" s="1" t="s">
        <v>944</v>
      </c>
      <c r="H1416">
        <v>2005</v>
      </c>
      <c r="I1416">
        <v>2005</v>
      </c>
      <c r="J1416">
        <f t="shared" si="44"/>
        <v>1</v>
      </c>
      <c r="K1416" s="1" t="s">
        <v>741</v>
      </c>
      <c r="L1416" s="1" t="s">
        <v>798</v>
      </c>
      <c r="M1416">
        <f t="shared" si="45"/>
        <v>21</v>
      </c>
      <c r="N1416" t="s">
        <v>640</v>
      </c>
    </row>
    <row r="1417" spans="1:14" hidden="1" x14ac:dyDescent="0.3">
      <c r="A1417" s="1" t="s">
        <v>1033</v>
      </c>
      <c r="B1417" s="1" t="s">
        <v>12756</v>
      </c>
      <c r="C1417" s="1" t="s">
        <v>1034</v>
      </c>
      <c r="D1417" s="1" t="s">
        <v>738</v>
      </c>
      <c r="E1417" s="1" t="s">
        <v>739</v>
      </c>
      <c r="F1417" s="1" t="s">
        <v>781</v>
      </c>
      <c r="G1417" s="1" t="s">
        <v>944</v>
      </c>
      <c r="H1417">
        <v>2006</v>
      </c>
      <c r="I1417">
        <v>2007</v>
      </c>
      <c r="J1417">
        <f t="shared" si="44"/>
        <v>2</v>
      </c>
      <c r="K1417" s="1" t="s">
        <v>741</v>
      </c>
      <c r="L1417" s="1" t="s">
        <v>798</v>
      </c>
      <c r="M1417">
        <f t="shared" si="45"/>
        <v>19</v>
      </c>
      <c r="N1417" t="s">
        <v>650</v>
      </c>
    </row>
    <row r="1418" spans="1:14" hidden="1" x14ac:dyDescent="0.3">
      <c r="A1418" s="1" t="s">
        <v>1035</v>
      </c>
      <c r="B1418" s="1" t="s">
        <v>12756</v>
      </c>
      <c r="C1418" s="1" t="s">
        <v>1036</v>
      </c>
      <c r="D1418" s="1" t="s">
        <v>738</v>
      </c>
      <c r="E1418" s="1" t="s">
        <v>739</v>
      </c>
      <c r="F1418" s="1" t="s">
        <v>781</v>
      </c>
      <c r="G1418" s="1" t="s">
        <v>944</v>
      </c>
      <c r="H1418">
        <v>2006</v>
      </c>
      <c r="I1418">
        <v>2007</v>
      </c>
      <c r="J1418">
        <f t="shared" si="44"/>
        <v>2</v>
      </c>
      <c r="K1418" s="1" t="s">
        <v>741</v>
      </c>
      <c r="L1418" s="1" t="s">
        <v>798</v>
      </c>
      <c r="M1418">
        <f t="shared" si="45"/>
        <v>19</v>
      </c>
      <c r="N1418" t="s">
        <v>650</v>
      </c>
    </row>
    <row r="1419" spans="1:14" hidden="1" x14ac:dyDescent="0.3">
      <c r="A1419" s="1" t="s">
        <v>1037</v>
      </c>
      <c r="B1419" s="1" t="s">
        <v>12756</v>
      </c>
      <c r="C1419" s="1" t="s">
        <v>1038</v>
      </c>
      <c r="D1419" s="1" t="s">
        <v>738</v>
      </c>
      <c r="E1419" s="1" t="s">
        <v>739</v>
      </c>
      <c r="F1419" s="1" t="s">
        <v>781</v>
      </c>
      <c r="G1419" s="1" t="s">
        <v>944</v>
      </c>
      <c r="H1419">
        <v>2000</v>
      </c>
      <c r="I1419">
        <v>2005</v>
      </c>
      <c r="J1419">
        <f t="shared" si="44"/>
        <v>6</v>
      </c>
      <c r="K1419" s="1" t="s">
        <v>741</v>
      </c>
      <c r="L1419" s="1" t="s">
        <v>798</v>
      </c>
      <c r="M1419">
        <f t="shared" si="45"/>
        <v>21</v>
      </c>
      <c r="N1419" t="s">
        <v>640</v>
      </c>
    </row>
    <row r="1420" spans="1:14" hidden="1" x14ac:dyDescent="0.3">
      <c r="A1420" s="1" t="s">
        <v>1039</v>
      </c>
      <c r="B1420" s="1" t="s">
        <v>12756</v>
      </c>
      <c r="C1420" s="1" t="s">
        <v>1040</v>
      </c>
      <c r="D1420" s="1" t="s">
        <v>746</v>
      </c>
      <c r="E1420" s="1" t="s">
        <v>747</v>
      </c>
      <c r="F1420" s="1" t="s">
        <v>748</v>
      </c>
      <c r="G1420" s="1" t="s">
        <v>944</v>
      </c>
      <c r="H1420">
        <v>2001</v>
      </c>
      <c r="I1420">
        <v>2003</v>
      </c>
      <c r="J1420">
        <f t="shared" si="44"/>
        <v>3</v>
      </c>
      <c r="K1420" s="1" t="s">
        <v>741</v>
      </c>
      <c r="L1420" s="1" t="s">
        <v>798</v>
      </c>
      <c r="M1420">
        <f t="shared" si="45"/>
        <v>23</v>
      </c>
      <c r="N1420" t="s">
        <v>640</v>
      </c>
    </row>
    <row r="1421" spans="1:14" hidden="1" x14ac:dyDescent="0.3">
      <c r="A1421" s="1" t="s">
        <v>1041</v>
      </c>
      <c r="B1421" s="1" t="s">
        <v>12756</v>
      </c>
      <c r="C1421" s="1" t="s">
        <v>1042</v>
      </c>
      <c r="D1421" s="1" t="s">
        <v>746</v>
      </c>
      <c r="E1421" s="1" t="s">
        <v>747</v>
      </c>
      <c r="F1421" s="1" t="s">
        <v>748</v>
      </c>
      <c r="G1421" s="1" t="s">
        <v>944</v>
      </c>
      <c r="H1421">
        <v>2002</v>
      </c>
      <c r="I1421">
        <v>2003</v>
      </c>
      <c r="J1421">
        <f t="shared" si="44"/>
        <v>2</v>
      </c>
      <c r="K1421" s="1" t="s">
        <v>741</v>
      </c>
      <c r="L1421" s="1" t="s">
        <v>798</v>
      </c>
      <c r="M1421">
        <f t="shared" si="45"/>
        <v>23</v>
      </c>
      <c r="N1421" t="s">
        <v>640</v>
      </c>
    </row>
    <row r="1422" spans="1:14" x14ac:dyDescent="0.3">
      <c r="A1422" s="1" t="s">
        <v>6924</v>
      </c>
      <c r="B1422" s="1" t="s">
        <v>5931</v>
      </c>
      <c r="C1422" s="1" t="s">
        <v>6925</v>
      </c>
      <c r="D1422" s="1" t="s">
        <v>3850</v>
      </c>
      <c r="E1422" s="1" t="s">
        <v>6076</v>
      </c>
      <c r="F1422" s="1" t="s">
        <v>6076</v>
      </c>
      <c r="G1422" s="1" t="s">
        <v>6926</v>
      </c>
      <c r="H1422">
        <v>1998</v>
      </c>
      <c r="I1422">
        <v>2001</v>
      </c>
      <c r="J1422">
        <f t="shared" si="44"/>
        <v>4</v>
      </c>
      <c r="K1422" s="1" t="s">
        <v>6076</v>
      </c>
      <c r="L1422" s="1" t="s">
        <v>6076</v>
      </c>
      <c r="M1422">
        <f t="shared" si="45"/>
        <v>25</v>
      </c>
    </row>
    <row r="1423" spans="1:14" x14ac:dyDescent="0.3">
      <c r="A1423" s="1" t="s">
        <v>6927</v>
      </c>
      <c r="B1423" s="1" t="s">
        <v>5931</v>
      </c>
      <c r="C1423" s="1" t="s">
        <v>6928</v>
      </c>
      <c r="D1423" s="1" t="s">
        <v>3850</v>
      </c>
      <c r="E1423" s="1" t="s">
        <v>6076</v>
      </c>
      <c r="F1423" s="1" t="s">
        <v>6076</v>
      </c>
      <c r="G1423" s="1" t="s">
        <v>6926</v>
      </c>
      <c r="H1423">
        <v>1998</v>
      </c>
      <c r="I1423">
        <v>2002</v>
      </c>
      <c r="J1423">
        <f t="shared" si="44"/>
        <v>5</v>
      </c>
      <c r="K1423" s="1" t="s">
        <v>6076</v>
      </c>
      <c r="L1423" s="1" t="s">
        <v>6076</v>
      </c>
      <c r="M1423">
        <f t="shared" si="45"/>
        <v>24</v>
      </c>
    </row>
    <row r="1424" spans="1:14" x14ac:dyDescent="0.3">
      <c r="A1424" s="1" t="s">
        <v>6929</v>
      </c>
      <c r="B1424" s="1" t="s">
        <v>5931</v>
      </c>
      <c r="C1424" s="1" t="s">
        <v>6930</v>
      </c>
      <c r="D1424" s="1" t="s">
        <v>3850</v>
      </c>
      <c r="E1424" s="1" t="s">
        <v>6076</v>
      </c>
      <c r="F1424" s="1" t="s">
        <v>6076</v>
      </c>
      <c r="G1424" s="1" t="s">
        <v>6931</v>
      </c>
      <c r="H1424">
        <v>1998</v>
      </c>
      <c r="I1424">
        <v>2005</v>
      </c>
      <c r="J1424">
        <f t="shared" si="44"/>
        <v>8</v>
      </c>
      <c r="K1424" s="1" t="s">
        <v>6076</v>
      </c>
      <c r="L1424" s="1" t="s">
        <v>6076</v>
      </c>
      <c r="M1424">
        <f t="shared" si="45"/>
        <v>21</v>
      </c>
    </row>
    <row r="1425" spans="1:13" x14ac:dyDescent="0.3">
      <c r="A1425" s="1" t="s">
        <v>6932</v>
      </c>
      <c r="B1425" s="1" t="s">
        <v>5931</v>
      </c>
      <c r="C1425" s="1" t="s">
        <v>6933</v>
      </c>
      <c r="D1425" s="1" t="s">
        <v>3850</v>
      </c>
      <c r="E1425" s="1" t="s">
        <v>6076</v>
      </c>
      <c r="F1425" s="1" t="s">
        <v>6076</v>
      </c>
      <c r="G1425" s="1" t="s">
        <v>6931</v>
      </c>
      <c r="H1425">
        <v>1999</v>
      </c>
      <c r="I1425">
        <v>2001</v>
      </c>
      <c r="J1425">
        <f t="shared" si="44"/>
        <v>3</v>
      </c>
      <c r="K1425" s="1" t="s">
        <v>6076</v>
      </c>
      <c r="L1425" s="1" t="s">
        <v>6076</v>
      </c>
      <c r="M1425">
        <f t="shared" si="45"/>
        <v>25</v>
      </c>
    </row>
    <row r="1426" spans="1:13" x14ac:dyDescent="0.3">
      <c r="A1426" s="1" t="s">
        <v>6934</v>
      </c>
      <c r="B1426" s="1" t="s">
        <v>5931</v>
      </c>
      <c r="C1426" s="1" t="s">
        <v>6935</v>
      </c>
      <c r="D1426" s="1" t="s">
        <v>738</v>
      </c>
      <c r="E1426" s="1" t="s">
        <v>6076</v>
      </c>
      <c r="F1426" s="1" t="s">
        <v>6076</v>
      </c>
      <c r="G1426" s="1" t="s">
        <v>6931</v>
      </c>
      <c r="H1426">
        <v>2001</v>
      </c>
      <c r="I1426">
        <v>2001</v>
      </c>
      <c r="J1426">
        <f t="shared" si="44"/>
        <v>1</v>
      </c>
      <c r="K1426" s="1" t="s">
        <v>6076</v>
      </c>
      <c r="L1426" s="1" t="s">
        <v>6076</v>
      </c>
      <c r="M1426">
        <f t="shared" si="45"/>
        <v>25</v>
      </c>
    </row>
    <row r="1427" spans="1:13" x14ac:dyDescent="0.3">
      <c r="A1427" s="1" t="s">
        <v>6936</v>
      </c>
      <c r="B1427" s="1" t="s">
        <v>5931</v>
      </c>
      <c r="C1427" s="1" t="s">
        <v>6937</v>
      </c>
      <c r="D1427" s="1" t="s">
        <v>3850</v>
      </c>
      <c r="E1427" s="1" t="s">
        <v>6076</v>
      </c>
      <c r="F1427" s="1" t="s">
        <v>6076</v>
      </c>
      <c r="G1427" s="1" t="s">
        <v>6931</v>
      </c>
      <c r="H1427">
        <v>1998</v>
      </c>
      <c r="I1427">
        <v>2001</v>
      </c>
      <c r="J1427">
        <f t="shared" si="44"/>
        <v>4</v>
      </c>
      <c r="K1427" s="1" t="s">
        <v>6076</v>
      </c>
      <c r="L1427" s="1" t="s">
        <v>6076</v>
      </c>
      <c r="M1427">
        <f t="shared" si="45"/>
        <v>25</v>
      </c>
    </row>
    <row r="1428" spans="1:13" x14ac:dyDescent="0.3">
      <c r="A1428" s="1" t="s">
        <v>6938</v>
      </c>
      <c r="B1428" s="1" t="s">
        <v>5931</v>
      </c>
      <c r="C1428" s="1" t="s">
        <v>6939</v>
      </c>
      <c r="D1428" s="1" t="s">
        <v>738</v>
      </c>
      <c r="E1428" s="1" t="s">
        <v>6076</v>
      </c>
      <c r="F1428" s="1" t="s">
        <v>6076</v>
      </c>
      <c r="G1428" s="1" t="s">
        <v>6931</v>
      </c>
      <c r="H1428">
        <v>1998</v>
      </c>
      <c r="I1428">
        <v>2000</v>
      </c>
      <c r="J1428">
        <f t="shared" si="44"/>
        <v>3</v>
      </c>
      <c r="K1428" s="1" t="s">
        <v>6076</v>
      </c>
      <c r="L1428" s="1" t="s">
        <v>6076</v>
      </c>
      <c r="M1428">
        <f t="shared" si="45"/>
        <v>26</v>
      </c>
    </row>
    <row r="1429" spans="1:13" x14ac:dyDescent="0.3">
      <c r="A1429" s="1" t="s">
        <v>6940</v>
      </c>
      <c r="B1429" s="1" t="s">
        <v>5931</v>
      </c>
      <c r="C1429" s="1" t="s">
        <v>6941</v>
      </c>
      <c r="D1429" s="1" t="s">
        <v>3850</v>
      </c>
      <c r="E1429" s="1" t="s">
        <v>6076</v>
      </c>
      <c r="F1429" s="1" t="s">
        <v>6076</v>
      </c>
      <c r="G1429" s="1" t="s">
        <v>6931</v>
      </c>
      <c r="H1429">
        <v>1998</v>
      </c>
      <c r="I1429">
        <v>2000</v>
      </c>
      <c r="J1429">
        <f t="shared" si="44"/>
        <v>3</v>
      </c>
      <c r="K1429" s="1" t="s">
        <v>6076</v>
      </c>
      <c r="L1429" s="1" t="s">
        <v>6076</v>
      </c>
      <c r="M1429">
        <f t="shared" si="45"/>
        <v>26</v>
      </c>
    </row>
    <row r="1430" spans="1:13" x14ac:dyDescent="0.3">
      <c r="A1430" s="1" t="s">
        <v>6942</v>
      </c>
      <c r="B1430" s="1" t="s">
        <v>5931</v>
      </c>
      <c r="C1430" s="1" t="s">
        <v>6943</v>
      </c>
      <c r="D1430" s="1" t="s">
        <v>738</v>
      </c>
      <c r="E1430" s="1" t="s">
        <v>6076</v>
      </c>
      <c r="F1430" s="1" t="s">
        <v>6076</v>
      </c>
      <c r="G1430" s="1" t="s">
        <v>6944</v>
      </c>
      <c r="H1430">
        <v>2006</v>
      </c>
      <c r="I1430">
        <v>2009</v>
      </c>
      <c r="J1430">
        <f t="shared" si="44"/>
        <v>4</v>
      </c>
      <c r="K1430" s="1" t="s">
        <v>6076</v>
      </c>
      <c r="L1430" s="1" t="s">
        <v>6076</v>
      </c>
      <c r="M1430">
        <f t="shared" si="45"/>
        <v>17</v>
      </c>
    </row>
    <row r="1431" spans="1:13" x14ac:dyDescent="0.3">
      <c r="A1431" s="1" t="s">
        <v>6945</v>
      </c>
      <c r="B1431" s="1" t="s">
        <v>5931</v>
      </c>
      <c r="C1431" s="1" t="s">
        <v>6946</v>
      </c>
      <c r="D1431" s="1" t="s">
        <v>3850</v>
      </c>
      <c r="E1431" s="1" t="s">
        <v>6076</v>
      </c>
      <c r="F1431" s="1" t="s">
        <v>6076</v>
      </c>
      <c r="G1431" s="1" t="s">
        <v>6944</v>
      </c>
      <c r="H1431">
        <v>2006</v>
      </c>
      <c r="I1431">
        <v>2009</v>
      </c>
      <c r="J1431">
        <f t="shared" si="44"/>
        <v>4</v>
      </c>
      <c r="K1431" s="1" t="s">
        <v>6076</v>
      </c>
      <c r="L1431" s="1" t="s">
        <v>6076</v>
      </c>
      <c r="M1431">
        <f t="shared" si="45"/>
        <v>17</v>
      </c>
    </row>
    <row r="1432" spans="1:13" x14ac:dyDescent="0.3">
      <c r="A1432" s="1" t="s">
        <v>6947</v>
      </c>
      <c r="B1432" s="1" t="s">
        <v>5931</v>
      </c>
      <c r="C1432" s="1" t="s">
        <v>6948</v>
      </c>
      <c r="D1432" s="1" t="s">
        <v>3850</v>
      </c>
      <c r="E1432" s="1" t="s">
        <v>6076</v>
      </c>
      <c r="F1432" s="1" t="s">
        <v>6076</v>
      </c>
      <c r="G1432" s="1" t="s">
        <v>6949</v>
      </c>
      <c r="H1432">
        <v>1999</v>
      </c>
      <c r="I1432">
        <v>2001</v>
      </c>
      <c r="J1432">
        <f t="shared" si="44"/>
        <v>3</v>
      </c>
      <c r="K1432" s="1" t="s">
        <v>6076</v>
      </c>
      <c r="L1432" s="1" t="s">
        <v>6076</v>
      </c>
      <c r="M1432">
        <f t="shared" si="45"/>
        <v>25</v>
      </c>
    </row>
    <row r="1433" spans="1:13" x14ac:dyDescent="0.3">
      <c r="A1433" s="1" t="s">
        <v>6950</v>
      </c>
      <c r="B1433" s="1" t="s">
        <v>5931</v>
      </c>
      <c r="C1433" s="1" t="s">
        <v>6951</v>
      </c>
      <c r="D1433" s="1" t="s">
        <v>738</v>
      </c>
      <c r="E1433" s="1" t="s">
        <v>6076</v>
      </c>
      <c r="F1433" s="1" t="s">
        <v>6076</v>
      </c>
      <c r="G1433" s="1" t="s">
        <v>6949</v>
      </c>
      <c r="H1433">
        <v>1998</v>
      </c>
      <c r="I1433">
        <v>2001</v>
      </c>
      <c r="J1433">
        <f t="shared" si="44"/>
        <v>4</v>
      </c>
      <c r="K1433" s="1" t="s">
        <v>6076</v>
      </c>
      <c r="L1433" s="1" t="s">
        <v>6076</v>
      </c>
      <c r="M1433">
        <f t="shared" si="45"/>
        <v>25</v>
      </c>
    </row>
    <row r="1434" spans="1:13" x14ac:dyDescent="0.3">
      <c r="A1434" s="1" t="s">
        <v>6952</v>
      </c>
      <c r="B1434" s="1" t="s">
        <v>5931</v>
      </c>
      <c r="C1434" s="1" t="s">
        <v>6953</v>
      </c>
      <c r="D1434" s="1" t="s">
        <v>738</v>
      </c>
      <c r="E1434" s="1" t="s">
        <v>6076</v>
      </c>
      <c r="F1434" s="1" t="s">
        <v>6076</v>
      </c>
      <c r="G1434" s="1" t="s">
        <v>6949</v>
      </c>
      <c r="H1434">
        <v>1998</v>
      </c>
      <c r="I1434">
        <v>2001</v>
      </c>
      <c r="J1434">
        <f t="shared" si="44"/>
        <v>4</v>
      </c>
      <c r="K1434" s="1" t="s">
        <v>6076</v>
      </c>
      <c r="L1434" s="1" t="s">
        <v>6076</v>
      </c>
      <c r="M1434">
        <f t="shared" si="45"/>
        <v>25</v>
      </c>
    </row>
    <row r="1435" spans="1:13" x14ac:dyDescent="0.3">
      <c r="A1435" s="1" t="s">
        <v>6954</v>
      </c>
      <c r="B1435" s="1" t="s">
        <v>5931</v>
      </c>
      <c r="C1435" s="1" t="s">
        <v>6955</v>
      </c>
      <c r="D1435" s="1" t="s">
        <v>3850</v>
      </c>
      <c r="E1435" s="1" t="s">
        <v>6076</v>
      </c>
      <c r="F1435" s="1" t="s">
        <v>6076</v>
      </c>
      <c r="G1435" s="1" t="s">
        <v>6949</v>
      </c>
      <c r="H1435">
        <v>2001</v>
      </c>
      <c r="I1435">
        <v>2001</v>
      </c>
      <c r="J1435">
        <f t="shared" si="44"/>
        <v>1</v>
      </c>
      <c r="K1435" s="1" t="s">
        <v>6076</v>
      </c>
      <c r="L1435" s="1" t="s">
        <v>6076</v>
      </c>
      <c r="M1435">
        <f t="shared" si="45"/>
        <v>25</v>
      </c>
    </row>
    <row r="1436" spans="1:13" x14ac:dyDescent="0.3">
      <c r="A1436" s="1" t="s">
        <v>6956</v>
      </c>
      <c r="B1436" s="1" t="s">
        <v>5931</v>
      </c>
      <c r="C1436" s="1" t="s">
        <v>6957</v>
      </c>
      <c r="D1436" s="1" t="s">
        <v>738</v>
      </c>
      <c r="E1436" s="1" t="s">
        <v>6076</v>
      </c>
      <c r="F1436" s="1" t="s">
        <v>6076</v>
      </c>
      <c r="G1436" s="1" t="s">
        <v>6949</v>
      </c>
      <c r="H1436">
        <v>1998</v>
      </c>
      <c r="I1436">
        <v>2000</v>
      </c>
      <c r="J1436">
        <f t="shared" si="44"/>
        <v>3</v>
      </c>
      <c r="K1436" s="1" t="s">
        <v>6076</v>
      </c>
      <c r="L1436" s="1" t="s">
        <v>6076</v>
      </c>
      <c r="M1436">
        <f t="shared" si="45"/>
        <v>26</v>
      </c>
    </row>
    <row r="1437" spans="1:13" x14ac:dyDescent="0.3">
      <c r="A1437" s="1" t="s">
        <v>6958</v>
      </c>
      <c r="B1437" s="1" t="s">
        <v>5931</v>
      </c>
      <c r="C1437" s="1" t="s">
        <v>6959</v>
      </c>
      <c r="D1437" s="1" t="s">
        <v>3850</v>
      </c>
      <c r="E1437" s="1" t="s">
        <v>6076</v>
      </c>
      <c r="F1437" s="1" t="s">
        <v>6076</v>
      </c>
      <c r="G1437" s="1" t="s">
        <v>6960</v>
      </c>
      <c r="H1437">
        <v>2001</v>
      </c>
      <c r="I1437">
        <v>2001</v>
      </c>
      <c r="J1437">
        <f t="shared" si="44"/>
        <v>1</v>
      </c>
      <c r="K1437" s="1" t="s">
        <v>6076</v>
      </c>
      <c r="L1437" s="1" t="s">
        <v>6076</v>
      </c>
      <c r="M1437">
        <f t="shared" si="45"/>
        <v>25</v>
      </c>
    </row>
    <row r="1438" spans="1:13" x14ac:dyDescent="0.3">
      <c r="A1438" s="1" t="s">
        <v>6961</v>
      </c>
      <c r="B1438" s="1" t="s">
        <v>5931</v>
      </c>
      <c r="C1438" s="1" t="s">
        <v>6962</v>
      </c>
      <c r="D1438" s="1" t="s">
        <v>738</v>
      </c>
      <c r="E1438" s="1" t="s">
        <v>6076</v>
      </c>
      <c r="F1438" s="1" t="s">
        <v>6076</v>
      </c>
      <c r="G1438" s="1" t="s">
        <v>6960</v>
      </c>
      <c r="H1438">
        <v>2003</v>
      </c>
      <c r="I1438">
        <v>2008</v>
      </c>
      <c r="J1438">
        <f t="shared" si="44"/>
        <v>6</v>
      </c>
      <c r="K1438" s="1" t="s">
        <v>6076</v>
      </c>
      <c r="L1438" s="1" t="s">
        <v>6076</v>
      </c>
      <c r="M1438">
        <f t="shared" si="45"/>
        <v>18</v>
      </c>
    </row>
    <row r="1439" spans="1:13" x14ac:dyDescent="0.3">
      <c r="A1439" s="1" t="s">
        <v>6963</v>
      </c>
      <c r="B1439" s="1" t="s">
        <v>5931</v>
      </c>
      <c r="C1439" s="1" t="s">
        <v>6964</v>
      </c>
      <c r="D1439" s="1" t="s">
        <v>3850</v>
      </c>
      <c r="E1439" s="1" t="s">
        <v>6076</v>
      </c>
      <c r="F1439" s="1" t="s">
        <v>6076</v>
      </c>
      <c r="G1439" s="1" t="s">
        <v>6965</v>
      </c>
      <c r="H1439">
        <v>2001</v>
      </c>
      <c r="I1439">
        <v>2006</v>
      </c>
      <c r="J1439">
        <f t="shared" si="44"/>
        <v>6</v>
      </c>
      <c r="K1439" s="1" t="s">
        <v>6076</v>
      </c>
      <c r="L1439" s="1" t="s">
        <v>6076</v>
      </c>
      <c r="M1439">
        <f t="shared" si="45"/>
        <v>20</v>
      </c>
    </row>
    <row r="1440" spans="1:13" x14ac:dyDescent="0.3">
      <c r="A1440" s="1" t="s">
        <v>6966</v>
      </c>
      <c r="B1440" s="1" t="s">
        <v>5931</v>
      </c>
      <c r="C1440" s="1" t="s">
        <v>6967</v>
      </c>
      <c r="D1440" s="1" t="s">
        <v>738</v>
      </c>
      <c r="E1440" s="1" t="s">
        <v>6076</v>
      </c>
      <c r="F1440" s="1" t="s">
        <v>6076</v>
      </c>
      <c r="G1440" s="1" t="s">
        <v>6965</v>
      </c>
      <c r="H1440">
        <v>2001</v>
      </c>
      <c r="I1440">
        <v>2006</v>
      </c>
      <c r="J1440">
        <f t="shared" si="44"/>
        <v>6</v>
      </c>
      <c r="K1440" s="1" t="s">
        <v>6076</v>
      </c>
      <c r="L1440" s="1" t="s">
        <v>6076</v>
      </c>
      <c r="M1440">
        <f t="shared" si="45"/>
        <v>20</v>
      </c>
    </row>
    <row r="1441" spans="1:14" x14ac:dyDescent="0.3">
      <c r="A1441" s="1" t="s">
        <v>6968</v>
      </c>
      <c r="B1441" s="1" t="s">
        <v>5931</v>
      </c>
      <c r="C1441" s="1" t="s">
        <v>6969</v>
      </c>
      <c r="D1441" s="1" t="s">
        <v>738</v>
      </c>
      <c r="E1441" s="1" t="s">
        <v>6076</v>
      </c>
      <c r="F1441" s="1" t="s">
        <v>6076</v>
      </c>
      <c r="G1441" s="1" t="s">
        <v>6970</v>
      </c>
      <c r="H1441">
        <v>2012</v>
      </c>
      <c r="I1441">
        <v>2014</v>
      </c>
      <c r="J1441">
        <f t="shared" si="44"/>
        <v>3</v>
      </c>
      <c r="K1441" s="1" t="s">
        <v>6076</v>
      </c>
      <c r="L1441" s="1" t="s">
        <v>6076</v>
      </c>
      <c r="M1441">
        <f t="shared" si="45"/>
        <v>12</v>
      </c>
    </row>
    <row r="1442" spans="1:14" x14ac:dyDescent="0.3">
      <c r="A1442" s="1" t="s">
        <v>6971</v>
      </c>
      <c r="B1442" s="1" t="s">
        <v>5931</v>
      </c>
      <c r="C1442" s="1" t="s">
        <v>6972</v>
      </c>
      <c r="D1442" s="1" t="s">
        <v>738</v>
      </c>
      <c r="E1442" s="1" t="s">
        <v>6076</v>
      </c>
      <c r="F1442" s="1" t="s">
        <v>6076</v>
      </c>
      <c r="G1442" s="1" t="s">
        <v>6970</v>
      </c>
      <c r="H1442">
        <v>2006</v>
      </c>
      <c r="I1442">
        <v>2010</v>
      </c>
      <c r="J1442">
        <f t="shared" si="44"/>
        <v>5</v>
      </c>
      <c r="K1442" s="1" t="s">
        <v>6076</v>
      </c>
      <c r="L1442" s="1" t="s">
        <v>6076</v>
      </c>
      <c r="M1442">
        <f t="shared" si="45"/>
        <v>16</v>
      </c>
    </row>
    <row r="1443" spans="1:14" x14ac:dyDescent="0.3">
      <c r="A1443" s="1" t="s">
        <v>6973</v>
      </c>
      <c r="B1443" s="1" t="s">
        <v>5931</v>
      </c>
      <c r="C1443" s="1" t="s">
        <v>6974</v>
      </c>
      <c r="D1443" s="1" t="s">
        <v>738</v>
      </c>
      <c r="E1443" s="1" t="s">
        <v>6076</v>
      </c>
      <c r="F1443" s="1" t="s">
        <v>6076</v>
      </c>
      <c r="G1443" s="1" t="s">
        <v>6975</v>
      </c>
      <c r="H1443">
        <v>2015</v>
      </c>
      <c r="I1443">
        <v>2017</v>
      </c>
      <c r="J1443">
        <f t="shared" si="44"/>
        <v>3</v>
      </c>
      <c r="K1443" s="1" t="s">
        <v>6076</v>
      </c>
      <c r="L1443" s="1" t="s">
        <v>6076</v>
      </c>
      <c r="M1443">
        <f t="shared" si="45"/>
        <v>9</v>
      </c>
    </row>
    <row r="1444" spans="1:14" x14ac:dyDescent="0.3">
      <c r="A1444" s="1" t="s">
        <v>6976</v>
      </c>
      <c r="B1444" s="1" t="s">
        <v>5931</v>
      </c>
      <c r="C1444" s="1" t="s">
        <v>6977</v>
      </c>
      <c r="D1444" s="1" t="s">
        <v>738</v>
      </c>
      <c r="E1444" s="1" t="s">
        <v>6076</v>
      </c>
      <c r="F1444" s="1" t="s">
        <v>6076</v>
      </c>
      <c r="G1444" s="1" t="s">
        <v>6978</v>
      </c>
      <c r="H1444">
        <v>2019</v>
      </c>
      <c r="I1444">
        <v>2019</v>
      </c>
      <c r="J1444">
        <f t="shared" si="44"/>
        <v>1</v>
      </c>
      <c r="K1444" s="1" t="s">
        <v>6076</v>
      </c>
      <c r="L1444" s="1" t="s">
        <v>6076</v>
      </c>
      <c r="M1444">
        <f t="shared" si="45"/>
        <v>7</v>
      </c>
    </row>
    <row r="1445" spans="1:14" x14ac:dyDescent="0.3">
      <c r="A1445" s="1" t="s">
        <v>6979</v>
      </c>
      <c r="B1445" s="1" t="s">
        <v>5931</v>
      </c>
      <c r="C1445" s="1" t="s">
        <v>6980</v>
      </c>
      <c r="D1445" s="1" t="s">
        <v>738</v>
      </c>
      <c r="E1445" s="1" t="s">
        <v>6076</v>
      </c>
      <c r="F1445" s="1" t="s">
        <v>6076</v>
      </c>
      <c r="G1445" s="1" t="s">
        <v>6978</v>
      </c>
      <c r="H1445">
        <v>2019</v>
      </c>
      <c r="I1445">
        <v>2019</v>
      </c>
      <c r="J1445">
        <f t="shared" si="44"/>
        <v>1</v>
      </c>
      <c r="K1445" s="1" t="s">
        <v>6076</v>
      </c>
      <c r="L1445" s="1" t="s">
        <v>6076</v>
      </c>
      <c r="M1445">
        <f t="shared" si="45"/>
        <v>7</v>
      </c>
    </row>
    <row r="1446" spans="1:14" x14ac:dyDescent="0.3">
      <c r="A1446" s="1" t="s">
        <v>6981</v>
      </c>
      <c r="B1446" s="1" t="s">
        <v>5931</v>
      </c>
      <c r="C1446" s="1" t="s">
        <v>6982</v>
      </c>
      <c r="D1446" s="1" t="s">
        <v>738</v>
      </c>
      <c r="E1446" s="1" t="s">
        <v>6076</v>
      </c>
      <c r="F1446" s="1" t="s">
        <v>6076</v>
      </c>
      <c r="G1446" s="1" t="s">
        <v>6983</v>
      </c>
      <c r="H1446">
        <v>2005</v>
      </c>
      <c r="I1446">
        <v>2010</v>
      </c>
      <c r="J1446">
        <f t="shared" si="44"/>
        <v>6</v>
      </c>
      <c r="K1446" s="1" t="s">
        <v>6076</v>
      </c>
      <c r="L1446" s="1" t="s">
        <v>6076</v>
      </c>
      <c r="M1446">
        <f t="shared" si="45"/>
        <v>16</v>
      </c>
    </row>
    <row r="1447" spans="1:14" x14ac:dyDescent="0.3">
      <c r="A1447" s="1" t="s">
        <v>6984</v>
      </c>
      <c r="B1447" s="1" t="s">
        <v>5931</v>
      </c>
      <c r="C1447" s="1" t="s">
        <v>6985</v>
      </c>
      <c r="D1447" s="1" t="s">
        <v>738</v>
      </c>
      <c r="E1447" s="1" t="s">
        <v>6076</v>
      </c>
      <c r="F1447" s="1" t="s">
        <v>6076</v>
      </c>
      <c r="G1447" s="1" t="s">
        <v>6986</v>
      </c>
      <c r="H1447">
        <v>2019</v>
      </c>
      <c r="I1447">
        <v>2022</v>
      </c>
      <c r="J1447">
        <f t="shared" si="44"/>
        <v>4</v>
      </c>
      <c r="K1447" s="1" t="s">
        <v>6076</v>
      </c>
      <c r="L1447" s="1" t="s">
        <v>6076</v>
      </c>
      <c r="M1447">
        <f t="shared" si="45"/>
        <v>4</v>
      </c>
    </row>
    <row r="1448" spans="1:14" x14ac:dyDescent="0.3">
      <c r="A1448" s="1" t="s">
        <v>6987</v>
      </c>
      <c r="B1448" s="1" t="s">
        <v>5931</v>
      </c>
      <c r="C1448" s="1" t="s">
        <v>6988</v>
      </c>
      <c r="D1448" s="1" t="s">
        <v>738</v>
      </c>
      <c r="E1448" s="1" t="s">
        <v>6076</v>
      </c>
      <c r="F1448" s="1" t="s">
        <v>6076</v>
      </c>
      <c r="G1448" s="1" t="s">
        <v>6989</v>
      </c>
      <c r="H1448">
        <v>2005</v>
      </c>
      <c r="I1448">
        <v>2006</v>
      </c>
      <c r="J1448">
        <f t="shared" si="44"/>
        <v>2</v>
      </c>
      <c r="K1448" s="1" t="s">
        <v>6076</v>
      </c>
      <c r="L1448" s="1" t="s">
        <v>6076</v>
      </c>
      <c r="M1448">
        <f t="shared" si="45"/>
        <v>20</v>
      </c>
    </row>
    <row r="1449" spans="1:14" x14ac:dyDescent="0.3">
      <c r="A1449" s="1" t="s">
        <v>6990</v>
      </c>
      <c r="B1449" s="1" t="s">
        <v>5931</v>
      </c>
      <c r="C1449" s="1" t="s">
        <v>6991</v>
      </c>
      <c r="D1449" s="1" t="s">
        <v>738</v>
      </c>
      <c r="E1449" s="1" t="s">
        <v>6076</v>
      </c>
      <c r="F1449" s="1" t="s">
        <v>6076</v>
      </c>
      <c r="G1449" s="1" t="s">
        <v>6992</v>
      </c>
      <c r="H1449">
        <v>2012</v>
      </c>
      <c r="I1449">
        <v>2016</v>
      </c>
      <c r="J1449">
        <f t="shared" si="44"/>
        <v>5</v>
      </c>
      <c r="K1449" s="1" t="s">
        <v>6076</v>
      </c>
      <c r="L1449" s="1" t="s">
        <v>6076</v>
      </c>
      <c r="M1449">
        <f t="shared" si="45"/>
        <v>10</v>
      </c>
    </row>
    <row r="1450" spans="1:14" x14ac:dyDescent="0.3">
      <c r="A1450" s="1" t="s">
        <v>6993</v>
      </c>
      <c r="B1450" s="1" t="s">
        <v>5931</v>
      </c>
      <c r="C1450" s="1" t="s">
        <v>6994</v>
      </c>
      <c r="D1450" s="1" t="s">
        <v>738</v>
      </c>
      <c r="E1450" s="1" t="s">
        <v>6076</v>
      </c>
      <c r="F1450" s="1" t="s">
        <v>6076</v>
      </c>
      <c r="G1450" s="1" t="s">
        <v>6992</v>
      </c>
      <c r="H1450">
        <v>2007</v>
      </c>
      <c r="I1450">
        <v>2010</v>
      </c>
      <c r="J1450">
        <f t="shared" si="44"/>
        <v>4</v>
      </c>
      <c r="K1450" s="1" t="s">
        <v>6076</v>
      </c>
      <c r="L1450" s="1" t="s">
        <v>6076</v>
      </c>
      <c r="M1450">
        <f t="shared" si="45"/>
        <v>16</v>
      </c>
    </row>
    <row r="1451" spans="1:14" x14ac:dyDescent="0.3">
      <c r="A1451" t="s">
        <v>11425</v>
      </c>
      <c r="B1451" t="s">
        <v>1451</v>
      </c>
      <c r="C1451" t="s">
        <v>11426</v>
      </c>
      <c r="E1451" s="1" t="s">
        <v>6076</v>
      </c>
      <c r="F1451" s="1" t="s">
        <v>6076</v>
      </c>
      <c r="G1451" s="1" t="s">
        <v>12820</v>
      </c>
      <c r="H1451">
        <v>1993</v>
      </c>
      <c r="I1451">
        <v>1995</v>
      </c>
      <c r="J1451">
        <f t="shared" si="44"/>
        <v>3</v>
      </c>
      <c r="K1451" s="1" t="s">
        <v>6076</v>
      </c>
      <c r="L1451" s="1" t="s">
        <v>6076</v>
      </c>
      <c r="M1451">
        <f t="shared" si="45"/>
        <v>31</v>
      </c>
    </row>
    <row r="1452" spans="1:14" x14ac:dyDescent="0.3">
      <c r="A1452" t="s">
        <v>11427</v>
      </c>
      <c r="B1452" t="s">
        <v>1451</v>
      </c>
      <c r="C1452" t="s">
        <v>11428</v>
      </c>
      <c r="E1452" s="1" t="s">
        <v>6076</v>
      </c>
      <c r="F1452" s="1" t="s">
        <v>6076</v>
      </c>
      <c r="G1452" s="1" t="s">
        <v>12820</v>
      </c>
      <c r="H1452">
        <v>1995</v>
      </c>
      <c r="I1452">
        <v>1996</v>
      </c>
      <c r="J1452">
        <f t="shared" si="44"/>
        <v>2</v>
      </c>
      <c r="K1452" s="1" t="s">
        <v>6076</v>
      </c>
      <c r="L1452" s="1" t="s">
        <v>6076</v>
      </c>
      <c r="M1452">
        <f t="shared" si="45"/>
        <v>30</v>
      </c>
    </row>
    <row r="1453" spans="1:14" hidden="1" x14ac:dyDescent="0.3">
      <c r="A1453" s="1" t="s">
        <v>1043</v>
      </c>
      <c r="B1453" s="1" t="s">
        <v>795</v>
      </c>
      <c r="C1453" s="1" t="s">
        <v>1044</v>
      </c>
      <c r="D1453" s="1" t="s">
        <v>738</v>
      </c>
      <c r="E1453" s="1" t="s">
        <v>739</v>
      </c>
      <c r="F1453" s="1" t="s">
        <v>781</v>
      </c>
      <c r="G1453" s="1" t="s">
        <v>1045</v>
      </c>
      <c r="H1453">
        <v>2019</v>
      </c>
      <c r="I1453">
        <v>2022</v>
      </c>
      <c r="J1453">
        <f t="shared" si="44"/>
        <v>4</v>
      </c>
      <c r="K1453" s="1" t="s">
        <v>741</v>
      </c>
      <c r="L1453" s="1" t="s">
        <v>649</v>
      </c>
      <c r="M1453">
        <f t="shared" si="45"/>
        <v>4</v>
      </c>
      <c r="N1453" t="s">
        <v>650</v>
      </c>
    </row>
    <row r="1454" spans="1:14" hidden="1" x14ac:dyDescent="0.3">
      <c r="A1454" s="1" t="s">
        <v>1046</v>
      </c>
      <c r="B1454" s="1" t="s">
        <v>795</v>
      </c>
      <c r="C1454" s="1" t="s">
        <v>1047</v>
      </c>
      <c r="D1454" s="1" t="s">
        <v>738</v>
      </c>
      <c r="E1454" s="1" t="s">
        <v>739</v>
      </c>
      <c r="F1454" s="1" t="s">
        <v>781</v>
      </c>
      <c r="G1454" s="1" t="s">
        <v>1045</v>
      </c>
      <c r="H1454">
        <v>2014</v>
      </c>
      <c r="I1454">
        <v>2014</v>
      </c>
      <c r="J1454">
        <f t="shared" si="44"/>
        <v>1</v>
      </c>
      <c r="K1454" s="1" t="s">
        <v>741</v>
      </c>
      <c r="L1454" s="1" t="s">
        <v>649</v>
      </c>
      <c r="M1454">
        <f t="shared" si="45"/>
        <v>12</v>
      </c>
      <c r="N1454" t="s">
        <v>650</v>
      </c>
    </row>
    <row r="1455" spans="1:14" hidden="1" x14ac:dyDescent="0.3">
      <c r="A1455" s="1" t="s">
        <v>1048</v>
      </c>
      <c r="B1455" s="1" t="s">
        <v>795</v>
      </c>
      <c r="C1455" s="1" t="s">
        <v>1049</v>
      </c>
      <c r="D1455" s="1" t="s">
        <v>738</v>
      </c>
      <c r="E1455" s="1" t="s">
        <v>739</v>
      </c>
      <c r="F1455" s="1" t="s">
        <v>781</v>
      </c>
      <c r="G1455" s="1" t="s">
        <v>1045</v>
      </c>
      <c r="H1455">
        <v>2014</v>
      </c>
      <c r="I1455">
        <v>2014</v>
      </c>
      <c r="J1455">
        <f t="shared" si="44"/>
        <v>1</v>
      </c>
      <c r="K1455" s="1" t="s">
        <v>741</v>
      </c>
      <c r="L1455" s="1" t="s">
        <v>649</v>
      </c>
      <c r="M1455">
        <f t="shared" si="45"/>
        <v>12</v>
      </c>
      <c r="N1455" t="s">
        <v>650</v>
      </c>
    </row>
    <row r="1456" spans="1:14" hidden="1" x14ac:dyDescent="0.3">
      <c r="A1456" s="1" t="s">
        <v>1050</v>
      </c>
      <c r="B1456" s="1" t="s">
        <v>795</v>
      </c>
      <c r="C1456" s="1" t="s">
        <v>1051</v>
      </c>
      <c r="D1456" s="1" t="s">
        <v>738</v>
      </c>
      <c r="E1456" s="1" t="s">
        <v>739</v>
      </c>
      <c r="F1456" s="1" t="s">
        <v>781</v>
      </c>
      <c r="G1456" s="1" t="s">
        <v>1045</v>
      </c>
      <c r="H1456">
        <v>2016</v>
      </c>
      <c r="I1456">
        <v>2019</v>
      </c>
      <c r="J1456">
        <f t="shared" si="44"/>
        <v>4</v>
      </c>
      <c r="K1456" s="1" t="s">
        <v>741</v>
      </c>
      <c r="L1456" s="1" t="s">
        <v>649</v>
      </c>
      <c r="M1456">
        <f t="shared" si="45"/>
        <v>7</v>
      </c>
      <c r="N1456" t="s">
        <v>650</v>
      </c>
    </row>
    <row r="1457" spans="1:14" hidden="1" x14ac:dyDescent="0.3">
      <c r="A1457" s="1" t="s">
        <v>1052</v>
      </c>
      <c r="B1457" s="1" t="s">
        <v>795</v>
      </c>
      <c r="C1457" s="1" t="s">
        <v>1053</v>
      </c>
      <c r="D1457" s="1" t="s">
        <v>738</v>
      </c>
      <c r="E1457" s="1" t="s">
        <v>739</v>
      </c>
      <c r="F1457" s="1" t="s">
        <v>781</v>
      </c>
      <c r="G1457" s="1" t="s">
        <v>1045</v>
      </c>
      <c r="H1457">
        <v>2015</v>
      </c>
      <c r="I1457">
        <v>2015</v>
      </c>
      <c r="J1457">
        <f t="shared" si="44"/>
        <v>1</v>
      </c>
      <c r="K1457" s="1" t="s">
        <v>741</v>
      </c>
      <c r="L1457" s="1" t="s">
        <v>649</v>
      </c>
      <c r="M1457">
        <f t="shared" si="45"/>
        <v>11</v>
      </c>
      <c r="N1457" t="s">
        <v>650</v>
      </c>
    </row>
    <row r="1458" spans="1:14" hidden="1" x14ac:dyDescent="0.3">
      <c r="A1458" s="1" t="s">
        <v>1054</v>
      </c>
      <c r="B1458" s="1" t="s">
        <v>795</v>
      </c>
      <c r="C1458" s="1" t="s">
        <v>1055</v>
      </c>
      <c r="D1458" s="1" t="s">
        <v>738</v>
      </c>
      <c r="E1458" s="1" t="s">
        <v>739</v>
      </c>
      <c r="F1458" s="1" t="s">
        <v>781</v>
      </c>
      <c r="G1458" s="1" t="s">
        <v>1045</v>
      </c>
      <c r="H1458">
        <v>2015</v>
      </c>
      <c r="I1458">
        <v>2015</v>
      </c>
      <c r="J1458">
        <f t="shared" si="44"/>
        <v>1</v>
      </c>
      <c r="K1458" s="1" t="s">
        <v>741</v>
      </c>
      <c r="L1458" s="1" t="s">
        <v>649</v>
      </c>
      <c r="M1458">
        <f t="shared" si="45"/>
        <v>11</v>
      </c>
      <c r="N1458" t="s">
        <v>650</v>
      </c>
    </row>
    <row r="1459" spans="1:14" hidden="1" x14ac:dyDescent="0.3">
      <c r="A1459" s="1" t="s">
        <v>1056</v>
      </c>
      <c r="B1459" s="1" t="s">
        <v>795</v>
      </c>
      <c r="C1459" s="1" t="s">
        <v>1057</v>
      </c>
      <c r="D1459" s="1" t="s">
        <v>738</v>
      </c>
      <c r="E1459" s="1" t="s">
        <v>739</v>
      </c>
      <c r="F1459" s="1" t="s">
        <v>781</v>
      </c>
      <c r="G1459" s="1" t="s">
        <v>1045</v>
      </c>
      <c r="H1459">
        <v>2011</v>
      </c>
      <c r="I1459">
        <v>2015</v>
      </c>
      <c r="J1459">
        <f t="shared" si="44"/>
        <v>5</v>
      </c>
      <c r="K1459" s="1" t="s">
        <v>741</v>
      </c>
      <c r="L1459" s="1" t="s">
        <v>649</v>
      </c>
      <c r="M1459">
        <f t="shared" si="45"/>
        <v>11</v>
      </c>
      <c r="N1459" t="s">
        <v>650</v>
      </c>
    </row>
    <row r="1460" spans="1:14" hidden="1" x14ac:dyDescent="0.3">
      <c r="A1460" s="1" t="s">
        <v>1058</v>
      </c>
      <c r="B1460" s="1" t="s">
        <v>795</v>
      </c>
      <c r="C1460" s="1" t="s">
        <v>1059</v>
      </c>
      <c r="D1460" s="1" t="s">
        <v>738</v>
      </c>
      <c r="E1460" s="1" t="s">
        <v>739</v>
      </c>
      <c r="F1460" s="1" t="s">
        <v>781</v>
      </c>
      <c r="G1460" s="1" t="s">
        <v>1045</v>
      </c>
      <c r="H1460">
        <v>2012</v>
      </c>
      <c r="I1460">
        <v>2020</v>
      </c>
      <c r="J1460">
        <f t="shared" si="44"/>
        <v>9</v>
      </c>
      <c r="K1460" s="1" t="s">
        <v>741</v>
      </c>
      <c r="L1460" s="1" t="s">
        <v>649</v>
      </c>
      <c r="M1460">
        <f t="shared" si="45"/>
        <v>6</v>
      </c>
      <c r="N1460" t="s">
        <v>650</v>
      </c>
    </row>
    <row r="1461" spans="1:14" hidden="1" x14ac:dyDescent="0.3">
      <c r="A1461" s="1" t="s">
        <v>1060</v>
      </c>
      <c r="B1461" s="1" t="s">
        <v>795</v>
      </c>
      <c r="C1461" s="1" t="s">
        <v>1061</v>
      </c>
      <c r="D1461" s="1" t="s">
        <v>738</v>
      </c>
      <c r="E1461" s="1" t="s">
        <v>739</v>
      </c>
      <c r="F1461" s="1" t="s">
        <v>781</v>
      </c>
      <c r="G1461" s="1" t="s">
        <v>1045</v>
      </c>
      <c r="H1461">
        <v>2013</v>
      </c>
      <c r="I1461">
        <v>2015</v>
      </c>
      <c r="J1461">
        <f t="shared" si="44"/>
        <v>3</v>
      </c>
      <c r="K1461" s="1" t="s">
        <v>741</v>
      </c>
      <c r="L1461" s="1" t="s">
        <v>649</v>
      </c>
      <c r="M1461">
        <f t="shared" si="45"/>
        <v>11</v>
      </c>
      <c r="N1461" t="s">
        <v>650</v>
      </c>
    </row>
    <row r="1462" spans="1:14" hidden="1" x14ac:dyDescent="0.3">
      <c r="A1462" s="1" t="s">
        <v>1062</v>
      </c>
      <c r="B1462" s="1" t="s">
        <v>795</v>
      </c>
      <c r="C1462" s="1" t="s">
        <v>1063</v>
      </c>
      <c r="D1462" s="1" t="s">
        <v>738</v>
      </c>
      <c r="E1462" s="1" t="s">
        <v>739</v>
      </c>
      <c r="F1462" s="1" t="s">
        <v>781</v>
      </c>
      <c r="G1462" s="1" t="s">
        <v>1045</v>
      </c>
      <c r="H1462">
        <v>2013</v>
      </c>
      <c r="I1462">
        <v>2015</v>
      </c>
      <c r="J1462">
        <f t="shared" si="44"/>
        <v>3</v>
      </c>
      <c r="K1462" s="1" t="s">
        <v>741</v>
      </c>
      <c r="L1462" s="1" t="s">
        <v>649</v>
      </c>
      <c r="M1462">
        <f t="shared" si="45"/>
        <v>11</v>
      </c>
      <c r="N1462" t="s">
        <v>650</v>
      </c>
    </row>
    <row r="1463" spans="1:14" hidden="1" x14ac:dyDescent="0.3">
      <c r="A1463" s="1" t="s">
        <v>1064</v>
      </c>
      <c r="B1463" s="1" t="s">
        <v>795</v>
      </c>
      <c r="C1463" s="1" t="s">
        <v>1065</v>
      </c>
      <c r="D1463" s="1" t="s">
        <v>738</v>
      </c>
      <c r="E1463" s="1" t="s">
        <v>739</v>
      </c>
      <c r="F1463" s="1" t="s">
        <v>781</v>
      </c>
      <c r="G1463" s="1" t="s">
        <v>1045</v>
      </c>
      <c r="H1463">
        <v>2012</v>
      </c>
      <c r="I1463">
        <v>2020</v>
      </c>
      <c r="J1463">
        <f t="shared" si="44"/>
        <v>9</v>
      </c>
      <c r="K1463" s="1" t="s">
        <v>741</v>
      </c>
      <c r="L1463" s="1" t="s">
        <v>649</v>
      </c>
      <c r="M1463">
        <f t="shared" si="45"/>
        <v>6</v>
      </c>
      <c r="N1463" t="s">
        <v>650</v>
      </c>
    </row>
    <row r="1464" spans="1:14" hidden="1" x14ac:dyDescent="0.3">
      <c r="A1464" s="1" t="s">
        <v>1066</v>
      </c>
      <c r="B1464" s="1" t="s">
        <v>795</v>
      </c>
      <c r="C1464" s="1" t="s">
        <v>1067</v>
      </c>
      <c r="D1464" s="1" t="s">
        <v>738</v>
      </c>
      <c r="E1464" s="1" t="s">
        <v>739</v>
      </c>
      <c r="F1464" s="1" t="s">
        <v>781</v>
      </c>
      <c r="G1464" s="1" t="s">
        <v>1045</v>
      </c>
      <c r="H1464">
        <v>2013</v>
      </c>
      <c r="I1464">
        <v>2020</v>
      </c>
      <c r="J1464">
        <f t="shared" si="44"/>
        <v>8</v>
      </c>
      <c r="K1464" s="1" t="s">
        <v>741</v>
      </c>
      <c r="L1464" s="1" t="s">
        <v>649</v>
      </c>
      <c r="M1464">
        <f t="shared" si="45"/>
        <v>6</v>
      </c>
      <c r="N1464" t="s">
        <v>650</v>
      </c>
    </row>
    <row r="1465" spans="1:14" hidden="1" x14ac:dyDescent="0.3">
      <c r="A1465" s="1" t="s">
        <v>1068</v>
      </c>
      <c r="B1465" s="1" t="s">
        <v>795</v>
      </c>
      <c r="C1465" s="1" t="s">
        <v>1069</v>
      </c>
      <c r="D1465" s="1" t="s">
        <v>738</v>
      </c>
      <c r="E1465" s="1" t="s">
        <v>739</v>
      </c>
      <c r="F1465" s="1" t="s">
        <v>781</v>
      </c>
      <c r="G1465" s="1" t="s">
        <v>1045</v>
      </c>
      <c r="H1465">
        <v>2013</v>
      </c>
      <c r="I1465">
        <v>2020</v>
      </c>
      <c r="J1465">
        <f t="shared" si="44"/>
        <v>8</v>
      </c>
      <c r="K1465" s="1" t="s">
        <v>741</v>
      </c>
      <c r="L1465" s="1" t="s">
        <v>649</v>
      </c>
      <c r="M1465">
        <f t="shared" si="45"/>
        <v>6</v>
      </c>
      <c r="N1465" t="s">
        <v>650</v>
      </c>
    </row>
    <row r="1466" spans="1:14" x14ac:dyDescent="0.3">
      <c r="A1466" s="1" t="s">
        <v>6995</v>
      </c>
      <c r="B1466" s="1" t="s">
        <v>4561</v>
      </c>
      <c r="C1466" s="1" t="s">
        <v>6996</v>
      </c>
      <c r="D1466" s="1" t="s">
        <v>746</v>
      </c>
      <c r="E1466" s="1" t="s">
        <v>6076</v>
      </c>
      <c r="F1466" s="1" t="s">
        <v>6076</v>
      </c>
      <c r="G1466" s="1" t="s">
        <v>6997</v>
      </c>
      <c r="H1466">
        <v>1995</v>
      </c>
      <c r="I1466">
        <v>1997</v>
      </c>
      <c r="J1466">
        <f t="shared" si="44"/>
        <v>3</v>
      </c>
      <c r="K1466" s="1" t="s">
        <v>6076</v>
      </c>
      <c r="L1466" s="1" t="s">
        <v>6076</v>
      </c>
      <c r="M1466">
        <f t="shared" si="45"/>
        <v>29</v>
      </c>
      <c r="N1466" t="s">
        <v>640</v>
      </c>
    </row>
    <row r="1467" spans="1:14" x14ac:dyDescent="0.3">
      <c r="A1467" s="1" t="s">
        <v>6998</v>
      </c>
      <c r="B1467" s="1" t="s">
        <v>4561</v>
      </c>
      <c r="C1467" s="1" t="s">
        <v>6999</v>
      </c>
      <c r="D1467" s="1" t="s">
        <v>746</v>
      </c>
      <c r="E1467" s="1" t="s">
        <v>6076</v>
      </c>
      <c r="F1467" s="1" t="s">
        <v>6076</v>
      </c>
      <c r="G1467" s="1" t="s">
        <v>6997</v>
      </c>
      <c r="H1467">
        <v>1995</v>
      </c>
      <c r="I1467">
        <v>1997</v>
      </c>
      <c r="J1467">
        <f t="shared" si="44"/>
        <v>3</v>
      </c>
      <c r="K1467" s="1" t="s">
        <v>6076</v>
      </c>
      <c r="L1467" s="1" t="s">
        <v>6076</v>
      </c>
      <c r="M1467">
        <f t="shared" si="45"/>
        <v>29</v>
      </c>
      <c r="N1467" t="s">
        <v>640</v>
      </c>
    </row>
    <row r="1468" spans="1:14" hidden="1" x14ac:dyDescent="0.3">
      <c r="A1468" t="s">
        <v>11684</v>
      </c>
      <c r="B1468" t="s">
        <v>2783</v>
      </c>
      <c r="C1468" t="s">
        <v>11685</v>
      </c>
      <c r="E1468" s="1" t="e">
        <v>#N/A</v>
      </c>
      <c r="F1468" s="1" t="e">
        <v>#N/A</v>
      </c>
      <c r="G1468" s="1" t="s">
        <v>12842</v>
      </c>
      <c r="H1468">
        <v>2025</v>
      </c>
      <c r="I1468">
        <v>2026</v>
      </c>
      <c r="J1468">
        <f t="shared" si="44"/>
        <v>2</v>
      </c>
      <c r="K1468" s="1" t="s">
        <v>4668</v>
      </c>
      <c r="L1468" s="1" t="s">
        <v>649</v>
      </c>
      <c r="M1468">
        <f t="shared" si="45"/>
        <v>0</v>
      </c>
    </row>
    <row r="1469" spans="1:14" x14ac:dyDescent="0.3">
      <c r="A1469" s="1" t="s">
        <v>7000</v>
      </c>
      <c r="B1469" s="1" t="s">
        <v>2783</v>
      </c>
      <c r="C1469" s="1" t="s">
        <v>7001</v>
      </c>
      <c r="D1469" s="1" t="s">
        <v>1395</v>
      </c>
      <c r="E1469" s="1" t="s">
        <v>6076</v>
      </c>
      <c r="F1469" s="1" t="s">
        <v>6076</v>
      </c>
      <c r="G1469" s="1" t="s">
        <v>4922</v>
      </c>
      <c r="H1469">
        <v>2006</v>
      </c>
      <c r="I1469">
        <v>2006</v>
      </c>
      <c r="J1469">
        <f t="shared" si="44"/>
        <v>1</v>
      </c>
      <c r="K1469" s="1" t="s">
        <v>6076</v>
      </c>
      <c r="L1469" s="1" t="s">
        <v>6076</v>
      </c>
      <c r="M1469">
        <f t="shared" si="45"/>
        <v>20</v>
      </c>
      <c r="N1469" t="s">
        <v>640</v>
      </c>
    </row>
    <row r="1470" spans="1:14" hidden="1" x14ac:dyDescent="0.3">
      <c r="A1470" s="1" t="s">
        <v>4920</v>
      </c>
      <c r="B1470" s="1" t="s">
        <v>2783</v>
      </c>
      <c r="C1470" s="1" t="s">
        <v>4921</v>
      </c>
      <c r="D1470" s="1" t="s">
        <v>1395</v>
      </c>
      <c r="E1470" s="1" t="s">
        <v>3905</v>
      </c>
      <c r="F1470" s="1" t="s">
        <v>3906</v>
      </c>
      <c r="G1470" s="1" t="s">
        <v>4922</v>
      </c>
      <c r="H1470">
        <v>2022</v>
      </c>
      <c r="I1470">
        <v>2022</v>
      </c>
      <c r="J1470">
        <f t="shared" si="44"/>
        <v>1</v>
      </c>
      <c r="K1470" s="1" t="s">
        <v>4668</v>
      </c>
      <c r="L1470" s="1" t="s">
        <v>649</v>
      </c>
      <c r="M1470">
        <f t="shared" si="45"/>
        <v>4</v>
      </c>
      <c r="N1470" t="s">
        <v>650</v>
      </c>
    </row>
    <row r="1471" spans="1:14" hidden="1" x14ac:dyDescent="0.3">
      <c r="A1471" s="1" t="s">
        <v>4923</v>
      </c>
      <c r="B1471" s="1" t="s">
        <v>2783</v>
      </c>
      <c r="C1471" s="1" t="s">
        <v>4924</v>
      </c>
      <c r="D1471" s="1" t="s">
        <v>1395</v>
      </c>
      <c r="E1471" s="1" t="s">
        <v>3905</v>
      </c>
      <c r="F1471" s="1" t="s">
        <v>3906</v>
      </c>
      <c r="G1471" s="1" t="s">
        <v>4922</v>
      </c>
      <c r="H1471">
        <v>2022</v>
      </c>
      <c r="I1471">
        <v>2022</v>
      </c>
      <c r="J1471">
        <f t="shared" si="44"/>
        <v>1</v>
      </c>
      <c r="K1471" s="1" t="s">
        <v>4668</v>
      </c>
      <c r="L1471" s="1" t="s">
        <v>649</v>
      </c>
      <c r="M1471">
        <f t="shared" si="45"/>
        <v>4</v>
      </c>
      <c r="N1471" t="s">
        <v>650</v>
      </c>
    </row>
    <row r="1472" spans="1:14" hidden="1" x14ac:dyDescent="0.3">
      <c r="A1472" t="s">
        <v>11686</v>
      </c>
      <c r="B1472" t="s">
        <v>2783</v>
      </c>
      <c r="C1472" t="s">
        <v>11687</v>
      </c>
      <c r="E1472" s="1" t="e">
        <v>#N/A</v>
      </c>
      <c r="F1472" s="1" t="e">
        <v>#N/A</v>
      </c>
      <c r="G1472" s="1" t="s">
        <v>12842</v>
      </c>
      <c r="H1472">
        <v>2023</v>
      </c>
      <c r="I1472">
        <v>2026</v>
      </c>
      <c r="J1472">
        <f t="shared" si="44"/>
        <v>4</v>
      </c>
      <c r="K1472" s="1" t="s">
        <v>4668</v>
      </c>
      <c r="L1472" s="1" t="s">
        <v>649</v>
      </c>
      <c r="M1472">
        <f t="shared" si="45"/>
        <v>0</v>
      </c>
    </row>
    <row r="1473" spans="1:14" hidden="1" x14ac:dyDescent="0.3">
      <c r="A1473" t="s">
        <v>11688</v>
      </c>
      <c r="B1473" t="s">
        <v>2783</v>
      </c>
      <c r="C1473" t="s">
        <v>11689</v>
      </c>
      <c r="E1473" s="1" t="e">
        <v>#N/A</v>
      </c>
      <c r="F1473" s="1" t="e">
        <v>#N/A</v>
      </c>
      <c r="G1473" s="1" t="s">
        <v>12842</v>
      </c>
      <c r="H1473">
        <v>2025</v>
      </c>
      <c r="I1473">
        <v>2026</v>
      </c>
      <c r="J1473">
        <f t="shared" si="44"/>
        <v>2</v>
      </c>
      <c r="K1473" s="1" t="s">
        <v>4668</v>
      </c>
      <c r="L1473" s="1" t="s">
        <v>649</v>
      </c>
      <c r="M1473">
        <f t="shared" si="45"/>
        <v>0</v>
      </c>
    </row>
    <row r="1474" spans="1:14" hidden="1" x14ac:dyDescent="0.3">
      <c r="A1474" s="1" t="s">
        <v>4925</v>
      </c>
      <c r="B1474" s="1" t="s">
        <v>2783</v>
      </c>
      <c r="C1474" s="1" t="s">
        <v>4926</v>
      </c>
      <c r="D1474" s="1" t="s">
        <v>1395</v>
      </c>
      <c r="E1474" s="1" t="s">
        <v>3905</v>
      </c>
      <c r="F1474" s="1" t="s">
        <v>3906</v>
      </c>
      <c r="G1474" s="1" t="s">
        <v>4922</v>
      </c>
      <c r="H1474">
        <v>2022</v>
      </c>
      <c r="I1474">
        <v>2022</v>
      </c>
      <c r="J1474">
        <f t="shared" si="44"/>
        <v>1</v>
      </c>
      <c r="K1474" s="1" t="s">
        <v>4668</v>
      </c>
      <c r="L1474" s="1" t="s">
        <v>649</v>
      </c>
      <c r="M1474">
        <f t="shared" si="45"/>
        <v>4</v>
      </c>
      <c r="N1474" t="s">
        <v>650</v>
      </c>
    </row>
    <row r="1475" spans="1:14" hidden="1" x14ac:dyDescent="0.3">
      <c r="A1475" t="s">
        <v>11690</v>
      </c>
      <c r="B1475" t="s">
        <v>2783</v>
      </c>
      <c r="C1475" t="s">
        <v>11691</v>
      </c>
      <c r="E1475" s="1" t="e">
        <v>#N/A</v>
      </c>
      <c r="F1475" s="1" t="e">
        <v>#N/A</v>
      </c>
      <c r="G1475" s="1" t="s">
        <v>12842</v>
      </c>
      <c r="H1475">
        <v>2025</v>
      </c>
      <c r="I1475">
        <v>2026</v>
      </c>
      <c r="J1475">
        <f t="shared" si="44"/>
        <v>2</v>
      </c>
      <c r="K1475" s="1" t="s">
        <v>4668</v>
      </c>
      <c r="L1475" s="1" t="s">
        <v>649</v>
      </c>
      <c r="M1475">
        <f t="shared" si="45"/>
        <v>0</v>
      </c>
    </row>
    <row r="1476" spans="1:14" hidden="1" x14ac:dyDescent="0.3">
      <c r="A1476" s="1" t="s">
        <v>4927</v>
      </c>
      <c r="B1476" s="1" t="s">
        <v>2783</v>
      </c>
      <c r="C1476" s="1" t="s">
        <v>4928</v>
      </c>
      <c r="D1476" s="1" t="s">
        <v>1395</v>
      </c>
      <c r="E1476" s="1" t="s">
        <v>3905</v>
      </c>
      <c r="F1476" s="1" t="s">
        <v>3906</v>
      </c>
      <c r="G1476" s="1" t="s">
        <v>4922</v>
      </c>
      <c r="H1476">
        <v>2022</v>
      </c>
      <c r="I1476">
        <v>2022</v>
      </c>
      <c r="J1476">
        <f t="shared" si="44"/>
        <v>1</v>
      </c>
      <c r="K1476" s="1" t="s">
        <v>4668</v>
      </c>
      <c r="L1476" s="1" t="s">
        <v>649</v>
      </c>
      <c r="M1476">
        <f t="shared" si="45"/>
        <v>4</v>
      </c>
      <c r="N1476" t="s">
        <v>650</v>
      </c>
    </row>
    <row r="1477" spans="1:14" hidden="1" x14ac:dyDescent="0.3">
      <c r="A1477" t="s">
        <v>11692</v>
      </c>
      <c r="B1477" t="s">
        <v>2783</v>
      </c>
      <c r="C1477" t="s">
        <v>11693</v>
      </c>
      <c r="E1477" s="1" t="e">
        <v>#N/A</v>
      </c>
      <c r="F1477" s="1" t="e">
        <v>#N/A</v>
      </c>
      <c r="G1477" s="1" t="s">
        <v>4931</v>
      </c>
      <c r="H1477">
        <v>2025</v>
      </c>
      <c r="I1477">
        <v>2026</v>
      </c>
      <c r="J1477">
        <f t="shared" si="44"/>
        <v>2</v>
      </c>
      <c r="K1477" s="1" t="s">
        <v>4668</v>
      </c>
      <c r="L1477" s="1" t="s">
        <v>666</v>
      </c>
      <c r="M1477">
        <f t="shared" si="45"/>
        <v>0</v>
      </c>
    </row>
    <row r="1478" spans="1:14" hidden="1" x14ac:dyDescent="0.3">
      <c r="A1478" s="1" t="s">
        <v>4929</v>
      </c>
      <c r="B1478" s="1" t="s">
        <v>2783</v>
      </c>
      <c r="C1478" s="1" t="s">
        <v>4930</v>
      </c>
      <c r="D1478" s="1" t="s">
        <v>1395</v>
      </c>
      <c r="E1478" s="1" t="s">
        <v>3905</v>
      </c>
      <c r="F1478" s="1" t="s">
        <v>3906</v>
      </c>
      <c r="G1478" s="1" t="s">
        <v>4931</v>
      </c>
      <c r="H1478">
        <v>2016</v>
      </c>
      <c r="I1478">
        <v>2022</v>
      </c>
      <c r="J1478">
        <f t="shared" ref="J1478:J1541" si="46">1+(I1478-H1478)</f>
        <v>7</v>
      </c>
      <c r="K1478" s="1" t="s">
        <v>4668</v>
      </c>
      <c r="L1478" s="1" t="s">
        <v>649</v>
      </c>
      <c r="M1478">
        <f t="shared" ref="M1478:M1541" si="47">IF(I1478=0,0,$B$2-I1478)</f>
        <v>4</v>
      </c>
      <c r="N1478" t="s">
        <v>650</v>
      </c>
    </row>
    <row r="1479" spans="1:14" hidden="1" x14ac:dyDescent="0.3">
      <c r="A1479" s="1" t="s">
        <v>4932</v>
      </c>
      <c r="B1479" s="1" t="s">
        <v>2783</v>
      </c>
      <c r="C1479" s="1" t="s">
        <v>4933</v>
      </c>
      <c r="D1479" s="1" t="s">
        <v>1395</v>
      </c>
      <c r="E1479" s="1" t="s">
        <v>3905</v>
      </c>
      <c r="F1479" s="1" t="s">
        <v>3906</v>
      </c>
      <c r="G1479" s="1" t="s">
        <v>4931</v>
      </c>
      <c r="H1479">
        <v>2018</v>
      </c>
      <c r="I1479">
        <v>2022</v>
      </c>
      <c r="J1479">
        <f t="shared" si="46"/>
        <v>5</v>
      </c>
      <c r="K1479" s="1" t="s">
        <v>4668</v>
      </c>
      <c r="L1479" s="1" t="s">
        <v>666</v>
      </c>
      <c r="M1479">
        <f t="shared" si="47"/>
        <v>4</v>
      </c>
      <c r="N1479" t="s">
        <v>650</v>
      </c>
    </row>
    <row r="1480" spans="1:14" hidden="1" x14ac:dyDescent="0.3">
      <c r="A1480" s="1" t="s">
        <v>4934</v>
      </c>
      <c r="B1480" s="1" t="s">
        <v>2783</v>
      </c>
      <c r="C1480" s="1" t="s">
        <v>4935</v>
      </c>
      <c r="D1480" s="1" t="s">
        <v>1395</v>
      </c>
      <c r="E1480" s="1" t="s">
        <v>3905</v>
      </c>
      <c r="F1480" s="1" t="s">
        <v>3906</v>
      </c>
      <c r="G1480" s="1" t="s">
        <v>4931</v>
      </c>
      <c r="H1480">
        <v>2022</v>
      </c>
      <c r="I1480">
        <v>2022</v>
      </c>
      <c r="J1480">
        <f t="shared" si="46"/>
        <v>1</v>
      </c>
      <c r="K1480" s="1" t="s">
        <v>4668</v>
      </c>
      <c r="L1480" s="1" t="s">
        <v>666</v>
      </c>
      <c r="M1480">
        <f t="shared" si="47"/>
        <v>4</v>
      </c>
      <c r="N1480" t="s">
        <v>650</v>
      </c>
    </row>
    <row r="1481" spans="1:14" hidden="1" x14ac:dyDescent="0.3">
      <c r="A1481" s="1" t="s">
        <v>4936</v>
      </c>
      <c r="B1481" s="1" t="s">
        <v>2783</v>
      </c>
      <c r="C1481" s="1" t="s">
        <v>4937</v>
      </c>
      <c r="D1481" s="1" t="s">
        <v>1395</v>
      </c>
      <c r="E1481" s="1" t="s">
        <v>3905</v>
      </c>
      <c r="F1481" s="1" t="s">
        <v>3906</v>
      </c>
      <c r="G1481" s="1" t="s">
        <v>4931</v>
      </c>
      <c r="H1481">
        <v>2022</v>
      </c>
      <c r="I1481">
        <v>2022</v>
      </c>
      <c r="J1481">
        <f t="shared" si="46"/>
        <v>1</v>
      </c>
      <c r="K1481" s="1" t="s">
        <v>4668</v>
      </c>
      <c r="L1481" s="1" t="s">
        <v>666</v>
      </c>
      <c r="M1481">
        <f t="shared" si="47"/>
        <v>4</v>
      </c>
      <c r="N1481" t="s">
        <v>650</v>
      </c>
    </row>
    <row r="1482" spans="1:14" hidden="1" x14ac:dyDescent="0.3">
      <c r="A1482" t="s">
        <v>11694</v>
      </c>
      <c r="B1482" t="s">
        <v>2783</v>
      </c>
      <c r="C1482" t="s">
        <v>11695</v>
      </c>
      <c r="E1482" s="1" t="e">
        <v>#N/A</v>
      </c>
      <c r="F1482" s="1" t="e">
        <v>#N/A</v>
      </c>
      <c r="G1482" s="1" t="s">
        <v>4931</v>
      </c>
      <c r="H1482">
        <v>2025</v>
      </c>
      <c r="I1482">
        <v>2026</v>
      </c>
      <c r="J1482">
        <f t="shared" si="46"/>
        <v>2</v>
      </c>
      <c r="K1482" s="1" t="s">
        <v>4668</v>
      </c>
      <c r="L1482" s="1" t="s">
        <v>666</v>
      </c>
      <c r="M1482">
        <f t="shared" si="47"/>
        <v>0</v>
      </c>
    </row>
    <row r="1483" spans="1:14" hidden="1" x14ac:dyDescent="0.3">
      <c r="A1483" s="1" t="s">
        <v>4938</v>
      </c>
      <c r="B1483" s="1" t="s">
        <v>2783</v>
      </c>
      <c r="C1483" s="1" t="s">
        <v>4939</v>
      </c>
      <c r="D1483" s="1" t="s">
        <v>1395</v>
      </c>
      <c r="E1483" s="1" t="s">
        <v>3905</v>
      </c>
      <c r="F1483" s="1" t="s">
        <v>3906</v>
      </c>
      <c r="G1483" s="1" t="s">
        <v>4931</v>
      </c>
      <c r="H1483">
        <v>2022</v>
      </c>
      <c r="I1483">
        <v>2022</v>
      </c>
      <c r="J1483">
        <f t="shared" si="46"/>
        <v>1</v>
      </c>
      <c r="K1483" s="1" t="s">
        <v>4668</v>
      </c>
      <c r="L1483" s="1" t="s">
        <v>666</v>
      </c>
      <c r="M1483">
        <f t="shared" si="47"/>
        <v>4</v>
      </c>
      <c r="N1483" t="s">
        <v>650</v>
      </c>
    </row>
    <row r="1484" spans="1:14" hidden="1" x14ac:dyDescent="0.3">
      <c r="A1484" s="1" t="s">
        <v>4940</v>
      </c>
      <c r="B1484" s="1" t="s">
        <v>2783</v>
      </c>
      <c r="C1484" s="1" t="s">
        <v>4941</v>
      </c>
      <c r="D1484" s="1" t="s">
        <v>1395</v>
      </c>
      <c r="E1484" s="1" t="s">
        <v>3905</v>
      </c>
      <c r="F1484" s="1" t="s">
        <v>3906</v>
      </c>
      <c r="G1484" s="1" t="s">
        <v>4931</v>
      </c>
      <c r="H1484">
        <v>2022</v>
      </c>
      <c r="I1484">
        <v>2022</v>
      </c>
      <c r="J1484">
        <f t="shared" si="46"/>
        <v>1</v>
      </c>
      <c r="K1484" s="1" t="s">
        <v>4668</v>
      </c>
      <c r="L1484" s="1" t="s">
        <v>666</v>
      </c>
      <c r="M1484">
        <f t="shared" si="47"/>
        <v>4</v>
      </c>
      <c r="N1484" t="s">
        <v>650</v>
      </c>
    </row>
    <row r="1485" spans="1:14" hidden="1" x14ac:dyDescent="0.3">
      <c r="A1485" s="1" t="s">
        <v>4942</v>
      </c>
      <c r="B1485" s="1" t="s">
        <v>2783</v>
      </c>
      <c r="C1485" s="1" t="s">
        <v>4943</v>
      </c>
      <c r="D1485" s="1" t="s">
        <v>1395</v>
      </c>
      <c r="E1485" s="1" t="s">
        <v>3905</v>
      </c>
      <c r="F1485" s="1" t="s">
        <v>3906</v>
      </c>
      <c r="G1485" s="1" t="s">
        <v>4931</v>
      </c>
      <c r="H1485">
        <v>2017</v>
      </c>
      <c r="I1485">
        <v>2022</v>
      </c>
      <c r="J1485">
        <f t="shared" si="46"/>
        <v>6</v>
      </c>
      <c r="K1485" s="1" t="s">
        <v>4668</v>
      </c>
      <c r="L1485" s="1" t="s">
        <v>666</v>
      </c>
      <c r="M1485">
        <f t="shared" si="47"/>
        <v>4</v>
      </c>
      <c r="N1485" t="s">
        <v>650</v>
      </c>
    </row>
    <row r="1486" spans="1:14" hidden="1" x14ac:dyDescent="0.3">
      <c r="A1486" s="1" t="s">
        <v>4944</v>
      </c>
      <c r="B1486" s="1" t="s">
        <v>2783</v>
      </c>
      <c r="C1486" s="1" t="s">
        <v>4945</v>
      </c>
      <c r="D1486" s="1" t="s">
        <v>1395</v>
      </c>
      <c r="E1486" s="1" t="s">
        <v>3905</v>
      </c>
      <c r="F1486" s="1" t="s">
        <v>3906</v>
      </c>
      <c r="G1486" s="1" t="s">
        <v>4931</v>
      </c>
      <c r="H1486">
        <v>2016</v>
      </c>
      <c r="I1486">
        <v>2022</v>
      </c>
      <c r="J1486">
        <f t="shared" si="46"/>
        <v>7</v>
      </c>
      <c r="K1486" s="1" t="s">
        <v>4668</v>
      </c>
      <c r="L1486" s="1" t="s">
        <v>666</v>
      </c>
      <c r="M1486">
        <f t="shared" si="47"/>
        <v>4</v>
      </c>
      <c r="N1486" t="s">
        <v>650</v>
      </c>
    </row>
    <row r="1487" spans="1:14" hidden="1" x14ac:dyDescent="0.3">
      <c r="A1487" s="1" t="s">
        <v>4946</v>
      </c>
      <c r="B1487" s="1" t="s">
        <v>2783</v>
      </c>
      <c r="C1487" s="1" t="s">
        <v>4947</v>
      </c>
      <c r="D1487" s="1" t="s">
        <v>1395</v>
      </c>
      <c r="E1487" s="1" t="s">
        <v>3905</v>
      </c>
      <c r="F1487" s="1" t="s">
        <v>3906</v>
      </c>
      <c r="G1487" s="1" t="s">
        <v>4931</v>
      </c>
      <c r="H1487">
        <v>2018</v>
      </c>
      <c r="I1487">
        <v>2018</v>
      </c>
      <c r="J1487">
        <f t="shared" si="46"/>
        <v>1</v>
      </c>
      <c r="K1487" s="1" t="s">
        <v>4668</v>
      </c>
      <c r="L1487" s="1" t="s">
        <v>666</v>
      </c>
      <c r="M1487">
        <f t="shared" si="47"/>
        <v>8</v>
      </c>
      <c r="N1487" t="s">
        <v>650</v>
      </c>
    </row>
    <row r="1488" spans="1:14" hidden="1" x14ac:dyDescent="0.3">
      <c r="A1488" s="1" t="s">
        <v>4948</v>
      </c>
      <c r="B1488" s="1" t="s">
        <v>2783</v>
      </c>
      <c r="C1488" s="1" t="s">
        <v>4949</v>
      </c>
      <c r="D1488" s="1" t="s">
        <v>1395</v>
      </c>
      <c r="E1488" s="1" t="s">
        <v>3905</v>
      </c>
      <c r="F1488" s="1" t="s">
        <v>3906</v>
      </c>
      <c r="G1488" s="1" t="s">
        <v>4931</v>
      </c>
      <c r="H1488">
        <v>2018</v>
      </c>
      <c r="I1488">
        <v>2018</v>
      </c>
      <c r="J1488">
        <f t="shared" si="46"/>
        <v>1</v>
      </c>
      <c r="K1488" s="1" t="s">
        <v>4668</v>
      </c>
      <c r="L1488" s="1" t="s">
        <v>666</v>
      </c>
      <c r="M1488">
        <f t="shared" si="47"/>
        <v>8</v>
      </c>
      <c r="N1488" t="s">
        <v>650</v>
      </c>
    </row>
    <row r="1489" spans="1:14" hidden="1" x14ac:dyDescent="0.3">
      <c r="A1489" t="s">
        <v>11696</v>
      </c>
      <c r="B1489" t="s">
        <v>2783</v>
      </c>
      <c r="C1489" t="s">
        <v>11697</v>
      </c>
      <c r="E1489" s="1" t="e">
        <v>#N/A</v>
      </c>
      <c r="F1489" s="1" t="e">
        <v>#N/A</v>
      </c>
      <c r="G1489" s="1" t="s">
        <v>4931</v>
      </c>
      <c r="H1489">
        <v>2025</v>
      </c>
      <c r="I1489">
        <v>2026</v>
      </c>
      <c r="J1489">
        <f t="shared" si="46"/>
        <v>2</v>
      </c>
      <c r="K1489" s="1" t="s">
        <v>4668</v>
      </c>
      <c r="L1489" s="1" t="s">
        <v>666</v>
      </c>
      <c r="M1489">
        <f t="shared" si="47"/>
        <v>0</v>
      </c>
    </row>
    <row r="1490" spans="1:14" hidden="1" x14ac:dyDescent="0.3">
      <c r="A1490" t="s">
        <v>11698</v>
      </c>
      <c r="B1490" t="s">
        <v>2783</v>
      </c>
      <c r="C1490" t="s">
        <v>11699</v>
      </c>
      <c r="E1490" s="1" t="e">
        <v>#N/A</v>
      </c>
      <c r="F1490" s="1" t="e">
        <v>#N/A</v>
      </c>
      <c r="G1490" s="1" t="s">
        <v>4931</v>
      </c>
      <c r="H1490">
        <v>2022</v>
      </c>
      <c r="I1490">
        <v>2023</v>
      </c>
      <c r="J1490">
        <f t="shared" si="46"/>
        <v>2</v>
      </c>
      <c r="K1490" s="1" t="s">
        <v>4668</v>
      </c>
      <c r="L1490" s="1" t="s">
        <v>5182</v>
      </c>
      <c r="M1490">
        <f t="shared" si="47"/>
        <v>3</v>
      </c>
    </row>
    <row r="1491" spans="1:14" hidden="1" x14ac:dyDescent="0.3">
      <c r="A1491" s="1" t="s">
        <v>4950</v>
      </c>
      <c r="B1491" s="1" t="s">
        <v>2783</v>
      </c>
      <c r="C1491" s="1" t="s">
        <v>4951</v>
      </c>
      <c r="D1491" s="1" t="s">
        <v>1395</v>
      </c>
      <c r="E1491" s="1" t="s">
        <v>3905</v>
      </c>
      <c r="F1491" s="1" t="s">
        <v>3906</v>
      </c>
      <c r="G1491" s="1" t="s">
        <v>4931</v>
      </c>
      <c r="H1491">
        <v>2019</v>
      </c>
      <c r="I1491">
        <v>2022</v>
      </c>
      <c r="J1491">
        <f t="shared" si="46"/>
        <v>4</v>
      </c>
      <c r="K1491" s="1" t="s">
        <v>4668</v>
      </c>
      <c r="L1491" s="1" t="s">
        <v>666</v>
      </c>
      <c r="M1491">
        <f t="shared" si="47"/>
        <v>4</v>
      </c>
      <c r="N1491" t="s">
        <v>650</v>
      </c>
    </row>
    <row r="1492" spans="1:14" hidden="1" x14ac:dyDescent="0.3">
      <c r="A1492" s="1" t="s">
        <v>4952</v>
      </c>
      <c r="B1492" s="1" t="s">
        <v>2783</v>
      </c>
      <c r="C1492" s="1" t="s">
        <v>4953</v>
      </c>
      <c r="D1492" s="1" t="s">
        <v>1395</v>
      </c>
      <c r="E1492" s="1" t="s">
        <v>3905</v>
      </c>
      <c r="F1492" s="1" t="s">
        <v>3906</v>
      </c>
      <c r="G1492" s="1" t="s">
        <v>4931</v>
      </c>
      <c r="H1492">
        <v>2022</v>
      </c>
      <c r="I1492">
        <v>2022</v>
      </c>
      <c r="J1492">
        <f t="shared" si="46"/>
        <v>1</v>
      </c>
      <c r="K1492" s="1" t="s">
        <v>4668</v>
      </c>
      <c r="L1492" s="1" t="s">
        <v>666</v>
      </c>
      <c r="M1492">
        <f t="shared" si="47"/>
        <v>4</v>
      </c>
      <c r="N1492" t="s">
        <v>650</v>
      </c>
    </row>
    <row r="1493" spans="1:14" hidden="1" x14ac:dyDescent="0.3">
      <c r="A1493" s="1" t="s">
        <v>4954</v>
      </c>
      <c r="B1493" s="1" t="s">
        <v>2783</v>
      </c>
      <c r="C1493" s="1" t="s">
        <v>4955</v>
      </c>
      <c r="D1493" s="1" t="s">
        <v>1395</v>
      </c>
      <c r="E1493" s="1" t="s">
        <v>3905</v>
      </c>
      <c r="F1493" s="1" t="s">
        <v>3906</v>
      </c>
      <c r="G1493" s="1" t="s">
        <v>4931</v>
      </c>
      <c r="H1493">
        <v>2012</v>
      </c>
      <c r="I1493">
        <v>2015</v>
      </c>
      <c r="J1493">
        <f t="shared" si="46"/>
        <v>4</v>
      </c>
      <c r="K1493" s="1" t="s">
        <v>4668</v>
      </c>
      <c r="L1493" s="1" t="s">
        <v>666</v>
      </c>
      <c r="M1493">
        <f t="shared" si="47"/>
        <v>11</v>
      </c>
      <c r="N1493" t="s">
        <v>650</v>
      </c>
    </row>
    <row r="1494" spans="1:14" hidden="1" x14ac:dyDescent="0.3">
      <c r="A1494" s="1" t="s">
        <v>4956</v>
      </c>
      <c r="B1494" s="1" t="s">
        <v>2783</v>
      </c>
      <c r="C1494" s="1" t="s">
        <v>4957</v>
      </c>
      <c r="D1494" s="1" t="s">
        <v>1395</v>
      </c>
      <c r="E1494" s="1" t="s">
        <v>3905</v>
      </c>
      <c r="F1494" s="1" t="s">
        <v>3906</v>
      </c>
      <c r="G1494" s="1" t="s">
        <v>4931</v>
      </c>
      <c r="H1494">
        <v>2017</v>
      </c>
      <c r="I1494">
        <v>2022</v>
      </c>
      <c r="J1494">
        <f t="shared" si="46"/>
        <v>6</v>
      </c>
      <c r="K1494" s="1" t="s">
        <v>4668</v>
      </c>
      <c r="L1494" s="1" t="s">
        <v>666</v>
      </c>
      <c r="M1494">
        <f t="shared" si="47"/>
        <v>4</v>
      </c>
      <c r="N1494" t="s">
        <v>650</v>
      </c>
    </row>
    <row r="1495" spans="1:14" hidden="1" x14ac:dyDescent="0.3">
      <c r="A1495" s="1" t="s">
        <v>4958</v>
      </c>
      <c r="B1495" s="1" t="s">
        <v>2783</v>
      </c>
      <c r="C1495" s="1" t="s">
        <v>4959</v>
      </c>
      <c r="D1495" s="1" t="s">
        <v>1395</v>
      </c>
      <c r="E1495" s="1" t="s">
        <v>3905</v>
      </c>
      <c r="F1495" s="1" t="s">
        <v>3906</v>
      </c>
      <c r="G1495" s="1" t="s">
        <v>4931</v>
      </c>
      <c r="H1495">
        <v>2018</v>
      </c>
      <c r="I1495">
        <v>2018</v>
      </c>
      <c r="J1495">
        <f t="shared" si="46"/>
        <v>1</v>
      </c>
      <c r="K1495" s="1" t="s">
        <v>4668</v>
      </c>
      <c r="L1495" s="1" t="s">
        <v>666</v>
      </c>
      <c r="M1495">
        <f t="shared" si="47"/>
        <v>8</v>
      </c>
      <c r="N1495" t="s">
        <v>650</v>
      </c>
    </row>
    <row r="1496" spans="1:14" hidden="1" x14ac:dyDescent="0.3">
      <c r="A1496" s="1" t="s">
        <v>4960</v>
      </c>
      <c r="B1496" s="1" t="s">
        <v>2783</v>
      </c>
      <c r="C1496" s="1" t="s">
        <v>4961</v>
      </c>
      <c r="D1496" s="1" t="s">
        <v>1395</v>
      </c>
      <c r="E1496" s="1" t="s">
        <v>3905</v>
      </c>
      <c r="F1496" s="1" t="s">
        <v>3906</v>
      </c>
      <c r="G1496" s="1" t="s">
        <v>4931</v>
      </c>
      <c r="H1496">
        <v>2022</v>
      </c>
      <c r="I1496">
        <v>2022</v>
      </c>
      <c r="J1496">
        <f t="shared" si="46"/>
        <v>1</v>
      </c>
      <c r="K1496" s="1" t="s">
        <v>4668</v>
      </c>
      <c r="L1496" s="1" t="s">
        <v>666</v>
      </c>
      <c r="M1496">
        <f t="shared" si="47"/>
        <v>4</v>
      </c>
      <c r="N1496" t="s">
        <v>650</v>
      </c>
    </row>
    <row r="1497" spans="1:14" hidden="1" x14ac:dyDescent="0.3">
      <c r="A1497" s="1" t="s">
        <v>4962</v>
      </c>
      <c r="B1497" s="1" t="s">
        <v>2783</v>
      </c>
      <c r="C1497" s="1" t="s">
        <v>4963</v>
      </c>
      <c r="D1497" s="1" t="s">
        <v>1395</v>
      </c>
      <c r="E1497" s="1" t="s">
        <v>3905</v>
      </c>
      <c r="F1497" s="1" t="s">
        <v>3906</v>
      </c>
      <c r="G1497" s="1" t="s">
        <v>4931</v>
      </c>
      <c r="H1497">
        <v>2022</v>
      </c>
      <c r="I1497">
        <v>2022</v>
      </c>
      <c r="J1497">
        <f t="shared" si="46"/>
        <v>1</v>
      </c>
      <c r="K1497" s="1" t="s">
        <v>4668</v>
      </c>
      <c r="L1497" s="1" t="s">
        <v>666</v>
      </c>
      <c r="M1497">
        <f t="shared" si="47"/>
        <v>4</v>
      </c>
      <c r="N1497" t="s">
        <v>650</v>
      </c>
    </row>
    <row r="1498" spans="1:14" hidden="1" x14ac:dyDescent="0.3">
      <c r="A1498" s="1" t="s">
        <v>4964</v>
      </c>
      <c r="B1498" s="1" t="s">
        <v>2783</v>
      </c>
      <c r="C1498" s="1" t="s">
        <v>4965</v>
      </c>
      <c r="D1498" s="1" t="s">
        <v>1395</v>
      </c>
      <c r="E1498" s="1" t="s">
        <v>3905</v>
      </c>
      <c r="F1498" s="1" t="s">
        <v>3906</v>
      </c>
      <c r="G1498" s="1" t="s">
        <v>4931</v>
      </c>
      <c r="H1498">
        <v>2022</v>
      </c>
      <c r="I1498">
        <v>2022</v>
      </c>
      <c r="J1498">
        <f t="shared" si="46"/>
        <v>1</v>
      </c>
      <c r="K1498" s="1" t="s">
        <v>4668</v>
      </c>
      <c r="L1498" s="1" t="s">
        <v>666</v>
      </c>
      <c r="M1498">
        <f t="shared" si="47"/>
        <v>4</v>
      </c>
      <c r="N1498" t="s">
        <v>650</v>
      </c>
    </row>
    <row r="1499" spans="1:14" hidden="1" x14ac:dyDescent="0.3">
      <c r="A1499" s="1" t="s">
        <v>4966</v>
      </c>
      <c r="B1499" s="1" t="s">
        <v>2783</v>
      </c>
      <c r="C1499" s="1" t="s">
        <v>4967</v>
      </c>
      <c r="D1499" s="1" t="s">
        <v>1395</v>
      </c>
      <c r="E1499" s="1" t="s">
        <v>3905</v>
      </c>
      <c r="F1499" s="1" t="s">
        <v>3906</v>
      </c>
      <c r="G1499" s="1" t="s">
        <v>4931</v>
      </c>
      <c r="H1499">
        <v>2016</v>
      </c>
      <c r="I1499">
        <v>2022</v>
      </c>
      <c r="J1499">
        <f t="shared" si="46"/>
        <v>7</v>
      </c>
      <c r="K1499" s="1" t="s">
        <v>4668</v>
      </c>
      <c r="L1499" s="1" t="s">
        <v>666</v>
      </c>
      <c r="M1499">
        <f t="shared" si="47"/>
        <v>4</v>
      </c>
      <c r="N1499" t="s">
        <v>650</v>
      </c>
    </row>
    <row r="1500" spans="1:14" hidden="1" x14ac:dyDescent="0.3">
      <c r="A1500" s="1" t="s">
        <v>4968</v>
      </c>
      <c r="B1500" s="1" t="s">
        <v>2783</v>
      </c>
      <c r="C1500" s="1" t="s">
        <v>4969</v>
      </c>
      <c r="D1500" s="1" t="s">
        <v>1395</v>
      </c>
      <c r="E1500" s="1" t="s">
        <v>3905</v>
      </c>
      <c r="F1500" s="1" t="s">
        <v>3906</v>
      </c>
      <c r="G1500" s="1" t="s">
        <v>4931</v>
      </c>
      <c r="H1500">
        <v>2022</v>
      </c>
      <c r="I1500">
        <v>2022</v>
      </c>
      <c r="J1500">
        <f t="shared" si="46"/>
        <v>1</v>
      </c>
      <c r="K1500" s="1" t="s">
        <v>4668</v>
      </c>
      <c r="L1500" s="1" t="s">
        <v>666</v>
      </c>
      <c r="M1500">
        <f t="shared" si="47"/>
        <v>4</v>
      </c>
      <c r="N1500" t="s">
        <v>650</v>
      </c>
    </row>
    <row r="1501" spans="1:14" x14ac:dyDescent="0.3">
      <c r="A1501" t="s">
        <v>11429</v>
      </c>
      <c r="B1501" t="s">
        <v>1451</v>
      </c>
      <c r="C1501" t="s">
        <v>11430</v>
      </c>
      <c r="E1501" s="1" t="s">
        <v>6076</v>
      </c>
      <c r="F1501" s="1" t="s">
        <v>6076</v>
      </c>
      <c r="G1501" s="1" t="s">
        <v>12821</v>
      </c>
      <c r="H1501">
        <v>1995</v>
      </c>
      <c r="I1501">
        <v>1995</v>
      </c>
      <c r="J1501">
        <f t="shared" si="46"/>
        <v>1</v>
      </c>
      <c r="K1501" s="1" t="s">
        <v>6076</v>
      </c>
      <c r="L1501" s="1" t="s">
        <v>6076</v>
      </c>
      <c r="M1501">
        <f t="shared" si="47"/>
        <v>31</v>
      </c>
    </row>
    <row r="1502" spans="1:14" x14ac:dyDescent="0.3">
      <c r="A1502" t="s">
        <v>11431</v>
      </c>
      <c r="B1502" t="s">
        <v>1451</v>
      </c>
      <c r="C1502" t="s">
        <v>11432</v>
      </c>
      <c r="E1502" s="1" t="s">
        <v>6076</v>
      </c>
      <c r="F1502" s="1" t="s">
        <v>6076</v>
      </c>
      <c r="G1502" s="1" t="s">
        <v>12821</v>
      </c>
      <c r="H1502">
        <v>1995</v>
      </c>
      <c r="I1502">
        <v>1995</v>
      </c>
      <c r="J1502">
        <f t="shared" si="46"/>
        <v>1</v>
      </c>
      <c r="K1502" s="1" t="s">
        <v>6076</v>
      </c>
      <c r="L1502" s="1" t="s">
        <v>6076</v>
      </c>
      <c r="M1502">
        <f t="shared" si="47"/>
        <v>31</v>
      </c>
    </row>
    <row r="1503" spans="1:14" x14ac:dyDescent="0.3">
      <c r="A1503" t="s">
        <v>11931</v>
      </c>
      <c r="B1503" t="s">
        <v>12061</v>
      </c>
      <c r="C1503" t="s">
        <v>11932</v>
      </c>
      <c r="E1503" s="1" t="s">
        <v>6076</v>
      </c>
      <c r="F1503" s="1" t="s">
        <v>6076</v>
      </c>
      <c r="G1503" s="1" t="s">
        <v>12865</v>
      </c>
      <c r="H1503">
        <v>2014</v>
      </c>
      <c r="I1503">
        <v>2021</v>
      </c>
      <c r="J1503">
        <f t="shared" si="46"/>
        <v>8</v>
      </c>
      <c r="K1503" s="1" t="s">
        <v>6076</v>
      </c>
      <c r="L1503" s="1" t="s">
        <v>6076</v>
      </c>
      <c r="M1503">
        <f t="shared" si="47"/>
        <v>5</v>
      </c>
    </row>
    <row r="1504" spans="1:14" x14ac:dyDescent="0.3">
      <c r="A1504" t="s">
        <v>11933</v>
      </c>
      <c r="B1504" t="s">
        <v>12061</v>
      </c>
      <c r="C1504" t="s">
        <v>11934</v>
      </c>
      <c r="E1504" s="1" t="s">
        <v>6076</v>
      </c>
      <c r="F1504" s="1" t="s">
        <v>6076</v>
      </c>
      <c r="G1504" s="1" t="s">
        <v>12865</v>
      </c>
      <c r="H1504">
        <v>2015</v>
      </c>
      <c r="I1504">
        <v>2021</v>
      </c>
      <c r="J1504">
        <f t="shared" si="46"/>
        <v>7</v>
      </c>
      <c r="K1504" s="1" t="s">
        <v>6076</v>
      </c>
      <c r="L1504" s="1" t="s">
        <v>6076</v>
      </c>
      <c r="M1504">
        <f t="shared" si="47"/>
        <v>5</v>
      </c>
    </row>
    <row r="1505" spans="1:13" x14ac:dyDescent="0.3">
      <c r="A1505" t="s">
        <v>11935</v>
      </c>
      <c r="B1505" t="s">
        <v>12061</v>
      </c>
      <c r="C1505" t="s">
        <v>11936</v>
      </c>
      <c r="E1505" s="1" t="s">
        <v>6076</v>
      </c>
      <c r="F1505" s="1" t="s">
        <v>6076</v>
      </c>
      <c r="G1505" s="1" t="s">
        <v>12865</v>
      </c>
      <c r="H1505">
        <v>2008</v>
      </c>
      <c r="I1505">
        <v>2012</v>
      </c>
      <c r="J1505">
        <f t="shared" si="46"/>
        <v>5</v>
      </c>
      <c r="K1505" s="1" t="s">
        <v>6076</v>
      </c>
      <c r="L1505" s="1" t="s">
        <v>6076</v>
      </c>
      <c r="M1505">
        <f t="shared" si="47"/>
        <v>14</v>
      </c>
    </row>
    <row r="1506" spans="1:13" x14ac:dyDescent="0.3">
      <c r="A1506" t="s">
        <v>11937</v>
      </c>
      <c r="B1506" t="s">
        <v>12061</v>
      </c>
      <c r="C1506" t="s">
        <v>11938</v>
      </c>
      <c r="E1506" s="1" t="s">
        <v>6076</v>
      </c>
      <c r="F1506" s="1" t="s">
        <v>6076</v>
      </c>
      <c r="G1506" s="1" t="s">
        <v>12865</v>
      </c>
      <c r="H1506">
        <v>2007</v>
      </c>
      <c r="I1506">
        <v>2012</v>
      </c>
      <c r="J1506">
        <f t="shared" si="46"/>
        <v>6</v>
      </c>
      <c r="K1506" s="1" t="s">
        <v>6076</v>
      </c>
      <c r="L1506" s="1" t="s">
        <v>6076</v>
      </c>
      <c r="M1506">
        <f t="shared" si="47"/>
        <v>14</v>
      </c>
    </row>
    <row r="1507" spans="1:13" x14ac:dyDescent="0.3">
      <c r="A1507" t="s">
        <v>11939</v>
      </c>
      <c r="B1507" t="s">
        <v>12061</v>
      </c>
      <c r="C1507" t="s">
        <v>11940</v>
      </c>
      <c r="E1507" s="1" t="s">
        <v>6076</v>
      </c>
      <c r="F1507" s="1" t="s">
        <v>6076</v>
      </c>
      <c r="G1507" s="1" t="s">
        <v>12865</v>
      </c>
      <c r="H1507">
        <v>2019</v>
      </c>
      <c r="I1507">
        <v>2020</v>
      </c>
      <c r="J1507">
        <f t="shared" si="46"/>
        <v>2</v>
      </c>
      <c r="K1507" s="1" t="s">
        <v>6076</v>
      </c>
      <c r="L1507" s="1" t="s">
        <v>6076</v>
      </c>
      <c r="M1507">
        <f t="shared" si="47"/>
        <v>6</v>
      </c>
    </row>
    <row r="1508" spans="1:13" x14ac:dyDescent="0.3">
      <c r="A1508" t="s">
        <v>11941</v>
      </c>
      <c r="B1508" t="s">
        <v>12061</v>
      </c>
      <c r="C1508" t="s">
        <v>11942</v>
      </c>
      <c r="E1508" s="1" t="s">
        <v>6076</v>
      </c>
      <c r="F1508" s="1" t="s">
        <v>6076</v>
      </c>
      <c r="G1508" s="1" t="s">
        <v>12865</v>
      </c>
      <c r="H1508">
        <v>2009</v>
      </c>
      <c r="I1508">
        <v>2012</v>
      </c>
      <c r="J1508">
        <f t="shared" si="46"/>
        <v>4</v>
      </c>
      <c r="K1508" s="1" t="s">
        <v>6076</v>
      </c>
      <c r="L1508" s="1" t="s">
        <v>6076</v>
      </c>
      <c r="M1508">
        <f t="shared" si="47"/>
        <v>14</v>
      </c>
    </row>
    <row r="1509" spans="1:13" x14ac:dyDescent="0.3">
      <c r="A1509" t="s">
        <v>11945</v>
      </c>
      <c r="B1509" t="s">
        <v>12061</v>
      </c>
      <c r="C1509" t="s">
        <v>11946</v>
      </c>
      <c r="E1509" s="1" t="s">
        <v>6076</v>
      </c>
      <c r="F1509" s="1" t="s">
        <v>6076</v>
      </c>
      <c r="G1509" s="1" t="s">
        <v>12865</v>
      </c>
      <c r="H1509">
        <v>2013</v>
      </c>
      <c r="I1509">
        <v>2014</v>
      </c>
      <c r="J1509">
        <f t="shared" si="46"/>
        <v>2</v>
      </c>
      <c r="K1509" s="1" t="s">
        <v>6076</v>
      </c>
      <c r="L1509" s="1" t="s">
        <v>6076</v>
      </c>
      <c r="M1509">
        <f t="shared" si="47"/>
        <v>12</v>
      </c>
    </row>
    <row r="1510" spans="1:13" x14ac:dyDescent="0.3">
      <c r="A1510" t="s">
        <v>11943</v>
      </c>
      <c r="B1510" t="s">
        <v>12061</v>
      </c>
      <c r="C1510" t="s">
        <v>11944</v>
      </c>
      <c r="E1510" s="1" t="s">
        <v>6076</v>
      </c>
      <c r="F1510" s="1" t="s">
        <v>6076</v>
      </c>
      <c r="G1510" s="1" t="s">
        <v>12865</v>
      </c>
      <c r="H1510">
        <v>2010</v>
      </c>
      <c r="I1510">
        <v>2012</v>
      </c>
      <c r="J1510">
        <f t="shared" si="46"/>
        <v>3</v>
      </c>
      <c r="K1510" s="1" t="s">
        <v>6076</v>
      </c>
      <c r="L1510" s="1" t="s">
        <v>6076</v>
      </c>
      <c r="M1510">
        <f t="shared" si="47"/>
        <v>14</v>
      </c>
    </row>
    <row r="1511" spans="1:13" x14ac:dyDescent="0.3">
      <c r="A1511" t="s">
        <v>11947</v>
      </c>
      <c r="B1511" t="s">
        <v>12061</v>
      </c>
      <c r="C1511" t="s">
        <v>11948</v>
      </c>
      <c r="E1511" s="1" t="s">
        <v>6076</v>
      </c>
      <c r="F1511" s="1" t="s">
        <v>6076</v>
      </c>
      <c r="G1511" s="1" t="s">
        <v>12865</v>
      </c>
      <c r="H1511">
        <v>2019</v>
      </c>
      <c r="I1511">
        <v>2026</v>
      </c>
      <c r="J1511">
        <f t="shared" si="46"/>
        <v>8</v>
      </c>
      <c r="K1511" s="1" t="s">
        <v>6076</v>
      </c>
      <c r="L1511" s="1" t="s">
        <v>6076</v>
      </c>
      <c r="M1511">
        <f t="shared" si="47"/>
        <v>0</v>
      </c>
    </row>
    <row r="1512" spans="1:13" x14ac:dyDescent="0.3">
      <c r="A1512" t="s">
        <v>11949</v>
      </c>
      <c r="B1512" t="s">
        <v>12061</v>
      </c>
      <c r="C1512" t="s">
        <v>11950</v>
      </c>
      <c r="E1512" s="1" t="s">
        <v>6076</v>
      </c>
      <c r="F1512" s="1" t="s">
        <v>6076</v>
      </c>
      <c r="G1512" s="1" t="s">
        <v>12865</v>
      </c>
      <c r="H1512">
        <v>2008</v>
      </c>
      <c r="I1512">
        <v>2015</v>
      </c>
      <c r="J1512">
        <f t="shared" si="46"/>
        <v>8</v>
      </c>
      <c r="K1512" s="1" t="s">
        <v>6076</v>
      </c>
      <c r="L1512" s="1" t="s">
        <v>6076</v>
      </c>
      <c r="M1512">
        <f t="shared" si="47"/>
        <v>11</v>
      </c>
    </row>
    <row r="1513" spans="1:13" x14ac:dyDescent="0.3">
      <c r="A1513" t="s">
        <v>11951</v>
      </c>
      <c r="B1513" t="s">
        <v>12061</v>
      </c>
      <c r="C1513" t="s">
        <v>11952</v>
      </c>
      <c r="E1513" s="1" t="s">
        <v>6076</v>
      </c>
      <c r="F1513" s="1" t="s">
        <v>6076</v>
      </c>
      <c r="G1513" s="1" t="s">
        <v>12865</v>
      </c>
      <c r="H1513">
        <v>2016</v>
      </c>
      <c r="I1513">
        <v>2026</v>
      </c>
      <c r="J1513">
        <f t="shared" si="46"/>
        <v>11</v>
      </c>
      <c r="K1513" s="1" t="s">
        <v>6076</v>
      </c>
      <c r="L1513" s="1" t="s">
        <v>6076</v>
      </c>
      <c r="M1513">
        <f t="shared" si="47"/>
        <v>0</v>
      </c>
    </row>
    <row r="1514" spans="1:13" x14ac:dyDescent="0.3">
      <c r="A1514" t="s">
        <v>11953</v>
      </c>
      <c r="B1514" t="s">
        <v>12061</v>
      </c>
      <c r="C1514" t="s">
        <v>11954</v>
      </c>
      <c r="E1514" s="1" t="s">
        <v>6076</v>
      </c>
      <c r="F1514" s="1" t="s">
        <v>6076</v>
      </c>
      <c r="G1514" s="1" t="s">
        <v>12865</v>
      </c>
      <c r="H1514">
        <v>2013</v>
      </c>
      <c r="I1514">
        <v>2014</v>
      </c>
      <c r="J1514">
        <f t="shared" si="46"/>
        <v>2</v>
      </c>
      <c r="K1514" s="1" t="s">
        <v>6076</v>
      </c>
      <c r="L1514" s="1" t="s">
        <v>6076</v>
      </c>
      <c r="M1514">
        <f t="shared" si="47"/>
        <v>12</v>
      </c>
    </row>
    <row r="1515" spans="1:13" x14ac:dyDescent="0.3">
      <c r="A1515" t="s">
        <v>11955</v>
      </c>
      <c r="B1515" t="s">
        <v>12061</v>
      </c>
      <c r="C1515" t="s">
        <v>11956</v>
      </c>
      <c r="E1515" s="1" t="s">
        <v>6076</v>
      </c>
      <c r="F1515" s="1" t="s">
        <v>6076</v>
      </c>
      <c r="G1515" s="1" t="s">
        <v>12865</v>
      </c>
      <c r="H1515">
        <v>2012</v>
      </c>
      <c r="I1515">
        <v>2012</v>
      </c>
      <c r="J1515">
        <f t="shared" si="46"/>
        <v>1</v>
      </c>
      <c r="K1515" s="1" t="s">
        <v>6076</v>
      </c>
      <c r="L1515" s="1" t="s">
        <v>6076</v>
      </c>
      <c r="M1515">
        <f t="shared" si="47"/>
        <v>14</v>
      </c>
    </row>
    <row r="1516" spans="1:13" x14ac:dyDescent="0.3">
      <c r="A1516" t="s">
        <v>11957</v>
      </c>
      <c r="B1516" t="s">
        <v>12061</v>
      </c>
      <c r="C1516" t="s">
        <v>11958</v>
      </c>
      <c r="E1516" s="1" t="s">
        <v>6076</v>
      </c>
      <c r="F1516" s="1" t="s">
        <v>6076</v>
      </c>
      <c r="G1516" s="1" t="s">
        <v>12865</v>
      </c>
      <c r="H1516">
        <v>2020</v>
      </c>
      <c r="I1516">
        <v>2022</v>
      </c>
      <c r="J1516">
        <f t="shared" si="46"/>
        <v>3</v>
      </c>
      <c r="K1516" s="1" t="s">
        <v>6076</v>
      </c>
      <c r="L1516" s="1" t="s">
        <v>6076</v>
      </c>
      <c r="M1516">
        <f t="shared" si="47"/>
        <v>4</v>
      </c>
    </row>
    <row r="1517" spans="1:13" x14ac:dyDescent="0.3">
      <c r="A1517" t="s">
        <v>11959</v>
      </c>
      <c r="B1517" t="s">
        <v>12061</v>
      </c>
      <c r="C1517" t="s">
        <v>11960</v>
      </c>
      <c r="E1517" s="1" t="s">
        <v>6076</v>
      </c>
      <c r="F1517" s="1" t="s">
        <v>6076</v>
      </c>
      <c r="G1517" s="1" t="s">
        <v>12865</v>
      </c>
      <c r="H1517">
        <v>2022</v>
      </c>
      <c r="I1517">
        <v>2022</v>
      </c>
      <c r="J1517">
        <f t="shared" si="46"/>
        <v>1</v>
      </c>
      <c r="K1517" s="1" t="s">
        <v>6076</v>
      </c>
      <c r="L1517" s="1" t="s">
        <v>6076</v>
      </c>
      <c r="M1517">
        <f t="shared" si="47"/>
        <v>4</v>
      </c>
    </row>
    <row r="1518" spans="1:13" x14ac:dyDescent="0.3">
      <c r="A1518" t="s">
        <v>11961</v>
      </c>
      <c r="B1518" t="s">
        <v>12061</v>
      </c>
      <c r="C1518" t="s">
        <v>11962</v>
      </c>
      <c r="E1518" s="1" t="s">
        <v>6076</v>
      </c>
      <c r="F1518" s="1" t="s">
        <v>6076</v>
      </c>
      <c r="G1518" s="1" t="s">
        <v>12865</v>
      </c>
      <c r="H1518">
        <v>2025</v>
      </c>
      <c r="I1518">
        <v>2026</v>
      </c>
      <c r="J1518">
        <f t="shared" si="46"/>
        <v>2</v>
      </c>
      <c r="K1518" s="1" t="s">
        <v>6076</v>
      </c>
      <c r="L1518" s="1" t="s">
        <v>6076</v>
      </c>
      <c r="M1518">
        <f t="shared" si="47"/>
        <v>0</v>
      </c>
    </row>
    <row r="1519" spans="1:13" x14ac:dyDescent="0.3">
      <c r="A1519" t="s">
        <v>11963</v>
      </c>
      <c r="B1519" t="s">
        <v>12061</v>
      </c>
      <c r="C1519" t="s">
        <v>11964</v>
      </c>
      <c r="E1519" s="1" t="s">
        <v>6076</v>
      </c>
      <c r="F1519" s="1" t="s">
        <v>6076</v>
      </c>
      <c r="G1519" s="1" t="s">
        <v>12865</v>
      </c>
      <c r="H1519">
        <v>2014</v>
      </c>
      <c r="I1519">
        <v>2016</v>
      </c>
      <c r="J1519">
        <f t="shared" si="46"/>
        <v>3</v>
      </c>
      <c r="K1519" s="1" t="s">
        <v>6076</v>
      </c>
      <c r="L1519" s="1" t="s">
        <v>6076</v>
      </c>
      <c r="M1519">
        <f t="shared" si="47"/>
        <v>10</v>
      </c>
    </row>
    <row r="1520" spans="1:13" x14ac:dyDescent="0.3">
      <c r="A1520" t="s">
        <v>11965</v>
      </c>
      <c r="B1520" t="s">
        <v>12061</v>
      </c>
      <c r="C1520" t="s">
        <v>11966</v>
      </c>
      <c r="E1520" s="1" t="s">
        <v>6076</v>
      </c>
      <c r="F1520" s="1" t="s">
        <v>6076</v>
      </c>
      <c r="G1520" s="1" t="s">
        <v>12865</v>
      </c>
      <c r="H1520">
        <v>2017</v>
      </c>
      <c r="I1520">
        <v>2026</v>
      </c>
      <c r="J1520">
        <f t="shared" si="46"/>
        <v>10</v>
      </c>
      <c r="K1520" s="1" t="s">
        <v>6076</v>
      </c>
      <c r="L1520" s="1" t="s">
        <v>6076</v>
      </c>
      <c r="M1520">
        <f t="shared" si="47"/>
        <v>0</v>
      </c>
    </row>
    <row r="1521" spans="1:13" x14ac:dyDescent="0.3">
      <c r="A1521" t="s">
        <v>11967</v>
      </c>
      <c r="B1521" t="s">
        <v>12061</v>
      </c>
      <c r="C1521" t="s">
        <v>11968</v>
      </c>
      <c r="E1521" s="1" t="s">
        <v>6076</v>
      </c>
      <c r="F1521" s="1" t="s">
        <v>6076</v>
      </c>
      <c r="G1521" s="1" t="s">
        <v>12865</v>
      </c>
      <c r="H1521">
        <v>2025</v>
      </c>
      <c r="I1521">
        <v>2026</v>
      </c>
      <c r="J1521">
        <f t="shared" si="46"/>
        <v>2</v>
      </c>
      <c r="K1521" s="1" t="s">
        <v>6076</v>
      </c>
      <c r="L1521" s="1" t="s">
        <v>6076</v>
      </c>
      <c r="M1521">
        <f t="shared" si="47"/>
        <v>0</v>
      </c>
    </row>
    <row r="1522" spans="1:13" x14ac:dyDescent="0.3">
      <c r="A1522" t="s">
        <v>11969</v>
      </c>
      <c r="B1522" t="s">
        <v>12061</v>
      </c>
      <c r="C1522" t="s">
        <v>11970</v>
      </c>
      <c r="E1522" s="1" t="s">
        <v>6076</v>
      </c>
      <c r="F1522" s="1" t="s">
        <v>6076</v>
      </c>
      <c r="G1522" s="1" t="s">
        <v>12865</v>
      </c>
      <c r="H1522">
        <v>2025</v>
      </c>
      <c r="I1522">
        <v>2026</v>
      </c>
      <c r="J1522">
        <f t="shared" si="46"/>
        <v>2</v>
      </c>
      <c r="K1522" s="1" t="s">
        <v>6076</v>
      </c>
      <c r="L1522" s="1" t="s">
        <v>6076</v>
      </c>
      <c r="M1522">
        <f t="shared" si="47"/>
        <v>0</v>
      </c>
    </row>
    <row r="1523" spans="1:13" x14ac:dyDescent="0.3">
      <c r="A1523" t="s">
        <v>11971</v>
      </c>
      <c r="B1523" t="s">
        <v>12061</v>
      </c>
      <c r="C1523" t="s">
        <v>11972</v>
      </c>
      <c r="E1523" s="1" t="s">
        <v>6076</v>
      </c>
      <c r="F1523" s="1" t="s">
        <v>6076</v>
      </c>
      <c r="G1523" s="1" t="s">
        <v>12865</v>
      </c>
      <c r="H1523">
        <v>2017</v>
      </c>
      <c r="I1523">
        <v>2022</v>
      </c>
      <c r="J1523">
        <f t="shared" si="46"/>
        <v>6</v>
      </c>
      <c r="K1523" s="1" t="s">
        <v>6076</v>
      </c>
      <c r="L1523" s="1" t="s">
        <v>6076</v>
      </c>
      <c r="M1523">
        <f t="shared" si="47"/>
        <v>4</v>
      </c>
    </row>
    <row r="1524" spans="1:13" x14ac:dyDescent="0.3">
      <c r="A1524" t="s">
        <v>11973</v>
      </c>
      <c r="B1524" t="s">
        <v>12061</v>
      </c>
      <c r="C1524" t="s">
        <v>11974</v>
      </c>
      <c r="E1524" s="1" t="s">
        <v>6076</v>
      </c>
      <c r="F1524" s="1" t="s">
        <v>6076</v>
      </c>
      <c r="G1524" s="1" t="s">
        <v>12865</v>
      </c>
      <c r="H1524">
        <v>2011</v>
      </c>
      <c r="I1524">
        <v>2014</v>
      </c>
      <c r="J1524">
        <f t="shared" si="46"/>
        <v>4</v>
      </c>
      <c r="K1524" s="1" t="s">
        <v>6076</v>
      </c>
      <c r="L1524" s="1" t="s">
        <v>6076</v>
      </c>
      <c r="M1524">
        <f t="shared" si="47"/>
        <v>12</v>
      </c>
    </row>
    <row r="1525" spans="1:13" x14ac:dyDescent="0.3">
      <c r="A1525" t="s">
        <v>11975</v>
      </c>
      <c r="B1525" t="s">
        <v>12061</v>
      </c>
      <c r="C1525" t="s">
        <v>11976</v>
      </c>
      <c r="E1525" s="1" t="s">
        <v>6076</v>
      </c>
      <c r="F1525" s="1" t="s">
        <v>6076</v>
      </c>
      <c r="G1525" s="1" t="s">
        <v>12865</v>
      </c>
      <c r="H1525">
        <v>2025</v>
      </c>
      <c r="I1525">
        <v>2026</v>
      </c>
      <c r="J1525">
        <f t="shared" si="46"/>
        <v>2</v>
      </c>
      <c r="K1525" s="1" t="s">
        <v>6076</v>
      </c>
      <c r="L1525" s="1" t="s">
        <v>6076</v>
      </c>
      <c r="M1525">
        <f t="shared" si="47"/>
        <v>0</v>
      </c>
    </row>
    <row r="1526" spans="1:13" x14ac:dyDescent="0.3">
      <c r="A1526" t="s">
        <v>11977</v>
      </c>
      <c r="B1526" t="s">
        <v>12061</v>
      </c>
      <c r="C1526" t="s">
        <v>11978</v>
      </c>
      <c r="E1526" s="1" t="s">
        <v>6076</v>
      </c>
      <c r="F1526" s="1" t="s">
        <v>6076</v>
      </c>
      <c r="G1526" s="1" t="s">
        <v>12865</v>
      </c>
      <c r="H1526">
        <v>2011</v>
      </c>
      <c r="I1526">
        <v>2016</v>
      </c>
      <c r="J1526">
        <f t="shared" si="46"/>
        <v>6</v>
      </c>
      <c r="K1526" s="1" t="s">
        <v>6076</v>
      </c>
      <c r="L1526" s="1" t="s">
        <v>6076</v>
      </c>
      <c r="M1526">
        <f t="shared" si="47"/>
        <v>10</v>
      </c>
    </row>
    <row r="1527" spans="1:13" x14ac:dyDescent="0.3">
      <c r="A1527" t="s">
        <v>11979</v>
      </c>
      <c r="B1527" t="s">
        <v>12061</v>
      </c>
      <c r="C1527" t="s">
        <v>11980</v>
      </c>
      <c r="E1527" s="1" t="s">
        <v>6076</v>
      </c>
      <c r="F1527" s="1" t="s">
        <v>6076</v>
      </c>
      <c r="G1527" s="1" t="s">
        <v>12865</v>
      </c>
      <c r="H1527">
        <v>2014</v>
      </c>
      <c r="I1527">
        <v>2020</v>
      </c>
      <c r="J1527">
        <f t="shared" si="46"/>
        <v>7</v>
      </c>
      <c r="K1527" s="1" t="s">
        <v>6076</v>
      </c>
      <c r="L1527" s="1" t="s">
        <v>6076</v>
      </c>
      <c r="M1527">
        <f t="shared" si="47"/>
        <v>6</v>
      </c>
    </row>
    <row r="1528" spans="1:13" x14ac:dyDescent="0.3">
      <c r="A1528" t="s">
        <v>11981</v>
      </c>
      <c r="B1528" t="s">
        <v>12061</v>
      </c>
      <c r="C1528" t="s">
        <v>11982</v>
      </c>
      <c r="E1528" s="1" t="s">
        <v>6076</v>
      </c>
      <c r="F1528" s="1" t="s">
        <v>6076</v>
      </c>
      <c r="G1528" s="1" t="s">
        <v>12865</v>
      </c>
      <c r="H1528">
        <v>2011</v>
      </c>
      <c r="I1528">
        <v>2016</v>
      </c>
      <c r="J1528">
        <f t="shared" si="46"/>
        <v>6</v>
      </c>
      <c r="K1528" s="1" t="s">
        <v>6076</v>
      </c>
      <c r="L1528" s="1" t="s">
        <v>6076</v>
      </c>
      <c r="M1528">
        <f t="shared" si="47"/>
        <v>10</v>
      </c>
    </row>
    <row r="1529" spans="1:13" x14ac:dyDescent="0.3">
      <c r="A1529" t="s">
        <v>11983</v>
      </c>
      <c r="B1529" t="s">
        <v>12061</v>
      </c>
      <c r="C1529" t="s">
        <v>11984</v>
      </c>
      <c r="E1529" s="1" t="s">
        <v>6076</v>
      </c>
      <c r="F1529" s="1" t="s">
        <v>6076</v>
      </c>
      <c r="G1529" s="1" t="s">
        <v>12865</v>
      </c>
      <c r="H1529">
        <v>2017</v>
      </c>
      <c r="I1529">
        <v>2020</v>
      </c>
      <c r="J1529">
        <f t="shared" si="46"/>
        <v>4</v>
      </c>
      <c r="K1529" s="1" t="s">
        <v>6076</v>
      </c>
      <c r="L1529" s="1" t="s">
        <v>6076</v>
      </c>
      <c r="M1529">
        <f t="shared" si="47"/>
        <v>6</v>
      </c>
    </row>
    <row r="1530" spans="1:13" x14ac:dyDescent="0.3">
      <c r="A1530" t="s">
        <v>11985</v>
      </c>
      <c r="B1530" t="s">
        <v>12061</v>
      </c>
      <c r="C1530" t="s">
        <v>11986</v>
      </c>
      <c r="E1530" s="1" t="s">
        <v>6076</v>
      </c>
      <c r="F1530" s="1" t="s">
        <v>6076</v>
      </c>
      <c r="G1530" s="1" t="s">
        <v>12865</v>
      </c>
      <c r="H1530">
        <v>2019</v>
      </c>
      <c r="I1530">
        <v>2026</v>
      </c>
      <c r="J1530">
        <f t="shared" si="46"/>
        <v>8</v>
      </c>
      <c r="K1530" s="1" t="s">
        <v>6076</v>
      </c>
      <c r="L1530" s="1" t="s">
        <v>6076</v>
      </c>
      <c r="M1530">
        <f t="shared" si="47"/>
        <v>0</v>
      </c>
    </row>
    <row r="1531" spans="1:13" x14ac:dyDescent="0.3">
      <c r="A1531" t="s">
        <v>11987</v>
      </c>
      <c r="B1531" t="s">
        <v>12061</v>
      </c>
      <c r="C1531" t="s">
        <v>11988</v>
      </c>
      <c r="E1531" s="1" t="s">
        <v>6076</v>
      </c>
      <c r="F1531" s="1" t="s">
        <v>6076</v>
      </c>
      <c r="G1531" s="1" t="s">
        <v>12865</v>
      </c>
      <c r="H1531">
        <v>2012</v>
      </c>
      <c r="I1531">
        <v>2012</v>
      </c>
      <c r="J1531">
        <f t="shared" si="46"/>
        <v>1</v>
      </c>
      <c r="K1531" s="1" t="s">
        <v>6076</v>
      </c>
      <c r="L1531" s="1" t="s">
        <v>6076</v>
      </c>
      <c r="M1531">
        <f t="shared" si="47"/>
        <v>14</v>
      </c>
    </row>
    <row r="1532" spans="1:13" x14ac:dyDescent="0.3">
      <c r="A1532" t="s">
        <v>11989</v>
      </c>
      <c r="B1532" t="s">
        <v>12061</v>
      </c>
      <c r="C1532" t="s">
        <v>11990</v>
      </c>
      <c r="E1532" s="1" t="s">
        <v>6076</v>
      </c>
      <c r="F1532" s="1" t="s">
        <v>6076</v>
      </c>
      <c r="G1532" s="1" t="s">
        <v>12865</v>
      </c>
      <c r="H1532">
        <v>2013</v>
      </c>
      <c r="I1532">
        <v>2014</v>
      </c>
      <c r="J1532">
        <f t="shared" si="46"/>
        <v>2</v>
      </c>
      <c r="K1532" s="1" t="s">
        <v>6076</v>
      </c>
      <c r="L1532" s="1" t="s">
        <v>6076</v>
      </c>
      <c r="M1532">
        <f t="shared" si="47"/>
        <v>12</v>
      </c>
    </row>
    <row r="1533" spans="1:13" x14ac:dyDescent="0.3">
      <c r="A1533" t="s">
        <v>11991</v>
      </c>
      <c r="B1533" t="s">
        <v>12061</v>
      </c>
      <c r="C1533" t="s">
        <v>11992</v>
      </c>
      <c r="E1533" s="1" t="s">
        <v>6076</v>
      </c>
      <c r="F1533" s="1" t="s">
        <v>6076</v>
      </c>
      <c r="G1533" s="1" t="s">
        <v>12865</v>
      </c>
      <c r="H1533">
        <v>2012</v>
      </c>
      <c r="I1533">
        <v>2014</v>
      </c>
      <c r="J1533">
        <f t="shared" si="46"/>
        <v>3</v>
      </c>
      <c r="K1533" s="1" t="s">
        <v>6076</v>
      </c>
      <c r="L1533" s="1" t="s">
        <v>6076</v>
      </c>
      <c r="M1533">
        <f t="shared" si="47"/>
        <v>12</v>
      </c>
    </row>
    <row r="1534" spans="1:13" x14ac:dyDescent="0.3">
      <c r="A1534" t="s">
        <v>11993</v>
      </c>
      <c r="B1534" t="s">
        <v>12061</v>
      </c>
      <c r="C1534" t="s">
        <v>11994</v>
      </c>
      <c r="E1534" s="1" t="s">
        <v>6076</v>
      </c>
      <c r="F1534" s="1" t="s">
        <v>6076</v>
      </c>
      <c r="G1534" s="1" t="s">
        <v>12865</v>
      </c>
      <c r="H1534">
        <v>2024</v>
      </c>
      <c r="I1534">
        <v>2026</v>
      </c>
      <c r="J1534">
        <f t="shared" si="46"/>
        <v>3</v>
      </c>
      <c r="K1534" s="1" t="s">
        <v>6076</v>
      </c>
      <c r="L1534" s="1" t="s">
        <v>6076</v>
      </c>
      <c r="M1534">
        <f t="shared" si="47"/>
        <v>0</v>
      </c>
    </row>
    <row r="1535" spans="1:13" x14ac:dyDescent="0.3">
      <c r="A1535" t="s">
        <v>11995</v>
      </c>
      <c r="B1535" t="s">
        <v>12061</v>
      </c>
      <c r="C1535" t="s">
        <v>11996</v>
      </c>
      <c r="E1535" s="1" t="s">
        <v>6076</v>
      </c>
      <c r="F1535" s="1" t="s">
        <v>6076</v>
      </c>
      <c r="G1535" s="1" t="s">
        <v>12865</v>
      </c>
      <c r="H1535">
        <v>2013</v>
      </c>
      <c r="I1535">
        <v>2013</v>
      </c>
      <c r="J1535">
        <f t="shared" si="46"/>
        <v>1</v>
      </c>
      <c r="K1535" s="1" t="s">
        <v>6076</v>
      </c>
      <c r="L1535" s="1" t="s">
        <v>6076</v>
      </c>
      <c r="M1535">
        <f t="shared" si="47"/>
        <v>13</v>
      </c>
    </row>
    <row r="1536" spans="1:13" x14ac:dyDescent="0.3">
      <c r="A1536" t="s">
        <v>11997</v>
      </c>
      <c r="B1536" t="s">
        <v>12061</v>
      </c>
      <c r="C1536" t="s">
        <v>11998</v>
      </c>
      <c r="E1536" s="1" t="s">
        <v>6076</v>
      </c>
      <c r="F1536" s="1" t="s">
        <v>6076</v>
      </c>
      <c r="G1536" s="1" t="s">
        <v>12865</v>
      </c>
      <c r="H1536">
        <v>2009</v>
      </c>
      <c r="I1536">
        <v>2013</v>
      </c>
      <c r="J1536">
        <f t="shared" si="46"/>
        <v>5</v>
      </c>
      <c r="K1536" s="1" t="s">
        <v>6076</v>
      </c>
      <c r="L1536" s="1" t="s">
        <v>6076</v>
      </c>
      <c r="M1536">
        <f t="shared" si="47"/>
        <v>13</v>
      </c>
    </row>
    <row r="1537" spans="1:13" x14ac:dyDescent="0.3">
      <c r="A1537" t="s">
        <v>11999</v>
      </c>
      <c r="B1537" t="s">
        <v>12061</v>
      </c>
      <c r="C1537" t="s">
        <v>12000</v>
      </c>
      <c r="E1537" s="1" t="s">
        <v>6076</v>
      </c>
      <c r="F1537" s="1" t="s">
        <v>6076</v>
      </c>
      <c r="G1537" s="1" t="s">
        <v>12865</v>
      </c>
      <c r="H1537">
        <v>2016</v>
      </c>
      <c r="I1537">
        <v>2026</v>
      </c>
      <c r="J1537">
        <f t="shared" si="46"/>
        <v>11</v>
      </c>
      <c r="K1537" s="1" t="s">
        <v>6076</v>
      </c>
      <c r="L1537" s="1" t="s">
        <v>6076</v>
      </c>
      <c r="M1537">
        <f t="shared" si="47"/>
        <v>0</v>
      </c>
    </row>
    <row r="1538" spans="1:13" x14ac:dyDescent="0.3">
      <c r="A1538" t="s">
        <v>12001</v>
      </c>
      <c r="B1538" t="s">
        <v>12061</v>
      </c>
      <c r="C1538" t="s">
        <v>12002</v>
      </c>
      <c r="E1538" s="1" t="s">
        <v>6076</v>
      </c>
      <c r="F1538" s="1" t="s">
        <v>6076</v>
      </c>
      <c r="G1538" s="1" t="s">
        <v>12865</v>
      </c>
      <c r="H1538">
        <v>2024</v>
      </c>
      <c r="I1538">
        <v>2024</v>
      </c>
      <c r="J1538">
        <f t="shared" si="46"/>
        <v>1</v>
      </c>
      <c r="K1538" s="1" t="s">
        <v>6076</v>
      </c>
      <c r="L1538" s="1" t="s">
        <v>6076</v>
      </c>
      <c r="M1538">
        <f t="shared" si="47"/>
        <v>2</v>
      </c>
    </row>
    <row r="1539" spans="1:13" x14ac:dyDescent="0.3">
      <c r="A1539" t="s">
        <v>12003</v>
      </c>
      <c r="B1539" t="s">
        <v>12061</v>
      </c>
      <c r="C1539" t="s">
        <v>12004</v>
      </c>
      <c r="E1539" s="1" t="s">
        <v>6076</v>
      </c>
      <c r="F1539" s="1" t="s">
        <v>6076</v>
      </c>
      <c r="G1539" s="1" t="s">
        <v>12865</v>
      </c>
      <c r="H1539">
        <v>2025</v>
      </c>
      <c r="I1539">
        <v>2026</v>
      </c>
      <c r="J1539">
        <f t="shared" si="46"/>
        <v>2</v>
      </c>
      <c r="K1539" s="1" t="s">
        <v>6076</v>
      </c>
      <c r="L1539" s="1" t="s">
        <v>6076</v>
      </c>
      <c r="M1539">
        <f t="shared" si="47"/>
        <v>0</v>
      </c>
    </row>
    <row r="1540" spans="1:13" x14ac:dyDescent="0.3">
      <c r="A1540" t="s">
        <v>12005</v>
      </c>
      <c r="B1540" t="s">
        <v>12061</v>
      </c>
      <c r="C1540" t="s">
        <v>12006</v>
      </c>
      <c r="E1540" s="1" t="s">
        <v>6076</v>
      </c>
      <c r="F1540" s="1" t="s">
        <v>6076</v>
      </c>
      <c r="G1540" s="1" t="s">
        <v>12865</v>
      </c>
      <c r="H1540">
        <v>2025</v>
      </c>
      <c r="I1540">
        <v>2026</v>
      </c>
      <c r="J1540">
        <f t="shared" si="46"/>
        <v>2</v>
      </c>
      <c r="K1540" s="1" t="s">
        <v>6076</v>
      </c>
      <c r="L1540" s="1" t="s">
        <v>6076</v>
      </c>
      <c r="M1540">
        <f t="shared" si="47"/>
        <v>0</v>
      </c>
    </row>
    <row r="1541" spans="1:13" x14ac:dyDescent="0.3">
      <c r="A1541" t="s">
        <v>12007</v>
      </c>
      <c r="B1541" t="s">
        <v>12061</v>
      </c>
      <c r="C1541" t="s">
        <v>12008</v>
      </c>
      <c r="E1541" s="1" t="s">
        <v>6076</v>
      </c>
      <c r="F1541" s="1" t="s">
        <v>6076</v>
      </c>
      <c r="G1541" s="1" t="s">
        <v>12865</v>
      </c>
      <c r="H1541">
        <v>2021</v>
      </c>
      <c r="I1541">
        <v>2021</v>
      </c>
      <c r="J1541">
        <f t="shared" si="46"/>
        <v>1</v>
      </c>
      <c r="K1541" s="1" t="s">
        <v>6076</v>
      </c>
      <c r="L1541" s="1" t="s">
        <v>6076</v>
      </c>
      <c r="M1541">
        <f t="shared" si="47"/>
        <v>5</v>
      </c>
    </row>
    <row r="1542" spans="1:13" x14ac:dyDescent="0.3">
      <c r="A1542" t="s">
        <v>12009</v>
      </c>
      <c r="B1542" t="s">
        <v>12061</v>
      </c>
      <c r="C1542" t="s">
        <v>12010</v>
      </c>
      <c r="E1542" s="1" t="s">
        <v>6076</v>
      </c>
      <c r="F1542" s="1" t="s">
        <v>6076</v>
      </c>
      <c r="G1542" s="1" t="s">
        <v>12865</v>
      </c>
      <c r="H1542">
        <v>2023</v>
      </c>
      <c r="I1542">
        <v>2023</v>
      </c>
      <c r="J1542">
        <f t="shared" ref="J1542:J1605" si="48">1+(I1542-H1542)</f>
        <v>1</v>
      </c>
      <c r="K1542" s="1" t="s">
        <v>6076</v>
      </c>
      <c r="L1542" s="1" t="s">
        <v>6076</v>
      </c>
      <c r="M1542">
        <f t="shared" ref="M1542:M1605" si="49">IF(I1542=0,0,$B$2-I1542)</f>
        <v>3</v>
      </c>
    </row>
    <row r="1543" spans="1:13" x14ac:dyDescent="0.3">
      <c r="A1543" t="s">
        <v>12011</v>
      </c>
      <c r="B1543" t="s">
        <v>12061</v>
      </c>
      <c r="C1543" t="s">
        <v>12012</v>
      </c>
      <c r="E1543" s="1" t="s">
        <v>6076</v>
      </c>
      <c r="F1543" s="1" t="s">
        <v>6076</v>
      </c>
      <c r="G1543" s="1" t="s">
        <v>12865</v>
      </c>
      <c r="H1543">
        <v>2013</v>
      </c>
      <c r="I1543">
        <v>2015</v>
      </c>
      <c r="J1543">
        <f t="shared" si="48"/>
        <v>3</v>
      </c>
      <c r="K1543" s="1" t="s">
        <v>6076</v>
      </c>
      <c r="L1543" s="1" t="s">
        <v>6076</v>
      </c>
      <c r="M1543">
        <f t="shared" si="49"/>
        <v>11</v>
      </c>
    </row>
    <row r="1544" spans="1:13" x14ac:dyDescent="0.3">
      <c r="A1544" t="s">
        <v>12013</v>
      </c>
      <c r="B1544" t="s">
        <v>12061</v>
      </c>
      <c r="C1544" t="s">
        <v>12014</v>
      </c>
      <c r="E1544" s="1" t="s">
        <v>6076</v>
      </c>
      <c r="F1544" s="1" t="s">
        <v>6076</v>
      </c>
      <c r="G1544" s="1" t="s">
        <v>12865</v>
      </c>
      <c r="H1544">
        <v>2013</v>
      </c>
      <c r="I1544">
        <v>2014</v>
      </c>
      <c r="J1544">
        <f t="shared" si="48"/>
        <v>2</v>
      </c>
      <c r="K1544" s="1" t="s">
        <v>6076</v>
      </c>
      <c r="L1544" s="1" t="s">
        <v>6076</v>
      </c>
      <c r="M1544">
        <f t="shared" si="49"/>
        <v>12</v>
      </c>
    </row>
    <row r="1545" spans="1:13" x14ac:dyDescent="0.3">
      <c r="A1545" t="s">
        <v>12015</v>
      </c>
      <c r="B1545" t="s">
        <v>12061</v>
      </c>
      <c r="C1545" t="s">
        <v>12016</v>
      </c>
      <c r="E1545" s="1" t="s">
        <v>6076</v>
      </c>
      <c r="F1545" s="1" t="s">
        <v>6076</v>
      </c>
      <c r="G1545" s="1" t="s">
        <v>12865</v>
      </c>
      <c r="H1545">
        <v>2014</v>
      </c>
      <c r="I1545">
        <v>2016</v>
      </c>
      <c r="J1545">
        <f t="shared" si="48"/>
        <v>3</v>
      </c>
      <c r="K1545" s="1" t="s">
        <v>6076</v>
      </c>
      <c r="L1545" s="1" t="s">
        <v>6076</v>
      </c>
      <c r="M1545">
        <f t="shared" si="49"/>
        <v>10</v>
      </c>
    </row>
    <row r="1546" spans="1:13" x14ac:dyDescent="0.3">
      <c r="A1546" t="s">
        <v>12017</v>
      </c>
      <c r="B1546" t="s">
        <v>12061</v>
      </c>
      <c r="C1546" t="s">
        <v>12018</v>
      </c>
      <c r="E1546" s="1" t="s">
        <v>6076</v>
      </c>
      <c r="F1546" s="1" t="s">
        <v>6076</v>
      </c>
      <c r="G1546" s="1" t="s">
        <v>12865</v>
      </c>
      <c r="H1546">
        <v>2012</v>
      </c>
      <c r="I1546">
        <v>2012</v>
      </c>
      <c r="J1546">
        <f t="shared" si="48"/>
        <v>1</v>
      </c>
      <c r="K1546" s="1" t="s">
        <v>6076</v>
      </c>
      <c r="L1546" s="1" t="s">
        <v>6076</v>
      </c>
      <c r="M1546">
        <f t="shared" si="49"/>
        <v>14</v>
      </c>
    </row>
    <row r="1547" spans="1:13" x14ac:dyDescent="0.3">
      <c r="A1547" t="s">
        <v>12019</v>
      </c>
      <c r="B1547" t="s">
        <v>12061</v>
      </c>
      <c r="C1547" t="s">
        <v>12020</v>
      </c>
      <c r="E1547" s="1" t="s">
        <v>6076</v>
      </c>
      <c r="F1547" s="1" t="s">
        <v>6076</v>
      </c>
      <c r="G1547" s="1" t="s">
        <v>12865</v>
      </c>
      <c r="H1547">
        <v>2013</v>
      </c>
      <c r="I1547">
        <v>2014</v>
      </c>
      <c r="J1547">
        <f t="shared" si="48"/>
        <v>2</v>
      </c>
      <c r="K1547" s="1" t="s">
        <v>6076</v>
      </c>
      <c r="L1547" s="1" t="s">
        <v>6076</v>
      </c>
      <c r="M1547">
        <f t="shared" si="49"/>
        <v>12</v>
      </c>
    </row>
    <row r="1548" spans="1:13" x14ac:dyDescent="0.3">
      <c r="A1548" t="s">
        <v>12021</v>
      </c>
      <c r="B1548" t="s">
        <v>12061</v>
      </c>
      <c r="C1548" t="s">
        <v>12022</v>
      </c>
      <c r="E1548" s="1" t="s">
        <v>6076</v>
      </c>
      <c r="F1548" s="1" t="s">
        <v>6076</v>
      </c>
      <c r="G1548" s="1" t="s">
        <v>12865</v>
      </c>
      <c r="H1548">
        <v>2012</v>
      </c>
      <c r="I1548">
        <v>2015</v>
      </c>
      <c r="J1548">
        <f t="shared" si="48"/>
        <v>4</v>
      </c>
      <c r="K1548" s="1" t="s">
        <v>6076</v>
      </c>
      <c r="L1548" s="1" t="s">
        <v>6076</v>
      </c>
      <c r="M1548">
        <f t="shared" si="49"/>
        <v>11</v>
      </c>
    </row>
    <row r="1549" spans="1:13" x14ac:dyDescent="0.3">
      <c r="A1549" t="s">
        <v>12023</v>
      </c>
      <c r="B1549" t="s">
        <v>12061</v>
      </c>
      <c r="C1549" t="s">
        <v>12024</v>
      </c>
      <c r="E1549" s="1" t="s">
        <v>6076</v>
      </c>
      <c r="F1549" s="1" t="s">
        <v>6076</v>
      </c>
      <c r="G1549" s="1" t="s">
        <v>12865</v>
      </c>
      <c r="H1549">
        <v>2005</v>
      </c>
      <c r="I1549">
        <v>2013</v>
      </c>
      <c r="J1549">
        <f t="shared" si="48"/>
        <v>9</v>
      </c>
      <c r="K1549" s="1" t="s">
        <v>6076</v>
      </c>
      <c r="L1549" s="1" t="s">
        <v>6076</v>
      </c>
      <c r="M1549">
        <f t="shared" si="49"/>
        <v>13</v>
      </c>
    </row>
    <row r="1550" spans="1:13" x14ac:dyDescent="0.3">
      <c r="A1550" t="s">
        <v>12025</v>
      </c>
      <c r="B1550" t="s">
        <v>12061</v>
      </c>
      <c r="C1550" t="s">
        <v>12026</v>
      </c>
      <c r="E1550" s="1" t="s">
        <v>6076</v>
      </c>
      <c r="F1550" s="1" t="s">
        <v>6076</v>
      </c>
      <c r="G1550" s="1" t="s">
        <v>12865</v>
      </c>
      <c r="H1550">
        <v>2014</v>
      </c>
      <c r="I1550">
        <v>2026</v>
      </c>
      <c r="J1550">
        <f t="shared" si="48"/>
        <v>13</v>
      </c>
      <c r="K1550" s="1" t="s">
        <v>6076</v>
      </c>
      <c r="L1550" s="1" t="s">
        <v>6076</v>
      </c>
      <c r="M1550">
        <f t="shared" si="49"/>
        <v>0</v>
      </c>
    </row>
    <row r="1551" spans="1:13" x14ac:dyDescent="0.3">
      <c r="A1551" t="s">
        <v>12027</v>
      </c>
      <c r="B1551" t="s">
        <v>12061</v>
      </c>
      <c r="C1551" t="s">
        <v>12028</v>
      </c>
      <c r="E1551" s="1" t="s">
        <v>6076</v>
      </c>
      <c r="F1551" s="1" t="s">
        <v>6076</v>
      </c>
      <c r="G1551" s="1" t="s">
        <v>12865</v>
      </c>
      <c r="H1551">
        <v>2014</v>
      </c>
      <c r="I1551">
        <v>2015</v>
      </c>
      <c r="J1551">
        <f t="shared" si="48"/>
        <v>2</v>
      </c>
      <c r="K1551" s="1" t="s">
        <v>6076</v>
      </c>
      <c r="L1551" s="1" t="s">
        <v>6076</v>
      </c>
      <c r="M1551">
        <f t="shared" si="49"/>
        <v>11</v>
      </c>
    </row>
    <row r="1552" spans="1:13" x14ac:dyDescent="0.3">
      <c r="A1552" t="s">
        <v>12029</v>
      </c>
      <c r="B1552" t="s">
        <v>12061</v>
      </c>
      <c r="C1552" t="s">
        <v>12030</v>
      </c>
      <c r="E1552" s="1" t="s">
        <v>6076</v>
      </c>
      <c r="F1552" s="1" t="s">
        <v>6076</v>
      </c>
      <c r="G1552" s="1" t="s">
        <v>12865</v>
      </c>
      <c r="H1552">
        <v>2015</v>
      </c>
      <c r="I1552">
        <v>2026</v>
      </c>
      <c r="J1552">
        <f t="shared" si="48"/>
        <v>12</v>
      </c>
      <c r="K1552" s="1" t="s">
        <v>6076</v>
      </c>
      <c r="L1552" s="1" t="s">
        <v>6076</v>
      </c>
      <c r="M1552">
        <f t="shared" si="49"/>
        <v>0</v>
      </c>
    </row>
    <row r="1553" spans="1:14" x14ac:dyDescent="0.3">
      <c r="A1553" t="s">
        <v>12031</v>
      </c>
      <c r="B1553" t="s">
        <v>12061</v>
      </c>
      <c r="C1553" t="s">
        <v>12032</v>
      </c>
      <c r="E1553" s="1" t="s">
        <v>6076</v>
      </c>
      <c r="F1553" s="1" t="s">
        <v>6076</v>
      </c>
      <c r="G1553" s="1" t="s">
        <v>12865</v>
      </c>
      <c r="H1553">
        <v>2013</v>
      </c>
      <c r="I1553">
        <v>2013</v>
      </c>
      <c r="J1553">
        <f t="shared" si="48"/>
        <v>1</v>
      </c>
      <c r="K1553" s="1" t="s">
        <v>6076</v>
      </c>
      <c r="L1553" s="1" t="s">
        <v>6076</v>
      </c>
      <c r="M1553">
        <f t="shared" si="49"/>
        <v>13</v>
      </c>
    </row>
    <row r="1554" spans="1:14" x14ac:dyDescent="0.3">
      <c r="A1554" t="s">
        <v>12033</v>
      </c>
      <c r="B1554" t="s">
        <v>12061</v>
      </c>
      <c r="C1554" t="s">
        <v>12034</v>
      </c>
      <c r="E1554" s="1" t="s">
        <v>6076</v>
      </c>
      <c r="F1554" s="1" t="s">
        <v>6076</v>
      </c>
      <c r="G1554" s="1" t="s">
        <v>12865</v>
      </c>
      <c r="H1554">
        <v>2008</v>
      </c>
      <c r="I1554">
        <v>2012</v>
      </c>
      <c r="J1554">
        <f t="shared" si="48"/>
        <v>5</v>
      </c>
      <c r="K1554" s="1" t="s">
        <v>6076</v>
      </c>
      <c r="L1554" s="1" t="s">
        <v>6076</v>
      </c>
      <c r="M1554">
        <f t="shared" si="49"/>
        <v>14</v>
      </c>
    </row>
    <row r="1555" spans="1:14" x14ac:dyDescent="0.3">
      <c r="A1555" t="s">
        <v>12035</v>
      </c>
      <c r="B1555" t="s">
        <v>12061</v>
      </c>
      <c r="C1555" t="s">
        <v>12036</v>
      </c>
      <c r="E1555" s="1" t="s">
        <v>6076</v>
      </c>
      <c r="F1555" s="1" t="s">
        <v>6076</v>
      </c>
      <c r="G1555" s="1" t="s">
        <v>12865</v>
      </c>
      <c r="H1555">
        <v>2016</v>
      </c>
      <c r="I1555">
        <v>2019</v>
      </c>
      <c r="J1555">
        <f t="shared" si="48"/>
        <v>4</v>
      </c>
      <c r="K1555" s="1" t="s">
        <v>6076</v>
      </c>
      <c r="L1555" s="1" t="s">
        <v>6076</v>
      </c>
      <c r="M1555">
        <f t="shared" si="49"/>
        <v>7</v>
      </c>
    </row>
    <row r="1556" spans="1:14" x14ac:dyDescent="0.3">
      <c r="A1556" t="s">
        <v>12037</v>
      </c>
      <c r="B1556" t="s">
        <v>12061</v>
      </c>
      <c r="C1556" t="s">
        <v>12038</v>
      </c>
      <c r="E1556" s="1" t="s">
        <v>6076</v>
      </c>
      <c r="F1556" s="1" t="s">
        <v>6076</v>
      </c>
      <c r="G1556" s="1" t="s">
        <v>12865</v>
      </c>
      <c r="H1556">
        <v>2024</v>
      </c>
      <c r="I1556">
        <v>2024</v>
      </c>
      <c r="J1556">
        <f t="shared" si="48"/>
        <v>1</v>
      </c>
      <c r="K1556" s="1" t="s">
        <v>6076</v>
      </c>
      <c r="L1556" s="1" t="s">
        <v>6076</v>
      </c>
      <c r="M1556">
        <f t="shared" si="49"/>
        <v>2</v>
      </c>
    </row>
    <row r="1557" spans="1:14" x14ac:dyDescent="0.3">
      <c r="A1557" t="s">
        <v>12039</v>
      </c>
      <c r="B1557" t="s">
        <v>12061</v>
      </c>
      <c r="C1557" t="s">
        <v>12040</v>
      </c>
      <c r="E1557" s="1" t="s">
        <v>6076</v>
      </c>
      <c r="F1557" s="1" t="s">
        <v>6076</v>
      </c>
      <c r="G1557" s="1" t="s">
        <v>12865</v>
      </c>
      <c r="H1557">
        <v>2017</v>
      </c>
      <c r="I1557">
        <v>2018</v>
      </c>
      <c r="J1557">
        <f t="shared" si="48"/>
        <v>2</v>
      </c>
      <c r="K1557" s="1" t="s">
        <v>6076</v>
      </c>
      <c r="L1557" s="1" t="s">
        <v>6076</v>
      </c>
      <c r="M1557">
        <f t="shared" si="49"/>
        <v>8</v>
      </c>
    </row>
    <row r="1558" spans="1:14" x14ac:dyDescent="0.3">
      <c r="A1558" t="s">
        <v>12041</v>
      </c>
      <c r="B1558" t="s">
        <v>12061</v>
      </c>
      <c r="C1558" t="s">
        <v>12042</v>
      </c>
      <c r="E1558" s="1" t="s">
        <v>6076</v>
      </c>
      <c r="F1558" s="1" t="s">
        <v>6076</v>
      </c>
      <c r="G1558" s="1" t="s">
        <v>12865</v>
      </c>
      <c r="H1558">
        <v>2024</v>
      </c>
      <c r="I1558">
        <v>2026</v>
      </c>
      <c r="J1558">
        <f t="shared" si="48"/>
        <v>3</v>
      </c>
      <c r="K1558" s="1" t="s">
        <v>6076</v>
      </c>
      <c r="L1558" s="1" t="s">
        <v>6076</v>
      </c>
      <c r="M1558">
        <f t="shared" si="49"/>
        <v>0</v>
      </c>
    </row>
    <row r="1559" spans="1:14" x14ac:dyDescent="0.3">
      <c r="A1559" t="s">
        <v>12043</v>
      </c>
      <c r="B1559" t="s">
        <v>12061</v>
      </c>
      <c r="C1559" t="s">
        <v>12044</v>
      </c>
      <c r="E1559" s="1" t="s">
        <v>6076</v>
      </c>
      <c r="F1559" s="1" t="s">
        <v>6076</v>
      </c>
      <c r="G1559" s="1" t="s">
        <v>12865</v>
      </c>
      <c r="H1559">
        <v>2022</v>
      </c>
      <c r="I1559">
        <v>2024</v>
      </c>
      <c r="J1559">
        <f t="shared" si="48"/>
        <v>3</v>
      </c>
      <c r="K1559" s="1" t="s">
        <v>6076</v>
      </c>
      <c r="L1559" s="1" t="s">
        <v>6076</v>
      </c>
      <c r="M1559">
        <f t="shared" si="49"/>
        <v>2</v>
      </c>
    </row>
    <row r="1560" spans="1:14" x14ac:dyDescent="0.3">
      <c r="A1560" t="s">
        <v>12045</v>
      </c>
      <c r="B1560" t="s">
        <v>12061</v>
      </c>
      <c r="C1560" t="s">
        <v>12046</v>
      </c>
      <c r="E1560" s="1" t="s">
        <v>6076</v>
      </c>
      <c r="F1560" s="1" t="s">
        <v>6076</v>
      </c>
      <c r="G1560" s="1" t="s">
        <v>12865</v>
      </c>
      <c r="H1560">
        <v>2023</v>
      </c>
      <c r="I1560">
        <v>2023</v>
      </c>
      <c r="J1560">
        <f t="shared" si="48"/>
        <v>1</v>
      </c>
      <c r="K1560" s="1" t="s">
        <v>6076</v>
      </c>
      <c r="L1560" s="1" t="s">
        <v>6076</v>
      </c>
      <c r="M1560">
        <f t="shared" si="49"/>
        <v>3</v>
      </c>
    </row>
    <row r="1561" spans="1:14" x14ac:dyDescent="0.3">
      <c r="A1561" t="s">
        <v>12047</v>
      </c>
      <c r="B1561" t="s">
        <v>12061</v>
      </c>
      <c r="C1561" t="s">
        <v>12048</v>
      </c>
      <c r="E1561" s="1" t="s">
        <v>6076</v>
      </c>
      <c r="F1561" s="1" t="s">
        <v>6076</v>
      </c>
      <c r="G1561" s="1" t="s">
        <v>12865</v>
      </c>
      <c r="H1561">
        <v>2023</v>
      </c>
      <c r="I1561">
        <v>2023</v>
      </c>
      <c r="J1561">
        <f t="shared" si="48"/>
        <v>1</v>
      </c>
      <c r="K1561" s="1" t="s">
        <v>6076</v>
      </c>
      <c r="L1561" s="1" t="s">
        <v>6076</v>
      </c>
      <c r="M1561">
        <f t="shared" si="49"/>
        <v>3</v>
      </c>
    </row>
    <row r="1562" spans="1:14" x14ac:dyDescent="0.3">
      <c r="A1562" t="s">
        <v>12049</v>
      </c>
      <c r="B1562" t="s">
        <v>12061</v>
      </c>
      <c r="C1562" t="s">
        <v>12050</v>
      </c>
      <c r="E1562" s="1" t="s">
        <v>6076</v>
      </c>
      <c r="F1562" s="1" t="s">
        <v>6076</v>
      </c>
      <c r="G1562" s="1" t="s">
        <v>12865</v>
      </c>
      <c r="H1562">
        <v>2023</v>
      </c>
      <c r="I1562">
        <v>2023</v>
      </c>
      <c r="J1562">
        <f t="shared" si="48"/>
        <v>1</v>
      </c>
      <c r="K1562" s="1" t="s">
        <v>6076</v>
      </c>
      <c r="L1562" s="1" t="s">
        <v>6076</v>
      </c>
      <c r="M1562">
        <f t="shared" si="49"/>
        <v>3</v>
      </c>
    </row>
    <row r="1563" spans="1:14" x14ac:dyDescent="0.3">
      <c r="A1563" t="s">
        <v>12051</v>
      </c>
      <c r="B1563" t="s">
        <v>12061</v>
      </c>
      <c r="C1563" t="s">
        <v>12052</v>
      </c>
      <c r="E1563" s="1" t="s">
        <v>6076</v>
      </c>
      <c r="F1563" s="1" t="s">
        <v>6076</v>
      </c>
      <c r="G1563" s="1" t="s">
        <v>12865</v>
      </c>
      <c r="H1563">
        <v>2022</v>
      </c>
      <c r="I1563">
        <v>2024</v>
      </c>
      <c r="J1563">
        <f t="shared" si="48"/>
        <v>3</v>
      </c>
      <c r="K1563" s="1" t="s">
        <v>6076</v>
      </c>
      <c r="L1563" s="1" t="s">
        <v>6076</v>
      </c>
      <c r="M1563">
        <f t="shared" si="49"/>
        <v>2</v>
      </c>
    </row>
    <row r="1564" spans="1:14" x14ac:dyDescent="0.3">
      <c r="A1564" t="s">
        <v>12053</v>
      </c>
      <c r="B1564" t="s">
        <v>12061</v>
      </c>
      <c r="C1564" t="s">
        <v>12054</v>
      </c>
      <c r="E1564" s="1" t="s">
        <v>6076</v>
      </c>
      <c r="F1564" s="1" t="s">
        <v>6076</v>
      </c>
      <c r="G1564" s="1" t="s">
        <v>12865</v>
      </c>
      <c r="H1564">
        <v>2022</v>
      </c>
      <c r="I1564">
        <v>2022</v>
      </c>
      <c r="J1564">
        <f t="shared" si="48"/>
        <v>1</v>
      </c>
      <c r="K1564" s="1" t="s">
        <v>6076</v>
      </c>
      <c r="L1564" s="1" t="s">
        <v>6076</v>
      </c>
      <c r="M1564">
        <f t="shared" si="49"/>
        <v>4</v>
      </c>
    </row>
    <row r="1565" spans="1:14" x14ac:dyDescent="0.3">
      <c r="A1565" t="s">
        <v>11433</v>
      </c>
      <c r="B1565" t="s">
        <v>1451</v>
      </c>
      <c r="C1565" t="s">
        <v>11434</v>
      </c>
      <c r="E1565" s="1" t="s">
        <v>6076</v>
      </c>
      <c r="F1565" s="1" t="s">
        <v>6076</v>
      </c>
      <c r="G1565" s="1" t="s">
        <v>12822</v>
      </c>
      <c r="H1565">
        <v>1985</v>
      </c>
      <c r="I1565">
        <v>1986</v>
      </c>
      <c r="J1565">
        <f t="shared" si="48"/>
        <v>2</v>
      </c>
      <c r="K1565" s="1" t="s">
        <v>6076</v>
      </c>
      <c r="L1565" s="1" t="s">
        <v>6076</v>
      </c>
      <c r="M1565">
        <f t="shared" si="49"/>
        <v>40</v>
      </c>
    </row>
    <row r="1566" spans="1:14" x14ac:dyDescent="0.3">
      <c r="A1566" t="s">
        <v>11435</v>
      </c>
      <c r="B1566" t="s">
        <v>1451</v>
      </c>
      <c r="C1566" t="s">
        <v>11436</v>
      </c>
      <c r="E1566" s="1" t="s">
        <v>6076</v>
      </c>
      <c r="F1566" s="1" t="s">
        <v>6076</v>
      </c>
      <c r="G1566" s="1" t="s">
        <v>12822</v>
      </c>
      <c r="H1566">
        <v>1985</v>
      </c>
      <c r="I1566">
        <v>1986</v>
      </c>
      <c r="J1566">
        <f t="shared" si="48"/>
        <v>2</v>
      </c>
      <c r="K1566" s="1" t="s">
        <v>6076</v>
      </c>
      <c r="L1566" s="1" t="s">
        <v>6076</v>
      </c>
      <c r="M1566">
        <f t="shared" si="49"/>
        <v>40</v>
      </c>
    </row>
    <row r="1567" spans="1:14" hidden="1" x14ac:dyDescent="0.3">
      <c r="A1567" s="1" t="s">
        <v>7002</v>
      </c>
      <c r="B1567" s="1" t="s">
        <v>1205</v>
      </c>
      <c r="C1567" s="1" t="s">
        <v>7003</v>
      </c>
      <c r="D1567" s="1" t="s">
        <v>738</v>
      </c>
      <c r="E1567" s="1" t="s">
        <v>812</v>
      </c>
      <c r="F1567" s="1" t="s">
        <v>813</v>
      </c>
      <c r="G1567" s="1" t="s">
        <v>1207</v>
      </c>
      <c r="H1567">
        <v>2020</v>
      </c>
      <c r="I1567">
        <v>2022</v>
      </c>
      <c r="J1567">
        <f t="shared" si="48"/>
        <v>3</v>
      </c>
      <c r="K1567" s="1" t="s">
        <v>3665</v>
      </c>
      <c r="L1567" s="35" t="s">
        <v>798</v>
      </c>
      <c r="M1567">
        <f t="shared" si="49"/>
        <v>4</v>
      </c>
      <c r="N1567" t="s">
        <v>650</v>
      </c>
    </row>
    <row r="1568" spans="1:14" hidden="1" x14ac:dyDescent="0.3">
      <c r="A1568" s="1" t="s">
        <v>7004</v>
      </c>
      <c r="B1568" s="1" t="s">
        <v>1205</v>
      </c>
      <c r="C1568" s="1" t="s">
        <v>7005</v>
      </c>
      <c r="D1568" s="1" t="s">
        <v>738</v>
      </c>
      <c r="E1568" s="1" t="s">
        <v>812</v>
      </c>
      <c r="F1568" s="1" t="s">
        <v>813</v>
      </c>
      <c r="G1568" s="1" t="s">
        <v>1207</v>
      </c>
      <c r="H1568">
        <v>2020</v>
      </c>
      <c r="I1568">
        <v>2022</v>
      </c>
      <c r="J1568">
        <f t="shared" si="48"/>
        <v>3</v>
      </c>
      <c r="K1568" s="1" t="s">
        <v>3665</v>
      </c>
      <c r="L1568" s="35" t="s">
        <v>798</v>
      </c>
      <c r="M1568">
        <f t="shared" si="49"/>
        <v>4</v>
      </c>
      <c r="N1568" t="s">
        <v>650</v>
      </c>
    </row>
    <row r="1569" spans="1:14" hidden="1" x14ac:dyDescent="0.3">
      <c r="A1569" s="1" t="s">
        <v>3901</v>
      </c>
      <c r="B1569" s="1" t="s">
        <v>1205</v>
      </c>
      <c r="C1569" s="1" t="s">
        <v>3902</v>
      </c>
      <c r="D1569" s="1" t="s">
        <v>738</v>
      </c>
      <c r="E1569" s="1" t="s">
        <v>812</v>
      </c>
      <c r="F1569" s="1" t="s">
        <v>813</v>
      </c>
      <c r="G1569" s="1" t="s">
        <v>1207</v>
      </c>
      <c r="H1569">
        <v>2010</v>
      </c>
      <c r="I1569">
        <v>2022</v>
      </c>
      <c r="J1569">
        <f t="shared" si="48"/>
        <v>13</v>
      </c>
      <c r="K1569" s="1" t="s">
        <v>3665</v>
      </c>
      <c r="L1569" s="35" t="s">
        <v>666</v>
      </c>
      <c r="M1569">
        <f t="shared" si="49"/>
        <v>4</v>
      </c>
      <c r="N1569" t="s">
        <v>650</v>
      </c>
    </row>
    <row r="1570" spans="1:14" hidden="1" x14ac:dyDescent="0.3">
      <c r="A1570" t="s">
        <v>12319</v>
      </c>
      <c r="B1570" t="s">
        <v>1205</v>
      </c>
      <c r="C1570" t="s">
        <v>12320</v>
      </c>
      <c r="E1570" s="1" t="e">
        <v>#N/A</v>
      </c>
      <c r="F1570" s="1" t="e">
        <v>#N/A</v>
      </c>
      <c r="G1570" s="1" t="s">
        <v>12329</v>
      </c>
      <c r="H1570">
        <v>2023</v>
      </c>
      <c r="I1570">
        <v>2026</v>
      </c>
      <c r="J1570">
        <f t="shared" si="48"/>
        <v>4</v>
      </c>
      <c r="K1570" s="1" t="s">
        <v>741</v>
      </c>
      <c r="L1570" s="35" t="s">
        <v>666</v>
      </c>
      <c r="M1570">
        <f t="shared" si="49"/>
        <v>0</v>
      </c>
    </row>
    <row r="1571" spans="1:14" hidden="1" x14ac:dyDescent="0.3">
      <c r="A1571" s="1" t="s">
        <v>3903</v>
      </c>
      <c r="B1571" s="1" t="s">
        <v>1205</v>
      </c>
      <c r="C1571" s="1" t="s">
        <v>3904</v>
      </c>
      <c r="D1571" s="1" t="s">
        <v>1395</v>
      </c>
      <c r="E1571" s="1" t="s">
        <v>3905</v>
      </c>
      <c r="F1571" s="1" t="s">
        <v>3906</v>
      </c>
      <c r="G1571" s="1" t="s">
        <v>1207</v>
      </c>
      <c r="H1571">
        <v>2022</v>
      </c>
      <c r="I1571">
        <v>2022</v>
      </c>
      <c r="J1571">
        <f t="shared" si="48"/>
        <v>1</v>
      </c>
      <c r="K1571" s="1" t="s">
        <v>3665</v>
      </c>
      <c r="L1571" s="35" t="s">
        <v>649</v>
      </c>
      <c r="M1571">
        <f t="shared" si="49"/>
        <v>4</v>
      </c>
      <c r="N1571" t="s">
        <v>650</v>
      </c>
    </row>
    <row r="1572" spans="1:14" hidden="1" x14ac:dyDescent="0.3">
      <c r="A1572" s="1" t="s">
        <v>3907</v>
      </c>
      <c r="B1572" s="1" t="s">
        <v>1205</v>
      </c>
      <c r="C1572" s="1" t="s">
        <v>3908</v>
      </c>
      <c r="D1572" s="1" t="s">
        <v>1395</v>
      </c>
      <c r="E1572" s="1" t="s">
        <v>3905</v>
      </c>
      <c r="F1572" s="1" t="s">
        <v>3906</v>
      </c>
      <c r="G1572" s="1" t="s">
        <v>1207</v>
      </c>
      <c r="H1572">
        <v>2022</v>
      </c>
      <c r="I1572">
        <v>2022</v>
      </c>
      <c r="J1572">
        <f t="shared" si="48"/>
        <v>1</v>
      </c>
      <c r="K1572" s="1" t="s">
        <v>3665</v>
      </c>
      <c r="L1572" s="35" t="s">
        <v>666</v>
      </c>
      <c r="M1572">
        <f t="shared" si="49"/>
        <v>4</v>
      </c>
      <c r="N1572" t="s">
        <v>650</v>
      </c>
    </row>
    <row r="1573" spans="1:14" hidden="1" x14ac:dyDescent="0.3">
      <c r="A1573" s="1" t="s">
        <v>3909</v>
      </c>
      <c r="B1573" s="1" t="s">
        <v>1205</v>
      </c>
      <c r="C1573" s="1" t="s">
        <v>3910</v>
      </c>
      <c r="D1573" s="1" t="s">
        <v>1395</v>
      </c>
      <c r="E1573" s="1" t="s">
        <v>3905</v>
      </c>
      <c r="F1573" s="1" t="s">
        <v>3906</v>
      </c>
      <c r="G1573" s="1" t="s">
        <v>1207</v>
      </c>
      <c r="H1573">
        <v>2022</v>
      </c>
      <c r="I1573">
        <v>2022</v>
      </c>
      <c r="J1573">
        <f t="shared" si="48"/>
        <v>1</v>
      </c>
      <c r="K1573" s="1" t="s">
        <v>3665</v>
      </c>
      <c r="L1573" s="35" t="s">
        <v>666</v>
      </c>
      <c r="M1573">
        <f t="shared" si="49"/>
        <v>4</v>
      </c>
      <c r="N1573" t="s">
        <v>650</v>
      </c>
    </row>
    <row r="1574" spans="1:14" hidden="1" x14ac:dyDescent="0.3">
      <c r="A1574" s="1" t="s">
        <v>3911</v>
      </c>
      <c r="B1574" s="1" t="s">
        <v>1205</v>
      </c>
      <c r="C1574" s="1" t="s">
        <v>3912</v>
      </c>
      <c r="D1574" s="1" t="s">
        <v>1395</v>
      </c>
      <c r="E1574" s="1" t="s">
        <v>3905</v>
      </c>
      <c r="F1574" s="1" t="s">
        <v>3906</v>
      </c>
      <c r="G1574" s="1" t="s">
        <v>1207</v>
      </c>
      <c r="H1574">
        <v>2022</v>
      </c>
      <c r="I1574">
        <v>2022</v>
      </c>
      <c r="J1574">
        <f t="shared" si="48"/>
        <v>1</v>
      </c>
      <c r="K1574" s="1" t="s">
        <v>3665</v>
      </c>
      <c r="L1574" s="35" t="s">
        <v>649</v>
      </c>
      <c r="M1574">
        <f t="shared" si="49"/>
        <v>4</v>
      </c>
      <c r="N1574" t="s">
        <v>650</v>
      </c>
    </row>
    <row r="1575" spans="1:14" hidden="1" x14ac:dyDescent="0.3">
      <c r="A1575" s="1" t="s">
        <v>3913</v>
      </c>
      <c r="B1575" s="1" t="s">
        <v>1205</v>
      </c>
      <c r="C1575" s="1" t="s">
        <v>3914</v>
      </c>
      <c r="D1575" s="1" t="s">
        <v>1395</v>
      </c>
      <c r="E1575" s="1" t="s">
        <v>3905</v>
      </c>
      <c r="F1575" s="1" t="s">
        <v>3906</v>
      </c>
      <c r="G1575" s="1" t="s">
        <v>1207</v>
      </c>
      <c r="H1575">
        <v>2022</v>
      </c>
      <c r="I1575">
        <v>2022</v>
      </c>
      <c r="J1575">
        <f t="shared" si="48"/>
        <v>1</v>
      </c>
      <c r="K1575" s="1" t="s">
        <v>3665</v>
      </c>
      <c r="L1575" s="35" t="s">
        <v>649</v>
      </c>
      <c r="M1575">
        <f t="shared" si="49"/>
        <v>4</v>
      </c>
      <c r="N1575" t="s">
        <v>650</v>
      </c>
    </row>
    <row r="1576" spans="1:14" hidden="1" x14ac:dyDescent="0.3">
      <c r="A1576" t="s">
        <v>12321</v>
      </c>
      <c r="B1576" t="s">
        <v>1205</v>
      </c>
      <c r="C1576" t="s">
        <v>12322</v>
      </c>
      <c r="E1576" s="1" t="e">
        <v>#N/A</v>
      </c>
      <c r="F1576" s="1" t="e">
        <v>#N/A</v>
      </c>
      <c r="G1576" s="1" t="s">
        <v>12329</v>
      </c>
      <c r="H1576">
        <v>2024</v>
      </c>
      <c r="I1576">
        <v>2026</v>
      </c>
      <c r="J1576">
        <f t="shared" si="48"/>
        <v>3</v>
      </c>
      <c r="K1576" s="1" t="s">
        <v>741</v>
      </c>
      <c r="L1576" s="35" t="s">
        <v>666</v>
      </c>
      <c r="M1576">
        <f t="shared" si="49"/>
        <v>0</v>
      </c>
    </row>
    <row r="1577" spans="1:14" hidden="1" x14ac:dyDescent="0.3">
      <c r="A1577" s="1" t="s">
        <v>7007</v>
      </c>
      <c r="B1577" s="1" t="s">
        <v>1205</v>
      </c>
      <c r="C1577" s="1" t="s">
        <v>7008</v>
      </c>
      <c r="D1577" s="1" t="s">
        <v>738</v>
      </c>
      <c r="E1577" s="1" t="s">
        <v>812</v>
      </c>
      <c r="F1577" s="1" t="s">
        <v>813</v>
      </c>
      <c r="G1577" s="1" t="s">
        <v>1207</v>
      </c>
      <c r="H1577">
        <v>1993</v>
      </c>
      <c r="I1577">
        <v>1996</v>
      </c>
      <c r="J1577">
        <f t="shared" si="48"/>
        <v>4</v>
      </c>
      <c r="K1577" s="1" t="s">
        <v>12912</v>
      </c>
      <c r="L1577" s="35" t="s">
        <v>12912</v>
      </c>
      <c r="M1577">
        <f t="shared" si="49"/>
        <v>30</v>
      </c>
      <c r="N1577" t="s">
        <v>640</v>
      </c>
    </row>
    <row r="1578" spans="1:14" hidden="1" x14ac:dyDescent="0.3">
      <c r="A1578" s="1" t="s">
        <v>3915</v>
      </c>
      <c r="B1578" s="1" t="s">
        <v>1205</v>
      </c>
      <c r="C1578" s="1" t="s">
        <v>3916</v>
      </c>
      <c r="D1578" s="1" t="s">
        <v>738</v>
      </c>
      <c r="E1578" s="1" t="s">
        <v>812</v>
      </c>
      <c r="F1578" s="1" t="s">
        <v>813</v>
      </c>
      <c r="G1578" s="1" t="s">
        <v>1207</v>
      </c>
      <c r="H1578">
        <v>2017</v>
      </c>
      <c r="I1578">
        <v>2017</v>
      </c>
      <c r="J1578">
        <f t="shared" si="48"/>
        <v>1</v>
      </c>
      <c r="K1578" s="1" t="s">
        <v>3665</v>
      </c>
      <c r="L1578" s="35" t="s">
        <v>666</v>
      </c>
      <c r="M1578">
        <f t="shared" si="49"/>
        <v>9</v>
      </c>
      <c r="N1578" t="s">
        <v>650</v>
      </c>
    </row>
    <row r="1579" spans="1:14" hidden="1" x14ac:dyDescent="0.3">
      <c r="A1579" s="1" t="s">
        <v>7009</v>
      </c>
      <c r="B1579" s="1" t="s">
        <v>1205</v>
      </c>
      <c r="C1579" s="1" t="s">
        <v>7010</v>
      </c>
      <c r="D1579" s="1" t="s">
        <v>738</v>
      </c>
      <c r="E1579" s="1" t="s">
        <v>812</v>
      </c>
      <c r="F1579" s="1" t="s">
        <v>3803</v>
      </c>
      <c r="G1579" s="1" t="s">
        <v>1207</v>
      </c>
      <c r="H1579">
        <v>2005</v>
      </c>
      <c r="I1579">
        <v>2008</v>
      </c>
      <c r="J1579">
        <f t="shared" si="48"/>
        <v>4</v>
      </c>
      <c r="K1579" s="1" t="s">
        <v>12912</v>
      </c>
      <c r="L1579" s="35" t="s">
        <v>12912</v>
      </c>
      <c r="M1579">
        <f t="shared" si="49"/>
        <v>18</v>
      </c>
      <c r="N1579" t="s">
        <v>650</v>
      </c>
    </row>
    <row r="1580" spans="1:14" hidden="1" x14ac:dyDescent="0.3">
      <c r="A1580" s="1" t="s">
        <v>7011</v>
      </c>
      <c r="B1580" s="1" t="s">
        <v>1205</v>
      </c>
      <c r="C1580" s="1" t="s">
        <v>7012</v>
      </c>
      <c r="D1580" s="1" t="s">
        <v>738</v>
      </c>
      <c r="E1580" s="1" t="s">
        <v>812</v>
      </c>
      <c r="F1580" s="1" t="s">
        <v>3803</v>
      </c>
      <c r="G1580" s="1" t="s">
        <v>1207</v>
      </c>
      <c r="H1580">
        <v>2005</v>
      </c>
      <c r="I1580">
        <v>2008</v>
      </c>
      <c r="J1580">
        <f t="shared" si="48"/>
        <v>4</v>
      </c>
      <c r="K1580" s="1" t="s">
        <v>12912</v>
      </c>
      <c r="L1580" s="35" t="s">
        <v>12912</v>
      </c>
      <c r="M1580">
        <f t="shared" si="49"/>
        <v>18</v>
      </c>
      <c r="N1580" t="s">
        <v>650</v>
      </c>
    </row>
    <row r="1581" spans="1:14" hidden="1" x14ac:dyDescent="0.3">
      <c r="A1581" s="1" t="s">
        <v>7013</v>
      </c>
      <c r="B1581" s="1" t="s">
        <v>1205</v>
      </c>
      <c r="C1581" s="1" t="s">
        <v>7014</v>
      </c>
      <c r="D1581" s="1" t="s">
        <v>738</v>
      </c>
      <c r="E1581" s="1" t="s">
        <v>812</v>
      </c>
      <c r="F1581" s="1" t="s">
        <v>3803</v>
      </c>
      <c r="G1581" s="1" t="s">
        <v>1207</v>
      </c>
      <c r="H1581">
        <v>2007</v>
      </c>
      <c r="I1581">
        <v>2007</v>
      </c>
      <c r="J1581">
        <f t="shared" si="48"/>
        <v>1</v>
      </c>
      <c r="K1581" s="1" t="s">
        <v>12912</v>
      </c>
      <c r="L1581" s="35" t="s">
        <v>12912</v>
      </c>
      <c r="M1581">
        <f t="shared" si="49"/>
        <v>19</v>
      </c>
      <c r="N1581" t="s">
        <v>650</v>
      </c>
    </row>
    <row r="1582" spans="1:14" hidden="1" x14ac:dyDescent="0.3">
      <c r="A1582" s="1" t="s">
        <v>7015</v>
      </c>
      <c r="B1582" s="1" t="s">
        <v>1205</v>
      </c>
      <c r="C1582" s="1" t="s">
        <v>7016</v>
      </c>
      <c r="D1582" s="1" t="s">
        <v>738</v>
      </c>
      <c r="E1582" s="1" t="s">
        <v>812</v>
      </c>
      <c r="F1582" s="1" t="s">
        <v>3803</v>
      </c>
      <c r="G1582" s="1" t="s">
        <v>1207</v>
      </c>
      <c r="H1582">
        <v>2007</v>
      </c>
      <c r="I1582">
        <v>2007</v>
      </c>
      <c r="J1582">
        <f t="shared" si="48"/>
        <v>1</v>
      </c>
      <c r="K1582" s="1" t="s">
        <v>12912</v>
      </c>
      <c r="L1582" s="35" t="s">
        <v>12912</v>
      </c>
      <c r="M1582">
        <f t="shared" si="49"/>
        <v>19</v>
      </c>
      <c r="N1582" t="s">
        <v>650</v>
      </c>
    </row>
    <row r="1583" spans="1:14" hidden="1" x14ac:dyDescent="0.3">
      <c r="A1583" s="1" t="s">
        <v>7017</v>
      </c>
      <c r="B1583" s="1" t="s">
        <v>1205</v>
      </c>
      <c r="C1583" s="1" t="s">
        <v>7018</v>
      </c>
      <c r="D1583" s="1" t="s">
        <v>738</v>
      </c>
      <c r="E1583" s="1" t="s">
        <v>812</v>
      </c>
      <c r="F1583" s="1" t="s">
        <v>3803</v>
      </c>
      <c r="G1583" s="1" t="s">
        <v>1207</v>
      </c>
      <c r="H1583">
        <v>2008</v>
      </c>
      <c r="I1583">
        <v>2008</v>
      </c>
      <c r="J1583">
        <f t="shared" si="48"/>
        <v>1</v>
      </c>
      <c r="K1583" s="1" t="s">
        <v>12912</v>
      </c>
      <c r="L1583" s="35" t="s">
        <v>12912</v>
      </c>
      <c r="M1583">
        <f t="shared" si="49"/>
        <v>18</v>
      </c>
      <c r="N1583" t="s">
        <v>650</v>
      </c>
    </row>
    <row r="1584" spans="1:14" x14ac:dyDescent="0.3">
      <c r="A1584" s="1" t="s">
        <v>7019</v>
      </c>
      <c r="B1584" s="1" t="s">
        <v>1205</v>
      </c>
      <c r="C1584" s="1" t="s">
        <v>7020</v>
      </c>
      <c r="D1584" s="1" t="s">
        <v>738</v>
      </c>
      <c r="E1584" s="1" t="s">
        <v>6076</v>
      </c>
      <c r="F1584" s="1" t="s">
        <v>6076</v>
      </c>
      <c r="G1584" s="1" t="s">
        <v>1207</v>
      </c>
      <c r="H1584">
        <v>1997</v>
      </c>
      <c r="I1584">
        <v>1999</v>
      </c>
      <c r="J1584">
        <f t="shared" si="48"/>
        <v>3</v>
      </c>
      <c r="K1584" s="1" t="s">
        <v>6076</v>
      </c>
      <c r="L1584" s="35" t="s">
        <v>6076</v>
      </c>
      <c r="M1584">
        <f t="shared" si="49"/>
        <v>27</v>
      </c>
      <c r="N1584" t="s">
        <v>640</v>
      </c>
    </row>
    <row r="1585" spans="1:14" hidden="1" x14ac:dyDescent="0.3">
      <c r="A1585" t="s">
        <v>12323</v>
      </c>
      <c r="B1585" t="s">
        <v>1205</v>
      </c>
      <c r="C1585" t="s">
        <v>12324</v>
      </c>
      <c r="E1585" s="1" t="e">
        <v>#N/A</v>
      </c>
      <c r="F1585" s="1" t="e">
        <v>#N/A</v>
      </c>
      <c r="G1585" s="1" t="s">
        <v>12329</v>
      </c>
      <c r="H1585">
        <v>2025</v>
      </c>
      <c r="I1585">
        <v>2026</v>
      </c>
      <c r="J1585">
        <f t="shared" si="48"/>
        <v>2</v>
      </c>
      <c r="K1585" s="1" t="s">
        <v>741</v>
      </c>
      <c r="L1585" s="35" t="s">
        <v>798</v>
      </c>
      <c r="M1585">
        <f t="shared" si="49"/>
        <v>0</v>
      </c>
    </row>
    <row r="1586" spans="1:14" hidden="1" x14ac:dyDescent="0.3">
      <c r="A1586" s="1" t="s">
        <v>3917</v>
      </c>
      <c r="B1586" s="1" t="s">
        <v>1205</v>
      </c>
      <c r="C1586" s="1" t="s">
        <v>3918</v>
      </c>
      <c r="D1586" s="1" t="s">
        <v>738</v>
      </c>
      <c r="E1586" s="1" t="s">
        <v>812</v>
      </c>
      <c r="F1586" s="1" t="s">
        <v>813</v>
      </c>
      <c r="G1586" s="1" t="s">
        <v>1207</v>
      </c>
      <c r="H1586">
        <v>2010</v>
      </c>
      <c r="I1586">
        <v>2019</v>
      </c>
      <c r="J1586">
        <f t="shared" si="48"/>
        <v>10</v>
      </c>
      <c r="K1586" s="1" t="s">
        <v>3665</v>
      </c>
      <c r="L1586" s="35" t="s">
        <v>798</v>
      </c>
      <c r="M1586">
        <f t="shared" si="49"/>
        <v>7</v>
      </c>
      <c r="N1586" t="s">
        <v>650</v>
      </c>
    </row>
    <row r="1587" spans="1:14" hidden="1" x14ac:dyDescent="0.3">
      <c r="A1587" s="1" t="s">
        <v>3919</v>
      </c>
      <c r="B1587" s="1" t="s">
        <v>1205</v>
      </c>
      <c r="C1587" s="1" t="s">
        <v>3920</v>
      </c>
      <c r="D1587" s="1" t="s">
        <v>738</v>
      </c>
      <c r="E1587" s="1" t="s">
        <v>812</v>
      </c>
      <c r="F1587" s="1" t="s">
        <v>813</v>
      </c>
      <c r="G1587" s="1" t="s">
        <v>1207</v>
      </c>
      <c r="H1587">
        <v>2010</v>
      </c>
      <c r="I1587">
        <v>2017</v>
      </c>
      <c r="J1587">
        <f t="shared" si="48"/>
        <v>8</v>
      </c>
      <c r="K1587" s="1" t="s">
        <v>3665</v>
      </c>
      <c r="L1587" s="35" t="s">
        <v>798</v>
      </c>
      <c r="M1587">
        <f t="shared" si="49"/>
        <v>9</v>
      </c>
      <c r="N1587" t="s">
        <v>650</v>
      </c>
    </row>
    <row r="1588" spans="1:14" hidden="1" x14ac:dyDescent="0.3">
      <c r="A1588" s="1" t="s">
        <v>4092</v>
      </c>
      <c r="B1588" s="1" t="s">
        <v>1205</v>
      </c>
      <c r="C1588" s="1" t="s">
        <v>4093</v>
      </c>
      <c r="D1588" s="1" t="s">
        <v>738</v>
      </c>
      <c r="E1588" s="1" t="s">
        <v>812</v>
      </c>
      <c r="F1588" s="1" t="s">
        <v>813</v>
      </c>
      <c r="G1588" s="1" t="s">
        <v>1207</v>
      </c>
      <c r="H1588">
        <v>2020</v>
      </c>
      <c r="I1588">
        <v>2022</v>
      </c>
      <c r="J1588">
        <f t="shared" si="48"/>
        <v>3</v>
      </c>
      <c r="K1588" s="1" t="s">
        <v>3665</v>
      </c>
      <c r="L1588" s="35" t="s">
        <v>798</v>
      </c>
      <c r="M1588">
        <f t="shared" si="49"/>
        <v>4</v>
      </c>
      <c r="N1588" t="s">
        <v>650</v>
      </c>
    </row>
    <row r="1589" spans="1:14" hidden="1" x14ac:dyDescent="0.3">
      <c r="A1589" s="1" t="s">
        <v>4094</v>
      </c>
      <c r="B1589" s="1" t="s">
        <v>1205</v>
      </c>
      <c r="C1589" s="1" t="s">
        <v>4095</v>
      </c>
      <c r="D1589" s="1" t="s">
        <v>738</v>
      </c>
      <c r="E1589" s="1" t="s">
        <v>812</v>
      </c>
      <c r="F1589" s="1" t="s">
        <v>813</v>
      </c>
      <c r="G1589" s="1" t="s">
        <v>1207</v>
      </c>
      <c r="H1589">
        <v>2016</v>
      </c>
      <c r="I1589">
        <v>2019</v>
      </c>
      <c r="J1589">
        <f t="shared" si="48"/>
        <v>4</v>
      </c>
      <c r="K1589" s="1" t="s">
        <v>3665</v>
      </c>
      <c r="L1589" s="35" t="s">
        <v>798</v>
      </c>
      <c r="M1589">
        <f t="shared" si="49"/>
        <v>7</v>
      </c>
      <c r="N1589" t="s">
        <v>650</v>
      </c>
    </row>
    <row r="1590" spans="1:14" hidden="1" x14ac:dyDescent="0.3">
      <c r="A1590" s="1" t="s">
        <v>4096</v>
      </c>
      <c r="B1590" s="1" t="s">
        <v>1205</v>
      </c>
      <c r="C1590" s="1" t="s">
        <v>4097</v>
      </c>
      <c r="D1590" s="1" t="s">
        <v>738</v>
      </c>
      <c r="E1590" s="1" t="s">
        <v>812</v>
      </c>
      <c r="F1590" s="1" t="s">
        <v>813</v>
      </c>
      <c r="G1590" s="1" t="s">
        <v>1207</v>
      </c>
      <c r="H1590">
        <v>2017</v>
      </c>
      <c r="I1590">
        <v>2017</v>
      </c>
      <c r="J1590">
        <f t="shared" si="48"/>
        <v>1</v>
      </c>
      <c r="K1590" s="1" t="s">
        <v>3665</v>
      </c>
      <c r="L1590" s="35" t="s">
        <v>798</v>
      </c>
      <c r="M1590">
        <f t="shared" si="49"/>
        <v>9</v>
      </c>
      <c r="N1590" t="s">
        <v>650</v>
      </c>
    </row>
    <row r="1591" spans="1:14" x14ac:dyDescent="0.3">
      <c r="A1591" t="s">
        <v>12325</v>
      </c>
      <c r="B1591" t="s">
        <v>1205</v>
      </c>
      <c r="C1591" t="s">
        <v>12326</v>
      </c>
      <c r="E1591" s="1" t="s">
        <v>6076</v>
      </c>
      <c r="F1591" s="1" t="s">
        <v>6076</v>
      </c>
      <c r="G1591" s="1" t="s">
        <v>12329</v>
      </c>
      <c r="H1591">
        <v>2024</v>
      </c>
      <c r="I1591">
        <v>2026</v>
      </c>
      <c r="J1591">
        <f t="shared" si="48"/>
        <v>3</v>
      </c>
      <c r="K1591" s="1" t="s">
        <v>6076</v>
      </c>
      <c r="L1591" s="35" t="s">
        <v>6076</v>
      </c>
      <c r="M1591">
        <f t="shared" si="49"/>
        <v>0</v>
      </c>
    </row>
    <row r="1592" spans="1:14" x14ac:dyDescent="0.3">
      <c r="A1592" t="s">
        <v>12327</v>
      </c>
      <c r="B1592" t="s">
        <v>1205</v>
      </c>
      <c r="C1592" t="s">
        <v>12328</v>
      </c>
      <c r="E1592" s="1" t="s">
        <v>6076</v>
      </c>
      <c r="F1592" s="1" t="s">
        <v>6076</v>
      </c>
      <c r="G1592" s="1" t="s">
        <v>12329</v>
      </c>
      <c r="H1592">
        <v>2024</v>
      </c>
      <c r="I1592">
        <v>2026</v>
      </c>
      <c r="J1592">
        <f t="shared" si="48"/>
        <v>3</v>
      </c>
      <c r="K1592" s="1" t="s">
        <v>6076</v>
      </c>
      <c r="L1592" s="35" t="s">
        <v>6076</v>
      </c>
      <c r="M1592">
        <f t="shared" si="49"/>
        <v>0</v>
      </c>
    </row>
    <row r="1593" spans="1:14" hidden="1" x14ac:dyDescent="0.3">
      <c r="A1593" s="1" t="s">
        <v>4098</v>
      </c>
      <c r="B1593" s="1" t="s">
        <v>1205</v>
      </c>
      <c r="C1593" s="1" t="s">
        <v>4099</v>
      </c>
      <c r="D1593" s="1" t="s">
        <v>738</v>
      </c>
      <c r="E1593" s="1" t="s">
        <v>812</v>
      </c>
      <c r="F1593" s="1" t="s">
        <v>813</v>
      </c>
      <c r="G1593" s="1" t="s">
        <v>1207</v>
      </c>
      <c r="H1593">
        <v>2022</v>
      </c>
      <c r="I1593">
        <v>2022</v>
      </c>
      <c r="J1593">
        <f t="shared" si="48"/>
        <v>1</v>
      </c>
      <c r="K1593" s="1" t="s">
        <v>3665</v>
      </c>
      <c r="L1593" s="35" t="s">
        <v>659</v>
      </c>
      <c r="M1593">
        <f t="shared" si="49"/>
        <v>4</v>
      </c>
      <c r="N1593" t="s">
        <v>650</v>
      </c>
    </row>
    <row r="1594" spans="1:14" x14ac:dyDescent="0.3">
      <c r="A1594" s="1" t="s">
        <v>7433</v>
      </c>
      <c r="B1594" s="1" t="s">
        <v>1205</v>
      </c>
      <c r="C1594" s="1" t="s">
        <v>7434</v>
      </c>
      <c r="D1594" s="1" t="s">
        <v>738</v>
      </c>
      <c r="E1594" s="1" t="s">
        <v>6076</v>
      </c>
      <c r="F1594" s="1" t="s">
        <v>6076</v>
      </c>
      <c r="G1594" s="1" t="s">
        <v>1207</v>
      </c>
      <c r="H1594">
        <v>1993</v>
      </c>
      <c r="I1594">
        <v>1998</v>
      </c>
      <c r="J1594">
        <f t="shared" si="48"/>
        <v>6</v>
      </c>
      <c r="K1594" s="1" t="s">
        <v>6076</v>
      </c>
      <c r="L1594" s="35" t="s">
        <v>6076</v>
      </c>
      <c r="M1594">
        <f t="shared" si="49"/>
        <v>28</v>
      </c>
      <c r="N1594" t="s">
        <v>640</v>
      </c>
    </row>
    <row r="1595" spans="1:14" x14ac:dyDescent="0.3">
      <c r="A1595" s="1" t="s">
        <v>7435</v>
      </c>
      <c r="B1595" s="1" t="s">
        <v>1205</v>
      </c>
      <c r="C1595" s="1" t="s">
        <v>7436</v>
      </c>
      <c r="D1595" s="1" t="s">
        <v>738</v>
      </c>
      <c r="E1595" s="1" t="s">
        <v>6076</v>
      </c>
      <c r="F1595" s="1" t="s">
        <v>6076</v>
      </c>
      <c r="G1595" s="1" t="s">
        <v>1207</v>
      </c>
      <c r="H1595">
        <v>1995</v>
      </c>
      <c r="I1595">
        <v>1997</v>
      </c>
      <c r="J1595">
        <f t="shared" si="48"/>
        <v>3</v>
      </c>
      <c r="K1595" s="1" t="s">
        <v>6076</v>
      </c>
      <c r="L1595" s="35" t="s">
        <v>6076</v>
      </c>
      <c r="M1595">
        <f t="shared" si="49"/>
        <v>29</v>
      </c>
      <c r="N1595" t="s">
        <v>640</v>
      </c>
    </row>
    <row r="1596" spans="1:14" hidden="1" x14ac:dyDescent="0.3">
      <c r="A1596" s="1" t="s">
        <v>4100</v>
      </c>
      <c r="B1596" s="1" t="s">
        <v>1205</v>
      </c>
      <c r="C1596" s="1" t="s">
        <v>4101</v>
      </c>
      <c r="D1596" s="1" t="s">
        <v>738</v>
      </c>
      <c r="E1596" s="1" t="s">
        <v>812</v>
      </c>
      <c r="F1596" s="1" t="s">
        <v>813</v>
      </c>
      <c r="G1596" s="1" t="s">
        <v>1207</v>
      </c>
      <c r="H1596">
        <v>2007</v>
      </c>
      <c r="I1596">
        <v>2007</v>
      </c>
      <c r="J1596">
        <f t="shared" si="48"/>
        <v>1</v>
      </c>
      <c r="K1596" s="1" t="s">
        <v>3665</v>
      </c>
      <c r="L1596" s="35" t="s">
        <v>649</v>
      </c>
      <c r="M1596">
        <f t="shared" si="49"/>
        <v>19</v>
      </c>
      <c r="N1596" t="s">
        <v>650</v>
      </c>
    </row>
    <row r="1597" spans="1:14" hidden="1" x14ac:dyDescent="0.3">
      <c r="A1597" s="1" t="s">
        <v>4102</v>
      </c>
      <c r="B1597" s="1" t="s">
        <v>1205</v>
      </c>
      <c r="C1597" s="1" t="s">
        <v>4103</v>
      </c>
      <c r="D1597" s="1" t="s">
        <v>738</v>
      </c>
      <c r="E1597" s="1" t="s">
        <v>812</v>
      </c>
      <c r="F1597" s="1" t="s">
        <v>813</v>
      </c>
      <c r="G1597" s="1" t="s">
        <v>1207</v>
      </c>
      <c r="H1597">
        <v>2007</v>
      </c>
      <c r="I1597">
        <v>2007</v>
      </c>
      <c r="J1597">
        <f t="shared" si="48"/>
        <v>1</v>
      </c>
      <c r="K1597" s="1" t="s">
        <v>3665</v>
      </c>
      <c r="L1597" s="35" t="s">
        <v>649</v>
      </c>
      <c r="M1597">
        <f t="shared" si="49"/>
        <v>19</v>
      </c>
      <c r="N1597" t="s">
        <v>650</v>
      </c>
    </row>
    <row r="1598" spans="1:14" x14ac:dyDescent="0.3">
      <c r="A1598" s="1" t="s">
        <v>7437</v>
      </c>
      <c r="B1598" s="1" t="s">
        <v>1205</v>
      </c>
      <c r="C1598" s="1" t="s">
        <v>7438</v>
      </c>
      <c r="D1598" s="1" t="s">
        <v>738</v>
      </c>
      <c r="E1598" s="1" t="s">
        <v>6076</v>
      </c>
      <c r="F1598" s="1" t="s">
        <v>6076</v>
      </c>
      <c r="G1598" s="1" t="s">
        <v>1207</v>
      </c>
      <c r="H1598">
        <v>1999</v>
      </c>
      <c r="I1598">
        <v>2002</v>
      </c>
      <c r="J1598">
        <f t="shared" si="48"/>
        <v>4</v>
      </c>
      <c r="K1598" s="1" t="s">
        <v>6076</v>
      </c>
      <c r="L1598" s="35" t="s">
        <v>6076</v>
      </c>
      <c r="M1598">
        <f t="shared" si="49"/>
        <v>24</v>
      </c>
      <c r="N1598" t="s">
        <v>650</v>
      </c>
    </row>
    <row r="1599" spans="1:14" x14ac:dyDescent="0.3">
      <c r="A1599" s="1" t="s">
        <v>7439</v>
      </c>
      <c r="B1599" s="1" t="s">
        <v>1205</v>
      </c>
      <c r="C1599" s="1" t="s">
        <v>7440</v>
      </c>
      <c r="D1599" s="1" t="s">
        <v>738</v>
      </c>
      <c r="E1599" s="1" t="s">
        <v>6076</v>
      </c>
      <c r="F1599" s="1" t="s">
        <v>6076</v>
      </c>
      <c r="G1599" s="1" t="s">
        <v>1207</v>
      </c>
      <c r="H1599">
        <v>1999</v>
      </c>
      <c r="I1599">
        <v>2002</v>
      </c>
      <c r="J1599">
        <f t="shared" si="48"/>
        <v>4</v>
      </c>
      <c r="K1599" s="1" t="s">
        <v>6076</v>
      </c>
      <c r="L1599" s="35" t="s">
        <v>6076</v>
      </c>
      <c r="M1599">
        <f t="shared" si="49"/>
        <v>24</v>
      </c>
      <c r="N1599" t="s">
        <v>650</v>
      </c>
    </row>
    <row r="1600" spans="1:14" x14ac:dyDescent="0.3">
      <c r="A1600" s="1" t="s">
        <v>7441</v>
      </c>
      <c r="B1600" s="1" t="s">
        <v>1205</v>
      </c>
      <c r="C1600" s="1" t="s">
        <v>7442</v>
      </c>
      <c r="D1600" s="1" t="s">
        <v>738</v>
      </c>
      <c r="E1600" s="1" t="s">
        <v>6076</v>
      </c>
      <c r="F1600" s="1" t="s">
        <v>6076</v>
      </c>
      <c r="G1600" s="1" t="s">
        <v>1207</v>
      </c>
      <c r="H1600">
        <v>1993</v>
      </c>
      <c r="I1600">
        <v>1999</v>
      </c>
      <c r="J1600">
        <f t="shared" si="48"/>
        <v>7</v>
      </c>
      <c r="K1600" s="1" t="s">
        <v>6076</v>
      </c>
      <c r="L1600" s="35" t="s">
        <v>6076</v>
      </c>
      <c r="M1600">
        <f t="shared" si="49"/>
        <v>27</v>
      </c>
      <c r="N1600" t="s">
        <v>640</v>
      </c>
    </row>
    <row r="1601" spans="1:14" x14ac:dyDescent="0.3">
      <c r="A1601" s="1" t="s">
        <v>7443</v>
      </c>
      <c r="B1601" s="1" t="s">
        <v>1205</v>
      </c>
      <c r="C1601" s="1" t="s">
        <v>7444</v>
      </c>
      <c r="D1601" s="1" t="s">
        <v>738</v>
      </c>
      <c r="E1601" s="1" t="s">
        <v>6076</v>
      </c>
      <c r="F1601" s="1" t="s">
        <v>6076</v>
      </c>
      <c r="G1601" s="1" t="s">
        <v>1207</v>
      </c>
      <c r="H1601">
        <v>1993</v>
      </c>
      <c r="I1601">
        <v>1999</v>
      </c>
      <c r="J1601">
        <f t="shared" si="48"/>
        <v>7</v>
      </c>
      <c r="K1601" s="1" t="s">
        <v>6076</v>
      </c>
      <c r="L1601" s="35" t="s">
        <v>6076</v>
      </c>
      <c r="M1601">
        <f t="shared" si="49"/>
        <v>27</v>
      </c>
      <c r="N1601" t="s">
        <v>640</v>
      </c>
    </row>
    <row r="1602" spans="1:14" hidden="1" x14ac:dyDescent="0.3">
      <c r="A1602" s="1" t="s">
        <v>4104</v>
      </c>
      <c r="B1602" s="1" t="s">
        <v>1205</v>
      </c>
      <c r="C1602" s="1" t="s">
        <v>4105</v>
      </c>
      <c r="D1602" s="1" t="s">
        <v>738</v>
      </c>
      <c r="E1602" s="1" t="s">
        <v>812</v>
      </c>
      <c r="F1602" s="1" t="s">
        <v>813</v>
      </c>
      <c r="G1602" s="1" t="s">
        <v>1207</v>
      </c>
      <c r="H1602">
        <v>1999</v>
      </c>
      <c r="I1602">
        <v>2010</v>
      </c>
      <c r="J1602">
        <f t="shared" si="48"/>
        <v>12</v>
      </c>
      <c r="K1602" s="1" t="s">
        <v>3665</v>
      </c>
      <c r="L1602" s="35" t="s">
        <v>666</v>
      </c>
      <c r="M1602">
        <f t="shared" si="49"/>
        <v>16</v>
      </c>
      <c r="N1602" t="s">
        <v>650</v>
      </c>
    </row>
    <row r="1603" spans="1:14" hidden="1" x14ac:dyDescent="0.3">
      <c r="A1603" s="1" t="s">
        <v>1204</v>
      </c>
      <c r="B1603" s="1" t="s">
        <v>1205</v>
      </c>
      <c r="C1603" s="1" t="s">
        <v>1206</v>
      </c>
      <c r="D1603" s="1" t="s">
        <v>738</v>
      </c>
      <c r="E1603" s="1" t="s">
        <v>812</v>
      </c>
      <c r="F1603" s="1" t="s">
        <v>813</v>
      </c>
      <c r="G1603" s="1" t="s">
        <v>1207</v>
      </c>
      <c r="H1603">
        <v>1999</v>
      </c>
      <c r="I1603">
        <v>2010</v>
      </c>
      <c r="J1603">
        <f t="shared" si="48"/>
        <v>12</v>
      </c>
      <c r="K1603" s="1" t="s">
        <v>741</v>
      </c>
      <c r="L1603" s="35" t="s">
        <v>666</v>
      </c>
      <c r="M1603">
        <f t="shared" si="49"/>
        <v>16</v>
      </c>
      <c r="N1603" t="s">
        <v>650</v>
      </c>
    </row>
    <row r="1604" spans="1:14" hidden="1" x14ac:dyDescent="0.3">
      <c r="A1604" s="1" t="s">
        <v>4106</v>
      </c>
      <c r="B1604" s="1" t="s">
        <v>1205</v>
      </c>
      <c r="C1604" s="1" t="s">
        <v>4107</v>
      </c>
      <c r="D1604" s="1" t="s">
        <v>738</v>
      </c>
      <c r="E1604" s="1" t="s">
        <v>812</v>
      </c>
      <c r="F1604" s="1" t="s">
        <v>813</v>
      </c>
      <c r="G1604" s="1" t="s">
        <v>1207</v>
      </c>
      <c r="H1604">
        <v>2011</v>
      </c>
      <c r="I1604">
        <v>2022</v>
      </c>
      <c r="J1604">
        <f t="shared" si="48"/>
        <v>12</v>
      </c>
      <c r="K1604" s="1" t="s">
        <v>3665</v>
      </c>
      <c r="L1604" s="35" t="s">
        <v>798</v>
      </c>
      <c r="M1604">
        <f t="shared" si="49"/>
        <v>4</v>
      </c>
      <c r="N1604" t="s">
        <v>650</v>
      </c>
    </row>
    <row r="1605" spans="1:14" hidden="1" x14ac:dyDescent="0.3">
      <c r="A1605" s="1" t="s">
        <v>4108</v>
      </c>
      <c r="B1605" s="1" t="s">
        <v>1205</v>
      </c>
      <c r="C1605" s="1" t="s">
        <v>4109</v>
      </c>
      <c r="D1605" s="1" t="s">
        <v>738</v>
      </c>
      <c r="E1605" s="1" t="s">
        <v>812</v>
      </c>
      <c r="F1605" s="1" t="s">
        <v>813</v>
      </c>
      <c r="G1605" s="1" t="s">
        <v>1207</v>
      </c>
      <c r="H1605">
        <v>2003</v>
      </c>
      <c r="I1605">
        <v>2010</v>
      </c>
      <c r="J1605">
        <f t="shared" si="48"/>
        <v>8</v>
      </c>
      <c r="K1605" s="1" t="s">
        <v>3665</v>
      </c>
      <c r="L1605" s="35" t="s">
        <v>666</v>
      </c>
      <c r="M1605">
        <f t="shared" si="49"/>
        <v>16</v>
      </c>
      <c r="N1605" t="s">
        <v>650</v>
      </c>
    </row>
    <row r="1606" spans="1:14" hidden="1" x14ac:dyDescent="0.3">
      <c r="A1606" s="1" t="s">
        <v>4110</v>
      </c>
      <c r="B1606" s="1" t="s">
        <v>1205</v>
      </c>
      <c r="C1606" s="1" t="s">
        <v>4111</v>
      </c>
      <c r="D1606" s="1" t="s">
        <v>738</v>
      </c>
      <c r="E1606" s="1" t="s">
        <v>812</v>
      </c>
      <c r="F1606" s="1" t="s">
        <v>813</v>
      </c>
      <c r="G1606" s="1" t="s">
        <v>1207</v>
      </c>
      <c r="H1606">
        <v>2003</v>
      </c>
      <c r="I1606">
        <v>2010</v>
      </c>
      <c r="J1606">
        <f t="shared" ref="J1606:J1669" si="50">1+(I1606-H1606)</f>
        <v>8</v>
      </c>
      <c r="K1606" s="1" t="s">
        <v>3665</v>
      </c>
      <c r="L1606" s="35" t="s">
        <v>666</v>
      </c>
      <c r="M1606">
        <f t="shared" ref="M1606:M1669" si="51">IF(I1606=0,0,$B$2-I1606)</f>
        <v>16</v>
      </c>
      <c r="N1606" t="s">
        <v>650</v>
      </c>
    </row>
    <row r="1607" spans="1:14" hidden="1" x14ac:dyDescent="0.3">
      <c r="A1607" s="1" t="s">
        <v>4112</v>
      </c>
      <c r="B1607" s="1" t="s">
        <v>1205</v>
      </c>
      <c r="C1607" s="1" t="s">
        <v>4113</v>
      </c>
      <c r="D1607" s="1" t="s">
        <v>738</v>
      </c>
      <c r="E1607" s="1" t="s">
        <v>812</v>
      </c>
      <c r="F1607" s="1" t="s">
        <v>813</v>
      </c>
      <c r="G1607" s="1" t="s">
        <v>1207</v>
      </c>
      <c r="H1607">
        <v>1999</v>
      </c>
      <c r="I1607">
        <v>2014</v>
      </c>
      <c r="J1607">
        <f t="shared" si="50"/>
        <v>16</v>
      </c>
      <c r="K1607" s="1" t="s">
        <v>3665</v>
      </c>
      <c r="L1607" s="35" t="s">
        <v>666</v>
      </c>
      <c r="M1607">
        <f t="shared" si="51"/>
        <v>12</v>
      </c>
      <c r="N1607" t="s">
        <v>650</v>
      </c>
    </row>
    <row r="1608" spans="1:14" hidden="1" x14ac:dyDescent="0.3">
      <c r="A1608" s="1" t="s">
        <v>4114</v>
      </c>
      <c r="B1608" s="1" t="s">
        <v>1205</v>
      </c>
      <c r="C1608" s="1" t="s">
        <v>4115</v>
      </c>
      <c r="D1608" s="1" t="s">
        <v>738</v>
      </c>
      <c r="E1608" s="1" t="s">
        <v>812</v>
      </c>
      <c r="F1608" s="1" t="s">
        <v>813</v>
      </c>
      <c r="G1608" s="1" t="s">
        <v>1207</v>
      </c>
      <c r="H1608">
        <v>1999</v>
      </c>
      <c r="I1608">
        <v>2014</v>
      </c>
      <c r="J1608">
        <f t="shared" si="50"/>
        <v>16</v>
      </c>
      <c r="K1608" s="1" t="s">
        <v>3665</v>
      </c>
      <c r="L1608" s="35" t="s">
        <v>666</v>
      </c>
      <c r="M1608">
        <f t="shared" si="51"/>
        <v>12</v>
      </c>
      <c r="N1608" t="s">
        <v>650</v>
      </c>
    </row>
    <row r="1609" spans="1:14" hidden="1" x14ac:dyDescent="0.3">
      <c r="A1609" s="1" t="s">
        <v>4116</v>
      </c>
      <c r="B1609" s="1" t="s">
        <v>1205</v>
      </c>
      <c r="C1609" s="1" t="s">
        <v>4117</v>
      </c>
      <c r="D1609" s="1" t="s">
        <v>738</v>
      </c>
      <c r="E1609" s="1" t="s">
        <v>812</v>
      </c>
      <c r="F1609" s="1" t="s">
        <v>813</v>
      </c>
      <c r="G1609" s="1" t="s">
        <v>1207</v>
      </c>
      <c r="H1609">
        <v>2013</v>
      </c>
      <c r="I1609">
        <v>2019</v>
      </c>
      <c r="J1609">
        <f t="shared" si="50"/>
        <v>7</v>
      </c>
      <c r="K1609" s="1" t="s">
        <v>3665</v>
      </c>
      <c r="L1609" s="35" t="s">
        <v>659</v>
      </c>
      <c r="M1609">
        <f t="shared" si="51"/>
        <v>7</v>
      </c>
      <c r="N1609" t="s">
        <v>650</v>
      </c>
    </row>
    <row r="1610" spans="1:14" x14ac:dyDescent="0.3">
      <c r="A1610" s="1" t="s">
        <v>7445</v>
      </c>
      <c r="B1610" s="1" t="s">
        <v>1205</v>
      </c>
      <c r="C1610" s="1" t="s">
        <v>7446</v>
      </c>
      <c r="D1610" s="1" t="s">
        <v>738</v>
      </c>
      <c r="E1610" s="1" t="s">
        <v>6076</v>
      </c>
      <c r="F1610" s="1" t="s">
        <v>6076</v>
      </c>
      <c r="G1610" s="1" t="s">
        <v>7447</v>
      </c>
      <c r="H1610">
        <v>1992</v>
      </c>
      <c r="I1610">
        <v>1993</v>
      </c>
      <c r="J1610">
        <f t="shared" si="50"/>
        <v>2</v>
      </c>
      <c r="K1610" s="1" t="s">
        <v>6076</v>
      </c>
      <c r="L1610" s="1" t="s">
        <v>6076</v>
      </c>
      <c r="M1610">
        <f t="shared" si="51"/>
        <v>33</v>
      </c>
      <c r="N1610" t="s">
        <v>640</v>
      </c>
    </row>
    <row r="1611" spans="1:14" x14ac:dyDescent="0.3">
      <c r="A1611" s="1" t="s">
        <v>7448</v>
      </c>
      <c r="B1611" s="1" t="s">
        <v>1205</v>
      </c>
      <c r="C1611" s="1" t="s">
        <v>7449</v>
      </c>
      <c r="D1611" s="1" t="s">
        <v>738</v>
      </c>
      <c r="E1611" s="1" t="s">
        <v>6076</v>
      </c>
      <c r="F1611" s="1" t="s">
        <v>6076</v>
      </c>
      <c r="G1611" s="1" t="s">
        <v>7447</v>
      </c>
      <c r="H1611">
        <v>1996</v>
      </c>
      <c r="I1611">
        <v>2000</v>
      </c>
      <c r="J1611">
        <f t="shared" si="50"/>
        <v>5</v>
      </c>
      <c r="K1611" s="1" t="s">
        <v>6076</v>
      </c>
      <c r="L1611" s="1" t="s">
        <v>6076</v>
      </c>
      <c r="M1611">
        <f t="shared" si="51"/>
        <v>26</v>
      </c>
      <c r="N1611" t="s">
        <v>640</v>
      </c>
    </row>
    <row r="1612" spans="1:14" x14ac:dyDescent="0.3">
      <c r="A1612" s="1" t="s">
        <v>7450</v>
      </c>
      <c r="B1612" s="1" t="s">
        <v>1205</v>
      </c>
      <c r="C1612" s="1" t="s">
        <v>7451</v>
      </c>
      <c r="D1612" s="1" t="s">
        <v>738</v>
      </c>
      <c r="E1612" s="1" t="s">
        <v>6076</v>
      </c>
      <c r="F1612" s="1" t="s">
        <v>6076</v>
      </c>
      <c r="G1612" s="1" t="s">
        <v>7447</v>
      </c>
      <c r="H1612">
        <v>1996</v>
      </c>
      <c r="I1612">
        <v>2000</v>
      </c>
      <c r="J1612">
        <f t="shared" si="50"/>
        <v>5</v>
      </c>
      <c r="K1612" s="1" t="s">
        <v>6076</v>
      </c>
      <c r="L1612" s="1" t="s">
        <v>6076</v>
      </c>
      <c r="M1612">
        <f t="shared" si="51"/>
        <v>26</v>
      </c>
      <c r="N1612" t="s">
        <v>640</v>
      </c>
    </row>
    <row r="1613" spans="1:14" x14ac:dyDescent="0.3">
      <c r="A1613" s="1" t="s">
        <v>7452</v>
      </c>
      <c r="B1613" s="1" t="s">
        <v>810</v>
      </c>
      <c r="C1613" s="1" t="s">
        <v>7453</v>
      </c>
      <c r="D1613" s="1" t="s">
        <v>738</v>
      </c>
      <c r="E1613" s="1" t="s">
        <v>6076</v>
      </c>
      <c r="F1613" s="1" t="s">
        <v>6076</v>
      </c>
      <c r="G1613" s="1" t="s">
        <v>7454</v>
      </c>
      <c r="H1613">
        <v>1991</v>
      </c>
      <c r="I1613">
        <v>1992</v>
      </c>
      <c r="J1613">
        <f t="shared" si="50"/>
        <v>2</v>
      </c>
      <c r="K1613" s="1" t="s">
        <v>6076</v>
      </c>
      <c r="L1613" s="1" t="s">
        <v>6076</v>
      </c>
      <c r="M1613">
        <f t="shared" si="51"/>
        <v>34</v>
      </c>
      <c r="N1613" t="s">
        <v>640</v>
      </c>
    </row>
    <row r="1614" spans="1:14" x14ac:dyDescent="0.3">
      <c r="A1614" s="1" t="s">
        <v>7455</v>
      </c>
      <c r="B1614" s="1" t="s">
        <v>810</v>
      </c>
      <c r="C1614" s="1" t="s">
        <v>7456</v>
      </c>
      <c r="D1614" s="1" t="s">
        <v>738</v>
      </c>
      <c r="E1614" s="1" t="s">
        <v>6076</v>
      </c>
      <c r="F1614" s="1" t="s">
        <v>6076</v>
      </c>
      <c r="G1614" s="1" t="s">
        <v>7454</v>
      </c>
      <c r="H1614">
        <v>1991</v>
      </c>
      <c r="I1614">
        <v>1992</v>
      </c>
      <c r="J1614">
        <f t="shared" si="50"/>
        <v>2</v>
      </c>
      <c r="K1614" s="1" t="s">
        <v>6076</v>
      </c>
      <c r="L1614" s="1" t="s">
        <v>6076</v>
      </c>
      <c r="M1614">
        <f t="shared" si="51"/>
        <v>34</v>
      </c>
      <c r="N1614" t="s">
        <v>640</v>
      </c>
    </row>
    <row r="1615" spans="1:14" hidden="1" x14ac:dyDescent="0.3">
      <c r="A1615" s="1" t="s">
        <v>1208</v>
      </c>
      <c r="B1615" s="1" t="s">
        <v>795</v>
      </c>
      <c r="C1615" s="1" t="s">
        <v>1209</v>
      </c>
      <c r="D1615" s="1" t="s">
        <v>644</v>
      </c>
      <c r="E1615" s="1" t="s">
        <v>674</v>
      </c>
      <c r="F1615" s="1" t="s">
        <v>675</v>
      </c>
      <c r="G1615" s="1" t="s">
        <v>939</v>
      </c>
      <c r="H1615">
        <v>2000</v>
      </c>
      <c r="I1615">
        <v>2002</v>
      </c>
      <c r="J1615">
        <f t="shared" si="50"/>
        <v>3</v>
      </c>
      <c r="K1615" s="1" t="s">
        <v>741</v>
      </c>
      <c r="L1615" s="1" t="s">
        <v>798</v>
      </c>
      <c r="M1615">
        <f t="shared" si="51"/>
        <v>24</v>
      </c>
      <c r="N1615" t="s">
        <v>640</v>
      </c>
    </row>
    <row r="1616" spans="1:14" hidden="1" x14ac:dyDescent="0.3">
      <c r="A1616" s="1" t="s">
        <v>1210</v>
      </c>
      <c r="B1616" s="1" t="s">
        <v>795</v>
      </c>
      <c r="C1616" s="1" t="s">
        <v>1211</v>
      </c>
      <c r="D1616" s="1" t="s">
        <v>746</v>
      </c>
      <c r="E1616" s="1" t="s">
        <v>747</v>
      </c>
      <c r="F1616" s="1" t="s">
        <v>748</v>
      </c>
      <c r="G1616" s="1" t="s">
        <v>939</v>
      </c>
      <c r="H1616">
        <v>1994</v>
      </c>
      <c r="I1616">
        <v>2000</v>
      </c>
      <c r="J1616">
        <f t="shared" si="50"/>
        <v>7</v>
      </c>
      <c r="K1616" s="1" t="s">
        <v>741</v>
      </c>
      <c r="L1616" s="1" t="s">
        <v>798</v>
      </c>
      <c r="M1616">
        <f t="shared" si="51"/>
        <v>26</v>
      </c>
      <c r="N1616" t="s">
        <v>640</v>
      </c>
    </row>
    <row r="1617" spans="1:14" hidden="1" x14ac:dyDescent="0.3">
      <c r="A1617" s="1" t="s">
        <v>1212</v>
      </c>
      <c r="B1617" s="1" t="s">
        <v>795</v>
      </c>
      <c r="C1617" s="1" t="s">
        <v>1213</v>
      </c>
      <c r="D1617" s="1" t="s">
        <v>738</v>
      </c>
      <c r="E1617" s="1" t="s">
        <v>739</v>
      </c>
      <c r="F1617" s="1" t="s">
        <v>781</v>
      </c>
      <c r="G1617" s="1" t="s">
        <v>939</v>
      </c>
      <c r="H1617">
        <v>1999</v>
      </c>
      <c r="I1617">
        <v>2001</v>
      </c>
      <c r="J1617">
        <f t="shared" si="50"/>
        <v>3</v>
      </c>
      <c r="K1617" s="1" t="s">
        <v>741</v>
      </c>
      <c r="L1617" s="1" t="s">
        <v>798</v>
      </c>
      <c r="M1617">
        <f t="shared" si="51"/>
        <v>25</v>
      </c>
      <c r="N1617" t="s">
        <v>640</v>
      </c>
    </row>
    <row r="1618" spans="1:14" hidden="1" x14ac:dyDescent="0.3">
      <c r="A1618" s="1" t="s">
        <v>1214</v>
      </c>
      <c r="B1618" s="1" t="s">
        <v>795</v>
      </c>
      <c r="C1618" s="1" t="s">
        <v>1215</v>
      </c>
      <c r="D1618" s="1" t="s">
        <v>746</v>
      </c>
      <c r="E1618" s="1" t="s">
        <v>747</v>
      </c>
      <c r="F1618" s="1" t="s">
        <v>748</v>
      </c>
      <c r="G1618" s="1" t="s">
        <v>939</v>
      </c>
      <c r="H1618">
        <v>1995</v>
      </c>
      <c r="I1618">
        <v>1996</v>
      </c>
      <c r="J1618">
        <f t="shared" si="50"/>
        <v>2</v>
      </c>
      <c r="K1618" s="1" t="s">
        <v>741</v>
      </c>
      <c r="L1618" s="1" t="s">
        <v>798</v>
      </c>
      <c r="M1618">
        <f t="shared" si="51"/>
        <v>30</v>
      </c>
      <c r="N1618" t="s">
        <v>640</v>
      </c>
    </row>
    <row r="1619" spans="1:14" hidden="1" x14ac:dyDescent="0.3">
      <c r="A1619" s="1" t="s">
        <v>1216</v>
      </c>
      <c r="B1619" s="1" t="s">
        <v>795</v>
      </c>
      <c r="C1619" s="1" t="s">
        <v>1217</v>
      </c>
      <c r="D1619" s="1" t="s">
        <v>746</v>
      </c>
      <c r="E1619" s="1" t="s">
        <v>747</v>
      </c>
      <c r="F1619" s="1" t="s">
        <v>748</v>
      </c>
      <c r="G1619" s="1" t="s">
        <v>939</v>
      </c>
      <c r="H1619">
        <v>2005</v>
      </c>
      <c r="I1619">
        <v>2009</v>
      </c>
      <c r="J1619">
        <f t="shared" si="50"/>
        <v>5</v>
      </c>
      <c r="K1619" s="1" t="s">
        <v>741</v>
      </c>
      <c r="L1619" s="1" t="s">
        <v>798</v>
      </c>
      <c r="M1619">
        <f t="shared" si="51"/>
        <v>17</v>
      </c>
      <c r="N1619" t="s">
        <v>650</v>
      </c>
    </row>
    <row r="1620" spans="1:14" hidden="1" x14ac:dyDescent="0.3">
      <c r="A1620" s="1" t="s">
        <v>1218</v>
      </c>
      <c r="B1620" s="1" t="s">
        <v>795</v>
      </c>
      <c r="C1620" s="1" t="s">
        <v>1219</v>
      </c>
      <c r="D1620" s="1" t="s">
        <v>746</v>
      </c>
      <c r="E1620" s="1" t="s">
        <v>747</v>
      </c>
      <c r="F1620" s="1" t="s">
        <v>748</v>
      </c>
      <c r="G1620" s="1" t="s">
        <v>939</v>
      </c>
      <c r="H1620">
        <v>2005</v>
      </c>
      <c r="I1620">
        <v>2007</v>
      </c>
      <c r="J1620">
        <f t="shared" si="50"/>
        <v>3</v>
      </c>
      <c r="K1620" s="1" t="s">
        <v>741</v>
      </c>
      <c r="L1620" s="1" t="s">
        <v>798</v>
      </c>
      <c r="M1620">
        <f t="shared" si="51"/>
        <v>19</v>
      </c>
      <c r="N1620" t="s">
        <v>650</v>
      </c>
    </row>
    <row r="1621" spans="1:14" hidden="1" x14ac:dyDescent="0.3">
      <c r="A1621" s="1" t="s">
        <v>1220</v>
      </c>
      <c r="B1621" s="1" t="s">
        <v>795</v>
      </c>
      <c r="C1621" s="1" t="s">
        <v>1221</v>
      </c>
      <c r="D1621" s="1" t="s">
        <v>746</v>
      </c>
      <c r="E1621" s="1" t="s">
        <v>747</v>
      </c>
      <c r="F1621" s="1" t="s">
        <v>748</v>
      </c>
      <c r="G1621" s="1" t="s">
        <v>939</v>
      </c>
      <c r="H1621">
        <v>2005</v>
      </c>
      <c r="I1621">
        <v>2009</v>
      </c>
      <c r="J1621">
        <f t="shared" si="50"/>
        <v>5</v>
      </c>
      <c r="K1621" s="1" t="s">
        <v>741</v>
      </c>
      <c r="L1621" s="1" t="s">
        <v>798</v>
      </c>
      <c r="M1621">
        <f t="shared" si="51"/>
        <v>17</v>
      </c>
      <c r="N1621" t="s">
        <v>650</v>
      </c>
    </row>
    <row r="1622" spans="1:14" hidden="1" x14ac:dyDescent="0.3">
      <c r="A1622" s="1" t="s">
        <v>1222</v>
      </c>
      <c r="B1622" s="1" t="s">
        <v>795</v>
      </c>
      <c r="C1622" s="1" t="s">
        <v>1223</v>
      </c>
      <c r="D1622" s="1" t="s">
        <v>746</v>
      </c>
      <c r="E1622" s="1" t="s">
        <v>747</v>
      </c>
      <c r="F1622" s="1" t="s">
        <v>748</v>
      </c>
      <c r="G1622" s="1" t="s">
        <v>939</v>
      </c>
      <c r="H1622">
        <v>2008</v>
      </c>
      <c r="I1622">
        <v>2012</v>
      </c>
      <c r="J1622">
        <f t="shared" si="50"/>
        <v>5</v>
      </c>
      <c r="K1622" s="1" t="s">
        <v>741</v>
      </c>
      <c r="L1622" s="1" t="s">
        <v>798</v>
      </c>
      <c r="M1622">
        <f t="shared" si="51"/>
        <v>14</v>
      </c>
      <c r="N1622" t="s">
        <v>650</v>
      </c>
    </row>
    <row r="1623" spans="1:14" hidden="1" x14ac:dyDescent="0.3">
      <c r="A1623" s="1" t="s">
        <v>1224</v>
      </c>
      <c r="B1623" s="1" t="s">
        <v>795</v>
      </c>
      <c r="C1623" s="1" t="s">
        <v>1225</v>
      </c>
      <c r="D1623" s="1" t="s">
        <v>746</v>
      </c>
      <c r="E1623" s="1" t="s">
        <v>747</v>
      </c>
      <c r="F1623" s="1" t="s">
        <v>748</v>
      </c>
      <c r="G1623" s="1" t="s">
        <v>939</v>
      </c>
      <c r="H1623">
        <v>2005</v>
      </c>
      <c r="I1623">
        <v>2009</v>
      </c>
      <c r="J1623">
        <f t="shared" si="50"/>
        <v>5</v>
      </c>
      <c r="K1623" s="1" t="s">
        <v>741</v>
      </c>
      <c r="L1623" s="1" t="s">
        <v>798</v>
      </c>
      <c r="M1623">
        <f t="shared" si="51"/>
        <v>17</v>
      </c>
      <c r="N1623" t="s">
        <v>650</v>
      </c>
    </row>
    <row r="1624" spans="1:14" hidden="1" x14ac:dyDescent="0.3">
      <c r="A1624" s="1" t="s">
        <v>1226</v>
      </c>
      <c r="B1624" s="1" t="s">
        <v>795</v>
      </c>
      <c r="C1624" s="1" t="s">
        <v>1227</v>
      </c>
      <c r="D1624" s="1" t="s">
        <v>746</v>
      </c>
      <c r="E1624" s="1" t="s">
        <v>747</v>
      </c>
      <c r="F1624" s="1" t="s">
        <v>748</v>
      </c>
      <c r="G1624" s="1" t="s">
        <v>939</v>
      </c>
      <c r="H1624">
        <v>2005</v>
      </c>
      <c r="I1624">
        <v>2007</v>
      </c>
      <c r="J1624">
        <f t="shared" si="50"/>
        <v>3</v>
      </c>
      <c r="K1624" s="1" t="s">
        <v>741</v>
      </c>
      <c r="L1624" s="1" t="s">
        <v>798</v>
      </c>
      <c r="M1624">
        <f t="shared" si="51"/>
        <v>19</v>
      </c>
      <c r="N1624" t="s">
        <v>650</v>
      </c>
    </row>
    <row r="1625" spans="1:14" hidden="1" x14ac:dyDescent="0.3">
      <c r="A1625" s="1" t="s">
        <v>1228</v>
      </c>
      <c r="B1625" s="1" t="s">
        <v>795</v>
      </c>
      <c r="C1625" s="1" t="s">
        <v>1229</v>
      </c>
      <c r="D1625" s="1" t="s">
        <v>746</v>
      </c>
      <c r="E1625" s="1" t="s">
        <v>747</v>
      </c>
      <c r="F1625" s="1" t="s">
        <v>748</v>
      </c>
      <c r="G1625" s="1" t="s">
        <v>939</v>
      </c>
      <c r="H1625">
        <v>2008</v>
      </c>
      <c r="I1625">
        <v>2010</v>
      </c>
      <c r="J1625">
        <f t="shared" si="50"/>
        <v>3</v>
      </c>
      <c r="K1625" s="1" t="s">
        <v>741</v>
      </c>
      <c r="L1625" s="1" t="s">
        <v>798</v>
      </c>
      <c r="M1625">
        <f t="shared" si="51"/>
        <v>16</v>
      </c>
      <c r="N1625" t="s">
        <v>650</v>
      </c>
    </row>
    <row r="1626" spans="1:14" hidden="1" x14ac:dyDescent="0.3">
      <c r="A1626" s="1" t="s">
        <v>1230</v>
      </c>
      <c r="B1626" s="1" t="s">
        <v>795</v>
      </c>
      <c r="C1626" s="1" t="s">
        <v>1231</v>
      </c>
      <c r="D1626" s="1" t="s">
        <v>746</v>
      </c>
      <c r="E1626" s="1" t="s">
        <v>747</v>
      </c>
      <c r="F1626" s="1" t="s">
        <v>748</v>
      </c>
      <c r="G1626" s="1" t="s">
        <v>939</v>
      </c>
      <c r="H1626">
        <v>2006</v>
      </c>
      <c r="I1626">
        <v>2009</v>
      </c>
      <c r="J1626">
        <f t="shared" si="50"/>
        <v>4</v>
      </c>
      <c r="K1626" s="1" t="s">
        <v>741</v>
      </c>
      <c r="L1626" s="1" t="s">
        <v>798</v>
      </c>
      <c r="M1626">
        <f t="shared" si="51"/>
        <v>17</v>
      </c>
      <c r="N1626" t="s">
        <v>650</v>
      </c>
    </row>
    <row r="1627" spans="1:14" hidden="1" x14ac:dyDescent="0.3">
      <c r="A1627" s="1" t="s">
        <v>1232</v>
      </c>
      <c r="B1627" s="1" t="s">
        <v>795</v>
      </c>
      <c r="C1627" s="1" t="s">
        <v>1233</v>
      </c>
      <c r="D1627" s="1" t="s">
        <v>746</v>
      </c>
      <c r="E1627" s="1" t="s">
        <v>747</v>
      </c>
      <c r="F1627" s="1" t="s">
        <v>748</v>
      </c>
      <c r="G1627" s="1" t="s">
        <v>939</v>
      </c>
      <c r="H1627">
        <v>2005</v>
      </c>
      <c r="I1627">
        <v>2007</v>
      </c>
      <c r="J1627">
        <f t="shared" si="50"/>
        <v>3</v>
      </c>
      <c r="K1627" s="1" t="s">
        <v>741</v>
      </c>
      <c r="L1627" s="1" t="s">
        <v>798</v>
      </c>
      <c r="M1627">
        <f t="shared" si="51"/>
        <v>19</v>
      </c>
      <c r="N1627" t="s">
        <v>650</v>
      </c>
    </row>
    <row r="1628" spans="1:14" hidden="1" x14ac:dyDescent="0.3">
      <c r="A1628" s="1" t="s">
        <v>1234</v>
      </c>
      <c r="B1628" s="1" t="s">
        <v>795</v>
      </c>
      <c r="C1628" s="1" t="s">
        <v>1235</v>
      </c>
      <c r="D1628" s="1" t="s">
        <v>746</v>
      </c>
      <c r="E1628" s="1" t="s">
        <v>747</v>
      </c>
      <c r="F1628" s="1" t="s">
        <v>748</v>
      </c>
      <c r="G1628" s="1" t="s">
        <v>939</v>
      </c>
      <c r="H1628">
        <v>2002</v>
      </c>
      <c r="I1628">
        <v>2004</v>
      </c>
      <c r="J1628">
        <f t="shared" si="50"/>
        <v>3</v>
      </c>
      <c r="K1628" s="1" t="s">
        <v>741</v>
      </c>
      <c r="L1628" s="1" t="s">
        <v>798</v>
      </c>
      <c r="M1628">
        <f t="shared" si="51"/>
        <v>22</v>
      </c>
      <c r="N1628" t="s">
        <v>650</v>
      </c>
    </row>
    <row r="1629" spans="1:14" hidden="1" x14ac:dyDescent="0.3">
      <c r="A1629" s="1" t="s">
        <v>1236</v>
      </c>
      <c r="B1629" s="1" t="s">
        <v>795</v>
      </c>
      <c r="C1629" s="1" t="s">
        <v>1237</v>
      </c>
      <c r="D1629" s="1" t="s">
        <v>746</v>
      </c>
      <c r="E1629" s="1" t="s">
        <v>747</v>
      </c>
      <c r="F1629" s="1" t="s">
        <v>748</v>
      </c>
      <c r="G1629" s="1" t="s">
        <v>939</v>
      </c>
      <c r="H1629">
        <v>2002</v>
      </c>
      <c r="I1629">
        <v>2003</v>
      </c>
      <c r="J1629">
        <f t="shared" si="50"/>
        <v>2</v>
      </c>
      <c r="K1629" s="1" t="s">
        <v>741</v>
      </c>
      <c r="L1629" s="1" t="s">
        <v>798</v>
      </c>
      <c r="M1629">
        <f t="shared" si="51"/>
        <v>23</v>
      </c>
      <c r="N1629" t="s">
        <v>650</v>
      </c>
    </row>
    <row r="1630" spans="1:14" hidden="1" x14ac:dyDescent="0.3">
      <c r="A1630" s="1" t="s">
        <v>1238</v>
      </c>
      <c r="B1630" s="1" t="s">
        <v>795</v>
      </c>
      <c r="C1630" s="1" t="s">
        <v>1239</v>
      </c>
      <c r="D1630" s="1" t="s">
        <v>746</v>
      </c>
      <c r="E1630" s="1" t="s">
        <v>747</v>
      </c>
      <c r="F1630" s="1" t="s">
        <v>748</v>
      </c>
      <c r="G1630" s="1" t="s">
        <v>939</v>
      </c>
      <c r="H1630">
        <v>2004</v>
      </c>
      <c r="I1630">
        <v>2004</v>
      </c>
      <c r="J1630">
        <f t="shared" si="50"/>
        <v>1</v>
      </c>
      <c r="K1630" s="1" t="s">
        <v>741</v>
      </c>
      <c r="L1630" s="1" t="s">
        <v>798</v>
      </c>
      <c r="M1630">
        <f t="shared" si="51"/>
        <v>22</v>
      </c>
      <c r="N1630" t="s">
        <v>650</v>
      </c>
    </row>
    <row r="1631" spans="1:14" hidden="1" x14ac:dyDescent="0.3">
      <c r="A1631" s="1" t="s">
        <v>1240</v>
      </c>
      <c r="B1631" s="1" t="s">
        <v>795</v>
      </c>
      <c r="C1631" s="1" t="s">
        <v>1241</v>
      </c>
      <c r="D1631" s="1" t="s">
        <v>1242</v>
      </c>
      <c r="E1631" s="1" t="s">
        <v>1243</v>
      </c>
      <c r="F1631" s="1" t="s">
        <v>1244</v>
      </c>
      <c r="G1631" s="1" t="s">
        <v>939</v>
      </c>
      <c r="H1631">
        <v>1995</v>
      </c>
      <c r="I1631">
        <v>2001</v>
      </c>
      <c r="J1631">
        <f t="shared" si="50"/>
        <v>7</v>
      </c>
      <c r="K1631" s="1" t="s">
        <v>741</v>
      </c>
      <c r="L1631" s="1" t="s">
        <v>798</v>
      </c>
      <c r="M1631">
        <f t="shared" si="51"/>
        <v>25</v>
      </c>
      <c r="N1631" t="s">
        <v>640</v>
      </c>
    </row>
    <row r="1632" spans="1:14" hidden="1" x14ac:dyDescent="0.3">
      <c r="A1632" s="1" t="s">
        <v>1245</v>
      </c>
      <c r="B1632" s="1" t="s">
        <v>795</v>
      </c>
      <c r="C1632" s="1" t="s">
        <v>1246</v>
      </c>
      <c r="D1632" s="1" t="s">
        <v>1242</v>
      </c>
      <c r="E1632" s="1" t="s">
        <v>1243</v>
      </c>
      <c r="F1632" s="1" t="s">
        <v>1244</v>
      </c>
      <c r="G1632" s="1" t="s">
        <v>939</v>
      </c>
      <c r="H1632">
        <v>2002</v>
      </c>
      <c r="I1632">
        <v>2003</v>
      </c>
      <c r="J1632">
        <f t="shared" si="50"/>
        <v>2</v>
      </c>
      <c r="K1632" s="1" t="s">
        <v>741</v>
      </c>
      <c r="L1632" s="1" t="s">
        <v>798</v>
      </c>
      <c r="M1632">
        <f t="shared" si="51"/>
        <v>23</v>
      </c>
      <c r="N1632" t="s">
        <v>640</v>
      </c>
    </row>
    <row r="1633" spans="1:14" hidden="1" x14ac:dyDescent="0.3">
      <c r="A1633" s="1" t="s">
        <v>1247</v>
      </c>
      <c r="B1633" s="1" t="s">
        <v>795</v>
      </c>
      <c r="C1633" s="1" t="s">
        <v>1248</v>
      </c>
      <c r="D1633" s="1" t="s">
        <v>1242</v>
      </c>
      <c r="E1633" s="1" t="s">
        <v>1243</v>
      </c>
      <c r="F1633" s="1" t="s">
        <v>1244</v>
      </c>
      <c r="G1633" s="1" t="s">
        <v>939</v>
      </c>
      <c r="H1633">
        <v>1998</v>
      </c>
      <c r="I1633">
        <v>2003</v>
      </c>
      <c r="J1633">
        <f t="shared" si="50"/>
        <v>6</v>
      </c>
      <c r="K1633" s="1" t="s">
        <v>741</v>
      </c>
      <c r="L1633" s="1" t="s">
        <v>798</v>
      </c>
      <c r="M1633">
        <f t="shared" si="51"/>
        <v>23</v>
      </c>
      <c r="N1633" t="s">
        <v>640</v>
      </c>
    </row>
    <row r="1634" spans="1:14" hidden="1" x14ac:dyDescent="0.3">
      <c r="A1634" s="1" t="s">
        <v>1249</v>
      </c>
      <c r="B1634" s="1" t="s">
        <v>795</v>
      </c>
      <c r="C1634" s="1" t="s">
        <v>1250</v>
      </c>
      <c r="D1634" s="1" t="s">
        <v>738</v>
      </c>
      <c r="E1634" s="1" t="s">
        <v>739</v>
      </c>
      <c r="F1634" s="1" t="s">
        <v>781</v>
      </c>
      <c r="G1634" s="1" t="s">
        <v>939</v>
      </c>
      <c r="H1634">
        <v>2005</v>
      </c>
      <c r="I1634">
        <v>2006</v>
      </c>
      <c r="J1634">
        <f t="shared" si="50"/>
        <v>2</v>
      </c>
      <c r="K1634" s="1" t="s">
        <v>741</v>
      </c>
      <c r="L1634" s="1" t="s">
        <v>798</v>
      </c>
      <c r="M1634">
        <f t="shared" si="51"/>
        <v>20</v>
      </c>
      <c r="N1634" t="s">
        <v>650</v>
      </c>
    </row>
    <row r="1635" spans="1:14" hidden="1" x14ac:dyDescent="0.3">
      <c r="A1635" s="1" t="s">
        <v>1251</v>
      </c>
      <c r="B1635" s="1" t="s">
        <v>795</v>
      </c>
      <c r="C1635" s="1" t="s">
        <v>1252</v>
      </c>
      <c r="D1635" s="1" t="s">
        <v>738</v>
      </c>
      <c r="E1635" s="1" t="s">
        <v>739</v>
      </c>
      <c r="F1635" s="1" t="s">
        <v>781</v>
      </c>
      <c r="G1635" s="1" t="s">
        <v>939</v>
      </c>
      <c r="H1635">
        <v>2005</v>
      </c>
      <c r="I1635">
        <v>2005</v>
      </c>
      <c r="J1635">
        <f t="shared" si="50"/>
        <v>1</v>
      </c>
      <c r="K1635" s="1" t="s">
        <v>741</v>
      </c>
      <c r="L1635" s="1" t="s">
        <v>798</v>
      </c>
      <c r="M1635">
        <f t="shared" si="51"/>
        <v>21</v>
      </c>
      <c r="N1635" t="s">
        <v>650</v>
      </c>
    </row>
    <row r="1636" spans="1:14" hidden="1" x14ac:dyDescent="0.3">
      <c r="A1636" s="1" t="s">
        <v>1253</v>
      </c>
      <c r="B1636" s="1" t="s">
        <v>795</v>
      </c>
      <c r="C1636" s="1" t="s">
        <v>1254</v>
      </c>
      <c r="D1636" s="1" t="s">
        <v>738</v>
      </c>
      <c r="E1636" s="1" t="s">
        <v>739</v>
      </c>
      <c r="F1636" s="1" t="s">
        <v>781</v>
      </c>
      <c r="G1636" s="1" t="s">
        <v>939</v>
      </c>
      <c r="H1636">
        <v>2006</v>
      </c>
      <c r="I1636">
        <v>2009</v>
      </c>
      <c r="J1636">
        <f t="shared" si="50"/>
        <v>4</v>
      </c>
      <c r="K1636" s="1" t="s">
        <v>741</v>
      </c>
      <c r="L1636" s="1" t="s">
        <v>798</v>
      </c>
      <c r="M1636">
        <f t="shared" si="51"/>
        <v>17</v>
      </c>
      <c r="N1636" t="s">
        <v>650</v>
      </c>
    </row>
    <row r="1637" spans="1:14" hidden="1" x14ac:dyDescent="0.3">
      <c r="A1637" s="1" t="s">
        <v>1255</v>
      </c>
      <c r="B1637" s="1" t="s">
        <v>795</v>
      </c>
      <c r="C1637" s="1" t="s">
        <v>1256</v>
      </c>
      <c r="D1637" s="1" t="s">
        <v>738</v>
      </c>
      <c r="E1637" s="1" t="s">
        <v>739</v>
      </c>
      <c r="F1637" s="1" t="s">
        <v>781</v>
      </c>
      <c r="G1637" s="1" t="s">
        <v>939</v>
      </c>
      <c r="H1637">
        <v>2009</v>
      </c>
      <c r="I1637">
        <v>2009</v>
      </c>
      <c r="J1637">
        <f t="shared" si="50"/>
        <v>1</v>
      </c>
      <c r="K1637" s="1" t="s">
        <v>741</v>
      </c>
      <c r="L1637" s="1" t="s">
        <v>798</v>
      </c>
      <c r="M1637">
        <f t="shared" si="51"/>
        <v>17</v>
      </c>
      <c r="N1637" t="s">
        <v>650</v>
      </c>
    </row>
    <row r="1638" spans="1:14" hidden="1" x14ac:dyDescent="0.3">
      <c r="A1638" s="1" t="s">
        <v>1257</v>
      </c>
      <c r="B1638" s="1" t="s">
        <v>795</v>
      </c>
      <c r="C1638" s="1" t="s">
        <v>1258</v>
      </c>
      <c r="D1638" s="1" t="s">
        <v>738</v>
      </c>
      <c r="E1638" s="1" t="s">
        <v>739</v>
      </c>
      <c r="F1638" s="1" t="s">
        <v>781</v>
      </c>
      <c r="G1638" s="1" t="s">
        <v>939</v>
      </c>
      <c r="H1638">
        <v>2005</v>
      </c>
      <c r="I1638">
        <v>2009</v>
      </c>
      <c r="J1638">
        <f t="shared" si="50"/>
        <v>5</v>
      </c>
      <c r="K1638" s="1" t="s">
        <v>741</v>
      </c>
      <c r="L1638" s="1" t="s">
        <v>798</v>
      </c>
      <c r="M1638">
        <f t="shared" si="51"/>
        <v>17</v>
      </c>
      <c r="N1638" t="s">
        <v>650</v>
      </c>
    </row>
    <row r="1639" spans="1:14" hidden="1" x14ac:dyDescent="0.3">
      <c r="A1639" s="1" t="s">
        <v>1259</v>
      </c>
      <c r="B1639" s="1" t="s">
        <v>795</v>
      </c>
      <c r="C1639" s="1" t="s">
        <v>1260</v>
      </c>
      <c r="D1639" s="1" t="s">
        <v>738</v>
      </c>
      <c r="E1639" s="1" t="s">
        <v>739</v>
      </c>
      <c r="F1639" s="1" t="s">
        <v>781</v>
      </c>
      <c r="G1639" s="1" t="s">
        <v>939</v>
      </c>
      <c r="H1639">
        <v>2005</v>
      </c>
      <c r="I1639">
        <v>2007</v>
      </c>
      <c r="J1639">
        <f t="shared" si="50"/>
        <v>3</v>
      </c>
      <c r="K1639" s="1" t="s">
        <v>741</v>
      </c>
      <c r="L1639" s="1" t="s">
        <v>798</v>
      </c>
      <c r="M1639">
        <f t="shared" si="51"/>
        <v>19</v>
      </c>
      <c r="N1639" t="s">
        <v>650</v>
      </c>
    </row>
    <row r="1640" spans="1:14" hidden="1" x14ac:dyDescent="0.3">
      <c r="A1640" s="1" t="s">
        <v>1261</v>
      </c>
      <c r="B1640" s="1" t="s">
        <v>795</v>
      </c>
      <c r="C1640" s="1" t="s">
        <v>1262</v>
      </c>
      <c r="D1640" s="1" t="s">
        <v>738</v>
      </c>
      <c r="E1640" s="1" t="s">
        <v>739</v>
      </c>
      <c r="F1640" s="1" t="s">
        <v>781</v>
      </c>
      <c r="G1640" s="1" t="s">
        <v>939</v>
      </c>
      <c r="H1640">
        <v>2005</v>
      </c>
      <c r="I1640">
        <v>2007</v>
      </c>
      <c r="J1640">
        <f t="shared" si="50"/>
        <v>3</v>
      </c>
      <c r="K1640" s="1" t="s">
        <v>741</v>
      </c>
      <c r="L1640" s="1" t="s">
        <v>798</v>
      </c>
      <c r="M1640">
        <f t="shared" si="51"/>
        <v>19</v>
      </c>
      <c r="N1640" t="s">
        <v>650</v>
      </c>
    </row>
    <row r="1641" spans="1:14" hidden="1" x14ac:dyDescent="0.3">
      <c r="A1641" s="1" t="s">
        <v>1263</v>
      </c>
      <c r="B1641" s="1" t="s">
        <v>795</v>
      </c>
      <c r="C1641" s="1" t="s">
        <v>1264</v>
      </c>
      <c r="D1641" s="1" t="s">
        <v>738</v>
      </c>
      <c r="E1641" s="1" t="s">
        <v>739</v>
      </c>
      <c r="F1641" s="1" t="s">
        <v>781</v>
      </c>
      <c r="G1641" s="1" t="s">
        <v>939</v>
      </c>
      <c r="H1641">
        <v>2004</v>
      </c>
      <c r="I1641">
        <v>2006</v>
      </c>
      <c r="J1641">
        <f t="shared" si="50"/>
        <v>3</v>
      </c>
      <c r="K1641" s="1" t="s">
        <v>741</v>
      </c>
      <c r="L1641" s="1" t="s">
        <v>798</v>
      </c>
      <c r="M1641">
        <f t="shared" si="51"/>
        <v>20</v>
      </c>
      <c r="N1641" t="s">
        <v>650</v>
      </c>
    </row>
    <row r="1642" spans="1:14" hidden="1" x14ac:dyDescent="0.3">
      <c r="A1642" s="1" t="s">
        <v>1265</v>
      </c>
      <c r="B1642" s="1" t="s">
        <v>795</v>
      </c>
      <c r="C1642" s="1" t="s">
        <v>1266</v>
      </c>
      <c r="D1642" s="1" t="s">
        <v>738</v>
      </c>
      <c r="E1642" s="1" t="s">
        <v>739</v>
      </c>
      <c r="F1642" s="1" t="s">
        <v>781</v>
      </c>
      <c r="G1642" s="1" t="s">
        <v>939</v>
      </c>
      <c r="H1642">
        <v>2005</v>
      </c>
      <c r="I1642">
        <v>2007</v>
      </c>
      <c r="J1642">
        <f t="shared" si="50"/>
        <v>3</v>
      </c>
      <c r="K1642" s="1" t="s">
        <v>741</v>
      </c>
      <c r="L1642" s="1" t="s">
        <v>798</v>
      </c>
      <c r="M1642">
        <f t="shared" si="51"/>
        <v>19</v>
      </c>
      <c r="N1642" t="s">
        <v>650</v>
      </c>
    </row>
    <row r="1643" spans="1:14" hidden="1" x14ac:dyDescent="0.3">
      <c r="A1643" s="1" t="s">
        <v>1267</v>
      </c>
      <c r="B1643" s="1" t="s">
        <v>795</v>
      </c>
      <c r="C1643" s="1" t="s">
        <v>1268</v>
      </c>
      <c r="D1643" s="1" t="s">
        <v>738</v>
      </c>
      <c r="E1643" s="1" t="s">
        <v>739</v>
      </c>
      <c r="F1643" s="1" t="s">
        <v>781</v>
      </c>
      <c r="G1643" s="1" t="s">
        <v>939</v>
      </c>
      <c r="H1643">
        <v>2005</v>
      </c>
      <c r="I1643">
        <v>2007</v>
      </c>
      <c r="J1643">
        <f t="shared" si="50"/>
        <v>3</v>
      </c>
      <c r="K1643" s="1" t="s">
        <v>741</v>
      </c>
      <c r="L1643" s="1" t="s">
        <v>798</v>
      </c>
      <c r="M1643">
        <f t="shared" si="51"/>
        <v>19</v>
      </c>
      <c r="N1643" t="s">
        <v>650</v>
      </c>
    </row>
    <row r="1644" spans="1:14" hidden="1" x14ac:dyDescent="0.3">
      <c r="A1644" s="1" t="s">
        <v>1269</v>
      </c>
      <c r="B1644" s="1" t="s">
        <v>795</v>
      </c>
      <c r="C1644" s="1" t="s">
        <v>1270</v>
      </c>
      <c r="D1644" s="1" t="s">
        <v>738</v>
      </c>
      <c r="E1644" s="1" t="s">
        <v>739</v>
      </c>
      <c r="F1644" s="1" t="s">
        <v>781</v>
      </c>
      <c r="G1644" s="1" t="s">
        <v>939</v>
      </c>
      <c r="H1644">
        <v>2004</v>
      </c>
      <c r="I1644">
        <v>2007</v>
      </c>
      <c r="J1644">
        <f t="shared" si="50"/>
        <v>4</v>
      </c>
      <c r="K1644" s="1" t="s">
        <v>741</v>
      </c>
      <c r="L1644" s="1" t="s">
        <v>798</v>
      </c>
      <c r="M1644">
        <f t="shared" si="51"/>
        <v>19</v>
      </c>
      <c r="N1644" t="s">
        <v>650</v>
      </c>
    </row>
    <row r="1645" spans="1:14" hidden="1" x14ac:dyDescent="0.3">
      <c r="A1645" s="1" t="s">
        <v>1271</v>
      </c>
      <c r="B1645" s="1" t="s">
        <v>795</v>
      </c>
      <c r="C1645" s="1" t="s">
        <v>1272</v>
      </c>
      <c r="D1645" s="1" t="s">
        <v>738</v>
      </c>
      <c r="E1645" s="1" t="s">
        <v>739</v>
      </c>
      <c r="F1645" s="1" t="s">
        <v>781</v>
      </c>
      <c r="G1645" s="1" t="s">
        <v>939</v>
      </c>
      <c r="H1645">
        <v>2008</v>
      </c>
      <c r="I1645">
        <v>2012</v>
      </c>
      <c r="J1645">
        <f t="shared" si="50"/>
        <v>5</v>
      </c>
      <c r="K1645" s="1" t="s">
        <v>741</v>
      </c>
      <c r="L1645" s="1" t="s">
        <v>798</v>
      </c>
      <c r="M1645">
        <f t="shared" si="51"/>
        <v>14</v>
      </c>
      <c r="N1645" t="s">
        <v>650</v>
      </c>
    </row>
    <row r="1646" spans="1:14" hidden="1" x14ac:dyDescent="0.3">
      <c r="A1646" s="1" t="s">
        <v>1273</v>
      </c>
      <c r="B1646" s="1" t="s">
        <v>795</v>
      </c>
      <c r="C1646" s="1" t="s">
        <v>1274</v>
      </c>
      <c r="D1646" s="1" t="s">
        <v>738</v>
      </c>
      <c r="E1646" s="1" t="s">
        <v>739</v>
      </c>
      <c r="F1646" s="1" t="s">
        <v>781</v>
      </c>
      <c r="G1646" s="1" t="s">
        <v>939</v>
      </c>
      <c r="H1646">
        <v>2005</v>
      </c>
      <c r="I1646">
        <v>2007</v>
      </c>
      <c r="J1646">
        <f t="shared" si="50"/>
        <v>3</v>
      </c>
      <c r="K1646" s="1" t="s">
        <v>741</v>
      </c>
      <c r="L1646" s="1" t="s">
        <v>798</v>
      </c>
      <c r="M1646">
        <f t="shared" si="51"/>
        <v>19</v>
      </c>
      <c r="N1646" t="s">
        <v>650</v>
      </c>
    </row>
    <row r="1647" spans="1:14" hidden="1" x14ac:dyDescent="0.3">
      <c r="A1647" s="1" t="s">
        <v>1275</v>
      </c>
      <c r="B1647" s="1" t="s">
        <v>795</v>
      </c>
      <c r="C1647" s="1" t="s">
        <v>1276</v>
      </c>
      <c r="D1647" s="1" t="s">
        <v>738</v>
      </c>
      <c r="E1647" s="1" t="s">
        <v>739</v>
      </c>
      <c r="F1647" s="1" t="s">
        <v>781</v>
      </c>
      <c r="G1647" s="1" t="s">
        <v>939</v>
      </c>
      <c r="H1647">
        <v>2009</v>
      </c>
      <c r="I1647">
        <v>2012</v>
      </c>
      <c r="J1647">
        <f t="shared" si="50"/>
        <v>4</v>
      </c>
      <c r="K1647" s="1" t="s">
        <v>741</v>
      </c>
      <c r="L1647" s="1" t="s">
        <v>798</v>
      </c>
      <c r="M1647">
        <f t="shared" si="51"/>
        <v>14</v>
      </c>
      <c r="N1647" t="s">
        <v>650</v>
      </c>
    </row>
    <row r="1648" spans="1:14" hidden="1" x14ac:dyDescent="0.3">
      <c r="A1648" s="1" t="s">
        <v>1277</v>
      </c>
      <c r="B1648" s="1" t="s">
        <v>795</v>
      </c>
      <c r="C1648" s="1" t="s">
        <v>1278</v>
      </c>
      <c r="D1648" s="1" t="s">
        <v>738</v>
      </c>
      <c r="E1648" s="1" t="s">
        <v>739</v>
      </c>
      <c r="F1648" s="1" t="s">
        <v>781</v>
      </c>
      <c r="G1648" s="1" t="s">
        <v>939</v>
      </c>
      <c r="H1648">
        <v>2005</v>
      </c>
      <c r="I1648">
        <v>2009</v>
      </c>
      <c r="J1648">
        <f t="shared" si="50"/>
        <v>5</v>
      </c>
      <c r="K1648" s="1" t="s">
        <v>741</v>
      </c>
      <c r="L1648" s="1" t="s">
        <v>798</v>
      </c>
      <c r="M1648">
        <f t="shared" si="51"/>
        <v>17</v>
      </c>
      <c r="N1648" t="s">
        <v>650</v>
      </c>
    </row>
    <row r="1649" spans="1:14" hidden="1" x14ac:dyDescent="0.3">
      <c r="A1649" s="1" t="s">
        <v>1279</v>
      </c>
      <c r="B1649" s="1" t="s">
        <v>795</v>
      </c>
      <c r="C1649" s="1" t="s">
        <v>1280</v>
      </c>
      <c r="D1649" s="1" t="s">
        <v>738</v>
      </c>
      <c r="E1649" s="1" t="s">
        <v>739</v>
      </c>
      <c r="F1649" s="1" t="s">
        <v>781</v>
      </c>
      <c r="G1649" s="1" t="s">
        <v>939</v>
      </c>
      <c r="H1649">
        <v>2005</v>
      </c>
      <c r="I1649">
        <v>2007</v>
      </c>
      <c r="J1649">
        <f t="shared" si="50"/>
        <v>3</v>
      </c>
      <c r="K1649" s="1" t="s">
        <v>741</v>
      </c>
      <c r="L1649" s="1" t="s">
        <v>798</v>
      </c>
      <c r="M1649">
        <f t="shared" si="51"/>
        <v>19</v>
      </c>
      <c r="N1649" t="s">
        <v>650</v>
      </c>
    </row>
    <row r="1650" spans="1:14" hidden="1" x14ac:dyDescent="0.3">
      <c r="A1650" s="1" t="s">
        <v>1281</v>
      </c>
      <c r="B1650" s="1" t="s">
        <v>795</v>
      </c>
      <c r="C1650" s="1" t="s">
        <v>1282</v>
      </c>
      <c r="D1650" s="1" t="s">
        <v>738</v>
      </c>
      <c r="E1650" s="1" t="s">
        <v>739</v>
      </c>
      <c r="F1650" s="1" t="s">
        <v>781</v>
      </c>
      <c r="G1650" s="1" t="s">
        <v>939</v>
      </c>
      <c r="H1650">
        <v>1986</v>
      </c>
      <c r="I1650">
        <v>1996</v>
      </c>
      <c r="J1650">
        <f t="shared" si="50"/>
        <v>11</v>
      </c>
      <c r="K1650" s="1" t="s">
        <v>741</v>
      </c>
      <c r="L1650" s="1" t="s">
        <v>798</v>
      </c>
      <c r="M1650">
        <f t="shared" si="51"/>
        <v>30</v>
      </c>
      <c r="N1650" t="s">
        <v>640</v>
      </c>
    </row>
    <row r="1651" spans="1:14" hidden="1" x14ac:dyDescent="0.3">
      <c r="A1651" s="1" t="s">
        <v>1283</v>
      </c>
      <c r="B1651" s="1" t="s">
        <v>795</v>
      </c>
      <c r="C1651" s="1" t="s">
        <v>1284</v>
      </c>
      <c r="D1651" s="1" t="s">
        <v>738</v>
      </c>
      <c r="E1651" s="1" t="s">
        <v>739</v>
      </c>
      <c r="F1651" s="1" t="s">
        <v>781</v>
      </c>
      <c r="G1651" s="1" t="s">
        <v>939</v>
      </c>
      <c r="H1651">
        <v>2002</v>
      </c>
      <c r="I1651">
        <v>2004</v>
      </c>
      <c r="J1651">
        <f t="shared" si="50"/>
        <v>3</v>
      </c>
      <c r="K1651" s="1" t="s">
        <v>741</v>
      </c>
      <c r="L1651" s="1" t="s">
        <v>798</v>
      </c>
      <c r="M1651">
        <f t="shared" si="51"/>
        <v>22</v>
      </c>
      <c r="N1651" t="s">
        <v>650</v>
      </c>
    </row>
    <row r="1652" spans="1:14" hidden="1" x14ac:dyDescent="0.3">
      <c r="A1652" s="1" t="s">
        <v>1285</v>
      </c>
      <c r="B1652" s="1" t="s">
        <v>795</v>
      </c>
      <c r="C1652" s="1" t="s">
        <v>1286</v>
      </c>
      <c r="D1652" s="1" t="s">
        <v>738</v>
      </c>
      <c r="E1652" s="1" t="s">
        <v>739</v>
      </c>
      <c r="F1652" s="1" t="s">
        <v>781</v>
      </c>
      <c r="G1652" s="1" t="s">
        <v>939</v>
      </c>
      <c r="H1652">
        <v>2002</v>
      </c>
      <c r="I1652">
        <v>2003</v>
      </c>
      <c r="J1652">
        <f t="shared" si="50"/>
        <v>2</v>
      </c>
      <c r="K1652" s="1" t="s">
        <v>741</v>
      </c>
      <c r="L1652" s="1" t="s">
        <v>798</v>
      </c>
      <c r="M1652">
        <f t="shared" si="51"/>
        <v>23</v>
      </c>
      <c r="N1652" t="s">
        <v>650</v>
      </c>
    </row>
    <row r="1653" spans="1:14" hidden="1" x14ac:dyDescent="0.3">
      <c r="A1653" s="1" t="s">
        <v>1287</v>
      </c>
      <c r="B1653" s="1" t="s">
        <v>795</v>
      </c>
      <c r="C1653" s="1" t="s">
        <v>1288</v>
      </c>
      <c r="D1653" s="1" t="s">
        <v>738</v>
      </c>
      <c r="E1653" s="1" t="s">
        <v>739</v>
      </c>
      <c r="F1653" s="1" t="s">
        <v>781</v>
      </c>
      <c r="G1653" s="1" t="s">
        <v>939</v>
      </c>
      <c r="H1653">
        <v>2004</v>
      </c>
      <c r="I1653">
        <v>2004</v>
      </c>
      <c r="J1653">
        <f t="shared" si="50"/>
        <v>1</v>
      </c>
      <c r="K1653" s="1" t="s">
        <v>741</v>
      </c>
      <c r="L1653" s="1" t="s">
        <v>798</v>
      </c>
      <c r="M1653">
        <f t="shared" si="51"/>
        <v>22</v>
      </c>
      <c r="N1653" t="s">
        <v>650</v>
      </c>
    </row>
    <row r="1654" spans="1:14" hidden="1" x14ac:dyDescent="0.3">
      <c r="A1654" s="1" t="s">
        <v>1289</v>
      </c>
      <c r="B1654" s="1" t="s">
        <v>795</v>
      </c>
      <c r="C1654" s="1" t="s">
        <v>1290</v>
      </c>
      <c r="D1654" s="1" t="s">
        <v>738</v>
      </c>
      <c r="E1654" s="1" t="s">
        <v>739</v>
      </c>
      <c r="F1654" s="1" t="s">
        <v>781</v>
      </c>
      <c r="G1654" s="1" t="s">
        <v>939</v>
      </c>
      <c r="H1654">
        <v>2008</v>
      </c>
      <c r="I1654">
        <v>2012</v>
      </c>
      <c r="J1654">
        <f t="shared" si="50"/>
        <v>5</v>
      </c>
      <c r="K1654" s="1" t="s">
        <v>741</v>
      </c>
      <c r="L1654" s="1" t="s">
        <v>798</v>
      </c>
      <c r="M1654">
        <f t="shared" si="51"/>
        <v>14</v>
      </c>
      <c r="N1654" t="s">
        <v>650</v>
      </c>
    </row>
    <row r="1655" spans="1:14" hidden="1" x14ac:dyDescent="0.3">
      <c r="A1655" s="1" t="s">
        <v>1291</v>
      </c>
      <c r="B1655" s="1" t="s">
        <v>795</v>
      </c>
      <c r="C1655" s="1" t="s">
        <v>1292</v>
      </c>
      <c r="D1655" s="1" t="s">
        <v>738</v>
      </c>
      <c r="E1655" s="1" t="s">
        <v>739</v>
      </c>
      <c r="F1655" s="1" t="s">
        <v>781</v>
      </c>
      <c r="G1655" s="1" t="s">
        <v>939</v>
      </c>
      <c r="H1655">
        <v>1997</v>
      </c>
      <c r="I1655">
        <v>2001</v>
      </c>
      <c r="J1655">
        <f t="shared" si="50"/>
        <v>5</v>
      </c>
      <c r="K1655" s="1" t="s">
        <v>741</v>
      </c>
      <c r="L1655" s="1" t="s">
        <v>798</v>
      </c>
      <c r="M1655">
        <f t="shared" si="51"/>
        <v>25</v>
      </c>
      <c r="N1655" t="s">
        <v>640</v>
      </c>
    </row>
    <row r="1656" spans="1:14" hidden="1" x14ac:dyDescent="0.3">
      <c r="A1656" s="1" t="s">
        <v>1293</v>
      </c>
      <c r="B1656" s="1" t="s">
        <v>795</v>
      </c>
      <c r="C1656" s="1" t="s">
        <v>1294</v>
      </c>
      <c r="D1656" s="1" t="s">
        <v>738</v>
      </c>
      <c r="E1656" s="1" t="s">
        <v>739</v>
      </c>
      <c r="F1656" s="1" t="s">
        <v>781</v>
      </c>
      <c r="G1656" s="1" t="s">
        <v>939</v>
      </c>
      <c r="H1656">
        <v>1996</v>
      </c>
      <c r="I1656">
        <v>2001</v>
      </c>
      <c r="J1656">
        <f t="shared" si="50"/>
        <v>6</v>
      </c>
      <c r="K1656" s="1" t="s">
        <v>741</v>
      </c>
      <c r="L1656" s="1" t="s">
        <v>798</v>
      </c>
      <c r="M1656">
        <f t="shared" si="51"/>
        <v>25</v>
      </c>
      <c r="N1656" t="s">
        <v>640</v>
      </c>
    </row>
    <row r="1657" spans="1:14" hidden="1" x14ac:dyDescent="0.3">
      <c r="A1657" s="1" t="s">
        <v>1295</v>
      </c>
      <c r="B1657" s="1" t="s">
        <v>795</v>
      </c>
      <c r="C1657" s="1" t="s">
        <v>1296</v>
      </c>
      <c r="D1657" s="1" t="s">
        <v>738</v>
      </c>
      <c r="E1657" s="1" t="s">
        <v>739</v>
      </c>
      <c r="F1657" s="1" t="s">
        <v>781</v>
      </c>
      <c r="G1657" s="1" t="s">
        <v>939</v>
      </c>
      <c r="H1657">
        <v>2001</v>
      </c>
      <c r="I1657">
        <v>2004</v>
      </c>
      <c r="J1657">
        <f t="shared" si="50"/>
        <v>4</v>
      </c>
      <c r="K1657" s="1" t="s">
        <v>741</v>
      </c>
      <c r="L1657" s="1" t="s">
        <v>798</v>
      </c>
      <c r="M1657">
        <f t="shared" si="51"/>
        <v>22</v>
      </c>
      <c r="N1657" t="s">
        <v>650</v>
      </c>
    </row>
    <row r="1658" spans="1:14" hidden="1" x14ac:dyDescent="0.3">
      <c r="A1658" s="1" t="s">
        <v>1297</v>
      </c>
      <c r="B1658" s="1" t="s">
        <v>795</v>
      </c>
      <c r="C1658" s="1" t="s">
        <v>1298</v>
      </c>
      <c r="D1658" s="1" t="s">
        <v>738</v>
      </c>
      <c r="E1658" s="1" t="s">
        <v>739</v>
      </c>
      <c r="F1658" s="1" t="s">
        <v>781</v>
      </c>
      <c r="G1658" s="1" t="s">
        <v>939</v>
      </c>
      <c r="H1658">
        <v>1999</v>
      </c>
      <c r="I1658">
        <v>2002</v>
      </c>
      <c r="J1658">
        <f t="shared" si="50"/>
        <v>4</v>
      </c>
      <c r="K1658" s="1" t="s">
        <v>741</v>
      </c>
      <c r="L1658" s="1" t="s">
        <v>798</v>
      </c>
      <c r="M1658">
        <f t="shared" si="51"/>
        <v>24</v>
      </c>
      <c r="N1658" t="s">
        <v>650</v>
      </c>
    </row>
    <row r="1659" spans="1:14" hidden="1" x14ac:dyDescent="0.3">
      <c r="A1659" s="1" t="s">
        <v>1299</v>
      </c>
      <c r="B1659" s="1" t="s">
        <v>795</v>
      </c>
      <c r="C1659" s="1" t="s">
        <v>1300</v>
      </c>
      <c r="D1659" s="1" t="s">
        <v>738</v>
      </c>
      <c r="E1659" s="1" t="s">
        <v>739</v>
      </c>
      <c r="F1659" s="1" t="s">
        <v>781</v>
      </c>
      <c r="G1659" s="1" t="s">
        <v>939</v>
      </c>
      <c r="H1659">
        <v>1999</v>
      </c>
      <c r="I1659">
        <v>2002</v>
      </c>
      <c r="J1659">
        <f t="shared" si="50"/>
        <v>4</v>
      </c>
      <c r="K1659" s="1" t="s">
        <v>741</v>
      </c>
      <c r="L1659" s="1" t="s">
        <v>798</v>
      </c>
      <c r="M1659">
        <f t="shared" si="51"/>
        <v>24</v>
      </c>
      <c r="N1659" t="s">
        <v>650</v>
      </c>
    </row>
    <row r="1660" spans="1:14" hidden="1" x14ac:dyDescent="0.3">
      <c r="A1660" s="1" t="s">
        <v>1301</v>
      </c>
      <c r="B1660" s="1" t="s">
        <v>795</v>
      </c>
      <c r="C1660" s="1" t="s">
        <v>1302</v>
      </c>
      <c r="D1660" s="1" t="s">
        <v>738</v>
      </c>
      <c r="E1660" s="1" t="s">
        <v>739</v>
      </c>
      <c r="F1660" s="1" t="s">
        <v>781</v>
      </c>
      <c r="G1660" s="1" t="s">
        <v>939</v>
      </c>
      <c r="H1660">
        <v>1999</v>
      </c>
      <c r="I1660">
        <v>2002</v>
      </c>
      <c r="J1660">
        <f t="shared" si="50"/>
        <v>4</v>
      </c>
      <c r="K1660" s="1" t="s">
        <v>741</v>
      </c>
      <c r="L1660" s="1" t="s">
        <v>798</v>
      </c>
      <c r="M1660">
        <f t="shared" si="51"/>
        <v>24</v>
      </c>
      <c r="N1660" t="s">
        <v>650</v>
      </c>
    </row>
    <row r="1661" spans="1:14" hidden="1" x14ac:dyDescent="0.3">
      <c r="A1661" s="1" t="s">
        <v>1303</v>
      </c>
      <c r="B1661" s="1" t="s">
        <v>795</v>
      </c>
      <c r="C1661" s="1" t="s">
        <v>1304</v>
      </c>
      <c r="D1661" s="1" t="s">
        <v>746</v>
      </c>
      <c r="E1661" s="1" t="s">
        <v>747</v>
      </c>
      <c r="F1661" s="1" t="s">
        <v>748</v>
      </c>
      <c r="G1661" s="1" t="s">
        <v>939</v>
      </c>
      <c r="H1661">
        <v>1995</v>
      </c>
      <c r="I1661">
        <v>1999</v>
      </c>
      <c r="J1661">
        <f t="shared" si="50"/>
        <v>5</v>
      </c>
      <c r="K1661" s="1" t="s">
        <v>741</v>
      </c>
      <c r="L1661" s="1" t="s">
        <v>798</v>
      </c>
      <c r="M1661">
        <f t="shared" si="51"/>
        <v>27</v>
      </c>
      <c r="N1661" t="s">
        <v>640</v>
      </c>
    </row>
    <row r="1662" spans="1:14" hidden="1" x14ac:dyDescent="0.3">
      <c r="A1662" s="1" t="s">
        <v>1305</v>
      </c>
      <c r="B1662" s="1" t="s">
        <v>795</v>
      </c>
      <c r="C1662" s="1" t="s">
        <v>1306</v>
      </c>
      <c r="D1662" s="1" t="s">
        <v>746</v>
      </c>
      <c r="E1662" s="1" t="s">
        <v>747</v>
      </c>
      <c r="F1662" s="1" t="s">
        <v>748</v>
      </c>
      <c r="G1662" s="1" t="s">
        <v>939</v>
      </c>
      <c r="H1662">
        <v>1999</v>
      </c>
      <c r="I1662">
        <v>2000</v>
      </c>
      <c r="J1662">
        <f t="shared" si="50"/>
        <v>2</v>
      </c>
      <c r="K1662" s="1" t="s">
        <v>741</v>
      </c>
      <c r="L1662" s="1" t="s">
        <v>798</v>
      </c>
      <c r="M1662">
        <f t="shared" si="51"/>
        <v>26</v>
      </c>
      <c r="N1662" t="s">
        <v>640</v>
      </c>
    </row>
    <row r="1663" spans="1:14" hidden="1" x14ac:dyDescent="0.3">
      <c r="A1663" s="1" t="s">
        <v>1307</v>
      </c>
      <c r="B1663" s="1" t="s">
        <v>795</v>
      </c>
      <c r="C1663" s="1" t="s">
        <v>1308</v>
      </c>
      <c r="D1663" s="1" t="s">
        <v>746</v>
      </c>
      <c r="E1663" s="1" t="s">
        <v>747</v>
      </c>
      <c r="F1663" s="1" t="s">
        <v>748</v>
      </c>
      <c r="G1663" s="1" t="s">
        <v>939</v>
      </c>
      <c r="H1663">
        <v>1998</v>
      </c>
      <c r="I1663">
        <v>2002</v>
      </c>
      <c r="J1663">
        <f t="shared" si="50"/>
        <v>5</v>
      </c>
      <c r="K1663" s="1" t="s">
        <v>741</v>
      </c>
      <c r="L1663" s="1" t="s">
        <v>798</v>
      </c>
      <c r="M1663">
        <f t="shared" si="51"/>
        <v>24</v>
      </c>
      <c r="N1663" t="s">
        <v>650</v>
      </c>
    </row>
    <row r="1664" spans="1:14" hidden="1" x14ac:dyDescent="0.3">
      <c r="A1664" s="1" t="s">
        <v>1309</v>
      </c>
      <c r="B1664" s="1" t="s">
        <v>795</v>
      </c>
      <c r="C1664" s="1" t="s">
        <v>1310</v>
      </c>
      <c r="D1664" s="1" t="s">
        <v>738</v>
      </c>
      <c r="E1664" s="1" t="s">
        <v>739</v>
      </c>
      <c r="F1664" s="1" t="s">
        <v>781</v>
      </c>
      <c r="G1664" s="1" t="s">
        <v>939</v>
      </c>
      <c r="H1664">
        <v>2001</v>
      </c>
      <c r="I1664">
        <v>2002</v>
      </c>
      <c r="J1664">
        <f t="shared" si="50"/>
        <v>2</v>
      </c>
      <c r="K1664" s="1" t="s">
        <v>741</v>
      </c>
      <c r="L1664" s="1" t="s">
        <v>798</v>
      </c>
      <c r="M1664">
        <f t="shared" si="51"/>
        <v>24</v>
      </c>
      <c r="N1664" t="s">
        <v>650</v>
      </c>
    </row>
    <row r="1665" spans="1:14" hidden="1" x14ac:dyDescent="0.3">
      <c r="A1665" s="1" t="s">
        <v>1311</v>
      </c>
      <c r="B1665" s="1" t="s">
        <v>795</v>
      </c>
      <c r="C1665" s="1" t="s">
        <v>1312</v>
      </c>
      <c r="D1665" s="1" t="s">
        <v>746</v>
      </c>
      <c r="E1665" s="1" t="s">
        <v>747</v>
      </c>
      <c r="F1665" s="1" t="s">
        <v>748</v>
      </c>
      <c r="G1665" s="1" t="s">
        <v>939</v>
      </c>
      <c r="H1665">
        <v>1997</v>
      </c>
      <c r="I1665">
        <v>1999</v>
      </c>
      <c r="J1665">
        <f t="shared" si="50"/>
        <v>3</v>
      </c>
      <c r="K1665" s="1" t="s">
        <v>741</v>
      </c>
      <c r="L1665" s="1" t="s">
        <v>798</v>
      </c>
      <c r="M1665">
        <f t="shared" si="51"/>
        <v>27</v>
      </c>
      <c r="N1665" t="s">
        <v>640</v>
      </c>
    </row>
    <row r="1666" spans="1:14" hidden="1" x14ac:dyDescent="0.3">
      <c r="A1666" s="1" t="s">
        <v>1313</v>
      </c>
      <c r="B1666" s="1" t="s">
        <v>795</v>
      </c>
      <c r="C1666" s="1" t="s">
        <v>1314</v>
      </c>
      <c r="D1666" s="1" t="s">
        <v>746</v>
      </c>
      <c r="E1666" s="1" t="s">
        <v>747</v>
      </c>
      <c r="F1666" s="1" t="s">
        <v>748</v>
      </c>
      <c r="G1666" s="1" t="s">
        <v>939</v>
      </c>
      <c r="H1666">
        <v>1997</v>
      </c>
      <c r="I1666">
        <v>2001</v>
      </c>
      <c r="J1666">
        <f t="shared" si="50"/>
        <v>5</v>
      </c>
      <c r="K1666" s="1" t="s">
        <v>741</v>
      </c>
      <c r="L1666" s="1" t="s">
        <v>798</v>
      </c>
      <c r="M1666">
        <f t="shared" si="51"/>
        <v>25</v>
      </c>
      <c r="N1666" t="s">
        <v>640</v>
      </c>
    </row>
    <row r="1667" spans="1:14" hidden="1" x14ac:dyDescent="0.3">
      <c r="A1667" s="1" t="s">
        <v>1315</v>
      </c>
      <c r="B1667" s="1" t="s">
        <v>795</v>
      </c>
      <c r="C1667" s="1" t="s">
        <v>1316</v>
      </c>
      <c r="D1667" s="1" t="s">
        <v>746</v>
      </c>
      <c r="E1667" s="1" t="s">
        <v>747</v>
      </c>
      <c r="F1667" s="1" t="s">
        <v>748</v>
      </c>
      <c r="G1667" s="1" t="s">
        <v>939</v>
      </c>
      <c r="H1667">
        <v>1997</v>
      </c>
      <c r="I1667">
        <v>2001</v>
      </c>
      <c r="J1667">
        <f t="shared" si="50"/>
        <v>5</v>
      </c>
      <c r="K1667" s="1" t="s">
        <v>741</v>
      </c>
      <c r="L1667" s="1" t="s">
        <v>798</v>
      </c>
      <c r="M1667">
        <f t="shared" si="51"/>
        <v>25</v>
      </c>
      <c r="N1667" t="s">
        <v>640</v>
      </c>
    </row>
    <row r="1668" spans="1:14" hidden="1" x14ac:dyDescent="0.3">
      <c r="A1668" s="1" t="s">
        <v>1317</v>
      </c>
      <c r="B1668" s="1" t="s">
        <v>795</v>
      </c>
      <c r="C1668" s="1" t="s">
        <v>1318</v>
      </c>
      <c r="D1668" s="1" t="s">
        <v>746</v>
      </c>
      <c r="E1668" s="1" t="s">
        <v>747</v>
      </c>
      <c r="F1668" s="1" t="s">
        <v>748</v>
      </c>
      <c r="G1668" s="1" t="s">
        <v>939</v>
      </c>
      <c r="H1668">
        <v>1999</v>
      </c>
      <c r="I1668">
        <v>2002</v>
      </c>
      <c r="J1668">
        <f t="shared" si="50"/>
        <v>4</v>
      </c>
      <c r="K1668" s="1" t="s">
        <v>741</v>
      </c>
      <c r="L1668" s="1" t="s">
        <v>798</v>
      </c>
      <c r="M1668">
        <f t="shared" si="51"/>
        <v>24</v>
      </c>
      <c r="N1668" t="s">
        <v>650</v>
      </c>
    </row>
    <row r="1669" spans="1:14" hidden="1" x14ac:dyDescent="0.3">
      <c r="A1669" s="1" t="s">
        <v>1319</v>
      </c>
      <c r="B1669" s="1" t="s">
        <v>795</v>
      </c>
      <c r="C1669" s="1" t="s">
        <v>1320</v>
      </c>
      <c r="D1669" s="1" t="s">
        <v>746</v>
      </c>
      <c r="E1669" s="1" t="s">
        <v>747</v>
      </c>
      <c r="F1669" s="1" t="s">
        <v>748</v>
      </c>
      <c r="G1669" s="1" t="s">
        <v>939</v>
      </c>
      <c r="H1669">
        <v>2001</v>
      </c>
      <c r="I1669">
        <v>2002</v>
      </c>
      <c r="J1669">
        <f t="shared" si="50"/>
        <v>2</v>
      </c>
      <c r="K1669" s="1" t="s">
        <v>741</v>
      </c>
      <c r="L1669" s="1" t="s">
        <v>798</v>
      </c>
      <c r="M1669">
        <f t="shared" si="51"/>
        <v>24</v>
      </c>
      <c r="N1669" t="s">
        <v>650</v>
      </c>
    </row>
    <row r="1670" spans="1:14" hidden="1" x14ac:dyDescent="0.3">
      <c r="A1670" s="1" t="s">
        <v>1321</v>
      </c>
      <c r="B1670" s="1" t="s">
        <v>795</v>
      </c>
      <c r="C1670" s="1" t="s">
        <v>1322</v>
      </c>
      <c r="D1670" s="1" t="s">
        <v>746</v>
      </c>
      <c r="E1670" s="1" t="s">
        <v>747</v>
      </c>
      <c r="F1670" s="1" t="s">
        <v>748</v>
      </c>
      <c r="G1670" s="1" t="s">
        <v>939</v>
      </c>
      <c r="H1670">
        <v>1996</v>
      </c>
      <c r="I1670">
        <v>2002</v>
      </c>
      <c r="J1670">
        <f t="shared" ref="J1670:J1733" si="52">1+(I1670-H1670)</f>
        <v>7</v>
      </c>
      <c r="K1670" s="1" t="s">
        <v>741</v>
      </c>
      <c r="L1670" s="1" t="s">
        <v>798</v>
      </c>
      <c r="M1670">
        <f t="shared" ref="M1670:M1733" si="53">IF(I1670=0,0,$B$2-I1670)</f>
        <v>24</v>
      </c>
      <c r="N1670" t="s">
        <v>650</v>
      </c>
    </row>
    <row r="1671" spans="1:14" hidden="1" x14ac:dyDescent="0.3">
      <c r="A1671" s="1" t="s">
        <v>1323</v>
      </c>
      <c r="B1671" s="1" t="s">
        <v>795</v>
      </c>
      <c r="C1671" s="1" t="s">
        <v>1324</v>
      </c>
      <c r="D1671" s="1" t="s">
        <v>746</v>
      </c>
      <c r="E1671" s="1" t="s">
        <v>747</v>
      </c>
      <c r="F1671" s="1" t="s">
        <v>748</v>
      </c>
      <c r="G1671" s="1" t="s">
        <v>939</v>
      </c>
      <c r="H1671">
        <v>1994</v>
      </c>
      <c r="I1671">
        <v>2002</v>
      </c>
      <c r="J1671">
        <f t="shared" si="52"/>
        <v>9</v>
      </c>
      <c r="K1671" s="1" t="s">
        <v>741</v>
      </c>
      <c r="L1671" s="1" t="s">
        <v>798</v>
      </c>
      <c r="M1671">
        <f t="shared" si="53"/>
        <v>24</v>
      </c>
      <c r="N1671" t="s">
        <v>650</v>
      </c>
    </row>
    <row r="1672" spans="1:14" hidden="1" x14ac:dyDescent="0.3">
      <c r="A1672" s="1" t="s">
        <v>1325</v>
      </c>
      <c r="B1672" s="1" t="s">
        <v>795</v>
      </c>
      <c r="C1672" s="1" t="s">
        <v>1326</v>
      </c>
      <c r="D1672" s="1" t="s">
        <v>746</v>
      </c>
      <c r="E1672" s="1" t="s">
        <v>747</v>
      </c>
      <c r="F1672" s="1" t="s">
        <v>748</v>
      </c>
      <c r="G1672" s="1" t="s">
        <v>939</v>
      </c>
      <c r="H1672">
        <v>1998</v>
      </c>
      <c r="I1672">
        <v>2002</v>
      </c>
      <c r="J1672">
        <f t="shared" si="52"/>
        <v>5</v>
      </c>
      <c r="K1672" s="1" t="s">
        <v>741</v>
      </c>
      <c r="L1672" s="1" t="s">
        <v>798</v>
      </c>
      <c r="M1672">
        <f t="shared" si="53"/>
        <v>24</v>
      </c>
      <c r="N1672" t="s">
        <v>650</v>
      </c>
    </row>
    <row r="1673" spans="1:14" hidden="1" x14ac:dyDescent="0.3">
      <c r="A1673" s="1" t="s">
        <v>1327</v>
      </c>
      <c r="B1673" s="1" t="s">
        <v>795</v>
      </c>
      <c r="C1673" s="1" t="s">
        <v>1328</v>
      </c>
      <c r="D1673" s="1" t="s">
        <v>746</v>
      </c>
      <c r="E1673" s="1" t="s">
        <v>747</v>
      </c>
      <c r="F1673" s="1" t="s">
        <v>748</v>
      </c>
      <c r="G1673" s="1" t="s">
        <v>939</v>
      </c>
      <c r="H1673">
        <v>1998</v>
      </c>
      <c r="I1673">
        <v>2002</v>
      </c>
      <c r="J1673">
        <f t="shared" si="52"/>
        <v>5</v>
      </c>
      <c r="K1673" s="1" t="s">
        <v>741</v>
      </c>
      <c r="L1673" s="1" t="s">
        <v>798</v>
      </c>
      <c r="M1673">
        <f t="shared" si="53"/>
        <v>24</v>
      </c>
      <c r="N1673" t="s">
        <v>650</v>
      </c>
    </row>
    <row r="1674" spans="1:14" hidden="1" x14ac:dyDescent="0.3">
      <c r="A1674" s="1" t="s">
        <v>1329</v>
      </c>
      <c r="B1674" s="1" t="s">
        <v>795</v>
      </c>
      <c r="C1674" s="1" t="s">
        <v>1330</v>
      </c>
      <c r="D1674" s="1" t="s">
        <v>746</v>
      </c>
      <c r="E1674" s="1" t="s">
        <v>747</v>
      </c>
      <c r="F1674" s="1" t="s">
        <v>748</v>
      </c>
      <c r="G1674" s="1" t="s">
        <v>939</v>
      </c>
      <c r="H1674">
        <v>1997</v>
      </c>
      <c r="I1674">
        <v>1999</v>
      </c>
      <c r="J1674">
        <f t="shared" si="52"/>
        <v>3</v>
      </c>
      <c r="K1674" s="1" t="s">
        <v>741</v>
      </c>
      <c r="L1674" s="1" t="s">
        <v>798</v>
      </c>
      <c r="M1674">
        <f t="shared" si="53"/>
        <v>27</v>
      </c>
      <c r="N1674" t="s">
        <v>640</v>
      </c>
    </row>
    <row r="1675" spans="1:14" x14ac:dyDescent="0.3">
      <c r="A1675" s="1" t="s">
        <v>7457</v>
      </c>
      <c r="B1675" s="1" t="s">
        <v>795</v>
      </c>
      <c r="C1675" s="1" t="s">
        <v>7458</v>
      </c>
      <c r="D1675" s="1" t="s">
        <v>3850</v>
      </c>
      <c r="E1675" s="1" t="s">
        <v>6076</v>
      </c>
      <c r="F1675" s="1" t="s">
        <v>6076</v>
      </c>
      <c r="G1675" s="1" t="s">
        <v>7459</v>
      </c>
      <c r="H1675">
        <v>1991</v>
      </c>
      <c r="I1675">
        <v>2015</v>
      </c>
      <c r="J1675">
        <f t="shared" si="52"/>
        <v>25</v>
      </c>
      <c r="K1675" s="1" t="s">
        <v>6076</v>
      </c>
      <c r="L1675" s="1" t="s">
        <v>6076</v>
      </c>
      <c r="M1675">
        <f t="shared" si="53"/>
        <v>11</v>
      </c>
      <c r="N1675" t="s">
        <v>650</v>
      </c>
    </row>
    <row r="1676" spans="1:14" x14ac:dyDescent="0.3">
      <c r="A1676" s="1" t="s">
        <v>7460</v>
      </c>
      <c r="B1676" s="1" t="s">
        <v>795</v>
      </c>
      <c r="C1676" s="1" t="s">
        <v>7461</v>
      </c>
      <c r="D1676" s="1" t="s">
        <v>3850</v>
      </c>
      <c r="E1676" s="1" t="s">
        <v>6076</v>
      </c>
      <c r="F1676" s="1" t="s">
        <v>6076</v>
      </c>
      <c r="G1676" s="1" t="s">
        <v>7459</v>
      </c>
      <c r="H1676">
        <v>1991</v>
      </c>
      <c r="I1676">
        <v>2015</v>
      </c>
      <c r="J1676">
        <f t="shared" si="52"/>
        <v>25</v>
      </c>
      <c r="K1676" s="1" t="s">
        <v>6076</v>
      </c>
      <c r="L1676" s="1" t="s">
        <v>6076</v>
      </c>
      <c r="M1676">
        <f t="shared" si="53"/>
        <v>11</v>
      </c>
      <c r="N1676" t="s">
        <v>650</v>
      </c>
    </row>
    <row r="1677" spans="1:14" x14ac:dyDescent="0.3">
      <c r="A1677" s="1" t="s">
        <v>7462</v>
      </c>
      <c r="B1677" s="1" t="s">
        <v>802</v>
      </c>
      <c r="C1677" s="1" t="s">
        <v>7463</v>
      </c>
      <c r="D1677" s="1" t="s">
        <v>3850</v>
      </c>
      <c r="E1677" s="1" t="s">
        <v>6076</v>
      </c>
      <c r="F1677" s="1" t="s">
        <v>6076</v>
      </c>
      <c r="G1677" s="1" t="s">
        <v>7464</v>
      </c>
      <c r="H1677">
        <v>1995</v>
      </c>
      <c r="I1677">
        <v>1995</v>
      </c>
      <c r="J1677">
        <f t="shared" si="52"/>
        <v>1</v>
      </c>
      <c r="K1677" s="1" t="s">
        <v>6076</v>
      </c>
      <c r="L1677" s="1" t="s">
        <v>6076</v>
      </c>
      <c r="M1677">
        <f t="shared" si="53"/>
        <v>31</v>
      </c>
      <c r="N1677" t="s">
        <v>640</v>
      </c>
    </row>
    <row r="1678" spans="1:14" x14ac:dyDescent="0.3">
      <c r="A1678" s="1" t="s">
        <v>7465</v>
      </c>
      <c r="B1678" s="1" t="s">
        <v>1849</v>
      </c>
      <c r="C1678" s="1" t="s">
        <v>7466</v>
      </c>
      <c r="D1678" s="1" t="s">
        <v>738</v>
      </c>
      <c r="E1678" s="1" t="s">
        <v>6076</v>
      </c>
      <c r="F1678" s="1" t="s">
        <v>6076</v>
      </c>
      <c r="G1678" s="1" t="s">
        <v>7464</v>
      </c>
      <c r="H1678">
        <v>1997</v>
      </c>
      <c r="I1678">
        <v>2001</v>
      </c>
      <c r="J1678">
        <f t="shared" si="52"/>
        <v>5</v>
      </c>
      <c r="K1678" s="1" t="s">
        <v>6076</v>
      </c>
      <c r="L1678" s="1" t="s">
        <v>6076</v>
      </c>
      <c r="M1678">
        <f t="shared" si="53"/>
        <v>25</v>
      </c>
      <c r="N1678" t="s">
        <v>640</v>
      </c>
    </row>
    <row r="1679" spans="1:14" x14ac:dyDescent="0.3">
      <c r="A1679" s="1" t="s">
        <v>7467</v>
      </c>
      <c r="B1679" s="1" t="s">
        <v>1849</v>
      </c>
      <c r="C1679" s="1" t="s">
        <v>7468</v>
      </c>
      <c r="D1679" s="1" t="s">
        <v>738</v>
      </c>
      <c r="E1679" s="1" t="s">
        <v>6076</v>
      </c>
      <c r="F1679" s="1" t="s">
        <v>6076</v>
      </c>
      <c r="G1679" s="1" t="s">
        <v>7464</v>
      </c>
      <c r="H1679">
        <v>1997</v>
      </c>
      <c r="I1679">
        <v>2001</v>
      </c>
      <c r="J1679">
        <f t="shared" si="52"/>
        <v>5</v>
      </c>
      <c r="K1679" s="1" t="s">
        <v>6076</v>
      </c>
      <c r="L1679" s="1" t="s">
        <v>6076</v>
      </c>
      <c r="M1679">
        <f t="shared" si="53"/>
        <v>25</v>
      </c>
      <c r="N1679" t="s">
        <v>640</v>
      </c>
    </row>
    <row r="1680" spans="1:14" x14ac:dyDescent="0.3">
      <c r="A1680" s="1" t="s">
        <v>7469</v>
      </c>
      <c r="B1680" s="1" t="s">
        <v>1849</v>
      </c>
      <c r="C1680" s="1" t="s">
        <v>7470</v>
      </c>
      <c r="D1680" s="1" t="s">
        <v>738</v>
      </c>
      <c r="E1680" s="1" t="s">
        <v>6076</v>
      </c>
      <c r="F1680" s="1" t="s">
        <v>6076</v>
      </c>
      <c r="G1680" s="1" t="s">
        <v>7464</v>
      </c>
      <c r="H1680">
        <v>2002</v>
      </c>
      <c r="I1680">
        <v>2003</v>
      </c>
      <c r="J1680">
        <f t="shared" si="52"/>
        <v>2</v>
      </c>
      <c r="K1680" s="1" t="s">
        <v>6076</v>
      </c>
      <c r="L1680" s="1" t="s">
        <v>6076</v>
      </c>
      <c r="M1680">
        <f t="shared" si="53"/>
        <v>23</v>
      </c>
      <c r="N1680" t="s">
        <v>640</v>
      </c>
    </row>
    <row r="1681" spans="1:14" x14ac:dyDescent="0.3">
      <c r="A1681" s="1" t="s">
        <v>7471</v>
      </c>
      <c r="B1681" s="1" t="s">
        <v>1849</v>
      </c>
      <c r="C1681" s="1" t="s">
        <v>7472</v>
      </c>
      <c r="D1681" s="1" t="s">
        <v>738</v>
      </c>
      <c r="E1681" s="1" t="s">
        <v>6076</v>
      </c>
      <c r="F1681" s="1" t="s">
        <v>6076</v>
      </c>
      <c r="G1681" s="1" t="s">
        <v>7464</v>
      </c>
      <c r="H1681">
        <v>2002</v>
      </c>
      <c r="I1681">
        <v>2003</v>
      </c>
      <c r="J1681">
        <f t="shared" si="52"/>
        <v>2</v>
      </c>
      <c r="K1681" s="1" t="s">
        <v>6076</v>
      </c>
      <c r="L1681" s="1" t="s">
        <v>6076</v>
      </c>
      <c r="M1681">
        <f t="shared" si="53"/>
        <v>23</v>
      </c>
      <c r="N1681" t="s">
        <v>640</v>
      </c>
    </row>
    <row r="1682" spans="1:14" x14ac:dyDescent="0.3">
      <c r="A1682" t="s">
        <v>11437</v>
      </c>
      <c r="B1682" t="s">
        <v>1451</v>
      </c>
      <c r="C1682" t="s">
        <v>11438</v>
      </c>
      <c r="E1682" s="1" t="s">
        <v>6076</v>
      </c>
      <c r="F1682" s="1" t="s">
        <v>6076</v>
      </c>
      <c r="G1682" s="1" t="s">
        <v>12823</v>
      </c>
      <c r="H1682">
        <v>1997</v>
      </c>
      <c r="I1682">
        <v>2000</v>
      </c>
      <c r="J1682">
        <f t="shared" si="52"/>
        <v>4</v>
      </c>
      <c r="K1682" s="1" t="s">
        <v>6076</v>
      </c>
      <c r="L1682" s="1" t="s">
        <v>6076</v>
      </c>
      <c r="M1682">
        <f t="shared" si="53"/>
        <v>26</v>
      </c>
    </row>
    <row r="1683" spans="1:14" hidden="1" x14ac:dyDescent="0.3">
      <c r="A1683" t="s">
        <v>11439</v>
      </c>
      <c r="B1683" t="s">
        <v>1451</v>
      </c>
      <c r="C1683" t="s">
        <v>11440</v>
      </c>
      <c r="E1683" s="1" t="e">
        <v>#N/A</v>
      </c>
      <c r="F1683" s="1" t="e">
        <v>#N/A</v>
      </c>
      <c r="G1683" s="1" t="s">
        <v>12823</v>
      </c>
      <c r="H1683">
        <v>2000</v>
      </c>
      <c r="I1683">
        <v>2013</v>
      </c>
      <c r="J1683">
        <f t="shared" si="52"/>
        <v>14</v>
      </c>
      <c r="K1683" s="1" t="s">
        <v>3665</v>
      </c>
      <c r="L1683" s="1" t="s">
        <v>649</v>
      </c>
      <c r="M1683">
        <f t="shared" si="53"/>
        <v>13</v>
      </c>
    </row>
    <row r="1684" spans="1:14" x14ac:dyDescent="0.3">
      <c r="A1684" t="s">
        <v>11441</v>
      </c>
      <c r="B1684" t="s">
        <v>1451</v>
      </c>
      <c r="C1684" t="s">
        <v>11442</v>
      </c>
      <c r="E1684" s="1" t="s">
        <v>6076</v>
      </c>
      <c r="F1684" s="1" t="s">
        <v>6076</v>
      </c>
      <c r="G1684" s="1" t="s">
        <v>12823</v>
      </c>
      <c r="H1684">
        <v>1998</v>
      </c>
      <c r="I1684">
        <v>1999</v>
      </c>
      <c r="J1684">
        <f t="shared" si="52"/>
        <v>2</v>
      </c>
      <c r="K1684" s="1" t="s">
        <v>6076</v>
      </c>
      <c r="L1684" s="1" t="s">
        <v>6076</v>
      </c>
      <c r="M1684">
        <f t="shared" si="53"/>
        <v>27</v>
      </c>
    </row>
    <row r="1685" spans="1:14" x14ac:dyDescent="0.3">
      <c r="A1685" t="s">
        <v>11443</v>
      </c>
      <c r="B1685" t="s">
        <v>1451</v>
      </c>
      <c r="C1685" t="s">
        <v>11444</v>
      </c>
      <c r="E1685" s="1" t="s">
        <v>6076</v>
      </c>
      <c r="F1685" s="1" t="s">
        <v>6076</v>
      </c>
      <c r="G1685" s="1" t="s">
        <v>12823</v>
      </c>
      <c r="H1685">
        <v>2001</v>
      </c>
      <c r="I1685">
        <v>2001</v>
      </c>
      <c r="J1685">
        <f t="shared" si="52"/>
        <v>1</v>
      </c>
      <c r="K1685" s="1" t="s">
        <v>6076</v>
      </c>
      <c r="L1685" s="1" t="s">
        <v>6076</v>
      </c>
      <c r="M1685">
        <f t="shared" si="53"/>
        <v>25</v>
      </c>
    </row>
    <row r="1686" spans="1:14" x14ac:dyDescent="0.3">
      <c r="A1686" t="s">
        <v>11445</v>
      </c>
      <c r="B1686" t="s">
        <v>1451</v>
      </c>
      <c r="C1686" t="s">
        <v>11446</v>
      </c>
      <c r="E1686" s="1" t="s">
        <v>6076</v>
      </c>
      <c r="F1686" s="1" t="s">
        <v>6076</v>
      </c>
      <c r="G1686" s="1" t="s">
        <v>12823</v>
      </c>
      <c r="H1686">
        <v>2001</v>
      </c>
      <c r="I1686">
        <v>2001</v>
      </c>
      <c r="J1686">
        <f t="shared" si="52"/>
        <v>1</v>
      </c>
      <c r="K1686" s="1" t="s">
        <v>6076</v>
      </c>
      <c r="L1686" s="1" t="s">
        <v>6076</v>
      </c>
      <c r="M1686">
        <f t="shared" si="53"/>
        <v>25</v>
      </c>
    </row>
    <row r="1687" spans="1:14" hidden="1" x14ac:dyDescent="0.3">
      <c r="A1687" s="1" t="s">
        <v>4118</v>
      </c>
      <c r="B1687" s="1" t="s">
        <v>1451</v>
      </c>
      <c r="C1687" s="1" t="s">
        <v>4119</v>
      </c>
      <c r="D1687" s="1" t="s">
        <v>1242</v>
      </c>
      <c r="E1687" s="1" t="s">
        <v>1243</v>
      </c>
      <c r="F1687" s="1" t="s">
        <v>1244</v>
      </c>
      <c r="G1687" s="1" t="s">
        <v>4120</v>
      </c>
      <c r="H1687">
        <v>2007</v>
      </c>
      <c r="I1687">
        <v>2012</v>
      </c>
      <c r="J1687">
        <f t="shared" si="52"/>
        <v>6</v>
      </c>
      <c r="K1687" s="1" t="s">
        <v>3665</v>
      </c>
      <c r="L1687" s="1" t="s">
        <v>649</v>
      </c>
      <c r="M1687">
        <f t="shared" si="53"/>
        <v>14</v>
      </c>
      <c r="N1687" t="s">
        <v>650</v>
      </c>
    </row>
    <row r="1688" spans="1:14" hidden="1" x14ac:dyDescent="0.3">
      <c r="A1688" s="1" t="s">
        <v>4121</v>
      </c>
      <c r="B1688" s="1" t="s">
        <v>1451</v>
      </c>
      <c r="C1688" s="1" t="s">
        <v>4122</v>
      </c>
      <c r="D1688" s="1" t="s">
        <v>1242</v>
      </c>
      <c r="E1688" s="1" t="s">
        <v>1243</v>
      </c>
      <c r="F1688" s="1" t="s">
        <v>1244</v>
      </c>
      <c r="G1688" s="1" t="s">
        <v>4120</v>
      </c>
      <c r="H1688">
        <v>2000</v>
      </c>
      <c r="I1688">
        <v>2013</v>
      </c>
      <c r="J1688">
        <f t="shared" si="52"/>
        <v>14</v>
      </c>
      <c r="K1688" s="1" t="s">
        <v>3665</v>
      </c>
      <c r="L1688" s="1" t="s">
        <v>649</v>
      </c>
      <c r="M1688">
        <f t="shared" si="53"/>
        <v>13</v>
      </c>
      <c r="N1688" t="s">
        <v>650</v>
      </c>
    </row>
    <row r="1689" spans="1:14" hidden="1" x14ac:dyDescent="0.3">
      <c r="A1689" s="1" t="s">
        <v>4123</v>
      </c>
      <c r="B1689" s="1" t="s">
        <v>1849</v>
      </c>
      <c r="C1689" s="1" t="s">
        <v>4124</v>
      </c>
      <c r="D1689" s="1" t="s">
        <v>1395</v>
      </c>
      <c r="E1689" s="1" t="s">
        <v>1396</v>
      </c>
      <c r="F1689" s="1" t="s">
        <v>1397</v>
      </c>
      <c r="G1689" s="1" t="s">
        <v>4125</v>
      </c>
      <c r="H1689">
        <v>2019</v>
      </c>
      <c r="I1689">
        <v>2019</v>
      </c>
      <c r="J1689">
        <f t="shared" si="52"/>
        <v>1</v>
      </c>
      <c r="K1689" s="1" t="s">
        <v>3665</v>
      </c>
      <c r="L1689" s="1" t="s">
        <v>659</v>
      </c>
      <c r="M1689">
        <f t="shared" si="53"/>
        <v>7</v>
      </c>
      <c r="N1689" t="s">
        <v>650</v>
      </c>
    </row>
    <row r="1690" spans="1:14" hidden="1" x14ac:dyDescent="0.3">
      <c r="A1690" s="1" t="s">
        <v>4126</v>
      </c>
      <c r="B1690" s="1" t="s">
        <v>1849</v>
      </c>
      <c r="C1690" s="1" t="s">
        <v>4127</v>
      </c>
      <c r="D1690" s="1" t="s">
        <v>1395</v>
      </c>
      <c r="E1690" s="1" t="s">
        <v>1396</v>
      </c>
      <c r="F1690" s="1" t="s">
        <v>1397</v>
      </c>
      <c r="G1690" s="1" t="s">
        <v>4125</v>
      </c>
      <c r="H1690">
        <v>2021</v>
      </c>
      <c r="I1690">
        <v>2022</v>
      </c>
      <c r="J1690">
        <f t="shared" si="52"/>
        <v>2</v>
      </c>
      <c r="K1690" s="1" t="s">
        <v>3665</v>
      </c>
      <c r="L1690" s="1" t="s">
        <v>659</v>
      </c>
      <c r="M1690">
        <f t="shared" si="53"/>
        <v>4</v>
      </c>
      <c r="N1690" t="s">
        <v>650</v>
      </c>
    </row>
    <row r="1691" spans="1:14" hidden="1" x14ac:dyDescent="0.3">
      <c r="A1691" s="1" t="s">
        <v>4128</v>
      </c>
      <c r="B1691" s="1" t="s">
        <v>1849</v>
      </c>
      <c r="C1691" s="1" t="s">
        <v>4129</v>
      </c>
      <c r="D1691" s="1" t="s">
        <v>1395</v>
      </c>
      <c r="E1691" s="1" t="s">
        <v>1396</v>
      </c>
      <c r="F1691" s="1" t="s">
        <v>1397</v>
      </c>
      <c r="G1691" s="1" t="s">
        <v>4125</v>
      </c>
      <c r="H1691">
        <v>2017</v>
      </c>
      <c r="I1691">
        <v>2022</v>
      </c>
      <c r="J1691">
        <f t="shared" si="52"/>
        <v>6</v>
      </c>
      <c r="K1691" s="1" t="s">
        <v>3665</v>
      </c>
      <c r="L1691" s="1" t="s">
        <v>659</v>
      </c>
      <c r="M1691">
        <f t="shared" si="53"/>
        <v>4</v>
      </c>
      <c r="N1691" t="s">
        <v>650</v>
      </c>
    </row>
    <row r="1692" spans="1:14" hidden="1" x14ac:dyDescent="0.3">
      <c r="A1692" s="1" t="s">
        <v>4130</v>
      </c>
      <c r="B1692" s="1" t="s">
        <v>1849</v>
      </c>
      <c r="C1692" s="1" t="s">
        <v>4131</v>
      </c>
      <c r="D1692" s="1" t="s">
        <v>1395</v>
      </c>
      <c r="E1692" s="1" t="s">
        <v>1396</v>
      </c>
      <c r="F1692" s="1" t="s">
        <v>1397</v>
      </c>
      <c r="G1692" s="1" t="s">
        <v>4125</v>
      </c>
      <c r="H1692">
        <v>2017</v>
      </c>
      <c r="I1692">
        <v>2022</v>
      </c>
      <c r="J1692">
        <f t="shared" si="52"/>
        <v>6</v>
      </c>
      <c r="K1692" s="1" t="s">
        <v>3665</v>
      </c>
      <c r="L1692" s="1" t="s">
        <v>659</v>
      </c>
      <c r="M1692">
        <f t="shared" si="53"/>
        <v>4</v>
      </c>
      <c r="N1692" t="s">
        <v>650</v>
      </c>
    </row>
    <row r="1693" spans="1:14" hidden="1" x14ac:dyDescent="0.3">
      <c r="A1693" s="1" t="s">
        <v>4132</v>
      </c>
      <c r="B1693" s="1" t="s">
        <v>1849</v>
      </c>
      <c r="C1693" s="1" t="s">
        <v>4133</v>
      </c>
      <c r="D1693" s="1" t="s">
        <v>1395</v>
      </c>
      <c r="E1693" s="1" t="s">
        <v>1396</v>
      </c>
      <c r="F1693" s="1" t="s">
        <v>1397</v>
      </c>
      <c r="G1693" s="1" t="s">
        <v>4125</v>
      </c>
      <c r="H1693">
        <v>2020</v>
      </c>
      <c r="I1693">
        <v>2020</v>
      </c>
      <c r="J1693">
        <f t="shared" si="52"/>
        <v>1</v>
      </c>
      <c r="K1693" s="1" t="s">
        <v>3665</v>
      </c>
      <c r="L1693" s="1" t="s">
        <v>659</v>
      </c>
      <c r="M1693">
        <f t="shared" si="53"/>
        <v>6</v>
      </c>
      <c r="N1693" t="s">
        <v>650</v>
      </c>
    </row>
    <row r="1694" spans="1:14" hidden="1" x14ac:dyDescent="0.3">
      <c r="A1694" s="1" t="s">
        <v>4134</v>
      </c>
      <c r="B1694" s="1" t="s">
        <v>1849</v>
      </c>
      <c r="C1694" s="1" t="s">
        <v>4135</v>
      </c>
      <c r="D1694" s="1" t="s">
        <v>1395</v>
      </c>
      <c r="E1694" s="1" t="s">
        <v>1396</v>
      </c>
      <c r="F1694" s="1" t="s">
        <v>1397</v>
      </c>
      <c r="G1694" s="1" t="s">
        <v>4125</v>
      </c>
      <c r="H1694">
        <v>2022</v>
      </c>
      <c r="I1694">
        <v>2022</v>
      </c>
      <c r="J1694">
        <f t="shared" si="52"/>
        <v>1</v>
      </c>
      <c r="K1694" s="1" t="s">
        <v>3665</v>
      </c>
      <c r="L1694" s="1" t="s">
        <v>659</v>
      </c>
      <c r="M1694">
        <f t="shared" si="53"/>
        <v>4</v>
      </c>
      <c r="N1694" t="s">
        <v>650</v>
      </c>
    </row>
    <row r="1695" spans="1:14" hidden="1" x14ac:dyDescent="0.3">
      <c r="A1695" t="s">
        <v>11575</v>
      </c>
      <c r="B1695" t="s">
        <v>1849</v>
      </c>
      <c r="C1695" t="s">
        <v>11576</v>
      </c>
      <c r="E1695" s="1" t="e">
        <v>#N/A</v>
      </c>
      <c r="F1695" s="1" t="e">
        <v>#N/A</v>
      </c>
      <c r="G1695" s="1" t="s">
        <v>11647</v>
      </c>
      <c r="H1695">
        <v>2024</v>
      </c>
      <c r="I1695">
        <v>2025</v>
      </c>
      <c r="J1695">
        <f t="shared" si="52"/>
        <v>2</v>
      </c>
      <c r="K1695" s="1" t="s">
        <v>3665</v>
      </c>
      <c r="L1695" s="1" t="s">
        <v>659</v>
      </c>
      <c r="M1695">
        <f t="shared" si="53"/>
        <v>1</v>
      </c>
    </row>
    <row r="1696" spans="1:14" hidden="1" x14ac:dyDescent="0.3">
      <c r="A1696" s="1" t="s">
        <v>4136</v>
      </c>
      <c r="B1696" s="1" t="s">
        <v>1849</v>
      </c>
      <c r="C1696" s="1" t="s">
        <v>4137</v>
      </c>
      <c r="D1696" s="1" t="s">
        <v>1395</v>
      </c>
      <c r="E1696" s="1" t="s">
        <v>1396</v>
      </c>
      <c r="F1696" s="1" t="s">
        <v>1397</v>
      </c>
      <c r="G1696" s="1" t="s">
        <v>4125</v>
      </c>
      <c r="H1696">
        <v>2020</v>
      </c>
      <c r="I1696">
        <v>2022</v>
      </c>
      <c r="J1696">
        <f t="shared" si="52"/>
        <v>3</v>
      </c>
      <c r="K1696" s="1" t="s">
        <v>3665</v>
      </c>
      <c r="L1696" s="1" t="s">
        <v>659</v>
      </c>
      <c r="M1696">
        <f t="shared" si="53"/>
        <v>4</v>
      </c>
      <c r="N1696" t="s">
        <v>650</v>
      </c>
    </row>
    <row r="1697" spans="1:14" hidden="1" x14ac:dyDescent="0.3">
      <c r="A1697" t="s">
        <v>11577</v>
      </c>
      <c r="B1697" t="s">
        <v>1849</v>
      </c>
      <c r="C1697" t="s">
        <v>11578</v>
      </c>
      <c r="E1697" s="1" t="e">
        <v>#N/A</v>
      </c>
      <c r="F1697" s="1" t="e">
        <v>#N/A</v>
      </c>
      <c r="G1697" s="1" t="s">
        <v>11647</v>
      </c>
      <c r="H1697">
        <v>2024</v>
      </c>
      <c r="I1697">
        <v>2025</v>
      </c>
      <c r="J1697">
        <f t="shared" si="52"/>
        <v>2</v>
      </c>
      <c r="K1697" s="1" t="s">
        <v>3665</v>
      </c>
      <c r="L1697" s="1" t="s">
        <v>659</v>
      </c>
      <c r="M1697">
        <f t="shared" si="53"/>
        <v>1</v>
      </c>
    </row>
    <row r="1698" spans="1:14" hidden="1" x14ac:dyDescent="0.3">
      <c r="A1698" s="1" t="s">
        <v>4138</v>
      </c>
      <c r="B1698" s="1" t="s">
        <v>1849</v>
      </c>
      <c r="C1698" s="1" t="s">
        <v>4139</v>
      </c>
      <c r="D1698" s="1" t="s">
        <v>1395</v>
      </c>
      <c r="E1698" s="1" t="s">
        <v>1396</v>
      </c>
      <c r="F1698" s="1" t="s">
        <v>1397</v>
      </c>
      <c r="G1698" s="1" t="s">
        <v>4125</v>
      </c>
      <c r="H1698">
        <v>2022</v>
      </c>
      <c r="I1698">
        <v>2022</v>
      </c>
      <c r="J1698">
        <f t="shared" si="52"/>
        <v>1</v>
      </c>
      <c r="K1698" s="1" t="s">
        <v>3665</v>
      </c>
      <c r="L1698" s="1" t="s">
        <v>659</v>
      </c>
      <c r="M1698">
        <f t="shared" si="53"/>
        <v>4</v>
      </c>
      <c r="N1698" t="s">
        <v>650</v>
      </c>
    </row>
    <row r="1699" spans="1:14" hidden="1" x14ac:dyDescent="0.3">
      <c r="A1699" s="1" t="s">
        <v>4140</v>
      </c>
      <c r="B1699" s="1" t="s">
        <v>1849</v>
      </c>
      <c r="C1699" s="1" t="s">
        <v>4141</v>
      </c>
      <c r="D1699" s="1" t="s">
        <v>1395</v>
      </c>
      <c r="E1699" s="1" t="s">
        <v>1396</v>
      </c>
      <c r="F1699" s="1" t="s">
        <v>1397</v>
      </c>
      <c r="G1699" s="1" t="s">
        <v>4125</v>
      </c>
      <c r="H1699">
        <v>2021</v>
      </c>
      <c r="I1699">
        <v>2022</v>
      </c>
      <c r="J1699">
        <f t="shared" si="52"/>
        <v>2</v>
      </c>
      <c r="K1699" s="1" t="s">
        <v>3665</v>
      </c>
      <c r="L1699" s="1" t="s">
        <v>659</v>
      </c>
      <c r="M1699">
        <f t="shared" si="53"/>
        <v>4</v>
      </c>
      <c r="N1699" t="s">
        <v>650</v>
      </c>
    </row>
    <row r="1700" spans="1:14" hidden="1" x14ac:dyDescent="0.3">
      <c r="A1700" t="s">
        <v>11579</v>
      </c>
      <c r="B1700" t="s">
        <v>1849</v>
      </c>
      <c r="C1700" t="s">
        <v>11580</v>
      </c>
      <c r="E1700" s="1" t="e">
        <v>#N/A</v>
      </c>
      <c r="F1700" s="1" t="e">
        <v>#N/A</v>
      </c>
      <c r="G1700" s="1" t="s">
        <v>11647</v>
      </c>
      <c r="H1700">
        <v>2023</v>
      </c>
      <c r="I1700">
        <v>2026</v>
      </c>
      <c r="J1700">
        <f t="shared" si="52"/>
        <v>4</v>
      </c>
      <c r="K1700" s="1" t="s">
        <v>3665</v>
      </c>
      <c r="L1700" s="1" t="s">
        <v>659</v>
      </c>
      <c r="M1700">
        <f t="shared" si="53"/>
        <v>0</v>
      </c>
    </row>
    <row r="1701" spans="1:14" hidden="1" x14ac:dyDescent="0.3">
      <c r="A1701" t="s">
        <v>11581</v>
      </c>
      <c r="B1701" t="s">
        <v>1849</v>
      </c>
      <c r="C1701" t="s">
        <v>11582</v>
      </c>
      <c r="E1701" s="1" t="e">
        <v>#N/A</v>
      </c>
      <c r="F1701" s="1" t="e">
        <v>#N/A</v>
      </c>
      <c r="G1701" s="1" t="s">
        <v>11647</v>
      </c>
      <c r="H1701">
        <v>2024</v>
      </c>
      <c r="I1701">
        <v>2024</v>
      </c>
      <c r="J1701">
        <f t="shared" si="52"/>
        <v>1</v>
      </c>
      <c r="K1701" s="1" t="s">
        <v>3665</v>
      </c>
      <c r="L1701" s="1" t="s">
        <v>659</v>
      </c>
      <c r="M1701">
        <f t="shared" si="53"/>
        <v>2</v>
      </c>
    </row>
    <row r="1702" spans="1:14" hidden="1" x14ac:dyDescent="0.3">
      <c r="A1702" t="s">
        <v>11583</v>
      </c>
      <c r="B1702" t="s">
        <v>1849</v>
      </c>
      <c r="C1702" t="s">
        <v>11584</v>
      </c>
      <c r="E1702" s="1" t="e">
        <v>#N/A</v>
      </c>
      <c r="F1702" s="1" t="e">
        <v>#N/A</v>
      </c>
      <c r="G1702" s="1" t="s">
        <v>11647</v>
      </c>
      <c r="H1702">
        <v>2024</v>
      </c>
      <c r="I1702">
        <v>2025</v>
      </c>
      <c r="J1702">
        <f t="shared" si="52"/>
        <v>2</v>
      </c>
      <c r="K1702" s="1" t="s">
        <v>3665</v>
      </c>
      <c r="L1702" s="1" t="s">
        <v>659</v>
      </c>
      <c r="M1702">
        <f t="shared" si="53"/>
        <v>1</v>
      </c>
    </row>
    <row r="1703" spans="1:14" hidden="1" x14ac:dyDescent="0.3">
      <c r="A1703" s="1" t="s">
        <v>4142</v>
      </c>
      <c r="B1703" s="1" t="s">
        <v>1849</v>
      </c>
      <c r="C1703" s="1" t="s">
        <v>4143</v>
      </c>
      <c r="D1703" s="1" t="s">
        <v>1395</v>
      </c>
      <c r="E1703" s="1" t="s">
        <v>1396</v>
      </c>
      <c r="F1703" s="1" t="s">
        <v>1397</v>
      </c>
      <c r="G1703" s="1" t="s">
        <v>4125</v>
      </c>
      <c r="H1703">
        <v>2022</v>
      </c>
      <c r="I1703">
        <v>2022</v>
      </c>
      <c r="J1703">
        <f t="shared" si="52"/>
        <v>1</v>
      </c>
      <c r="K1703" s="1" t="s">
        <v>3665</v>
      </c>
      <c r="L1703" s="1" t="s">
        <v>659</v>
      </c>
      <c r="M1703">
        <f t="shared" si="53"/>
        <v>4</v>
      </c>
      <c r="N1703" t="s">
        <v>650</v>
      </c>
    </row>
    <row r="1704" spans="1:14" hidden="1" x14ac:dyDescent="0.3">
      <c r="A1704" s="1" t="s">
        <v>4144</v>
      </c>
      <c r="B1704" s="1" t="s">
        <v>1849</v>
      </c>
      <c r="C1704" s="1" t="s">
        <v>4145</v>
      </c>
      <c r="D1704" s="1" t="s">
        <v>1395</v>
      </c>
      <c r="E1704" s="1" t="s">
        <v>1396</v>
      </c>
      <c r="F1704" s="1" t="s">
        <v>1397</v>
      </c>
      <c r="G1704" s="1" t="s">
        <v>4125</v>
      </c>
      <c r="H1704">
        <v>2017</v>
      </c>
      <c r="I1704">
        <v>2022</v>
      </c>
      <c r="J1704">
        <f t="shared" si="52"/>
        <v>6</v>
      </c>
      <c r="K1704" s="1" t="s">
        <v>3665</v>
      </c>
      <c r="L1704" s="1" t="s">
        <v>659</v>
      </c>
      <c r="M1704">
        <f t="shared" si="53"/>
        <v>4</v>
      </c>
      <c r="N1704" t="s">
        <v>650</v>
      </c>
    </row>
    <row r="1705" spans="1:14" hidden="1" x14ac:dyDescent="0.3">
      <c r="A1705" s="1" t="s">
        <v>4146</v>
      </c>
      <c r="B1705" s="1" t="s">
        <v>1849</v>
      </c>
      <c r="C1705" s="1" t="s">
        <v>4147</v>
      </c>
      <c r="D1705" s="1" t="s">
        <v>1395</v>
      </c>
      <c r="E1705" s="1" t="s">
        <v>1396</v>
      </c>
      <c r="F1705" s="1" t="s">
        <v>1397</v>
      </c>
      <c r="G1705" s="1" t="s">
        <v>4125</v>
      </c>
      <c r="H1705">
        <v>2017</v>
      </c>
      <c r="I1705">
        <v>2018</v>
      </c>
      <c r="J1705">
        <f t="shared" si="52"/>
        <v>2</v>
      </c>
      <c r="K1705" s="1" t="s">
        <v>3665</v>
      </c>
      <c r="L1705" s="1" t="s">
        <v>659</v>
      </c>
      <c r="M1705">
        <f t="shared" si="53"/>
        <v>8</v>
      </c>
      <c r="N1705" t="s">
        <v>650</v>
      </c>
    </row>
    <row r="1706" spans="1:14" hidden="1" x14ac:dyDescent="0.3">
      <c r="A1706" s="1" t="s">
        <v>4148</v>
      </c>
      <c r="B1706" s="1" t="s">
        <v>1849</v>
      </c>
      <c r="C1706" s="1" t="s">
        <v>4149</v>
      </c>
      <c r="D1706" s="1" t="s">
        <v>1395</v>
      </c>
      <c r="E1706" s="1" t="s">
        <v>1396</v>
      </c>
      <c r="F1706" s="1" t="s">
        <v>1397</v>
      </c>
      <c r="G1706" s="1" t="s">
        <v>4125</v>
      </c>
      <c r="H1706">
        <v>2017</v>
      </c>
      <c r="I1706">
        <v>2018</v>
      </c>
      <c r="J1706">
        <f t="shared" si="52"/>
        <v>2</v>
      </c>
      <c r="K1706" s="1" t="s">
        <v>3665</v>
      </c>
      <c r="L1706" s="1" t="s">
        <v>659</v>
      </c>
      <c r="M1706">
        <f t="shared" si="53"/>
        <v>8</v>
      </c>
      <c r="N1706" t="s">
        <v>650</v>
      </c>
    </row>
    <row r="1707" spans="1:14" hidden="1" x14ac:dyDescent="0.3">
      <c r="A1707" s="1" t="s">
        <v>4150</v>
      </c>
      <c r="B1707" s="1" t="s">
        <v>1849</v>
      </c>
      <c r="C1707" s="1" t="s">
        <v>4151</v>
      </c>
      <c r="D1707" s="1" t="s">
        <v>1395</v>
      </c>
      <c r="E1707" s="1" t="s">
        <v>1396</v>
      </c>
      <c r="F1707" s="1" t="s">
        <v>1397</v>
      </c>
      <c r="G1707" s="1" t="s">
        <v>4125</v>
      </c>
      <c r="H1707">
        <v>2017</v>
      </c>
      <c r="I1707">
        <v>2018</v>
      </c>
      <c r="J1707">
        <f t="shared" si="52"/>
        <v>2</v>
      </c>
      <c r="K1707" s="1" t="s">
        <v>3665</v>
      </c>
      <c r="L1707" s="1" t="s">
        <v>659</v>
      </c>
      <c r="M1707">
        <f t="shared" si="53"/>
        <v>8</v>
      </c>
      <c r="N1707" t="s">
        <v>650</v>
      </c>
    </row>
    <row r="1708" spans="1:14" hidden="1" x14ac:dyDescent="0.3">
      <c r="A1708" s="1" t="s">
        <v>4152</v>
      </c>
      <c r="B1708" s="1" t="s">
        <v>1849</v>
      </c>
      <c r="C1708" s="1" t="s">
        <v>4153</v>
      </c>
      <c r="D1708" s="1" t="s">
        <v>1395</v>
      </c>
      <c r="E1708" s="1" t="s">
        <v>1396</v>
      </c>
      <c r="F1708" s="1" t="s">
        <v>1397</v>
      </c>
      <c r="G1708" s="1" t="s">
        <v>4125</v>
      </c>
      <c r="H1708">
        <v>2018</v>
      </c>
      <c r="I1708">
        <v>2020</v>
      </c>
      <c r="J1708">
        <f t="shared" si="52"/>
        <v>3</v>
      </c>
      <c r="K1708" s="1" t="s">
        <v>3665</v>
      </c>
      <c r="L1708" s="1" t="s">
        <v>659</v>
      </c>
      <c r="M1708">
        <f t="shared" si="53"/>
        <v>6</v>
      </c>
      <c r="N1708" t="s">
        <v>650</v>
      </c>
    </row>
    <row r="1709" spans="1:14" hidden="1" x14ac:dyDescent="0.3">
      <c r="A1709" s="1" t="s">
        <v>4154</v>
      </c>
      <c r="B1709" s="1" t="s">
        <v>1849</v>
      </c>
      <c r="C1709" s="1" t="s">
        <v>4155</v>
      </c>
      <c r="D1709" s="1" t="s">
        <v>1395</v>
      </c>
      <c r="E1709" s="1" t="s">
        <v>1396</v>
      </c>
      <c r="F1709" s="1" t="s">
        <v>1397</v>
      </c>
      <c r="G1709" s="1" t="s">
        <v>4125</v>
      </c>
      <c r="H1709">
        <v>2019</v>
      </c>
      <c r="I1709">
        <v>2020</v>
      </c>
      <c r="J1709">
        <f t="shared" si="52"/>
        <v>2</v>
      </c>
      <c r="K1709" s="1" t="s">
        <v>3665</v>
      </c>
      <c r="L1709" s="1" t="s">
        <v>659</v>
      </c>
      <c r="M1709">
        <f t="shared" si="53"/>
        <v>6</v>
      </c>
      <c r="N1709" t="s">
        <v>650</v>
      </c>
    </row>
    <row r="1710" spans="1:14" hidden="1" x14ac:dyDescent="0.3">
      <c r="A1710" s="1" t="s">
        <v>4156</v>
      </c>
      <c r="B1710" s="1" t="s">
        <v>1849</v>
      </c>
      <c r="C1710" s="1" t="s">
        <v>4157</v>
      </c>
      <c r="D1710" s="1" t="s">
        <v>1395</v>
      </c>
      <c r="E1710" s="1" t="s">
        <v>1396</v>
      </c>
      <c r="F1710" s="1" t="s">
        <v>1397</v>
      </c>
      <c r="G1710" s="1" t="s">
        <v>4125</v>
      </c>
      <c r="H1710">
        <v>2021</v>
      </c>
      <c r="I1710">
        <v>2022</v>
      </c>
      <c r="J1710">
        <f t="shared" si="52"/>
        <v>2</v>
      </c>
      <c r="K1710" s="1" t="s">
        <v>3665</v>
      </c>
      <c r="L1710" s="1" t="s">
        <v>659</v>
      </c>
      <c r="M1710">
        <f t="shared" si="53"/>
        <v>4</v>
      </c>
      <c r="N1710" t="s">
        <v>650</v>
      </c>
    </row>
    <row r="1711" spans="1:14" hidden="1" x14ac:dyDescent="0.3">
      <c r="A1711" s="1" t="s">
        <v>4158</v>
      </c>
      <c r="B1711" s="1" t="s">
        <v>1849</v>
      </c>
      <c r="C1711" s="1" t="s">
        <v>4159</v>
      </c>
      <c r="D1711" s="1" t="s">
        <v>1395</v>
      </c>
      <c r="E1711" s="1" t="s">
        <v>1396</v>
      </c>
      <c r="F1711" s="1" t="s">
        <v>1397</v>
      </c>
      <c r="G1711" s="1" t="s">
        <v>4125</v>
      </c>
      <c r="H1711">
        <v>2018</v>
      </c>
      <c r="I1711">
        <v>2019</v>
      </c>
      <c r="J1711">
        <f t="shared" si="52"/>
        <v>2</v>
      </c>
      <c r="K1711" s="1" t="s">
        <v>3665</v>
      </c>
      <c r="L1711" s="1" t="s">
        <v>659</v>
      </c>
      <c r="M1711">
        <f t="shared" si="53"/>
        <v>7</v>
      </c>
      <c r="N1711" t="s">
        <v>650</v>
      </c>
    </row>
    <row r="1712" spans="1:14" hidden="1" x14ac:dyDescent="0.3">
      <c r="A1712" t="s">
        <v>11585</v>
      </c>
      <c r="B1712" t="s">
        <v>1849</v>
      </c>
      <c r="C1712" t="s">
        <v>11586</v>
      </c>
      <c r="E1712" s="1" t="e">
        <v>#N/A</v>
      </c>
      <c r="F1712" s="1" t="e">
        <v>#N/A</v>
      </c>
      <c r="G1712" s="1" t="s">
        <v>11647</v>
      </c>
      <c r="H1712">
        <v>2025</v>
      </c>
      <c r="I1712">
        <v>2026</v>
      </c>
      <c r="J1712">
        <f t="shared" si="52"/>
        <v>2</v>
      </c>
      <c r="K1712" s="1" t="s">
        <v>3665</v>
      </c>
      <c r="L1712" s="1" t="s">
        <v>659</v>
      </c>
      <c r="M1712">
        <f t="shared" si="53"/>
        <v>0</v>
      </c>
    </row>
    <row r="1713" spans="1:14" hidden="1" x14ac:dyDescent="0.3">
      <c r="A1713" s="1" t="s">
        <v>4160</v>
      </c>
      <c r="B1713" s="1" t="s">
        <v>1849</v>
      </c>
      <c r="C1713" s="1" t="s">
        <v>4161</v>
      </c>
      <c r="D1713" s="1" t="s">
        <v>1395</v>
      </c>
      <c r="E1713" s="1" t="s">
        <v>1396</v>
      </c>
      <c r="F1713" s="1" t="s">
        <v>1397</v>
      </c>
      <c r="G1713" s="1" t="s">
        <v>4125</v>
      </c>
      <c r="H1713">
        <v>2022</v>
      </c>
      <c r="I1713">
        <v>2022</v>
      </c>
      <c r="J1713">
        <f t="shared" si="52"/>
        <v>1</v>
      </c>
      <c r="K1713" s="1" t="s">
        <v>3665</v>
      </c>
      <c r="L1713" s="1" t="s">
        <v>659</v>
      </c>
      <c r="M1713">
        <f t="shared" si="53"/>
        <v>4</v>
      </c>
      <c r="N1713" t="s">
        <v>650</v>
      </c>
    </row>
    <row r="1714" spans="1:14" hidden="1" x14ac:dyDescent="0.3">
      <c r="A1714" t="s">
        <v>11331</v>
      </c>
      <c r="B1714" t="s">
        <v>802</v>
      </c>
      <c r="C1714" t="s">
        <v>11332</v>
      </c>
      <c r="E1714" s="1" t="e">
        <v>#N/A</v>
      </c>
      <c r="F1714" s="1" t="e">
        <v>#N/A</v>
      </c>
      <c r="G1714" s="1" t="s">
        <v>1333</v>
      </c>
      <c r="H1714">
        <v>2023</v>
      </c>
      <c r="I1714">
        <v>2023</v>
      </c>
      <c r="J1714">
        <f t="shared" si="52"/>
        <v>1</v>
      </c>
      <c r="K1714" s="1" t="s">
        <v>741</v>
      </c>
      <c r="L1714" s="1" t="s">
        <v>798</v>
      </c>
      <c r="M1714">
        <f t="shared" si="53"/>
        <v>3</v>
      </c>
    </row>
    <row r="1715" spans="1:14" hidden="1" x14ac:dyDescent="0.3">
      <c r="A1715" s="1" t="s">
        <v>1331</v>
      </c>
      <c r="B1715" s="1" t="s">
        <v>802</v>
      </c>
      <c r="C1715" s="1" t="s">
        <v>1332</v>
      </c>
      <c r="D1715" s="1" t="s">
        <v>738</v>
      </c>
      <c r="E1715" s="1" t="s">
        <v>739</v>
      </c>
      <c r="F1715" s="1" t="s">
        <v>781</v>
      </c>
      <c r="G1715" s="1" t="s">
        <v>1333</v>
      </c>
      <c r="H1715">
        <v>2019</v>
      </c>
      <c r="I1715">
        <v>2019</v>
      </c>
      <c r="J1715">
        <f t="shared" si="52"/>
        <v>1</v>
      </c>
      <c r="K1715" s="1" t="s">
        <v>741</v>
      </c>
      <c r="L1715" s="1" t="s">
        <v>798</v>
      </c>
      <c r="M1715">
        <f t="shared" si="53"/>
        <v>7</v>
      </c>
      <c r="N1715" t="s">
        <v>650</v>
      </c>
    </row>
    <row r="1716" spans="1:14" hidden="1" x14ac:dyDescent="0.3">
      <c r="A1716" s="1" t="s">
        <v>1334</v>
      </c>
      <c r="B1716" s="1" t="s">
        <v>802</v>
      </c>
      <c r="C1716" s="1" t="s">
        <v>1335</v>
      </c>
      <c r="D1716" s="1" t="s">
        <v>738</v>
      </c>
      <c r="E1716" s="1" t="s">
        <v>739</v>
      </c>
      <c r="F1716" s="1" t="s">
        <v>781</v>
      </c>
      <c r="G1716" s="1" t="s">
        <v>1333</v>
      </c>
      <c r="H1716">
        <v>2020</v>
      </c>
      <c r="I1716">
        <v>2020</v>
      </c>
      <c r="J1716">
        <f t="shared" si="52"/>
        <v>1</v>
      </c>
      <c r="K1716" s="1" t="s">
        <v>741</v>
      </c>
      <c r="L1716" s="1" t="s">
        <v>798</v>
      </c>
      <c r="M1716">
        <f t="shared" si="53"/>
        <v>6</v>
      </c>
      <c r="N1716" t="s">
        <v>650</v>
      </c>
    </row>
    <row r="1717" spans="1:14" hidden="1" x14ac:dyDescent="0.3">
      <c r="A1717" t="s">
        <v>11333</v>
      </c>
      <c r="B1717" t="s">
        <v>802</v>
      </c>
      <c r="C1717" t="s">
        <v>11334</v>
      </c>
      <c r="E1717" s="1" t="e">
        <v>#N/A</v>
      </c>
      <c r="F1717" s="1" t="e">
        <v>#N/A</v>
      </c>
      <c r="G1717" s="1" t="s">
        <v>1333</v>
      </c>
      <c r="H1717">
        <v>2023</v>
      </c>
      <c r="I1717">
        <v>2026</v>
      </c>
      <c r="J1717">
        <f t="shared" si="52"/>
        <v>4</v>
      </c>
      <c r="K1717" s="1" t="s">
        <v>741</v>
      </c>
      <c r="L1717" s="1" t="s">
        <v>798</v>
      </c>
      <c r="M1717">
        <f t="shared" si="53"/>
        <v>0</v>
      </c>
    </row>
    <row r="1718" spans="1:14" hidden="1" x14ac:dyDescent="0.3">
      <c r="A1718" s="1" t="s">
        <v>1336</v>
      </c>
      <c r="B1718" s="1" t="s">
        <v>802</v>
      </c>
      <c r="C1718" s="1" t="s">
        <v>1337</v>
      </c>
      <c r="D1718" s="1" t="s">
        <v>738</v>
      </c>
      <c r="E1718" s="1" t="s">
        <v>739</v>
      </c>
      <c r="F1718" s="1" t="s">
        <v>781</v>
      </c>
      <c r="G1718" s="1" t="s">
        <v>1333</v>
      </c>
      <c r="H1718">
        <v>2019</v>
      </c>
      <c r="I1718">
        <v>2019</v>
      </c>
      <c r="J1718">
        <f t="shared" si="52"/>
        <v>1</v>
      </c>
      <c r="K1718" s="1" t="s">
        <v>741</v>
      </c>
      <c r="L1718" s="1" t="s">
        <v>798</v>
      </c>
      <c r="M1718">
        <f t="shared" si="53"/>
        <v>7</v>
      </c>
      <c r="N1718" t="s">
        <v>650</v>
      </c>
    </row>
    <row r="1719" spans="1:14" hidden="1" x14ac:dyDescent="0.3">
      <c r="A1719" t="s">
        <v>11335</v>
      </c>
      <c r="B1719" t="s">
        <v>802</v>
      </c>
      <c r="C1719" t="s">
        <v>11336</v>
      </c>
      <c r="E1719" s="1" t="e">
        <v>#N/A</v>
      </c>
      <c r="F1719" s="1" t="e">
        <v>#N/A</v>
      </c>
      <c r="G1719" s="1" t="s">
        <v>1333</v>
      </c>
      <c r="H1719">
        <v>2023</v>
      </c>
      <c r="I1719">
        <v>2026</v>
      </c>
      <c r="J1719">
        <f t="shared" si="52"/>
        <v>4</v>
      </c>
      <c r="K1719" s="1" t="s">
        <v>741</v>
      </c>
      <c r="L1719" s="1" t="s">
        <v>798</v>
      </c>
      <c r="M1719">
        <f t="shared" si="53"/>
        <v>0</v>
      </c>
    </row>
    <row r="1720" spans="1:14" hidden="1" x14ac:dyDescent="0.3">
      <c r="A1720" s="1" t="s">
        <v>1338</v>
      </c>
      <c r="B1720" s="1" t="s">
        <v>802</v>
      </c>
      <c r="C1720" s="1" t="s">
        <v>1339</v>
      </c>
      <c r="D1720" s="1" t="s">
        <v>738</v>
      </c>
      <c r="E1720" s="1" t="s">
        <v>739</v>
      </c>
      <c r="F1720" s="1" t="s">
        <v>781</v>
      </c>
      <c r="G1720" s="1" t="s">
        <v>1333</v>
      </c>
      <c r="H1720">
        <v>2019</v>
      </c>
      <c r="I1720">
        <v>2019</v>
      </c>
      <c r="J1720">
        <f t="shared" si="52"/>
        <v>1</v>
      </c>
      <c r="K1720" s="1" t="s">
        <v>741</v>
      </c>
      <c r="L1720" s="1" t="s">
        <v>798</v>
      </c>
      <c r="M1720">
        <f t="shared" si="53"/>
        <v>7</v>
      </c>
      <c r="N1720" t="s">
        <v>650</v>
      </c>
    </row>
    <row r="1721" spans="1:14" hidden="1" x14ac:dyDescent="0.3">
      <c r="A1721" s="1" t="s">
        <v>1340</v>
      </c>
      <c r="B1721" s="1" t="s">
        <v>802</v>
      </c>
      <c r="C1721" s="1" t="s">
        <v>1341</v>
      </c>
      <c r="D1721" s="1" t="s">
        <v>738</v>
      </c>
      <c r="E1721" s="1" t="s">
        <v>739</v>
      </c>
      <c r="F1721" s="1" t="s">
        <v>781</v>
      </c>
      <c r="G1721" s="1" t="s">
        <v>1333</v>
      </c>
      <c r="H1721">
        <v>2018</v>
      </c>
      <c r="I1721">
        <v>2018</v>
      </c>
      <c r="J1721">
        <f t="shared" si="52"/>
        <v>1</v>
      </c>
      <c r="K1721" s="1" t="s">
        <v>741</v>
      </c>
      <c r="L1721" s="1" t="s">
        <v>798</v>
      </c>
      <c r="M1721">
        <f t="shared" si="53"/>
        <v>8</v>
      </c>
      <c r="N1721" t="s">
        <v>650</v>
      </c>
    </row>
    <row r="1722" spans="1:14" hidden="1" x14ac:dyDescent="0.3">
      <c r="A1722" s="1" t="s">
        <v>7473</v>
      </c>
      <c r="B1722" s="1" t="s">
        <v>802</v>
      </c>
      <c r="C1722" s="1" t="s">
        <v>7474</v>
      </c>
      <c r="D1722" s="1" t="s">
        <v>738</v>
      </c>
      <c r="E1722" s="1" t="s">
        <v>739</v>
      </c>
      <c r="F1722" s="1" t="s">
        <v>781</v>
      </c>
      <c r="G1722" s="1" t="s">
        <v>1333</v>
      </c>
      <c r="H1722">
        <v>2020</v>
      </c>
      <c r="I1722">
        <v>2020</v>
      </c>
      <c r="J1722">
        <f t="shared" si="52"/>
        <v>1</v>
      </c>
      <c r="K1722" s="1" t="s">
        <v>3665</v>
      </c>
      <c r="L1722" s="1" t="s">
        <v>3793</v>
      </c>
      <c r="M1722">
        <f t="shared" si="53"/>
        <v>6</v>
      </c>
      <c r="N1722" t="s">
        <v>650</v>
      </c>
    </row>
    <row r="1723" spans="1:14" hidden="1" x14ac:dyDescent="0.3">
      <c r="A1723" t="s">
        <v>11337</v>
      </c>
      <c r="B1723" t="s">
        <v>802</v>
      </c>
      <c r="C1723" t="s">
        <v>11338</v>
      </c>
      <c r="E1723" s="1" t="e">
        <v>#N/A</v>
      </c>
      <c r="F1723" s="1" t="e">
        <v>#N/A</v>
      </c>
      <c r="G1723" s="1" t="s">
        <v>1333</v>
      </c>
      <c r="H1723">
        <v>2023</v>
      </c>
      <c r="I1723">
        <v>2026</v>
      </c>
      <c r="J1723">
        <f t="shared" si="52"/>
        <v>4</v>
      </c>
      <c r="K1723" s="1" t="s">
        <v>741</v>
      </c>
      <c r="L1723" s="1" t="s">
        <v>798</v>
      </c>
      <c r="M1723">
        <f t="shared" si="53"/>
        <v>0</v>
      </c>
    </row>
    <row r="1724" spans="1:14" hidden="1" x14ac:dyDescent="0.3">
      <c r="A1724" s="1" t="s">
        <v>1342</v>
      </c>
      <c r="B1724" s="1" t="s">
        <v>802</v>
      </c>
      <c r="C1724" s="1" t="s">
        <v>1343</v>
      </c>
      <c r="D1724" s="1" t="s">
        <v>738</v>
      </c>
      <c r="E1724" s="1" t="s">
        <v>739</v>
      </c>
      <c r="F1724" s="1" t="s">
        <v>781</v>
      </c>
      <c r="G1724" s="1" t="s">
        <v>1333</v>
      </c>
      <c r="H1724">
        <v>2018</v>
      </c>
      <c r="I1724">
        <v>2018</v>
      </c>
      <c r="J1724">
        <f t="shared" si="52"/>
        <v>1</v>
      </c>
      <c r="K1724" s="1" t="s">
        <v>741</v>
      </c>
      <c r="L1724" s="1" t="s">
        <v>798</v>
      </c>
      <c r="M1724">
        <f t="shared" si="53"/>
        <v>8</v>
      </c>
      <c r="N1724" t="s">
        <v>650</v>
      </c>
    </row>
    <row r="1725" spans="1:14" hidden="1" x14ac:dyDescent="0.3">
      <c r="A1725" s="1" t="s">
        <v>1344</v>
      </c>
      <c r="B1725" s="1" t="s">
        <v>802</v>
      </c>
      <c r="C1725" s="1" t="s">
        <v>1345</v>
      </c>
      <c r="D1725" s="1" t="s">
        <v>738</v>
      </c>
      <c r="E1725" s="1" t="s">
        <v>739</v>
      </c>
      <c r="F1725" s="1" t="s">
        <v>781</v>
      </c>
      <c r="G1725" s="1" t="s">
        <v>1333</v>
      </c>
      <c r="H1725">
        <v>2018</v>
      </c>
      <c r="I1725">
        <v>2018</v>
      </c>
      <c r="J1725">
        <f t="shared" si="52"/>
        <v>1</v>
      </c>
      <c r="K1725" s="1" t="s">
        <v>741</v>
      </c>
      <c r="L1725" s="1" t="s">
        <v>798</v>
      </c>
      <c r="M1725">
        <f t="shared" si="53"/>
        <v>8</v>
      </c>
      <c r="N1725" t="s">
        <v>650</v>
      </c>
    </row>
    <row r="1726" spans="1:14" hidden="1" x14ac:dyDescent="0.3">
      <c r="A1726" s="1" t="s">
        <v>1346</v>
      </c>
      <c r="B1726" s="1" t="s">
        <v>810</v>
      </c>
      <c r="C1726" s="1" t="s">
        <v>1347</v>
      </c>
      <c r="D1726" s="1" t="s">
        <v>746</v>
      </c>
      <c r="E1726" s="1" t="s">
        <v>747</v>
      </c>
      <c r="F1726" s="1" t="s">
        <v>1348</v>
      </c>
      <c r="G1726" s="1" t="s">
        <v>1349</v>
      </c>
      <c r="H1726">
        <v>2005</v>
      </c>
      <c r="I1726">
        <v>2015</v>
      </c>
      <c r="J1726">
        <f t="shared" si="52"/>
        <v>11</v>
      </c>
      <c r="K1726" s="1" t="s">
        <v>741</v>
      </c>
      <c r="L1726" s="1" t="s">
        <v>798</v>
      </c>
      <c r="M1726">
        <f t="shared" si="53"/>
        <v>11</v>
      </c>
      <c r="N1726" t="s">
        <v>650</v>
      </c>
    </row>
    <row r="1727" spans="1:14" hidden="1" x14ac:dyDescent="0.3">
      <c r="A1727" s="1" t="s">
        <v>1350</v>
      </c>
      <c r="B1727" s="1" t="s">
        <v>810</v>
      </c>
      <c r="C1727" s="1" t="s">
        <v>1351</v>
      </c>
      <c r="D1727" s="1" t="s">
        <v>746</v>
      </c>
      <c r="E1727" s="1" t="s">
        <v>747</v>
      </c>
      <c r="F1727" s="1" t="s">
        <v>1348</v>
      </c>
      <c r="G1727" s="1" t="s">
        <v>1349</v>
      </c>
      <c r="H1727">
        <v>2015</v>
      </c>
      <c r="I1727">
        <v>2018</v>
      </c>
      <c r="J1727">
        <f t="shared" si="52"/>
        <v>4</v>
      </c>
      <c r="K1727" s="1" t="s">
        <v>741</v>
      </c>
      <c r="L1727" s="1" t="s">
        <v>798</v>
      </c>
      <c r="M1727">
        <f t="shared" si="53"/>
        <v>8</v>
      </c>
      <c r="N1727" t="s">
        <v>650</v>
      </c>
    </row>
    <row r="1728" spans="1:14" hidden="1" x14ac:dyDescent="0.3">
      <c r="A1728" s="1" t="s">
        <v>1352</v>
      </c>
      <c r="B1728" s="1" t="s">
        <v>810</v>
      </c>
      <c r="C1728" s="1" t="s">
        <v>1353</v>
      </c>
      <c r="D1728" s="1" t="s">
        <v>746</v>
      </c>
      <c r="E1728" s="1" t="s">
        <v>747</v>
      </c>
      <c r="F1728" s="1" t="s">
        <v>1348</v>
      </c>
      <c r="G1728" s="1" t="s">
        <v>1349</v>
      </c>
      <c r="H1728">
        <v>2013</v>
      </c>
      <c r="I1728">
        <v>2015</v>
      </c>
      <c r="J1728">
        <f t="shared" si="52"/>
        <v>3</v>
      </c>
      <c r="K1728" s="1" t="s">
        <v>741</v>
      </c>
      <c r="L1728" s="1" t="s">
        <v>798</v>
      </c>
      <c r="M1728">
        <f t="shared" si="53"/>
        <v>11</v>
      </c>
      <c r="N1728" t="s">
        <v>650</v>
      </c>
    </row>
    <row r="1729" spans="1:14" hidden="1" x14ac:dyDescent="0.3">
      <c r="A1729" s="1" t="s">
        <v>1354</v>
      </c>
      <c r="B1729" s="1" t="s">
        <v>810</v>
      </c>
      <c r="C1729" s="1" t="s">
        <v>1355</v>
      </c>
      <c r="D1729" s="1" t="s">
        <v>746</v>
      </c>
      <c r="E1729" s="1" t="s">
        <v>747</v>
      </c>
      <c r="F1729" s="1" t="s">
        <v>1348</v>
      </c>
      <c r="G1729" s="1" t="s">
        <v>1349</v>
      </c>
      <c r="H1729">
        <v>2015</v>
      </c>
      <c r="I1729">
        <v>2018</v>
      </c>
      <c r="J1729">
        <f t="shared" si="52"/>
        <v>4</v>
      </c>
      <c r="K1729" s="1" t="s">
        <v>741</v>
      </c>
      <c r="L1729" s="1" t="s">
        <v>798</v>
      </c>
      <c r="M1729">
        <f t="shared" si="53"/>
        <v>8</v>
      </c>
      <c r="N1729" t="s">
        <v>650</v>
      </c>
    </row>
    <row r="1730" spans="1:14" x14ac:dyDescent="0.3">
      <c r="A1730" s="1" t="s">
        <v>7475</v>
      </c>
      <c r="B1730" s="1" t="s">
        <v>1451</v>
      </c>
      <c r="C1730" s="1" t="s">
        <v>7476</v>
      </c>
      <c r="D1730" s="1" t="s">
        <v>738</v>
      </c>
      <c r="E1730" s="1" t="s">
        <v>6076</v>
      </c>
      <c r="F1730" s="1" t="s">
        <v>6076</v>
      </c>
      <c r="G1730" s="1" t="s">
        <v>7477</v>
      </c>
      <c r="H1730">
        <v>1991</v>
      </c>
      <c r="I1730">
        <v>1992</v>
      </c>
      <c r="J1730">
        <f t="shared" si="52"/>
        <v>2</v>
      </c>
      <c r="K1730" s="1" t="s">
        <v>6076</v>
      </c>
      <c r="L1730" s="1" t="s">
        <v>6076</v>
      </c>
      <c r="M1730">
        <f t="shared" si="53"/>
        <v>34</v>
      </c>
      <c r="N1730" t="s">
        <v>640</v>
      </c>
    </row>
    <row r="1731" spans="1:14" hidden="1" x14ac:dyDescent="0.3">
      <c r="A1731" s="1" t="s">
        <v>1356</v>
      </c>
      <c r="B1731" s="1" t="s">
        <v>795</v>
      </c>
      <c r="C1731" s="1" t="s">
        <v>1357</v>
      </c>
      <c r="D1731" s="1" t="s">
        <v>746</v>
      </c>
      <c r="E1731" s="1" t="s">
        <v>1358</v>
      </c>
      <c r="F1731" s="1" t="s">
        <v>1359</v>
      </c>
      <c r="G1731" s="1" t="s">
        <v>1360</v>
      </c>
      <c r="H1731">
        <v>2019</v>
      </c>
      <c r="I1731">
        <v>2019</v>
      </c>
      <c r="J1731">
        <f t="shared" si="52"/>
        <v>1</v>
      </c>
      <c r="K1731" s="1" t="s">
        <v>741</v>
      </c>
      <c r="L1731" s="1" t="s">
        <v>666</v>
      </c>
      <c r="M1731">
        <f t="shared" si="53"/>
        <v>7</v>
      </c>
      <c r="N1731" t="s">
        <v>650</v>
      </c>
    </row>
    <row r="1732" spans="1:14" hidden="1" x14ac:dyDescent="0.3">
      <c r="A1732" s="1" t="s">
        <v>1361</v>
      </c>
      <c r="B1732" s="1" t="s">
        <v>795</v>
      </c>
      <c r="C1732" s="1" t="s">
        <v>1362</v>
      </c>
      <c r="D1732" s="1" t="s">
        <v>746</v>
      </c>
      <c r="E1732" s="1" t="s">
        <v>1358</v>
      </c>
      <c r="F1732" s="1" t="s">
        <v>1359</v>
      </c>
      <c r="G1732" s="1" t="s">
        <v>1360</v>
      </c>
      <c r="H1732">
        <v>2019</v>
      </c>
      <c r="I1732">
        <v>2019</v>
      </c>
      <c r="J1732">
        <f t="shared" si="52"/>
        <v>1</v>
      </c>
      <c r="K1732" s="1" t="s">
        <v>741</v>
      </c>
      <c r="L1732" s="1" t="s">
        <v>666</v>
      </c>
      <c r="M1732">
        <f t="shared" si="53"/>
        <v>7</v>
      </c>
      <c r="N1732" t="s">
        <v>650</v>
      </c>
    </row>
    <row r="1733" spans="1:14" hidden="1" x14ac:dyDescent="0.3">
      <c r="A1733" s="1" t="s">
        <v>1363</v>
      </c>
      <c r="B1733" s="1" t="s">
        <v>795</v>
      </c>
      <c r="C1733" s="1" t="s">
        <v>1364</v>
      </c>
      <c r="D1733" s="1" t="s">
        <v>746</v>
      </c>
      <c r="E1733" s="1" t="s">
        <v>1358</v>
      </c>
      <c r="F1733" s="1" t="s">
        <v>1359</v>
      </c>
      <c r="G1733" s="1" t="s">
        <v>1360</v>
      </c>
      <c r="H1733">
        <v>2012</v>
      </c>
      <c r="I1733">
        <v>2016</v>
      </c>
      <c r="J1733">
        <f t="shared" si="52"/>
        <v>5</v>
      </c>
      <c r="K1733" s="1" t="s">
        <v>741</v>
      </c>
      <c r="L1733" s="1" t="s">
        <v>666</v>
      </c>
      <c r="M1733">
        <f t="shared" si="53"/>
        <v>10</v>
      </c>
      <c r="N1733" t="s">
        <v>650</v>
      </c>
    </row>
    <row r="1734" spans="1:14" hidden="1" x14ac:dyDescent="0.3">
      <c r="A1734" s="1" t="s">
        <v>1365</v>
      </c>
      <c r="B1734" s="1" t="s">
        <v>795</v>
      </c>
      <c r="C1734" s="1" t="s">
        <v>1366</v>
      </c>
      <c r="D1734" s="1" t="s">
        <v>746</v>
      </c>
      <c r="E1734" s="1" t="s">
        <v>1358</v>
      </c>
      <c r="F1734" s="1" t="s">
        <v>1359</v>
      </c>
      <c r="G1734" s="1" t="s">
        <v>1360</v>
      </c>
      <c r="H1734">
        <v>2012</v>
      </c>
      <c r="I1734">
        <v>2016</v>
      </c>
      <c r="J1734">
        <f t="shared" ref="J1734:J1797" si="54">1+(I1734-H1734)</f>
        <v>5</v>
      </c>
      <c r="K1734" s="1" t="s">
        <v>741</v>
      </c>
      <c r="L1734" s="1" t="s">
        <v>666</v>
      </c>
      <c r="M1734">
        <f t="shared" ref="M1734:M1797" si="55">IF(I1734=0,0,$B$2-I1734)</f>
        <v>10</v>
      </c>
      <c r="N1734" t="s">
        <v>650</v>
      </c>
    </row>
    <row r="1735" spans="1:14" hidden="1" x14ac:dyDescent="0.3">
      <c r="A1735" s="1" t="s">
        <v>1367</v>
      </c>
      <c r="B1735" s="1" t="s">
        <v>795</v>
      </c>
      <c r="C1735" s="1" t="s">
        <v>1368</v>
      </c>
      <c r="D1735" s="1" t="s">
        <v>746</v>
      </c>
      <c r="E1735" s="1" t="s">
        <v>1358</v>
      </c>
      <c r="F1735" s="1" t="s">
        <v>1359</v>
      </c>
      <c r="G1735" s="1" t="s">
        <v>1360</v>
      </c>
      <c r="H1735">
        <v>2012</v>
      </c>
      <c r="I1735">
        <v>2016</v>
      </c>
      <c r="J1735">
        <f t="shared" si="54"/>
        <v>5</v>
      </c>
      <c r="K1735" s="1" t="s">
        <v>741</v>
      </c>
      <c r="L1735" s="1" t="s">
        <v>666</v>
      </c>
      <c r="M1735">
        <f t="shared" si="55"/>
        <v>10</v>
      </c>
      <c r="N1735" t="s">
        <v>650</v>
      </c>
    </row>
    <row r="1736" spans="1:14" hidden="1" x14ac:dyDescent="0.3">
      <c r="A1736" s="1" t="s">
        <v>1369</v>
      </c>
      <c r="B1736" s="1" t="s">
        <v>795</v>
      </c>
      <c r="C1736" s="1" t="s">
        <v>1370</v>
      </c>
      <c r="D1736" s="1" t="s">
        <v>746</v>
      </c>
      <c r="E1736" s="1" t="s">
        <v>1358</v>
      </c>
      <c r="F1736" s="1" t="s">
        <v>1359</v>
      </c>
      <c r="G1736" s="1" t="s">
        <v>1360</v>
      </c>
      <c r="H1736">
        <v>2012</v>
      </c>
      <c r="I1736">
        <v>2014</v>
      </c>
      <c r="J1736">
        <f t="shared" si="54"/>
        <v>3</v>
      </c>
      <c r="K1736" s="1" t="s">
        <v>741</v>
      </c>
      <c r="L1736" s="1" t="s">
        <v>666</v>
      </c>
      <c r="M1736">
        <f t="shared" si="55"/>
        <v>12</v>
      </c>
      <c r="N1736" t="s">
        <v>650</v>
      </c>
    </row>
    <row r="1737" spans="1:14" hidden="1" x14ac:dyDescent="0.3">
      <c r="A1737" s="1" t="s">
        <v>1371</v>
      </c>
      <c r="B1737" s="1" t="s">
        <v>795</v>
      </c>
      <c r="C1737" s="1" t="s">
        <v>1372</v>
      </c>
      <c r="D1737" s="1" t="s">
        <v>738</v>
      </c>
      <c r="E1737" s="1" t="s">
        <v>812</v>
      </c>
      <c r="F1737" s="1" t="s">
        <v>813</v>
      </c>
      <c r="G1737" s="1" t="s">
        <v>1360</v>
      </c>
      <c r="H1737">
        <v>2017</v>
      </c>
      <c r="I1737">
        <v>2022</v>
      </c>
      <c r="J1737">
        <f t="shared" si="54"/>
        <v>6</v>
      </c>
      <c r="K1737" s="1" t="s">
        <v>741</v>
      </c>
      <c r="L1737" s="1" t="s">
        <v>666</v>
      </c>
      <c r="M1737">
        <f t="shared" si="55"/>
        <v>4</v>
      </c>
      <c r="N1737" t="s">
        <v>650</v>
      </c>
    </row>
    <row r="1738" spans="1:14" hidden="1" x14ac:dyDescent="0.3">
      <c r="A1738" s="1" t="s">
        <v>1373</v>
      </c>
      <c r="B1738" s="1" t="s">
        <v>795</v>
      </c>
      <c r="C1738" s="1" t="s">
        <v>1374</v>
      </c>
      <c r="D1738" s="1" t="s">
        <v>738</v>
      </c>
      <c r="E1738" s="1" t="s">
        <v>812</v>
      </c>
      <c r="F1738" s="1" t="s">
        <v>813</v>
      </c>
      <c r="G1738" s="1" t="s">
        <v>1360</v>
      </c>
      <c r="H1738">
        <v>2012</v>
      </c>
      <c r="I1738">
        <v>2016</v>
      </c>
      <c r="J1738">
        <f t="shared" si="54"/>
        <v>5</v>
      </c>
      <c r="K1738" s="1" t="s">
        <v>741</v>
      </c>
      <c r="L1738" s="1" t="s">
        <v>666</v>
      </c>
      <c r="M1738">
        <f t="shared" si="55"/>
        <v>10</v>
      </c>
      <c r="N1738" t="s">
        <v>650</v>
      </c>
    </row>
    <row r="1739" spans="1:14" hidden="1" x14ac:dyDescent="0.3">
      <c r="A1739" s="1" t="s">
        <v>1375</v>
      </c>
      <c r="B1739" s="1" t="s">
        <v>795</v>
      </c>
      <c r="C1739" s="1" t="s">
        <v>1376</v>
      </c>
      <c r="D1739" s="1" t="s">
        <v>738</v>
      </c>
      <c r="E1739" s="1" t="s">
        <v>812</v>
      </c>
      <c r="F1739" s="1" t="s">
        <v>813</v>
      </c>
      <c r="G1739" s="1" t="s">
        <v>1360</v>
      </c>
      <c r="H1739">
        <v>2012</v>
      </c>
      <c r="I1739">
        <v>2016</v>
      </c>
      <c r="J1739">
        <f t="shared" si="54"/>
        <v>5</v>
      </c>
      <c r="K1739" s="1" t="s">
        <v>741</v>
      </c>
      <c r="L1739" s="1" t="s">
        <v>666</v>
      </c>
      <c r="M1739">
        <f t="shared" si="55"/>
        <v>10</v>
      </c>
      <c r="N1739" t="s">
        <v>650</v>
      </c>
    </row>
    <row r="1740" spans="1:14" hidden="1" x14ac:dyDescent="0.3">
      <c r="A1740" s="1" t="s">
        <v>1377</v>
      </c>
      <c r="B1740" s="1" t="s">
        <v>795</v>
      </c>
      <c r="C1740" s="1" t="s">
        <v>1378</v>
      </c>
      <c r="D1740" s="1" t="s">
        <v>738</v>
      </c>
      <c r="E1740" s="1" t="s">
        <v>812</v>
      </c>
      <c r="F1740" s="1" t="s">
        <v>813</v>
      </c>
      <c r="G1740" s="1" t="s">
        <v>1360</v>
      </c>
      <c r="H1740">
        <v>2017</v>
      </c>
      <c r="I1740">
        <v>2022</v>
      </c>
      <c r="J1740">
        <f t="shared" si="54"/>
        <v>6</v>
      </c>
      <c r="K1740" s="1" t="s">
        <v>741</v>
      </c>
      <c r="L1740" s="1" t="s">
        <v>666</v>
      </c>
      <c r="M1740">
        <f t="shared" si="55"/>
        <v>4</v>
      </c>
      <c r="N1740" t="s">
        <v>650</v>
      </c>
    </row>
    <row r="1741" spans="1:14" hidden="1" x14ac:dyDescent="0.3">
      <c r="A1741" s="1" t="s">
        <v>1379</v>
      </c>
      <c r="B1741" s="1" t="s">
        <v>795</v>
      </c>
      <c r="C1741" s="1" t="s">
        <v>1380</v>
      </c>
      <c r="D1741" s="1" t="s">
        <v>738</v>
      </c>
      <c r="E1741" s="1" t="s">
        <v>812</v>
      </c>
      <c r="F1741" s="1" t="s">
        <v>813</v>
      </c>
      <c r="G1741" s="1" t="s">
        <v>1360</v>
      </c>
      <c r="H1741">
        <v>2012</v>
      </c>
      <c r="I1741">
        <v>2016</v>
      </c>
      <c r="J1741">
        <f t="shared" si="54"/>
        <v>5</v>
      </c>
      <c r="K1741" s="1" t="s">
        <v>741</v>
      </c>
      <c r="L1741" s="1" t="s">
        <v>666</v>
      </c>
      <c r="M1741">
        <f t="shared" si="55"/>
        <v>10</v>
      </c>
      <c r="N1741" t="s">
        <v>650</v>
      </c>
    </row>
    <row r="1742" spans="1:14" hidden="1" x14ac:dyDescent="0.3">
      <c r="A1742" s="1" t="s">
        <v>1381</v>
      </c>
      <c r="B1742" s="1" t="s">
        <v>795</v>
      </c>
      <c r="C1742" s="1" t="s">
        <v>1382</v>
      </c>
      <c r="D1742" s="1" t="s">
        <v>738</v>
      </c>
      <c r="E1742" s="1" t="s">
        <v>812</v>
      </c>
      <c r="F1742" s="1" t="s">
        <v>813</v>
      </c>
      <c r="G1742" s="1" t="s">
        <v>1360</v>
      </c>
      <c r="H1742">
        <v>2022</v>
      </c>
      <c r="I1742">
        <v>2022</v>
      </c>
      <c r="J1742">
        <f t="shared" si="54"/>
        <v>1</v>
      </c>
      <c r="K1742" s="1" t="s">
        <v>741</v>
      </c>
      <c r="L1742" s="1" t="s">
        <v>666</v>
      </c>
      <c r="M1742">
        <f t="shared" si="55"/>
        <v>4</v>
      </c>
      <c r="N1742" t="s">
        <v>650</v>
      </c>
    </row>
    <row r="1743" spans="1:14" hidden="1" x14ac:dyDescent="0.3">
      <c r="A1743" s="1" t="s">
        <v>1383</v>
      </c>
      <c r="B1743" s="1" t="s">
        <v>795</v>
      </c>
      <c r="C1743" s="1" t="s">
        <v>1384</v>
      </c>
      <c r="D1743" s="1" t="s">
        <v>746</v>
      </c>
      <c r="E1743" s="1" t="s">
        <v>1358</v>
      </c>
      <c r="F1743" s="1" t="s">
        <v>1359</v>
      </c>
      <c r="G1743" s="1" t="s">
        <v>1360</v>
      </c>
      <c r="H1743">
        <v>2020</v>
      </c>
      <c r="I1743">
        <v>2022</v>
      </c>
      <c r="J1743">
        <f t="shared" si="54"/>
        <v>3</v>
      </c>
      <c r="K1743" s="1" t="s">
        <v>741</v>
      </c>
      <c r="L1743" s="1" t="s">
        <v>666</v>
      </c>
      <c r="M1743">
        <f t="shared" si="55"/>
        <v>4</v>
      </c>
      <c r="N1743" t="s">
        <v>650</v>
      </c>
    </row>
    <row r="1744" spans="1:14" hidden="1" x14ac:dyDescent="0.3">
      <c r="A1744" s="1" t="s">
        <v>1385</v>
      </c>
      <c r="B1744" s="1" t="s">
        <v>795</v>
      </c>
      <c r="C1744" s="1" t="s">
        <v>1386</v>
      </c>
      <c r="D1744" s="1" t="s">
        <v>738</v>
      </c>
      <c r="E1744" s="1" t="s">
        <v>812</v>
      </c>
      <c r="F1744" s="1" t="s">
        <v>813</v>
      </c>
      <c r="G1744" s="1" t="s">
        <v>1360</v>
      </c>
      <c r="H1744">
        <v>2017</v>
      </c>
      <c r="I1744">
        <v>2022</v>
      </c>
      <c r="J1744">
        <f t="shared" si="54"/>
        <v>6</v>
      </c>
      <c r="K1744" s="1" t="s">
        <v>741</v>
      </c>
      <c r="L1744" s="1" t="s">
        <v>666</v>
      </c>
      <c r="M1744">
        <f t="shared" si="55"/>
        <v>4</v>
      </c>
      <c r="N1744" t="s">
        <v>650</v>
      </c>
    </row>
    <row r="1745" spans="1:14" hidden="1" x14ac:dyDescent="0.3">
      <c r="A1745" s="1" t="s">
        <v>1387</v>
      </c>
      <c r="B1745" s="1" t="s">
        <v>795</v>
      </c>
      <c r="C1745" s="1" t="s">
        <v>1388</v>
      </c>
      <c r="D1745" s="1" t="s">
        <v>746</v>
      </c>
      <c r="E1745" s="1" t="s">
        <v>1358</v>
      </c>
      <c r="F1745" s="1" t="s">
        <v>1359</v>
      </c>
      <c r="G1745" s="1" t="s">
        <v>1360</v>
      </c>
      <c r="H1745">
        <v>2017</v>
      </c>
      <c r="I1745">
        <v>2022</v>
      </c>
      <c r="J1745">
        <f t="shared" si="54"/>
        <v>6</v>
      </c>
      <c r="K1745" s="1" t="s">
        <v>741</v>
      </c>
      <c r="L1745" s="1" t="s">
        <v>666</v>
      </c>
      <c r="M1745">
        <f t="shared" si="55"/>
        <v>4</v>
      </c>
      <c r="N1745" t="s">
        <v>650</v>
      </c>
    </row>
    <row r="1746" spans="1:14" hidden="1" x14ac:dyDescent="0.3">
      <c r="A1746" s="1" t="s">
        <v>1389</v>
      </c>
      <c r="B1746" s="1" t="s">
        <v>795</v>
      </c>
      <c r="C1746" s="1" t="s">
        <v>1390</v>
      </c>
      <c r="D1746" s="1" t="s">
        <v>746</v>
      </c>
      <c r="E1746" s="1" t="s">
        <v>1358</v>
      </c>
      <c r="F1746" s="1" t="s">
        <v>1359</v>
      </c>
      <c r="G1746" s="1" t="s">
        <v>1360</v>
      </c>
      <c r="H1746">
        <v>2020</v>
      </c>
      <c r="I1746">
        <v>2022</v>
      </c>
      <c r="J1746">
        <f t="shared" si="54"/>
        <v>3</v>
      </c>
      <c r="K1746" s="1" t="s">
        <v>741</v>
      </c>
      <c r="L1746" s="1" t="s">
        <v>666</v>
      </c>
      <c r="M1746">
        <f t="shared" si="55"/>
        <v>4</v>
      </c>
      <c r="N1746" t="s">
        <v>650</v>
      </c>
    </row>
    <row r="1747" spans="1:14" hidden="1" x14ac:dyDescent="0.3">
      <c r="A1747" s="1" t="s">
        <v>1391</v>
      </c>
      <c r="B1747" s="1" t="s">
        <v>795</v>
      </c>
      <c r="C1747" s="1" t="s">
        <v>1392</v>
      </c>
      <c r="D1747" s="1" t="s">
        <v>746</v>
      </c>
      <c r="E1747" s="1" t="s">
        <v>1358</v>
      </c>
      <c r="F1747" s="1" t="s">
        <v>1359</v>
      </c>
      <c r="G1747" s="1" t="s">
        <v>1360</v>
      </c>
      <c r="H1747">
        <v>2022</v>
      </c>
      <c r="I1747">
        <v>2022</v>
      </c>
      <c r="J1747">
        <f t="shared" si="54"/>
        <v>1</v>
      </c>
      <c r="K1747" s="1" t="s">
        <v>741</v>
      </c>
      <c r="L1747" s="1" t="s">
        <v>666</v>
      </c>
      <c r="M1747">
        <f t="shared" si="55"/>
        <v>4</v>
      </c>
      <c r="N1747" t="s">
        <v>650</v>
      </c>
    </row>
    <row r="1748" spans="1:14" x14ac:dyDescent="0.3">
      <c r="A1748" s="1" t="s">
        <v>7478</v>
      </c>
      <c r="B1748" s="1" t="s">
        <v>910</v>
      </c>
      <c r="C1748" s="1" t="s">
        <v>7479</v>
      </c>
      <c r="D1748" s="1" t="s">
        <v>1395</v>
      </c>
      <c r="E1748" s="1" t="s">
        <v>6076</v>
      </c>
      <c r="F1748" s="1" t="s">
        <v>6076</v>
      </c>
      <c r="G1748" s="1" t="s">
        <v>4164</v>
      </c>
      <c r="H1748">
        <v>2000</v>
      </c>
      <c r="I1748">
        <v>2007</v>
      </c>
      <c r="J1748">
        <f t="shared" si="54"/>
        <v>8</v>
      </c>
      <c r="K1748" s="1" t="s">
        <v>6076</v>
      </c>
      <c r="L1748" s="1" t="s">
        <v>6076</v>
      </c>
      <c r="M1748">
        <f t="shared" si="55"/>
        <v>19</v>
      </c>
      <c r="N1748" t="s">
        <v>650</v>
      </c>
    </row>
    <row r="1749" spans="1:14" x14ac:dyDescent="0.3">
      <c r="A1749" s="1" t="s">
        <v>7480</v>
      </c>
      <c r="B1749" s="1" t="s">
        <v>910</v>
      </c>
      <c r="C1749" s="1" t="s">
        <v>7481</v>
      </c>
      <c r="D1749" s="1" t="s">
        <v>1395</v>
      </c>
      <c r="E1749" s="1" t="s">
        <v>6076</v>
      </c>
      <c r="F1749" s="1" t="s">
        <v>6076</v>
      </c>
      <c r="G1749" s="1" t="s">
        <v>4164</v>
      </c>
      <c r="H1749">
        <v>2000</v>
      </c>
      <c r="I1749">
        <v>2001</v>
      </c>
      <c r="J1749">
        <f t="shared" si="54"/>
        <v>2</v>
      </c>
      <c r="K1749" s="1" t="s">
        <v>6076</v>
      </c>
      <c r="L1749" s="1" t="s">
        <v>6076</v>
      </c>
      <c r="M1749">
        <f t="shared" si="55"/>
        <v>25</v>
      </c>
      <c r="N1749" t="s">
        <v>640</v>
      </c>
    </row>
    <row r="1750" spans="1:14" x14ac:dyDescent="0.3">
      <c r="A1750" s="1" t="s">
        <v>7482</v>
      </c>
      <c r="B1750" s="1" t="s">
        <v>910</v>
      </c>
      <c r="C1750" s="1" t="s">
        <v>7483</v>
      </c>
      <c r="D1750" s="1" t="s">
        <v>1395</v>
      </c>
      <c r="E1750" s="1" t="s">
        <v>6076</v>
      </c>
      <c r="F1750" s="1" t="s">
        <v>6076</v>
      </c>
      <c r="G1750" s="1" t="s">
        <v>4164</v>
      </c>
      <c r="H1750">
        <v>2002</v>
      </c>
      <c r="I1750">
        <v>2004</v>
      </c>
      <c r="J1750">
        <f t="shared" si="54"/>
        <v>3</v>
      </c>
      <c r="K1750" s="1" t="s">
        <v>6076</v>
      </c>
      <c r="L1750" s="1" t="s">
        <v>6076</v>
      </c>
      <c r="M1750">
        <f t="shared" si="55"/>
        <v>22</v>
      </c>
      <c r="N1750" t="s">
        <v>640</v>
      </c>
    </row>
    <row r="1751" spans="1:14" hidden="1" x14ac:dyDescent="0.3">
      <c r="A1751" s="1" t="s">
        <v>4162</v>
      </c>
      <c r="B1751" s="1" t="s">
        <v>910</v>
      </c>
      <c r="C1751" s="1" t="s">
        <v>4163</v>
      </c>
      <c r="D1751" s="1" t="s">
        <v>1395</v>
      </c>
      <c r="E1751" s="1" t="s">
        <v>3905</v>
      </c>
      <c r="F1751" s="1" t="s">
        <v>3906</v>
      </c>
      <c r="G1751" s="1" t="s">
        <v>4164</v>
      </c>
      <c r="H1751">
        <v>2000</v>
      </c>
      <c r="I1751">
        <v>2007</v>
      </c>
      <c r="J1751">
        <f t="shared" si="54"/>
        <v>8</v>
      </c>
      <c r="K1751" s="1" t="s">
        <v>3665</v>
      </c>
      <c r="L1751" s="1" t="s">
        <v>798</v>
      </c>
      <c r="M1751">
        <f t="shared" si="55"/>
        <v>19</v>
      </c>
      <c r="N1751" t="s">
        <v>650</v>
      </c>
    </row>
    <row r="1752" spans="1:14" hidden="1" x14ac:dyDescent="0.3">
      <c r="A1752" s="1" t="s">
        <v>4165</v>
      </c>
      <c r="B1752" s="1" t="s">
        <v>910</v>
      </c>
      <c r="C1752" s="1" t="s">
        <v>4166</v>
      </c>
      <c r="D1752" s="1" t="s">
        <v>1395</v>
      </c>
      <c r="E1752" s="1" t="s">
        <v>3905</v>
      </c>
      <c r="F1752" s="1" t="s">
        <v>3906</v>
      </c>
      <c r="G1752" s="1" t="s">
        <v>4164</v>
      </c>
      <c r="H1752">
        <v>2013</v>
      </c>
      <c r="I1752">
        <v>2014</v>
      </c>
      <c r="J1752">
        <f t="shared" si="54"/>
        <v>2</v>
      </c>
      <c r="K1752" s="1" t="s">
        <v>3665</v>
      </c>
      <c r="L1752" s="1" t="s">
        <v>798</v>
      </c>
      <c r="M1752">
        <f t="shared" si="55"/>
        <v>12</v>
      </c>
      <c r="N1752" t="s">
        <v>650</v>
      </c>
    </row>
    <row r="1753" spans="1:14" hidden="1" x14ac:dyDescent="0.3">
      <c r="A1753" s="1" t="s">
        <v>4167</v>
      </c>
      <c r="B1753" s="1" t="s">
        <v>910</v>
      </c>
      <c r="C1753" s="1" t="s">
        <v>4168</v>
      </c>
      <c r="D1753" s="1" t="s">
        <v>1395</v>
      </c>
      <c r="E1753" s="1" t="s">
        <v>3905</v>
      </c>
      <c r="F1753" s="1" t="s">
        <v>3906</v>
      </c>
      <c r="G1753" s="1" t="s">
        <v>4164</v>
      </c>
      <c r="H1753">
        <v>2012</v>
      </c>
      <c r="I1753">
        <v>2012</v>
      </c>
      <c r="J1753">
        <f t="shared" si="54"/>
        <v>1</v>
      </c>
      <c r="K1753" s="1" t="s">
        <v>3665</v>
      </c>
      <c r="L1753" s="1" t="s">
        <v>798</v>
      </c>
      <c r="M1753">
        <f t="shared" si="55"/>
        <v>14</v>
      </c>
      <c r="N1753" t="s">
        <v>650</v>
      </c>
    </row>
    <row r="1754" spans="1:14" hidden="1" x14ac:dyDescent="0.3">
      <c r="A1754" s="1" t="s">
        <v>4169</v>
      </c>
      <c r="B1754" s="1" t="s">
        <v>910</v>
      </c>
      <c r="C1754" s="1" t="s">
        <v>4170</v>
      </c>
      <c r="D1754" s="1" t="s">
        <v>1395</v>
      </c>
      <c r="E1754" s="1" t="s">
        <v>3905</v>
      </c>
      <c r="F1754" s="1" t="s">
        <v>3906</v>
      </c>
      <c r="G1754" s="1" t="s">
        <v>4164</v>
      </c>
      <c r="H1754">
        <v>2008</v>
      </c>
      <c r="I1754">
        <v>2015</v>
      </c>
      <c r="J1754">
        <f t="shared" si="54"/>
        <v>8</v>
      </c>
      <c r="K1754" s="1" t="s">
        <v>3665</v>
      </c>
      <c r="L1754" s="1" t="s">
        <v>798</v>
      </c>
      <c r="M1754">
        <f t="shared" si="55"/>
        <v>11</v>
      </c>
      <c r="N1754" t="s">
        <v>650</v>
      </c>
    </row>
    <row r="1755" spans="1:14" hidden="1" x14ac:dyDescent="0.3">
      <c r="A1755" s="1" t="s">
        <v>4171</v>
      </c>
      <c r="B1755" s="1" t="s">
        <v>910</v>
      </c>
      <c r="C1755" s="1" t="s">
        <v>4172</v>
      </c>
      <c r="D1755" s="1" t="s">
        <v>1395</v>
      </c>
      <c r="E1755" s="1" t="s">
        <v>3905</v>
      </c>
      <c r="F1755" s="1" t="s">
        <v>3906</v>
      </c>
      <c r="G1755" s="1" t="s">
        <v>4164</v>
      </c>
      <c r="H1755">
        <v>2018</v>
      </c>
      <c r="I1755">
        <v>2022</v>
      </c>
      <c r="J1755">
        <f t="shared" si="54"/>
        <v>5</v>
      </c>
      <c r="K1755" s="1" t="s">
        <v>3665</v>
      </c>
      <c r="L1755" s="1" t="s">
        <v>798</v>
      </c>
      <c r="M1755">
        <f t="shared" si="55"/>
        <v>4</v>
      </c>
      <c r="N1755" t="s">
        <v>650</v>
      </c>
    </row>
    <row r="1756" spans="1:14" x14ac:dyDescent="0.3">
      <c r="A1756" t="s">
        <v>11564</v>
      </c>
      <c r="B1756" t="s">
        <v>910</v>
      </c>
      <c r="C1756" t="s">
        <v>11565</v>
      </c>
      <c r="E1756" s="1" t="s">
        <v>6076</v>
      </c>
      <c r="F1756" s="1" t="s">
        <v>6076</v>
      </c>
      <c r="G1756" s="1" t="s">
        <v>4164</v>
      </c>
      <c r="H1756">
        <v>2024</v>
      </c>
      <c r="I1756">
        <v>2026</v>
      </c>
      <c r="J1756">
        <f t="shared" si="54"/>
        <v>3</v>
      </c>
      <c r="K1756" s="1" t="s">
        <v>6076</v>
      </c>
      <c r="L1756" s="1" t="s">
        <v>6076</v>
      </c>
      <c r="M1756">
        <f t="shared" si="55"/>
        <v>0</v>
      </c>
    </row>
    <row r="1757" spans="1:14" x14ac:dyDescent="0.3">
      <c r="A1757" s="1" t="s">
        <v>7484</v>
      </c>
      <c r="B1757" s="1" t="s">
        <v>1849</v>
      </c>
      <c r="C1757" s="1" t="s">
        <v>7485</v>
      </c>
      <c r="D1757" s="1" t="s">
        <v>3850</v>
      </c>
      <c r="E1757" s="1" t="s">
        <v>6076</v>
      </c>
      <c r="F1757" s="1" t="s">
        <v>6076</v>
      </c>
      <c r="G1757" s="1" t="s">
        <v>7486</v>
      </c>
      <c r="H1757">
        <v>1997</v>
      </c>
      <c r="I1757">
        <v>1998</v>
      </c>
      <c r="J1757">
        <f t="shared" si="54"/>
        <v>2</v>
      </c>
      <c r="K1757" s="1" t="s">
        <v>6076</v>
      </c>
      <c r="L1757" s="1" t="s">
        <v>6076</v>
      </c>
      <c r="M1757">
        <f t="shared" si="55"/>
        <v>28</v>
      </c>
      <c r="N1757" t="s">
        <v>640</v>
      </c>
    </row>
    <row r="1758" spans="1:14" x14ac:dyDescent="0.3">
      <c r="A1758" t="s">
        <v>11001</v>
      </c>
      <c r="B1758" t="s">
        <v>10996</v>
      </c>
      <c r="C1758" t="s">
        <v>11002</v>
      </c>
      <c r="E1758" s="1" t="s">
        <v>6076</v>
      </c>
      <c r="F1758" s="1" t="s">
        <v>6076</v>
      </c>
      <c r="G1758" s="1" t="s">
        <v>12773</v>
      </c>
      <c r="H1758">
        <v>2022</v>
      </c>
      <c r="I1758">
        <v>2023</v>
      </c>
      <c r="J1758">
        <f t="shared" si="54"/>
        <v>2</v>
      </c>
      <c r="K1758" s="1" t="s">
        <v>6076</v>
      </c>
      <c r="L1758" s="1" t="s">
        <v>6076</v>
      </c>
      <c r="M1758">
        <f t="shared" si="55"/>
        <v>3</v>
      </c>
    </row>
    <row r="1759" spans="1:14" x14ac:dyDescent="0.3">
      <c r="A1759" s="1" t="s">
        <v>7487</v>
      </c>
      <c r="B1759" s="1" t="s">
        <v>795</v>
      </c>
      <c r="C1759" s="1" t="s">
        <v>7488</v>
      </c>
      <c r="D1759" s="1" t="s">
        <v>1242</v>
      </c>
      <c r="E1759" s="1" t="s">
        <v>6076</v>
      </c>
      <c r="F1759" s="1" t="s">
        <v>6076</v>
      </c>
      <c r="G1759" s="1" t="s">
        <v>7489</v>
      </c>
      <c r="H1759">
        <v>1985</v>
      </c>
      <c r="I1759">
        <v>1985</v>
      </c>
      <c r="J1759">
        <f t="shared" si="54"/>
        <v>1</v>
      </c>
      <c r="K1759" s="1" t="s">
        <v>6076</v>
      </c>
      <c r="L1759" s="1" t="s">
        <v>6076</v>
      </c>
      <c r="M1759">
        <f t="shared" si="55"/>
        <v>41</v>
      </c>
      <c r="N1759" t="s">
        <v>640</v>
      </c>
    </row>
    <row r="1760" spans="1:14" x14ac:dyDescent="0.3">
      <c r="A1760" s="1" t="s">
        <v>7490</v>
      </c>
      <c r="B1760" s="1" t="s">
        <v>795</v>
      </c>
      <c r="C1760" s="1" t="s">
        <v>7491</v>
      </c>
      <c r="D1760" s="1" t="s">
        <v>1242</v>
      </c>
      <c r="E1760" s="1" t="s">
        <v>6076</v>
      </c>
      <c r="F1760" s="1" t="s">
        <v>6076</v>
      </c>
      <c r="G1760" s="1" t="s">
        <v>7489</v>
      </c>
      <c r="H1760">
        <v>1985</v>
      </c>
      <c r="I1760">
        <v>1985</v>
      </c>
      <c r="J1760">
        <f t="shared" si="54"/>
        <v>1</v>
      </c>
      <c r="K1760" s="1" t="s">
        <v>6076</v>
      </c>
      <c r="L1760" s="1" t="s">
        <v>6076</v>
      </c>
      <c r="M1760">
        <f t="shared" si="55"/>
        <v>41</v>
      </c>
      <c r="N1760" t="s">
        <v>640</v>
      </c>
    </row>
    <row r="1761" spans="1:14" x14ac:dyDescent="0.3">
      <c r="A1761" s="1" t="s">
        <v>7492</v>
      </c>
      <c r="B1761" s="1" t="s">
        <v>795</v>
      </c>
      <c r="C1761" s="1" t="s">
        <v>7493</v>
      </c>
      <c r="D1761" s="1" t="s">
        <v>1242</v>
      </c>
      <c r="E1761" s="1" t="s">
        <v>6076</v>
      </c>
      <c r="F1761" s="1" t="s">
        <v>6076</v>
      </c>
      <c r="G1761" s="1" t="s">
        <v>7494</v>
      </c>
      <c r="H1761">
        <v>1992</v>
      </c>
      <c r="I1761">
        <v>1996</v>
      </c>
      <c r="J1761">
        <f t="shared" si="54"/>
        <v>5</v>
      </c>
      <c r="K1761" s="1" t="s">
        <v>6076</v>
      </c>
      <c r="L1761" s="1" t="s">
        <v>6076</v>
      </c>
      <c r="M1761">
        <f t="shared" si="55"/>
        <v>30</v>
      </c>
      <c r="N1761" t="s">
        <v>640</v>
      </c>
    </row>
    <row r="1762" spans="1:14" x14ac:dyDescent="0.3">
      <c r="A1762" s="1" t="s">
        <v>7495</v>
      </c>
      <c r="B1762" s="1" t="s">
        <v>795</v>
      </c>
      <c r="C1762" s="1" t="s">
        <v>7496</v>
      </c>
      <c r="D1762" s="1" t="s">
        <v>1242</v>
      </c>
      <c r="E1762" s="1" t="s">
        <v>6076</v>
      </c>
      <c r="F1762" s="1" t="s">
        <v>6076</v>
      </c>
      <c r="G1762" s="1" t="s">
        <v>7494</v>
      </c>
      <c r="H1762">
        <v>1986</v>
      </c>
      <c r="I1762">
        <v>1996</v>
      </c>
      <c r="J1762">
        <f t="shared" si="54"/>
        <v>11</v>
      </c>
      <c r="K1762" s="1" t="s">
        <v>6076</v>
      </c>
      <c r="L1762" s="1" t="s">
        <v>6076</v>
      </c>
      <c r="M1762">
        <f t="shared" si="55"/>
        <v>30</v>
      </c>
      <c r="N1762" t="s">
        <v>640</v>
      </c>
    </row>
    <row r="1763" spans="1:14" x14ac:dyDescent="0.3">
      <c r="A1763" s="1" t="s">
        <v>7497</v>
      </c>
      <c r="B1763" s="1" t="s">
        <v>795</v>
      </c>
      <c r="C1763" s="1" t="s">
        <v>7498</v>
      </c>
      <c r="D1763" s="1" t="s">
        <v>1242</v>
      </c>
      <c r="E1763" s="1" t="s">
        <v>6076</v>
      </c>
      <c r="F1763" s="1" t="s">
        <v>6076</v>
      </c>
      <c r="G1763" s="1" t="s">
        <v>7494</v>
      </c>
      <c r="H1763">
        <v>1986</v>
      </c>
      <c r="I1763">
        <v>1996</v>
      </c>
      <c r="J1763">
        <f t="shared" si="54"/>
        <v>11</v>
      </c>
      <c r="K1763" s="1" t="s">
        <v>6076</v>
      </c>
      <c r="L1763" s="1" t="s">
        <v>6076</v>
      </c>
      <c r="M1763">
        <f t="shared" si="55"/>
        <v>30</v>
      </c>
      <c r="N1763" t="s">
        <v>640</v>
      </c>
    </row>
    <row r="1764" spans="1:14" x14ac:dyDescent="0.3">
      <c r="A1764" s="1" t="s">
        <v>7499</v>
      </c>
      <c r="B1764" s="1" t="s">
        <v>795</v>
      </c>
      <c r="C1764" s="1" t="s">
        <v>7500</v>
      </c>
      <c r="D1764" s="1" t="s">
        <v>1242</v>
      </c>
      <c r="E1764" s="1" t="s">
        <v>6076</v>
      </c>
      <c r="F1764" s="1" t="s">
        <v>6076</v>
      </c>
      <c r="G1764" s="1" t="s">
        <v>7494</v>
      </c>
      <c r="H1764">
        <v>1985</v>
      </c>
      <c r="I1764">
        <v>1996</v>
      </c>
      <c r="J1764">
        <f t="shared" si="54"/>
        <v>12</v>
      </c>
      <c r="K1764" s="1" t="s">
        <v>6076</v>
      </c>
      <c r="L1764" s="1" t="s">
        <v>6076</v>
      </c>
      <c r="M1764">
        <f t="shared" si="55"/>
        <v>30</v>
      </c>
      <c r="N1764" t="s">
        <v>640</v>
      </c>
    </row>
    <row r="1765" spans="1:14" x14ac:dyDescent="0.3">
      <c r="A1765" s="1" t="s">
        <v>7501</v>
      </c>
      <c r="B1765" s="1" t="s">
        <v>795</v>
      </c>
      <c r="C1765" s="1" t="s">
        <v>7502</v>
      </c>
      <c r="D1765" s="1" t="s">
        <v>1242</v>
      </c>
      <c r="E1765" s="1" t="s">
        <v>6076</v>
      </c>
      <c r="F1765" s="1" t="s">
        <v>6076</v>
      </c>
      <c r="G1765" s="1" t="s">
        <v>7494</v>
      </c>
      <c r="H1765">
        <v>1986</v>
      </c>
      <c r="I1765">
        <v>1996</v>
      </c>
      <c r="J1765">
        <f t="shared" si="54"/>
        <v>11</v>
      </c>
      <c r="K1765" s="1" t="s">
        <v>6076</v>
      </c>
      <c r="L1765" s="1" t="s">
        <v>6076</v>
      </c>
      <c r="M1765">
        <f t="shared" si="55"/>
        <v>30</v>
      </c>
      <c r="N1765" t="s">
        <v>640</v>
      </c>
    </row>
    <row r="1766" spans="1:14" x14ac:dyDescent="0.3">
      <c r="A1766" s="1" t="s">
        <v>7503</v>
      </c>
      <c r="B1766" s="1" t="s">
        <v>795</v>
      </c>
      <c r="C1766" s="1" t="s">
        <v>7504</v>
      </c>
      <c r="D1766" s="1" t="s">
        <v>1242</v>
      </c>
      <c r="E1766" s="1" t="s">
        <v>6076</v>
      </c>
      <c r="F1766" s="1" t="s">
        <v>6076</v>
      </c>
      <c r="G1766" s="1" t="s">
        <v>7494</v>
      </c>
      <c r="H1766">
        <v>1985</v>
      </c>
      <c r="I1766">
        <v>1996</v>
      </c>
      <c r="J1766">
        <f t="shared" si="54"/>
        <v>12</v>
      </c>
      <c r="K1766" s="1" t="s">
        <v>6076</v>
      </c>
      <c r="L1766" s="1" t="s">
        <v>6076</v>
      </c>
      <c r="M1766">
        <f t="shared" si="55"/>
        <v>30</v>
      </c>
      <c r="N1766" t="s">
        <v>640</v>
      </c>
    </row>
    <row r="1767" spans="1:14" x14ac:dyDescent="0.3">
      <c r="A1767" s="1" t="s">
        <v>7505</v>
      </c>
      <c r="B1767" s="1" t="s">
        <v>2154</v>
      </c>
      <c r="C1767" s="1" t="s">
        <v>7506</v>
      </c>
      <c r="D1767" s="1" t="s">
        <v>1242</v>
      </c>
      <c r="E1767" s="1" t="s">
        <v>6076</v>
      </c>
      <c r="F1767" s="1" t="s">
        <v>6076</v>
      </c>
      <c r="G1767" s="1" t="s">
        <v>7507</v>
      </c>
      <c r="H1767">
        <v>1992</v>
      </c>
      <c r="I1767">
        <v>1997</v>
      </c>
      <c r="J1767">
        <f t="shared" si="54"/>
        <v>6</v>
      </c>
      <c r="K1767" s="1" t="s">
        <v>6076</v>
      </c>
      <c r="L1767" s="1" t="s">
        <v>6076</v>
      </c>
      <c r="M1767">
        <f t="shared" si="55"/>
        <v>29</v>
      </c>
      <c r="N1767" t="s">
        <v>640</v>
      </c>
    </row>
    <row r="1768" spans="1:14" x14ac:dyDescent="0.3">
      <c r="A1768" s="1" t="s">
        <v>7508</v>
      </c>
      <c r="B1768" s="1" t="s">
        <v>2154</v>
      </c>
      <c r="C1768" s="1" t="s">
        <v>7509</v>
      </c>
      <c r="D1768" s="1" t="s">
        <v>1242</v>
      </c>
      <c r="E1768" s="1" t="s">
        <v>6076</v>
      </c>
      <c r="F1768" s="1" t="s">
        <v>6076</v>
      </c>
      <c r="G1768" s="1" t="s">
        <v>7507</v>
      </c>
      <c r="H1768">
        <v>1993</v>
      </c>
      <c r="I1768">
        <v>1997</v>
      </c>
      <c r="J1768">
        <f t="shared" si="54"/>
        <v>5</v>
      </c>
      <c r="K1768" s="1" t="s">
        <v>6076</v>
      </c>
      <c r="L1768" s="1" t="s">
        <v>6076</v>
      </c>
      <c r="M1768">
        <f t="shared" si="55"/>
        <v>29</v>
      </c>
      <c r="N1768" t="s">
        <v>640</v>
      </c>
    </row>
    <row r="1769" spans="1:14" x14ac:dyDescent="0.3">
      <c r="A1769" t="s">
        <v>11245</v>
      </c>
      <c r="B1769" t="s">
        <v>10998</v>
      </c>
      <c r="C1769" t="s">
        <v>11246</v>
      </c>
      <c r="E1769" s="1" t="s">
        <v>6076</v>
      </c>
      <c r="F1769" s="1" t="s">
        <v>6076</v>
      </c>
      <c r="G1769" s="1" t="s">
        <v>12803</v>
      </c>
      <c r="H1769">
        <v>1998</v>
      </c>
      <c r="I1769">
        <v>2001</v>
      </c>
      <c r="J1769">
        <f t="shared" si="54"/>
        <v>4</v>
      </c>
      <c r="K1769" s="1" t="s">
        <v>6076</v>
      </c>
      <c r="L1769" s="1" t="s">
        <v>6076</v>
      </c>
      <c r="M1769">
        <f t="shared" si="55"/>
        <v>25</v>
      </c>
    </row>
    <row r="1770" spans="1:14" x14ac:dyDescent="0.3">
      <c r="A1770" t="s">
        <v>11247</v>
      </c>
      <c r="B1770" t="s">
        <v>10998</v>
      </c>
      <c r="C1770" t="s">
        <v>11248</v>
      </c>
      <c r="E1770" s="1" t="s">
        <v>6076</v>
      </c>
      <c r="F1770" s="1" t="s">
        <v>6076</v>
      </c>
      <c r="G1770" s="1" t="s">
        <v>12803</v>
      </c>
      <c r="H1770">
        <v>1995</v>
      </c>
      <c r="I1770">
        <v>1995</v>
      </c>
      <c r="J1770">
        <f t="shared" si="54"/>
        <v>1</v>
      </c>
      <c r="K1770" s="1" t="s">
        <v>6076</v>
      </c>
      <c r="L1770" s="1" t="s">
        <v>6076</v>
      </c>
      <c r="M1770">
        <f t="shared" si="55"/>
        <v>31</v>
      </c>
    </row>
    <row r="1771" spans="1:14" x14ac:dyDescent="0.3">
      <c r="A1771" t="s">
        <v>11249</v>
      </c>
      <c r="B1771" t="s">
        <v>10998</v>
      </c>
      <c r="C1771" t="s">
        <v>11250</v>
      </c>
      <c r="E1771" s="1" t="s">
        <v>6076</v>
      </c>
      <c r="F1771" s="1" t="s">
        <v>6076</v>
      </c>
      <c r="G1771" s="1" t="s">
        <v>12803</v>
      </c>
      <c r="H1771">
        <v>1998</v>
      </c>
      <c r="I1771">
        <v>2000</v>
      </c>
      <c r="J1771">
        <f t="shared" si="54"/>
        <v>3</v>
      </c>
      <c r="K1771" s="1" t="s">
        <v>6076</v>
      </c>
      <c r="L1771" s="1" t="s">
        <v>6076</v>
      </c>
      <c r="M1771">
        <f t="shared" si="55"/>
        <v>26</v>
      </c>
    </row>
    <row r="1772" spans="1:14" x14ac:dyDescent="0.3">
      <c r="A1772" t="s">
        <v>11251</v>
      </c>
      <c r="B1772" t="s">
        <v>10998</v>
      </c>
      <c r="C1772" t="s">
        <v>11252</v>
      </c>
      <c r="E1772" s="1" t="s">
        <v>6076</v>
      </c>
      <c r="F1772" s="1" t="s">
        <v>6076</v>
      </c>
      <c r="G1772" s="1" t="s">
        <v>12803</v>
      </c>
      <c r="H1772">
        <v>1998</v>
      </c>
      <c r="I1772">
        <v>2000</v>
      </c>
      <c r="J1772">
        <f t="shared" si="54"/>
        <v>3</v>
      </c>
      <c r="K1772" s="1" t="s">
        <v>6076</v>
      </c>
      <c r="L1772" s="1" t="s">
        <v>6076</v>
      </c>
      <c r="M1772">
        <f t="shared" si="55"/>
        <v>26</v>
      </c>
    </row>
    <row r="1773" spans="1:14" x14ac:dyDescent="0.3">
      <c r="A1773" t="s">
        <v>11253</v>
      </c>
      <c r="B1773" t="s">
        <v>10998</v>
      </c>
      <c r="C1773" t="s">
        <v>11254</v>
      </c>
      <c r="E1773" s="1" t="s">
        <v>6076</v>
      </c>
      <c r="F1773" s="1" t="s">
        <v>6076</v>
      </c>
      <c r="G1773" s="1" t="s">
        <v>12803</v>
      </c>
      <c r="H1773">
        <v>2000</v>
      </c>
      <c r="I1773">
        <v>2001</v>
      </c>
      <c r="J1773">
        <f t="shared" si="54"/>
        <v>2</v>
      </c>
      <c r="K1773" s="1" t="s">
        <v>6076</v>
      </c>
      <c r="L1773" s="1" t="s">
        <v>6076</v>
      </c>
      <c r="M1773">
        <f t="shared" si="55"/>
        <v>25</v>
      </c>
    </row>
    <row r="1774" spans="1:14" x14ac:dyDescent="0.3">
      <c r="A1774" t="s">
        <v>11255</v>
      </c>
      <c r="B1774" t="s">
        <v>10998</v>
      </c>
      <c r="C1774" t="s">
        <v>11256</v>
      </c>
      <c r="E1774" s="1" t="s">
        <v>6076</v>
      </c>
      <c r="F1774" s="1" t="s">
        <v>6076</v>
      </c>
      <c r="G1774" s="1" t="s">
        <v>12803</v>
      </c>
      <c r="H1774">
        <v>2000</v>
      </c>
      <c r="I1774">
        <v>2001</v>
      </c>
      <c r="J1774">
        <f t="shared" si="54"/>
        <v>2</v>
      </c>
      <c r="K1774" s="1" t="s">
        <v>6076</v>
      </c>
      <c r="L1774" s="1" t="s">
        <v>6076</v>
      </c>
      <c r="M1774">
        <f t="shared" si="55"/>
        <v>25</v>
      </c>
    </row>
    <row r="1775" spans="1:14" x14ac:dyDescent="0.3">
      <c r="A1775" t="s">
        <v>11257</v>
      </c>
      <c r="B1775" t="s">
        <v>10998</v>
      </c>
      <c r="C1775" t="s">
        <v>11258</v>
      </c>
      <c r="E1775" s="1" t="s">
        <v>6076</v>
      </c>
      <c r="F1775" s="1" t="s">
        <v>6076</v>
      </c>
      <c r="G1775" s="1" t="s">
        <v>12803</v>
      </c>
      <c r="H1775">
        <v>1995</v>
      </c>
      <c r="I1775">
        <v>1995</v>
      </c>
      <c r="J1775">
        <f t="shared" si="54"/>
        <v>1</v>
      </c>
      <c r="K1775" s="1" t="s">
        <v>6076</v>
      </c>
      <c r="L1775" s="1" t="s">
        <v>6076</v>
      </c>
      <c r="M1775">
        <f t="shared" si="55"/>
        <v>31</v>
      </c>
    </row>
    <row r="1776" spans="1:14" x14ac:dyDescent="0.3">
      <c r="A1776" t="s">
        <v>11259</v>
      </c>
      <c r="B1776" t="s">
        <v>10998</v>
      </c>
      <c r="C1776" t="s">
        <v>11260</v>
      </c>
      <c r="E1776" s="1" t="s">
        <v>6076</v>
      </c>
      <c r="F1776" s="1" t="s">
        <v>6076</v>
      </c>
      <c r="G1776" s="1" t="s">
        <v>12803</v>
      </c>
      <c r="H1776">
        <v>2001</v>
      </c>
      <c r="I1776">
        <v>2001</v>
      </c>
      <c r="J1776">
        <f t="shared" si="54"/>
        <v>1</v>
      </c>
      <c r="K1776" s="1" t="s">
        <v>6076</v>
      </c>
      <c r="L1776" s="1" t="s">
        <v>6076</v>
      </c>
      <c r="M1776">
        <f t="shared" si="55"/>
        <v>25</v>
      </c>
    </row>
    <row r="1777" spans="1:14" x14ac:dyDescent="0.3">
      <c r="A1777" t="s">
        <v>11261</v>
      </c>
      <c r="B1777" t="s">
        <v>10998</v>
      </c>
      <c r="C1777" t="s">
        <v>11262</v>
      </c>
      <c r="E1777" s="1" t="s">
        <v>6076</v>
      </c>
      <c r="F1777" s="1" t="s">
        <v>6076</v>
      </c>
      <c r="G1777" s="1" t="s">
        <v>12803</v>
      </c>
      <c r="H1777">
        <v>1999</v>
      </c>
      <c r="I1777">
        <v>2001</v>
      </c>
      <c r="J1777">
        <f t="shared" si="54"/>
        <v>3</v>
      </c>
      <c r="K1777" s="1" t="s">
        <v>6076</v>
      </c>
      <c r="L1777" s="1" t="s">
        <v>6076</v>
      </c>
      <c r="M1777">
        <f t="shared" si="55"/>
        <v>25</v>
      </c>
    </row>
    <row r="1778" spans="1:14" x14ac:dyDescent="0.3">
      <c r="A1778" t="s">
        <v>11263</v>
      </c>
      <c r="B1778" t="s">
        <v>10998</v>
      </c>
      <c r="C1778" t="s">
        <v>11264</v>
      </c>
      <c r="E1778" s="1" t="s">
        <v>6076</v>
      </c>
      <c r="F1778" s="1" t="s">
        <v>6076</v>
      </c>
      <c r="G1778" s="1" t="s">
        <v>12803</v>
      </c>
      <c r="H1778">
        <v>1998</v>
      </c>
      <c r="I1778">
        <v>2001</v>
      </c>
      <c r="J1778">
        <f t="shared" si="54"/>
        <v>4</v>
      </c>
      <c r="K1778" s="1" t="s">
        <v>6076</v>
      </c>
      <c r="L1778" s="1" t="s">
        <v>6076</v>
      </c>
      <c r="M1778">
        <f t="shared" si="55"/>
        <v>25</v>
      </c>
    </row>
    <row r="1779" spans="1:14" x14ac:dyDescent="0.3">
      <c r="A1779" t="s">
        <v>11265</v>
      </c>
      <c r="B1779" t="s">
        <v>10998</v>
      </c>
      <c r="C1779" t="s">
        <v>11266</v>
      </c>
      <c r="E1779" s="1" t="s">
        <v>6076</v>
      </c>
      <c r="F1779" s="1" t="s">
        <v>6076</v>
      </c>
      <c r="G1779" s="1" t="s">
        <v>12803</v>
      </c>
      <c r="H1779">
        <v>2001</v>
      </c>
      <c r="I1779">
        <v>2001</v>
      </c>
      <c r="J1779">
        <f t="shared" si="54"/>
        <v>1</v>
      </c>
      <c r="K1779" s="1" t="s">
        <v>6076</v>
      </c>
      <c r="L1779" s="1" t="s">
        <v>6076</v>
      </c>
      <c r="M1779">
        <f t="shared" si="55"/>
        <v>25</v>
      </c>
    </row>
    <row r="1780" spans="1:14" x14ac:dyDescent="0.3">
      <c r="A1780" t="s">
        <v>11267</v>
      </c>
      <c r="B1780" t="s">
        <v>10998</v>
      </c>
      <c r="C1780" t="s">
        <v>11268</v>
      </c>
      <c r="E1780" s="1" t="s">
        <v>6076</v>
      </c>
      <c r="F1780" s="1" t="s">
        <v>6076</v>
      </c>
      <c r="G1780" s="1" t="s">
        <v>12803</v>
      </c>
      <c r="H1780">
        <v>2001</v>
      </c>
      <c r="I1780">
        <v>2001</v>
      </c>
      <c r="J1780">
        <f t="shared" si="54"/>
        <v>1</v>
      </c>
      <c r="K1780" s="1" t="s">
        <v>6076</v>
      </c>
      <c r="L1780" s="1" t="s">
        <v>6076</v>
      </c>
      <c r="M1780">
        <f t="shared" si="55"/>
        <v>25</v>
      </c>
    </row>
    <row r="1781" spans="1:14" x14ac:dyDescent="0.3">
      <c r="A1781" t="s">
        <v>11269</v>
      </c>
      <c r="B1781" t="s">
        <v>10998</v>
      </c>
      <c r="C1781" t="s">
        <v>11270</v>
      </c>
      <c r="E1781" s="1" t="s">
        <v>6076</v>
      </c>
      <c r="F1781" s="1" t="s">
        <v>6076</v>
      </c>
      <c r="G1781" s="1" t="s">
        <v>12803</v>
      </c>
      <c r="H1781">
        <v>1997</v>
      </c>
      <c r="I1781">
        <v>2000</v>
      </c>
      <c r="J1781">
        <f t="shared" si="54"/>
        <v>4</v>
      </c>
      <c r="K1781" s="1" t="s">
        <v>6076</v>
      </c>
      <c r="L1781" s="1" t="s">
        <v>6076</v>
      </c>
      <c r="M1781">
        <f t="shared" si="55"/>
        <v>26</v>
      </c>
    </row>
    <row r="1782" spans="1:14" x14ac:dyDescent="0.3">
      <c r="A1782" t="s">
        <v>11271</v>
      </c>
      <c r="B1782" t="s">
        <v>10998</v>
      </c>
      <c r="C1782" t="s">
        <v>11272</v>
      </c>
      <c r="E1782" s="1" t="s">
        <v>6076</v>
      </c>
      <c r="F1782" s="1" t="s">
        <v>6076</v>
      </c>
      <c r="G1782" s="1" t="s">
        <v>12803</v>
      </c>
      <c r="H1782">
        <v>2001</v>
      </c>
      <c r="I1782">
        <v>2001</v>
      </c>
      <c r="J1782">
        <f t="shared" si="54"/>
        <v>1</v>
      </c>
      <c r="K1782" s="1" t="s">
        <v>6076</v>
      </c>
      <c r="L1782" s="1" t="s">
        <v>6076</v>
      </c>
      <c r="M1782">
        <f t="shared" si="55"/>
        <v>25</v>
      </c>
    </row>
    <row r="1783" spans="1:14" x14ac:dyDescent="0.3">
      <c r="A1783" t="s">
        <v>11273</v>
      </c>
      <c r="B1783" t="s">
        <v>10998</v>
      </c>
      <c r="C1783" t="s">
        <v>11274</v>
      </c>
      <c r="E1783" s="1" t="s">
        <v>6076</v>
      </c>
      <c r="F1783" s="1" t="s">
        <v>6076</v>
      </c>
      <c r="G1783" s="1" t="s">
        <v>12803</v>
      </c>
      <c r="H1783">
        <v>1999</v>
      </c>
      <c r="I1783">
        <v>2001</v>
      </c>
      <c r="J1783">
        <f t="shared" si="54"/>
        <v>3</v>
      </c>
      <c r="K1783" s="1" t="s">
        <v>6076</v>
      </c>
      <c r="L1783" s="1" t="s">
        <v>6076</v>
      </c>
      <c r="M1783">
        <f t="shared" si="55"/>
        <v>25</v>
      </c>
    </row>
    <row r="1784" spans="1:14" x14ac:dyDescent="0.3">
      <c r="A1784" t="s">
        <v>11275</v>
      </c>
      <c r="B1784" t="s">
        <v>10998</v>
      </c>
      <c r="C1784" t="s">
        <v>11276</v>
      </c>
      <c r="E1784" s="1" t="s">
        <v>6076</v>
      </c>
      <c r="F1784" s="1" t="s">
        <v>6076</v>
      </c>
      <c r="G1784" s="1" t="s">
        <v>12803</v>
      </c>
      <c r="H1784">
        <v>1998</v>
      </c>
      <c r="I1784">
        <v>2001</v>
      </c>
      <c r="J1784">
        <f t="shared" si="54"/>
        <v>4</v>
      </c>
      <c r="K1784" s="1" t="s">
        <v>6076</v>
      </c>
      <c r="L1784" s="1" t="s">
        <v>6076</v>
      </c>
      <c r="M1784">
        <f t="shared" si="55"/>
        <v>25</v>
      </c>
    </row>
    <row r="1785" spans="1:14" x14ac:dyDescent="0.3">
      <c r="A1785" s="1" t="s">
        <v>7510</v>
      </c>
      <c r="B1785" s="1" t="s">
        <v>1451</v>
      </c>
      <c r="C1785" s="1" t="s">
        <v>7511</v>
      </c>
      <c r="D1785" s="1" t="s">
        <v>738</v>
      </c>
      <c r="E1785" s="1" t="s">
        <v>6076</v>
      </c>
      <c r="F1785" s="1" t="s">
        <v>6076</v>
      </c>
      <c r="G1785" s="1" t="s">
        <v>7512</v>
      </c>
      <c r="H1785">
        <v>1986</v>
      </c>
      <c r="I1785">
        <v>1991</v>
      </c>
      <c r="J1785">
        <f t="shared" si="54"/>
        <v>6</v>
      </c>
      <c r="K1785" s="1" t="s">
        <v>6076</v>
      </c>
      <c r="L1785" s="1" t="s">
        <v>6076</v>
      </c>
      <c r="M1785">
        <f t="shared" si="55"/>
        <v>35</v>
      </c>
      <c r="N1785" t="s">
        <v>640</v>
      </c>
    </row>
    <row r="1786" spans="1:14" x14ac:dyDescent="0.3">
      <c r="A1786" s="1" t="s">
        <v>7513</v>
      </c>
      <c r="B1786" s="1" t="s">
        <v>1451</v>
      </c>
      <c r="C1786" s="1" t="s">
        <v>7514</v>
      </c>
      <c r="D1786" s="1" t="s">
        <v>738</v>
      </c>
      <c r="E1786" s="1" t="s">
        <v>6076</v>
      </c>
      <c r="F1786" s="1" t="s">
        <v>6076</v>
      </c>
      <c r="G1786" s="1" t="s">
        <v>7512</v>
      </c>
      <c r="H1786">
        <v>1987</v>
      </c>
      <c r="I1786">
        <v>1987</v>
      </c>
      <c r="J1786">
        <f t="shared" si="54"/>
        <v>1</v>
      </c>
      <c r="K1786" s="1" t="s">
        <v>6076</v>
      </c>
      <c r="L1786" s="1" t="s">
        <v>6076</v>
      </c>
      <c r="M1786">
        <f t="shared" si="55"/>
        <v>39</v>
      </c>
      <c r="N1786" t="s">
        <v>640</v>
      </c>
    </row>
    <row r="1787" spans="1:14" x14ac:dyDescent="0.3">
      <c r="A1787" s="1" t="s">
        <v>7515</v>
      </c>
      <c r="B1787" s="1" t="s">
        <v>1451</v>
      </c>
      <c r="C1787" s="1" t="s">
        <v>7516</v>
      </c>
      <c r="D1787" s="1" t="s">
        <v>738</v>
      </c>
      <c r="E1787" s="1" t="s">
        <v>6076</v>
      </c>
      <c r="F1787" s="1" t="s">
        <v>6076</v>
      </c>
      <c r="G1787" s="1" t="s">
        <v>7512</v>
      </c>
      <c r="H1787">
        <v>1987</v>
      </c>
      <c r="I1787">
        <v>1991</v>
      </c>
      <c r="J1787">
        <f t="shared" si="54"/>
        <v>5</v>
      </c>
      <c r="K1787" s="1" t="s">
        <v>6076</v>
      </c>
      <c r="L1787" s="1" t="s">
        <v>6076</v>
      </c>
      <c r="M1787">
        <f t="shared" si="55"/>
        <v>35</v>
      </c>
      <c r="N1787" t="s">
        <v>640</v>
      </c>
    </row>
    <row r="1788" spans="1:14" x14ac:dyDescent="0.3">
      <c r="A1788" s="1" t="s">
        <v>7517</v>
      </c>
      <c r="B1788" s="1" t="s">
        <v>1451</v>
      </c>
      <c r="C1788" s="1" t="s">
        <v>7518</v>
      </c>
      <c r="D1788" s="1" t="s">
        <v>738</v>
      </c>
      <c r="E1788" s="1" t="s">
        <v>6076</v>
      </c>
      <c r="F1788" s="1" t="s">
        <v>6076</v>
      </c>
      <c r="G1788" s="1" t="s">
        <v>7512</v>
      </c>
      <c r="H1788">
        <v>1987</v>
      </c>
      <c r="I1788">
        <v>1991</v>
      </c>
      <c r="J1788">
        <f t="shared" si="54"/>
        <v>5</v>
      </c>
      <c r="K1788" s="1" t="s">
        <v>6076</v>
      </c>
      <c r="L1788" s="1" t="s">
        <v>6076</v>
      </c>
      <c r="M1788">
        <f t="shared" si="55"/>
        <v>35</v>
      </c>
      <c r="N1788" t="s">
        <v>640</v>
      </c>
    </row>
    <row r="1789" spans="1:14" x14ac:dyDescent="0.3">
      <c r="A1789" s="1" t="s">
        <v>7519</v>
      </c>
      <c r="B1789" s="1" t="s">
        <v>1451</v>
      </c>
      <c r="C1789" s="1" t="s">
        <v>7520</v>
      </c>
      <c r="D1789" s="1" t="s">
        <v>738</v>
      </c>
      <c r="E1789" s="1" t="s">
        <v>6076</v>
      </c>
      <c r="F1789" s="1" t="s">
        <v>6076</v>
      </c>
      <c r="G1789" s="1" t="s">
        <v>7512</v>
      </c>
      <c r="H1789">
        <v>1985</v>
      </c>
      <c r="I1789">
        <v>1991</v>
      </c>
      <c r="J1789">
        <f t="shared" si="54"/>
        <v>7</v>
      </c>
      <c r="K1789" s="1" t="s">
        <v>6076</v>
      </c>
      <c r="L1789" s="1" t="s">
        <v>6076</v>
      </c>
      <c r="M1789">
        <f t="shared" si="55"/>
        <v>35</v>
      </c>
      <c r="N1789" t="s">
        <v>640</v>
      </c>
    </row>
    <row r="1790" spans="1:14" x14ac:dyDescent="0.3">
      <c r="A1790" s="1" t="s">
        <v>7521</v>
      </c>
      <c r="B1790" s="1" t="s">
        <v>1451</v>
      </c>
      <c r="C1790" s="1" t="s">
        <v>7522</v>
      </c>
      <c r="D1790" s="1" t="s">
        <v>738</v>
      </c>
      <c r="E1790" s="1" t="s">
        <v>6076</v>
      </c>
      <c r="F1790" s="1" t="s">
        <v>6076</v>
      </c>
      <c r="G1790" s="1" t="s">
        <v>7512</v>
      </c>
      <c r="H1790">
        <v>1985</v>
      </c>
      <c r="I1790">
        <v>1991</v>
      </c>
      <c r="J1790">
        <f t="shared" si="54"/>
        <v>7</v>
      </c>
      <c r="K1790" s="1" t="s">
        <v>6076</v>
      </c>
      <c r="L1790" s="1" t="s">
        <v>6076</v>
      </c>
      <c r="M1790">
        <f t="shared" si="55"/>
        <v>35</v>
      </c>
      <c r="N1790" t="s">
        <v>640</v>
      </c>
    </row>
    <row r="1791" spans="1:14" x14ac:dyDescent="0.3">
      <c r="A1791" s="1" t="s">
        <v>7523</v>
      </c>
      <c r="B1791" s="1" t="s">
        <v>1451</v>
      </c>
      <c r="C1791" s="1" t="s">
        <v>7524</v>
      </c>
      <c r="D1791" s="1" t="s">
        <v>738</v>
      </c>
      <c r="E1791" s="1" t="s">
        <v>6076</v>
      </c>
      <c r="F1791" s="1" t="s">
        <v>6076</v>
      </c>
      <c r="G1791" s="1" t="s">
        <v>7512</v>
      </c>
      <c r="H1791">
        <v>1985</v>
      </c>
      <c r="I1791">
        <v>1991</v>
      </c>
      <c r="J1791">
        <f t="shared" si="54"/>
        <v>7</v>
      </c>
      <c r="K1791" s="1" t="s">
        <v>6076</v>
      </c>
      <c r="L1791" s="1" t="s">
        <v>6076</v>
      </c>
      <c r="M1791">
        <f t="shared" si="55"/>
        <v>35</v>
      </c>
      <c r="N1791" t="s">
        <v>640</v>
      </c>
    </row>
    <row r="1792" spans="1:14" x14ac:dyDescent="0.3">
      <c r="A1792" t="s">
        <v>12700</v>
      </c>
      <c r="B1792" t="s">
        <v>810</v>
      </c>
      <c r="C1792" t="s">
        <v>12701</v>
      </c>
      <c r="E1792" s="1" t="s">
        <v>6076</v>
      </c>
      <c r="F1792" s="1" t="s">
        <v>6076</v>
      </c>
      <c r="G1792" s="1" t="s">
        <v>12885</v>
      </c>
      <c r="H1792">
        <v>2023</v>
      </c>
      <c r="I1792">
        <v>2026</v>
      </c>
      <c r="J1792">
        <f t="shared" si="54"/>
        <v>4</v>
      </c>
      <c r="K1792" s="1" t="s">
        <v>6076</v>
      </c>
      <c r="L1792" s="1" t="s">
        <v>6076</v>
      </c>
      <c r="M1792">
        <f t="shared" si="55"/>
        <v>0</v>
      </c>
    </row>
    <row r="1793" spans="1:14" x14ac:dyDescent="0.3">
      <c r="A1793" t="s">
        <v>12702</v>
      </c>
      <c r="B1793" t="s">
        <v>810</v>
      </c>
      <c r="C1793" t="s">
        <v>12703</v>
      </c>
      <c r="E1793" s="1" t="s">
        <v>6076</v>
      </c>
      <c r="F1793" s="1" t="s">
        <v>6076</v>
      </c>
      <c r="G1793" s="1" t="s">
        <v>12885</v>
      </c>
      <c r="H1793">
        <v>2023</v>
      </c>
      <c r="I1793">
        <v>2023</v>
      </c>
      <c r="J1793">
        <f t="shared" si="54"/>
        <v>1</v>
      </c>
      <c r="K1793" s="1" t="s">
        <v>6076</v>
      </c>
      <c r="L1793" s="1" t="s">
        <v>6076</v>
      </c>
      <c r="M1793">
        <f t="shared" si="55"/>
        <v>3</v>
      </c>
    </row>
    <row r="1794" spans="1:14" x14ac:dyDescent="0.3">
      <c r="A1794" s="1" t="s">
        <v>7525</v>
      </c>
      <c r="B1794" s="1" t="s">
        <v>4561</v>
      </c>
      <c r="C1794" s="1" t="s">
        <v>7526</v>
      </c>
      <c r="D1794" s="1" t="s">
        <v>738</v>
      </c>
      <c r="E1794" s="1" t="s">
        <v>6076</v>
      </c>
      <c r="F1794" s="1" t="s">
        <v>6076</v>
      </c>
      <c r="G1794" s="1" t="s">
        <v>7527</v>
      </c>
      <c r="H1794">
        <v>1991</v>
      </c>
      <c r="I1794">
        <v>1993</v>
      </c>
      <c r="J1794">
        <f t="shared" si="54"/>
        <v>3</v>
      </c>
      <c r="K1794" s="1" t="s">
        <v>6076</v>
      </c>
      <c r="L1794" s="1" t="s">
        <v>6076</v>
      </c>
      <c r="M1794">
        <f t="shared" si="55"/>
        <v>33</v>
      </c>
      <c r="N1794" t="s">
        <v>640</v>
      </c>
    </row>
    <row r="1795" spans="1:14" hidden="1" x14ac:dyDescent="0.3">
      <c r="A1795" s="1" t="s">
        <v>4173</v>
      </c>
      <c r="B1795" s="1" t="s">
        <v>802</v>
      </c>
      <c r="C1795" s="1" t="s">
        <v>4174</v>
      </c>
      <c r="D1795" s="1" t="s">
        <v>644</v>
      </c>
      <c r="E1795" s="1" t="s">
        <v>674</v>
      </c>
      <c r="F1795" s="1" t="s">
        <v>4175</v>
      </c>
      <c r="G1795" s="1" t="s">
        <v>4176</v>
      </c>
      <c r="H1795">
        <v>2010</v>
      </c>
      <c r="I1795">
        <v>2010</v>
      </c>
      <c r="J1795">
        <f t="shared" si="54"/>
        <v>1</v>
      </c>
      <c r="K1795" s="1" t="s">
        <v>3665</v>
      </c>
      <c r="L1795" s="1" t="s">
        <v>798</v>
      </c>
      <c r="M1795">
        <f t="shared" si="55"/>
        <v>16</v>
      </c>
      <c r="N1795" t="s">
        <v>650</v>
      </c>
    </row>
    <row r="1796" spans="1:14" hidden="1" x14ac:dyDescent="0.3">
      <c r="A1796" s="1" t="s">
        <v>4173</v>
      </c>
      <c r="B1796" s="1" t="s">
        <v>802</v>
      </c>
      <c r="C1796" s="1" t="s">
        <v>4174</v>
      </c>
      <c r="D1796" s="1" t="s">
        <v>644</v>
      </c>
      <c r="E1796" s="1" t="s">
        <v>674</v>
      </c>
      <c r="F1796" s="1" t="s">
        <v>4175</v>
      </c>
      <c r="G1796" s="1" t="s">
        <v>4176</v>
      </c>
      <c r="H1796">
        <v>2010</v>
      </c>
      <c r="I1796">
        <v>2010</v>
      </c>
      <c r="J1796">
        <f t="shared" si="54"/>
        <v>1</v>
      </c>
      <c r="K1796" s="1" t="s">
        <v>3665</v>
      </c>
      <c r="L1796" s="1" t="s">
        <v>798</v>
      </c>
      <c r="M1796">
        <f t="shared" si="55"/>
        <v>16</v>
      </c>
      <c r="N1796" t="s">
        <v>650</v>
      </c>
    </row>
    <row r="1797" spans="1:14" hidden="1" x14ac:dyDescent="0.3">
      <c r="A1797" s="1" t="s">
        <v>4177</v>
      </c>
      <c r="B1797" s="1" t="s">
        <v>802</v>
      </c>
      <c r="C1797" s="1" t="s">
        <v>4178</v>
      </c>
      <c r="D1797" s="1" t="s">
        <v>644</v>
      </c>
      <c r="E1797" s="1" t="s">
        <v>674</v>
      </c>
      <c r="F1797" s="1" t="s">
        <v>4175</v>
      </c>
      <c r="G1797" s="1" t="s">
        <v>4176</v>
      </c>
      <c r="H1797">
        <v>2013</v>
      </c>
      <c r="I1797">
        <v>2013</v>
      </c>
      <c r="J1797">
        <f t="shared" si="54"/>
        <v>1</v>
      </c>
      <c r="K1797" s="1" t="s">
        <v>3665</v>
      </c>
      <c r="L1797" s="1" t="s">
        <v>798</v>
      </c>
      <c r="M1797">
        <f t="shared" si="55"/>
        <v>13</v>
      </c>
      <c r="N1797" t="s">
        <v>650</v>
      </c>
    </row>
    <row r="1798" spans="1:14" hidden="1" x14ac:dyDescent="0.3">
      <c r="A1798" s="1" t="s">
        <v>4177</v>
      </c>
      <c r="B1798" s="1" t="s">
        <v>802</v>
      </c>
      <c r="C1798" s="1" t="s">
        <v>4178</v>
      </c>
      <c r="D1798" s="1" t="s">
        <v>644</v>
      </c>
      <c r="E1798" s="1" t="s">
        <v>674</v>
      </c>
      <c r="F1798" s="1" t="s">
        <v>4175</v>
      </c>
      <c r="G1798" s="1" t="s">
        <v>4176</v>
      </c>
      <c r="H1798">
        <v>2013</v>
      </c>
      <c r="I1798">
        <v>2013</v>
      </c>
      <c r="J1798">
        <f t="shared" ref="J1798:J1861" si="56">1+(I1798-H1798)</f>
        <v>1</v>
      </c>
      <c r="K1798" s="1" t="s">
        <v>3665</v>
      </c>
      <c r="L1798" s="1" t="s">
        <v>798</v>
      </c>
      <c r="M1798">
        <f t="shared" ref="M1798:M1861" si="57">IF(I1798=0,0,$B$2-I1798)</f>
        <v>13</v>
      </c>
      <c r="N1798" t="s">
        <v>650</v>
      </c>
    </row>
    <row r="1799" spans="1:14" hidden="1" x14ac:dyDescent="0.3">
      <c r="A1799" s="1" t="s">
        <v>4179</v>
      </c>
      <c r="B1799" s="1" t="s">
        <v>802</v>
      </c>
      <c r="C1799" s="1" t="s">
        <v>4180</v>
      </c>
      <c r="D1799" s="1" t="s">
        <v>644</v>
      </c>
      <c r="E1799" s="1" t="s">
        <v>674</v>
      </c>
      <c r="F1799" s="1" t="s">
        <v>4175</v>
      </c>
      <c r="G1799" s="1" t="s">
        <v>4176</v>
      </c>
      <c r="H1799">
        <v>2013</v>
      </c>
      <c r="I1799">
        <v>2013</v>
      </c>
      <c r="J1799">
        <f t="shared" si="56"/>
        <v>1</v>
      </c>
      <c r="K1799" s="1" t="s">
        <v>3665</v>
      </c>
      <c r="L1799" s="1" t="s">
        <v>798</v>
      </c>
      <c r="M1799">
        <f t="shared" si="57"/>
        <v>13</v>
      </c>
      <c r="N1799" t="s">
        <v>650</v>
      </c>
    </row>
    <row r="1800" spans="1:14" hidden="1" x14ac:dyDescent="0.3">
      <c r="A1800" s="1" t="s">
        <v>4179</v>
      </c>
      <c r="B1800" s="1" t="s">
        <v>802</v>
      </c>
      <c r="C1800" s="1" t="s">
        <v>4180</v>
      </c>
      <c r="D1800" s="1" t="s">
        <v>644</v>
      </c>
      <c r="E1800" s="1" t="s">
        <v>674</v>
      </c>
      <c r="F1800" s="1" t="s">
        <v>4175</v>
      </c>
      <c r="G1800" s="1" t="s">
        <v>4176</v>
      </c>
      <c r="H1800">
        <v>2013</v>
      </c>
      <c r="I1800">
        <v>2013</v>
      </c>
      <c r="J1800">
        <f t="shared" si="56"/>
        <v>1</v>
      </c>
      <c r="K1800" s="1" t="s">
        <v>3665</v>
      </c>
      <c r="L1800" s="1" t="s">
        <v>798</v>
      </c>
      <c r="M1800">
        <f t="shared" si="57"/>
        <v>13</v>
      </c>
      <c r="N1800" t="s">
        <v>650</v>
      </c>
    </row>
    <row r="1801" spans="1:14" hidden="1" x14ac:dyDescent="0.3">
      <c r="A1801" s="1" t="s">
        <v>4181</v>
      </c>
      <c r="B1801" s="1" t="s">
        <v>802</v>
      </c>
      <c r="C1801" s="1" t="s">
        <v>4182</v>
      </c>
      <c r="D1801" s="1" t="s">
        <v>644</v>
      </c>
      <c r="E1801" s="1" t="s">
        <v>674</v>
      </c>
      <c r="F1801" s="1" t="s">
        <v>4175</v>
      </c>
      <c r="G1801" s="1" t="s">
        <v>4176</v>
      </c>
      <c r="H1801">
        <v>2016</v>
      </c>
      <c r="I1801">
        <v>2016</v>
      </c>
      <c r="J1801">
        <f t="shared" si="56"/>
        <v>1</v>
      </c>
      <c r="K1801" s="1" t="s">
        <v>3665</v>
      </c>
      <c r="L1801" s="1" t="s">
        <v>798</v>
      </c>
      <c r="M1801">
        <f t="shared" si="57"/>
        <v>10</v>
      </c>
      <c r="N1801" t="s">
        <v>650</v>
      </c>
    </row>
    <row r="1802" spans="1:14" hidden="1" x14ac:dyDescent="0.3">
      <c r="A1802" s="1" t="s">
        <v>4181</v>
      </c>
      <c r="B1802" s="1" t="s">
        <v>802</v>
      </c>
      <c r="C1802" s="1" t="s">
        <v>4182</v>
      </c>
      <c r="D1802" s="1" t="s">
        <v>644</v>
      </c>
      <c r="E1802" s="1" t="s">
        <v>674</v>
      </c>
      <c r="F1802" s="1" t="s">
        <v>4175</v>
      </c>
      <c r="G1802" s="1" t="s">
        <v>4176</v>
      </c>
      <c r="H1802">
        <v>2016</v>
      </c>
      <c r="I1802">
        <v>2016</v>
      </c>
      <c r="J1802">
        <f t="shared" si="56"/>
        <v>1</v>
      </c>
      <c r="K1802" s="1" t="s">
        <v>3665</v>
      </c>
      <c r="L1802" s="1" t="s">
        <v>798</v>
      </c>
      <c r="M1802">
        <f t="shared" si="57"/>
        <v>10</v>
      </c>
      <c r="N1802" t="s">
        <v>650</v>
      </c>
    </row>
    <row r="1803" spans="1:14" hidden="1" x14ac:dyDescent="0.3">
      <c r="A1803" s="1" t="s">
        <v>4183</v>
      </c>
      <c r="B1803" s="1" t="s">
        <v>802</v>
      </c>
      <c r="C1803" s="1" t="s">
        <v>4184</v>
      </c>
      <c r="D1803" s="1" t="s">
        <v>644</v>
      </c>
      <c r="E1803" s="1" t="s">
        <v>674</v>
      </c>
      <c r="F1803" s="1" t="s">
        <v>4175</v>
      </c>
      <c r="G1803" s="1" t="s">
        <v>4176</v>
      </c>
      <c r="H1803">
        <v>2006</v>
      </c>
      <c r="I1803">
        <v>2006</v>
      </c>
      <c r="J1803">
        <f t="shared" si="56"/>
        <v>1</v>
      </c>
      <c r="K1803" s="1" t="s">
        <v>3665</v>
      </c>
      <c r="L1803" s="1" t="s">
        <v>798</v>
      </c>
      <c r="M1803">
        <f t="shared" si="57"/>
        <v>20</v>
      </c>
      <c r="N1803" t="s">
        <v>640</v>
      </c>
    </row>
    <row r="1804" spans="1:14" hidden="1" x14ac:dyDescent="0.3">
      <c r="A1804" s="1" t="s">
        <v>4183</v>
      </c>
      <c r="B1804" s="1" t="s">
        <v>802</v>
      </c>
      <c r="C1804" s="1" t="s">
        <v>4184</v>
      </c>
      <c r="D1804" s="1" t="s">
        <v>644</v>
      </c>
      <c r="E1804" s="1" t="s">
        <v>674</v>
      </c>
      <c r="F1804" s="1" t="s">
        <v>4175</v>
      </c>
      <c r="G1804" s="1" t="s">
        <v>4176</v>
      </c>
      <c r="H1804">
        <v>2006</v>
      </c>
      <c r="I1804">
        <v>2006</v>
      </c>
      <c r="J1804">
        <f t="shared" si="56"/>
        <v>1</v>
      </c>
      <c r="K1804" s="1" t="s">
        <v>3665</v>
      </c>
      <c r="L1804" s="1" t="s">
        <v>798</v>
      </c>
      <c r="M1804">
        <f t="shared" si="57"/>
        <v>20</v>
      </c>
      <c r="N1804" t="s">
        <v>640</v>
      </c>
    </row>
    <row r="1805" spans="1:14" hidden="1" x14ac:dyDescent="0.3">
      <c r="A1805" s="1" t="s">
        <v>4185</v>
      </c>
      <c r="B1805" s="1" t="s">
        <v>802</v>
      </c>
      <c r="C1805" s="1" t="s">
        <v>4186</v>
      </c>
      <c r="D1805" s="1" t="s">
        <v>644</v>
      </c>
      <c r="E1805" s="1" t="s">
        <v>674</v>
      </c>
      <c r="F1805" s="1" t="s">
        <v>4175</v>
      </c>
      <c r="G1805" s="1" t="s">
        <v>4176</v>
      </c>
      <c r="H1805">
        <v>2004</v>
      </c>
      <c r="I1805">
        <v>2004</v>
      </c>
      <c r="J1805">
        <f t="shared" si="56"/>
        <v>1</v>
      </c>
      <c r="K1805" s="1" t="s">
        <v>3665</v>
      </c>
      <c r="L1805" s="1" t="s">
        <v>649</v>
      </c>
      <c r="M1805">
        <f t="shared" si="57"/>
        <v>22</v>
      </c>
      <c r="N1805" t="s">
        <v>640</v>
      </c>
    </row>
    <row r="1806" spans="1:14" hidden="1" x14ac:dyDescent="0.3">
      <c r="A1806" s="1" t="s">
        <v>4185</v>
      </c>
      <c r="B1806" s="1" t="s">
        <v>802</v>
      </c>
      <c r="C1806" s="1" t="s">
        <v>4186</v>
      </c>
      <c r="D1806" s="1" t="s">
        <v>644</v>
      </c>
      <c r="E1806" s="1" t="s">
        <v>674</v>
      </c>
      <c r="F1806" s="1" t="s">
        <v>4175</v>
      </c>
      <c r="G1806" s="1" t="s">
        <v>4176</v>
      </c>
      <c r="H1806">
        <v>2004</v>
      </c>
      <c r="I1806">
        <v>2004</v>
      </c>
      <c r="J1806">
        <f t="shared" si="56"/>
        <v>1</v>
      </c>
      <c r="K1806" s="1" t="s">
        <v>3665</v>
      </c>
      <c r="L1806" s="1" t="s">
        <v>649</v>
      </c>
      <c r="M1806">
        <f t="shared" si="57"/>
        <v>22</v>
      </c>
      <c r="N1806" t="s">
        <v>640</v>
      </c>
    </row>
    <row r="1807" spans="1:14" hidden="1" x14ac:dyDescent="0.3">
      <c r="A1807" s="1" t="s">
        <v>4187</v>
      </c>
      <c r="B1807" s="1" t="s">
        <v>802</v>
      </c>
      <c r="C1807" s="1" t="s">
        <v>4188</v>
      </c>
      <c r="D1807" s="1" t="s">
        <v>644</v>
      </c>
      <c r="E1807" s="1" t="s">
        <v>674</v>
      </c>
      <c r="F1807" s="1" t="s">
        <v>4175</v>
      </c>
      <c r="G1807" s="1" t="s">
        <v>4176</v>
      </c>
      <c r="H1807">
        <v>2012</v>
      </c>
      <c r="I1807">
        <v>2012</v>
      </c>
      <c r="J1807">
        <f t="shared" si="56"/>
        <v>1</v>
      </c>
      <c r="K1807" s="1" t="s">
        <v>3665</v>
      </c>
      <c r="L1807" s="1" t="s">
        <v>798</v>
      </c>
      <c r="M1807">
        <f t="shared" si="57"/>
        <v>14</v>
      </c>
      <c r="N1807" t="s">
        <v>650</v>
      </c>
    </row>
    <row r="1808" spans="1:14" hidden="1" x14ac:dyDescent="0.3">
      <c r="A1808" s="1" t="s">
        <v>4187</v>
      </c>
      <c r="B1808" s="1" t="s">
        <v>802</v>
      </c>
      <c r="C1808" s="1" t="s">
        <v>4188</v>
      </c>
      <c r="D1808" s="1" t="s">
        <v>644</v>
      </c>
      <c r="E1808" s="1" t="s">
        <v>674</v>
      </c>
      <c r="F1808" s="1" t="s">
        <v>4175</v>
      </c>
      <c r="G1808" s="1" t="s">
        <v>4176</v>
      </c>
      <c r="H1808">
        <v>2012</v>
      </c>
      <c r="I1808">
        <v>2012</v>
      </c>
      <c r="J1808">
        <f t="shared" si="56"/>
        <v>1</v>
      </c>
      <c r="K1808" s="1" t="s">
        <v>3665</v>
      </c>
      <c r="L1808" s="1" t="s">
        <v>798</v>
      </c>
      <c r="M1808">
        <f t="shared" si="57"/>
        <v>14</v>
      </c>
      <c r="N1808" t="s">
        <v>650</v>
      </c>
    </row>
    <row r="1809" spans="1:14" hidden="1" x14ac:dyDescent="0.3">
      <c r="A1809" s="1" t="s">
        <v>4189</v>
      </c>
      <c r="B1809" s="1" t="s">
        <v>802</v>
      </c>
      <c r="C1809" s="1" t="s">
        <v>4190</v>
      </c>
      <c r="D1809" s="1" t="s">
        <v>644</v>
      </c>
      <c r="E1809" s="1" t="s">
        <v>674</v>
      </c>
      <c r="F1809" s="1" t="s">
        <v>675</v>
      </c>
      <c r="G1809" s="1" t="s">
        <v>4176</v>
      </c>
      <c r="H1809">
        <v>2002</v>
      </c>
      <c r="I1809">
        <v>2002</v>
      </c>
      <c r="J1809">
        <f t="shared" si="56"/>
        <v>1</v>
      </c>
      <c r="K1809" s="1" t="s">
        <v>3665</v>
      </c>
      <c r="L1809" s="1" t="s">
        <v>649</v>
      </c>
      <c r="M1809">
        <f t="shared" si="57"/>
        <v>24</v>
      </c>
      <c r="N1809" t="s">
        <v>650</v>
      </c>
    </row>
    <row r="1810" spans="1:14" hidden="1" x14ac:dyDescent="0.3">
      <c r="A1810" s="1" t="s">
        <v>4191</v>
      </c>
      <c r="B1810" s="1" t="s">
        <v>802</v>
      </c>
      <c r="C1810" s="1" t="s">
        <v>4192</v>
      </c>
      <c r="D1810" s="1" t="s">
        <v>644</v>
      </c>
      <c r="E1810" s="1" t="s">
        <v>674</v>
      </c>
      <c r="F1810" s="1" t="s">
        <v>675</v>
      </c>
      <c r="G1810" s="1" t="s">
        <v>4176</v>
      </c>
      <c r="H1810">
        <v>2010</v>
      </c>
      <c r="I1810">
        <v>2010</v>
      </c>
      <c r="J1810">
        <f t="shared" si="56"/>
        <v>1</v>
      </c>
      <c r="K1810" s="1" t="s">
        <v>3665</v>
      </c>
      <c r="L1810" s="1" t="s">
        <v>798</v>
      </c>
      <c r="M1810">
        <f t="shared" si="57"/>
        <v>16</v>
      </c>
      <c r="N1810" t="s">
        <v>650</v>
      </c>
    </row>
    <row r="1811" spans="1:14" hidden="1" x14ac:dyDescent="0.3">
      <c r="A1811" s="1" t="s">
        <v>4193</v>
      </c>
      <c r="B1811" s="1" t="s">
        <v>802</v>
      </c>
      <c r="C1811" s="1" t="s">
        <v>4194</v>
      </c>
      <c r="D1811" s="1" t="s">
        <v>644</v>
      </c>
      <c r="E1811" s="1" t="s">
        <v>674</v>
      </c>
      <c r="F1811" s="1" t="s">
        <v>675</v>
      </c>
      <c r="G1811" s="1" t="s">
        <v>4176</v>
      </c>
      <c r="H1811">
        <v>2002</v>
      </c>
      <c r="I1811">
        <v>2002</v>
      </c>
      <c r="J1811">
        <f t="shared" si="56"/>
        <v>1</v>
      </c>
      <c r="K1811" s="1" t="s">
        <v>3665</v>
      </c>
      <c r="L1811" s="1" t="s">
        <v>649</v>
      </c>
      <c r="M1811">
        <f t="shared" si="57"/>
        <v>24</v>
      </c>
      <c r="N1811" t="s">
        <v>650</v>
      </c>
    </row>
    <row r="1812" spans="1:14" hidden="1" x14ac:dyDescent="0.3">
      <c r="A1812" s="1" t="s">
        <v>4195</v>
      </c>
      <c r="B1812" s="1" t="s">
        <v>802</v>
      </c>
      <c r="C1812" s="1" t="s">
        <v>4196</v>
      </c>
      <c r="D1812" s="1" t="s">
        <v>644</v>
      </c>
      <c r="E1812" s="1" t="s">
        <v>674</v>
      </c>
      <c r="F1812" s="1" t="s">
        <v>675</v>
      </c>
      <c r="G1812" s="1" t="s">
        <v>4176</v>
      </c>
      <c r="H1812">
        <v>2004</v>
      </c>
      <c r="I1812">
        <v>2004</v>
      </c>
      <c r="J1812">
        <f t="shared" si="56"/>
        <v>1</v>
      </c>
      <c r="K1812" s="1" t="s">
        <v>3665</v>
      </c>
      <c r="L1812" s="1" t="s">
        <v>649</v>
      </c>
      <c r="M1812">
        <f t="shared" si="57"/>
        <v>22</v>
      </c>
      <c r="N1812" t="s">
        <v>650</v>
      </c>
    </row>
    <row r="1813" spans="1:14" hidden="1" x14ac:dyDescent="0.3">
      <c r="A1813" s="1" t="s">
        <v>4197</v>
      </c>
      <c r="B1813" s="1" t="s">
        <v>802</v>
      </c>
      <c r="C1813" s="1" t="s">
        <v>4198</v>
      </c>
      <c r="D1813" s="1" t="s">
        <v>644</v>
      </c>
      <c r="E1813" s="1" t="s">
        <v>674</v>
      </c>
      <c r="F1813" s="1" t="s">
        <v>675</v>
      </c>
      <c r="G1813" s="1" t="s">
        <v>4176</v>
      </c>
      <c r="H1813">
        <v>2006</v>
      </c>
      <c r="I1813">
        <v>2006</v>
      </c>
      <c r="J1813">
        <f t="shared" si="56"/>
        <v>1</v>
      </c>
      <c r="K1813" s="1" t="s">
        <v>3665</v>
      </c>
      <c r="L1813" s="1" t="s">
        <v>798</v>
      </c>
      <c r="M1813">
        <f t="shared" si="57"/>
        <v>20</v>
      </c>
      <c r="N1813" t="s">
        <v>650</v>
      </c>
    </row>
    <row r="1814" spans="1:14" hidden="1" x14ac:dyDescent="0.3">
      <c r="A1814" s="1" t="s">
        <v>4199</v>
      </c>
      <c r="B1814" s="1" t="s">
        <v>802</v>
      </c>
      <c r="C1814" s="1" t="s">
        <v>4200</v>
      </c>
      <c r="D1814" s="1" t="s">
        <v>644</v>
      </c>
      <c r="E1814" s="1" t="s">
        <v>674</v>
      </c>
      <c r="F1814" s="1" t="s">
        <v>4175</v>
      </c>
      <c r="G1814" s="1" t="s">
        <v>4176</v>
      </c>
      <c r="H1814">
        <v>2010</v>
      </c>
      <c r="I1814">
        <v>2010</v>
      </c>
      <c r="J1814">
        <f t="shared" si="56"/>
        <v>1</v>
      </c>
      <c r="K1814" s="1" t="s">
        <v>3665</v>
      </c>
      <c r="L1814" s="1" t="s">
        <v>798</v>
      </c>
      <c r="M1814">
        <f t="shared" si="57"/>
        <v>16</v>
      </c>
      <c r="N1814" t="s">
        <v>650</v>
      </c>
    </row>
    <row r="1815" spans="1:14" hidden="1" x14ac:dyDescent="0.3">
      <c r="A1815" s="1" t="s">
        <v>4199</v>
      </c>
      <c r="B1815" s="1" t="s">
        <v>802</v>
      </c>
      <c r="C1815" s="1" t="s">
        <v>4200</v>
      </c>
      <c r="D1815" s="1" t="s">
        <v>644</v>
      </c>
      <c r="E1815" s="1" t="s">
        <v>674</v>
      </c>
      <c r="F1815" s="1" t="s">
        <v>4175</v>
      </c>
      <c r="G1815" s="1" t="s">
        <v>4176</v>
      </c>
      <c r="H1815">
        <v>2010</v>
      </c>
      <c r="I1815">
        <v>2010</v>
      </c>
      <c r="J1815">
        <f t="shared" si="56"/>
        <v>1</v>
      </c>
      <c r="K1815" s="1" t="s">
        <v>3665</v>
      </c>
      <c r="L1815" s="1" t="s">
        <v>798</v>
      </c>
      <c r="M1815">
        <f t="shared" si="57"/>
        <v>16</v>
      </c>
      <c r="N1815" t="s">
        <v>650</v>
      </c>
    </row>
    <row r="1816" spans="1:14" hidden="1" x14ac:dyDescent="0.3">
      <c r="A1816" s="1" t="s">
        <v>4201</v>
      </c>
      <c r="B1816" s="1" t="s">
        <v>802</v>
      </c>
      <c r="C1816" s="1" t="s">
        <v>4202</v>
      </c>
      <c r="D1816" s="1" t="s">
        <v>644</v>
      </c>
      <c r="E1816" s="1" t="s">
        <v>674</v>
      </c>
      <c r="F1816" s="1" t="s">
        <v>4175</v>
      </c>
      <c r="G1816" s="1" t="s">
        <v>4176</v>
      </c>
      <c r="H1816">
        <v>2002</v>
      </c>
      <c r="I1816">
        <v>2002</v>
      </c>
      <c r="J1816">
        <f t="shared" si="56"/>
        <v>1</v>
      </c>
      <c r="K1816" s="1" t="s">
        <v>3665</v>
      </c>
      <c r="L1816" s="1" t="s">
        <v>649</v>
      </c>
      <c r="M1816">
        <f t="shared" si="57"/>
        <v>24</v>
      </c>
      <c r="N1816" t="s">
        <v>640</v>
      </c>
    </row>
    <row r="1817" spans="1:14" hidden="1" x14ac:dyDescent="0.3">
      <c r="A1817" s="1" t="s">
        <v>4201</v>
      </c>
      <c r="B1817" s="1" t="s">
        <v>802</v>
      </c>
      <c r="C1817" s="1" t="s">
        <v>4202</v>
      </c>
      <c r="D1817" s="1" t="s">
        <v>644</v>
      </c>
      <c r="E1817" s="1" t="s">
        <v>674</v>
      </c>
      <c r="F1817" s="1" t="s">
        <v>4175</v>
      </c>
      <c r="G1817" s="1" t="s">
        <v>4176</v>
      </c>
      <c r="H1817">
        <v>2002</v>
      </c>
      <c r="I1817">
        <v>2002</v>
      </c>
      <c r="J1817">
        <f t="shared" si="56"/>
        <v>1</v>
      </c>
      <c r="K1817" s="1" t="s">
        <v>3665</v>
      </c>
      <c r="L1817" s="1" t="s">
        <v>649</v>
      </c>
      <c r="M1817">
        <f t="shared" si="57"/>
        <v>24</v>
      </c>
      <c r="N1817" t="s">
        <v>640</v>
      </c>
    </row>
    <row r="1818" spans="1:14" hidden="1" x14ac:dyDescent="0.3">
      <c r="A1818" s="1" t="s">
        <v>4203</v>
      </c>
      <c r="B1818" s="1" t="s">
        <v>802</v>
      </c>
      <c r="C1818" s="1" t="s">
        <v>4204</v>
      </c>
      <c r="D1818" s="1" t="s">
        <v>644</v>
      </c>
      <c r="E1818" s="1" t="s">
        <v>674</v>
      </c>
      <c r="F1818" s="1" t="s">
        <v>4175</v>
      </c>
      <c r="G1818" s="1" t="s">
        <v>4176</v>
      </c>
      <c r="H1818">
        <v>2010</v>
      </c>
      <c r="I1818">
        <v>2010</v>
      </c>
      <c r="J1818">
        <f t="shared" si="56"/>
        <v>1</v>
      </c>
      <c r="K1818" s="1" t="s">
        <v>3665</v>
      </c>
      <c r="L1818" s="1" t="s">
        <v>798</v>
      </c>
      <c r="M1818">
        <f t="shared" si="57"/>
        <v>16</v>
      </c>
      <c r="N1818" t="s">
        <v>650</v>
      </c>
    </row>
    <row r="1819" spans="1:14" hidden="1" x14ac:dyDescent="0.3">
      <c r="A1819" s="1" t="s">
        <v>4203</v>
      </c>
      <c r="B1819" s="1" t="s">
        <v>802</v>
      </c>
      <c r="C1819" s="1" t="s">
        <v>4204</v>
      </c>
      <c r="D1819" s="1" t="s">
        <v>644</v>
      </c>
      <c r="E1819" s="1" t="s">
        <v>674</v>
      </c>
      <c r="F1819" s="1" t="s">
        <v>4175</v>
      </c>
      <c r="G1819" s="1" t="s">
        <v>4176</v>
      </c>
      <c r="H1819">
        <v>2010</v>
      </c>
      <c r="I1819">
        <v>2010</v>
      </c>
      <c r="J1819">
        <f t="shared" si="56"/>
        <v>1</v>
      </c>
      <c r="K1819" s="1" t="s">
        <v>3665</v>
      </c>
      <c r="L1819" s="1" t="s">
        <v>798</v>
      </c>
      <c r="M1819">
        <f t="shared" si="57"/>
        <v>16</v>
      </c>
      <c r="N1819" t="s">
        <v>650</v>
      </c>
    </row>
    <row r="1820" spans="1:14" hidden="1" x14ac:dyDescent="0.3">
      <c r="A1820" s="1" t="s">
        <v>4205</v>
      </c>
      <c r="B1820" s="1" t="s">
        <v>802</v>
      </c>
      <c r="C1820" s="1" t="s">
        <v>4206</v>
      </c>
      <c r="D1820" s="1" t="s">
        <v>644</v>
      </c>
      <c r="E1820" s="1" t="s">
        <v>674</v>
      </c>
      <c r="F1820" s="1" t="s">
        <v>4175</v>
      </c>
      <c r="G1820" s="1" t="s">
        <v>4176</v>
      </c>
      <c r="H1820">
        <v>2006</v>
      </c>
      <c r="I1820">
        <v>2006</v>
      </c>
      <c r="J1820">
        <f t="shared" si="56"/>
        <v>1</v>
      </c>
      <c r="K1820" s="1" t="s">
        <v>3665</v>
      </c>
      <c r="L1820" s="1" t="s">
        <v>649</v>
      </c>
      <c r="M1820">
        <f t="shared" si="57"/>
        <v>20</v>
      </c>
      <c r="N1820" t="s">
        <v>640</v>
      </c>
    </row>
    <row r="1821" spans="1:14" hidden="1" x14ac:dyDescent="0.3">
      <c r="A1821" s="1" t="s">
        <v>4205</v>
      </c>
      <c r="B1821" s="1" t="s">
        <v>802</v>
      </c>
      <c r="C1821" s="1" t="s">
        <v>4206</v>
      </c>
      <c r="D1821" s="1" t="s">
        <v>644</v>
      </c>
      <c r="E1821" s="1" t="s">
        <v>674</v>
      </c>
      <c r="F1821" s="1" t="s">
        <v>4175</v>
      </c>
      <c r="G1821" s="1" t="s">
        <v>4176</v>
      </c>
      <c r="H1821">
        <v>2006</v>
      </c>
      <c r="I1821">
        <v>2006</v>
      </c>
      <c r="J1821">
        <f t="shared" si="56"/>
        <v>1</v>
      </c>
      <c r="K1821" s="1" t="s">
        <v>3665</v>
      </c>
      <c r="L1821" s="1" t="s">
        <v>649</v>
      </c>
      <c r="M1821">
        <f t="shared" si="57"/>
        <v>20</v>
      </c>
      <c r="N1821" t="s">
        <v>640</v>
      </c>
    </row>
    <row r="1822" spans="1:14" hidden="1" x14ac:dyDescent="0.3">
      <c r="A1822" s="1" t="s">
        <v>4207</v>
      </c>
      <c r="B1822" s="1" t="s">
        <v>802</v>
      </c>
      <c r="C1822" s="1" t="s">
        <v>4208</v>
      </c>
      <c r="D1822" s="1" t="s">
        <v>644</v>
      </c>
      <c r="E1822" s="1" t="s">
        <v>674</v>
      </c>
      <c r="F1822" s="1" t="s">
        <v>4175</v>
      </c>
      <c r="G1822" s="1" t="s">
        <v>4176</v>
      </c>
      <c r="H1822">
        <v>2012</v>
      </c>
      <c r="I1822">
        <v>2012</v>
      </c>
      <c r="J1822">
        <f t="shared" si="56"/>
        <v>1</v>
      </c>
      <c r="K1822" s="1" t="s">
        <v>3665</v>
      </c>
      <c r="L1822" s="1" t="s">
        <v>798</v>
      </c>
      <c r="M1822">
        <f t="shared" si="57"/>
        <v>14</v>
      </c>
      <c r="N1822" t="s">
        <v>650</v>
      </c>
    </row>
    <row r="1823" spans="1:14" hidden="1" x14ac:dyDescent="0.3">
      <c r="A1823" s="1" t="s">
        <v>4207</v>
      </c>
      <c r="B1823" s="1" t="s">
        <v>802</v>
      </c>
      <c r="C1823" s="1" t="s">
        <v>4208</v>
      </c>
      <c r="D1823" s="1" t="s">
        <v>644</v>
      </c>
      <c r="E1823" s="1" t="s">
        <v>674</v>
      </c>
      <c r="F1823" s="1" t="s">
        <v>4175</v>
      </c>
      <c r="G1823" s="1" t="s">
        <v>4176</v>
      </c>
      <c r="H1823">
        <v>2012</v>
      </c>
      <c r="I1823">
        <v>2012</v>
      </c>
      <c r="J1823">
        <f t="shared" si="56"/>
        <v>1</v>
      </c>
      <c r="K1823" s="1" t="s">
        <v>3665</v>
      </c>
      <c r="L1823" s="1" t="s">
        <v>798</v>
      </c>
      <c r="M1823">
        <f t="shared" si="57"/>
        <v>14</v>
      </c>
      <c r="N1823" t="s">
        <v>650</v>
      </c>
    </row>
    <row r="1824" spans="1:14" hidden="1" x14ac:dyDescent="0.3">
      <c r="A1824" s="1" t="s">
        <v>4209</v>
      </c>
      <c r="B1824" s="1" t="s">
        <v>802</v>
      </c>
      <c r="C1824" s="1" t="s">
        <v>4210</v>
      </c>
      <c r="D1824" s="1" t="s">
        <v>644</v>
      </c>
      <c r="E1824" s="1" t="s">
        <v>674</v>
      </c>
      <c r="F1824" s="1" t="s">
        <v>4175</v>
      </c>
      <c r="G1824" s="1" t="s">
        <v>4176</v>
      </c>
      <c r="H1824">
        <v>2002</v>
      </c>
      <c r="I1824">
        <v>2002</v>
      </c>
      <c r="J1824">
        <f t="shared" si="56"/>
        <v>1</v>
      </c>
      <c r="K1824" s="1" t="s">
        <v>3665</v>
      </c>
      <c r="L1824" s="1" t="s">
        <v>649</v>
      </c>
      <c r="M1824">
        <f t="shared" si="57"/>
        <v>24</v>
      </c>
      <c r="N1824" t="s">
        <v>640</v>
      </c>
    </row>
    <row r="1825" spans="1:14" hidden="1" x14ac:dyDescent="0.3">
      <c r="A1825" s="1" t="s">
        <v>4209</v>
      </c>
      <c r="B1825" s="1" t="s">
        <v>802</v>
      </c>
      <c r="C1825" s="1" t="s">
        <v>4210</v>
      </c>
      <c r="D1825" s="1" t="s">
        <v>644</v>
      </c>
      <c r="E1825" s="1" t="s">
        <v>674</v>
      </c>
      <c r="F1825" s="1" t="s">
        <v>4175</v>
      </c>
      <c r="G1825" s="1" t="s">
        <v>4176</v>
      </c>
      <c r="H1825">
        <v>2002</v>
      </c>
      <c r="I1825">
        <v>2002</v>
      </c>
      <c r="J1825">
        <f t="shared" si="56"/>
        <v>1</v>
      </c>
      <c r="K1825" s="1" t="s">
        <v>3665</v>
      </c>
      <c r="L1825" s="1" t="s">
        <v>649</v>
      </c>
      <c r="M1825">
        <f t="shared" si="57"/>
        <v>24</v>
      </c>
      <c r="N1825" t="s">
        <v>640</v>
      </c>
    </row>
    <row r="1826" spans="1:14" hidden="1" x14ac:dyDescent="0.3">
      <c r="A1826" s="1" t="s">
        <v>4211</v>
      </c>
      <c r="B1826" s="1" t="s">
        <v>802</v>
      </c>
      <c r="C1826" s="1" t="s">
        <v>4212</v>
      </c>
      <c r="D1826" s="1" t="s">
        <v>644</v>
      </c>
      <c r="E1826" s="1" t="s">
        <v>674</v>
      </c>
      <c r="F1826" s="1" t="s">
        <v>4175</v>
      </c>
      <c r="G1826" s="1" t="s">
        <v>4176</v>
      </c>
      <c r="H1826">
        <v>2007</v>
      </c>
      <c r="I1826">
        <v>2007</v>
      </c>
      <c r="J1826">
        <f t="shared" si="56"/>
        <v>1</v>
      </c>
      <c r="K1826" s="1" t="s">
        <v>3665</v>
      </c>
      <c r="L1826" s="1" t="s">
        <v>649</v>
      </c>
      <c r="M1826">
        <f t="shared" si="57"/>
        <v>19</v>
      </c>
      <c r="N1826" t="s">
        <v>650</v>
      </c>
    </row>
    <row r="1827" spans="1:14" hidden="1" x14ac:dyDescent="0.3">
      <c r="A1827" s="1" t="s">
        <v>4211</v>
      </c>
      <c r="B1827" s="1" t="s">
        <v>802</v>
      </c>
      <c r="C1827" s="1" t="s">
        <v>4212</v>
      </c>
      <c r="D1827" s="1" t="s">
        <v>644</v>
      </c>
      <c r="E1827" s="1" t="s">
        <v>674</v>
      </c>
      <c r="F1827" s="1" t="s">
        <v>4175</v>
      </c>
      <c r="G1827" s="1" t="s">
        <v>4176</v>
      </c>
      <c r="H1827">
        <v>2007</v>
      </c>
      <c r="I1827">
        <v>2007</v>
      </c>
      <c r="J1827">
        <f t="shared" si="56"/>
        <v>1</v>
      </c>
      <c r="K1827" s="1" t="s">
        <v>3665</v>
      </c>
      <c r="L1827" s="1" t="s">
        <v>649</v>
      </c>
      <c r="M1827">
        <f t="shared" si="57"/>
        <v>19</v>
      </c>
      <c r="N1827" t="s">
        <v>650</v>
      </c>
    </row>
    <row r="1828" spans="1:14" hidden="1" x14ac:dyDescent="0.3">
      <c r="A1828" t="s">
        <v>11003</v>
      </c>
      <c r="B1828" t="s">
        <v>10996</v>
      </c>
      <c r="C1828" t="s">
        <v>11004</v>
      </c>
      <c r="E1828" s="1" t="e">
        <v>#N/A</v>
      </c>
      <c r="F1828" s="1" t="e">
        <v>#N/A</v>
      </c>
      <c r="G1828" s="1" t="s">
        <v>12774</v>
      </c>
      <c r="H1828">
        <v>2024</v>
      </c>
      <c r="I1828">
        <v>2026</v>
      </c>
      <c r="J1828">
        <f t="shared" si="56"/>
        <v>3</v>
      </c>
      <c r="K1828" s="1" t="s">
        <v>5909</v>
      </c>
      <c r="L1828" s="1" t="s">
        <v>666</v>
      </c>
      <c r="M1828">
        <f t="shared" si="57"/>
        <v>0</v>
      </c>
    </row>
    <row r="1829" spans="1:14" hidden="1" x14ac:dyDescent="0.3">
      <c r="A1829" t="s">
        <v>11005</v>
      </c>
      <c r="B1829" t="s">
        <v>10996</v>
      </c>
      <c r="C1829" t="s">
        <v>11006</v>
      </c>
      <c r="E1829" s="1" t="e">
        <v>#N/A</v>
      </c>
      <c r="F1829" s="1" t="e">
        <v>#N/A</v>
      </c>
      <c r="G1829" s="1" t="s">
        <v>12774</v>
      </c>
      <c r="H1829">
        <v>2024</v>
      </c>
      <c r="I1829">
        <v>2026</v>
      </c>
      <c r="J1829">
        <f t="shared" si="56"/>
        <v>3</v>
      </c>
      <c r="K1829" s="1" t="s">
        <v>5909</v>
      </c>
      <c r="L1829" s="1" t="s">
        <v>666</v>
      </c>
      <c r="M1829">
        <f t="shared" si="57"/>
        <v>0</v>
      </c>
    </row>
    <row r="1830" spans="1:14" hidden="1" x14ac:dyDescent="0.3">
      <c r="A1830" t="s">
        <v>11007</v>
      </c>
      <c r="B1830" t="s">
        <v>10996</v>
      </c>
      <c r="C1830" t="s">
        <v>11008</v>
      </c>
      <c r="E1830" s="1" t="e">
        <v>#N/A</v>
      </c>
      <c r="F1830" s="1" t="e">
        <v>#N/A</v>
      </c>
      <c r="G1830" s="1" t="s">
        <v>12774</v>
      </c>
      <c r="H1830">
        <v>2024</v>
      </c>
      <c r="I1830">
        <v>2026</v>
      </c>
      <c r="J1830">
        <f t="shared" si="56"/>
        <v>3</v>
      </c>
      <c r="K1830" s="1" t="s">
        <v>5909</v>
      </c>
      <c r="L1830" s="1" t="s">
        <v>666</v>
      </c>
      <c r="M1830">
        <f t="shared" si="57"/>
        <v>0</v>
      </c>
    </row>
    <row r="1831" spans="1:14" hidden="1" x14ac:dyDescent="0.3">
      <c r="A1831" s="1" t="s">
        <v>4213</v>
      </c>
      <c r="B1831" s="1" t="s">
        <v>672</v>
      </c>
      <c r="C1831" s="1" t="s">
        <v>4214</v>
      </c>
      <c r="D1831" s="1" t="s">
        <v>746</v>
      </c>
      <c r="E1831" s="1" t="s">
        <v>747</v>
      </c>
      <c r="F1831" s="1" t="s">
        <v>748</v>
      </c>
      <c r="G1831" s="1" t="s">
        <v>4215</v>
      </c>
      <c r="H1831">
        <v>2012</v>
      </c>
      <c r="I1831">
        <v>2014</v>
      </c>
      <c r="J1831">
        <f t="shared" si="56"/>
        <v>3</v>
      </c>
      <c r="K1831" s="1" t="s">
        <v>3665</v>
      </c>
      <c r="L1831" s="1" t="s">
        <v>798</v>
      </c>
      <c r="M1831">
        <f t="shared" si="57"/>
        <v>12</v>
      </c>
      <c r="N1831" t="s">
        <v>650</v>
      </c>
    </row>
    <row r="1832" spans="1:14" x14ac:dyDescent="0.3">
      <c r="A1832" s="1" t="s">
        <v>7528</v>
      </c>
      <c r="B1832" s="1" t="s">
        <v>672</v>
      </c>
      <c r="C1832" s="1" t="s">
        <v>7529</v>
      </c>
      <c r="D1832" s="1" t="s">
        <v>746</v>
      </c>
      <c r="E1832" s="1" t="s">
        <v>6076</v>
      </c>
      <c r="F1832" s="1" t="s">
        <v>6076</v>
      </c>
      <c r="G1832" s="1" t="s">
        <v>7530</v>
      </c>
      <c r="H1832">
        <v>2015</v>
      </c>
      <c r="I1832">
        <v>2017</v>
      </c>
      <c r="J1832">
        <f t="shared" si="56"/>
        <v>3</v>
      </c>
      <c r="K1832" s="1" t="s">
        <v>6076</v>
      </c>
      <c r="L1832" s="1" t="s">
        <v>6076</v>
      </c>
      <c r="M1832">
        <f t="shared" si="57"/>
        <v>9</v>
      </c>
      <c r="N1832" t="s">
        <v>650</v>
      </c>
    </row>
    <row r="1833" spans="1:14" x14ac:dyDescent="0.3">
      <c r="A1833" s="1" t="s">
        <v>7531</v>
      </c>
      <c r="B1833" s="1" t="s">
        <v>672</v>
      </c>
      <c r="C1833" s="1" t="s">
        <v>7532</v>
      </c>
      <c r="D1833" s="1" t="s">
        <v>746</v>
      </c>
      <c r="E1833" s="1" t="s">
        <v>6076</v>
      </c>
      <c r="F1833" s="1" t="s">
        <v>6076</v>
      </c>
      <c r="G1833" s="1" t="s">
        <v>7530</v>
      </c>
      <c r="H1833">
        <v>2015</v>
      </c>
      <c r="I1833">
        <v>2016</v>
      </c>
      <c r="J1833">
        <f t="shared" si="56"/>
        <v>2</v>
      </c>
      <c r="K1833" s="1" t="s">
        <v>6076</v>
      </c>
      <c r="L1833" s="1" t="s">
        <v>6076</v>
      </c>
      <c r="M1833">
        <f t="shared" si="57"/>
        <v>10</v>
      </c>
      <c r="N1833" t="s">
        <v>650</v>
      </c>
    </row>
    <row r="1834" spans="1:14" x14ac:dyDescent="0.3">
      <c r="A1834" s="1" t="s">
        <v>7533</v>
      </c>
      <c r="B1834" s="1" t="s">
        <v>672</v>
      </c>
      <c r="C1834" s="1" t="s">
        <v>7534</v>
      </c>
      <c r="D1834" s="1" t="s">
        <v>746</v>
      </c>
      <c r="E1834" s="1" t="s">
        <v>6076</v>
      </c>
      <c r="F1834" s="1" t="s">
        <v>6076</v>
      </c>
      <c r="G1834" s="1" t="s">
        <v>7530</v>
      </c>
      <c r="H1834">
        <v>2015</v>
      </c>
      <c r="I1834">
        <v>2016</v>
      </c>
      <c r="J1834">
        <f t="shared" si="56"/>
        <v>2</v>
      </c>
      <c r="K1834" s="1" t="s">
        <v>6076</v>
      </c>
      <c r="L1834" s="1" t="s">
        <v>6076</v>
      </c>
      <c r="M1834">
        <f t="shared" si="57"/>
        <v>10</v>
      </c>
      <c r="N1834" t="s">
        <v>650</v>
      </c>
    </row>
    <row r="1835" spans="1:14" x14ac:dyDescent="0.3">
      <c r="A1835" s="1" t="s">
        <v>7535</v>
      </c>
      <c r="B1835" s="1" t="s">
        <v>672</v>
      </c>
      <c r="C1835" s="1" t="s">
        <v>7536</v>
      </c>
      <c r="D1835" s="1" t="s">
        <v>746</v>
      </c>
      <c r="E1835" s="1" t="s">
        <v>6076</v>
      </c>
      <c r="F1835" s="1" t="s">
        <v>6076</v>
      </c>
      <c r="G1835" s="1" t="s">
        <v>7530</v>
      </c>
      <c r="H1835">
        <v>2012</v>
      </c>
      <c r="I1835">
        <v>2014</v>
      </c>
      <c r="J1835">
        <f t="shared" si="56"/>
        <v>3</v>
      </c>
      <c r="K1835" s="1" t="s">
        <v>6076</v>
      </c>
      <c r="L1835" s="1" t="s">
        <v>6076</v>
      </c>
      <c r="M1835">
        <f t="shared" si="57"/>
        <v>12</v>
      </c>
      <c r="N1835" t="s">
        <v>650</v>
      </c>
    </row>
    <row r="1836" spans="1:14" x14ac:dyDescent="0.3">
      <c r="A1836" s="1" t="s">
        <v>7537</v>
      </c>
      <c r="B1836" s="1" t="s">
        <v>672</v>
      </c>
      <c r="C1836" s="1" t="s">
        <v>7538</v>
      </c>
      <c r="D1836" s="1" t="s">
        <v>746</v>
      </c>
      <c r="E1836" s="1" t="s">
        <v>6076</v>
      </c>
      <c r="F1836" s="1" t="s">
        <v>6076</v>
      </c>
      <c r="G1836" s="1" t="s">
        <v>7530</v>
      </c>
      <c r="H1836">
        <v>2015</v>
      </c>
      <c r="I1836">
        <v>2016</v>
      </c>
      <c r="J1836">
        <f t="shared" si="56"/>
        <v>2</v>
      </c>
      <c r="K1836" s="1" t="s">
        <v>6076</v>
      </c>
      <c r="L1836" s="1" t="s">
        <v>6076</v>
      </c>
      <c r="M1836">
        <f t="shared" si="57"/>
        <v>10</v>
      </c>
      <c r="N1836" t="s">
        <v>650</v>
      </c>
    </row>
    <row r="1837" spans="1:14" x14ac:dyDescent="0.3">
      <c r="A1837" s="1" t="s">
        <v>7539</v>
      </c>
      <c r="B1837" s="1" t="s">
        <v>672</v>
      </c>
      <c r="C1837" s="1" t="s">
        <v>7540</v>
      </c>
      <c r="D1837" s="1" t="s">
        <v>746</v>
      </c>
      <c r="E1837" s="1" t="s">
        <v>6076</v>
      </c>
      <c r="F1837" s="1" t="s">
        <v>6076</v>
      </c>
      <c r="G1837" s="1" t="s">
        <v>7530</v>
      </c>
      <c r="H1837">
        <v>2015</v>
      </c>
      <c r="I1837">
        <v>2018</v>
      </c>
      <c r="J1837">
        <f t="shared" si="56"/>
        <v>4</v>
      </c>
      <c r="K1837" s="1" t="s">
        <v>6076</v>
      </c>
      <c r="L1837" s="1" t="s">
        <v>6076</v>
      </c>
      <c r="M1837">
        <f t="shared" si="57"/>
        <v>8</v>
      </c>
      <c r="N1837" t="s">
        <v>650</v>
      </c>
    </row>
    <row r="1838" spans="1:14" x14ac:dyDescent="0.3">
      <c r="A1838" s="1" t="s">
        <v>7541</v>
      </c>
      <c r="B1838" s="1" t="s">
        <v>672</v>
      </c>
      <c r="C1838" s="1" t="s">
        <v>7542</v>
      </c>
      <c r="D1838" s="1" t="s">
        <v>746</v>
      </c>
      <c r="E1838" s="1" t="s">
        <v>6076</v>
      </c>
      <c r="F1838" s="1" t="s">
        <v>6076</v>
      </c>
      <c r="G1838" s="1" t="s">
        <v>7530</v>
      </c>
      <c r="H1838">
        <v>2013</v>
      </c>
      <c r="I1838">
        <v>2014</v>
      </c>
      <c r="J1838">
        <f t="shared" si="56"/>
        <v>2</v>
      </c>
      <c r="K1838" s="1" t="s">
        <v>6076</v>
      </c>
      <c r="L1838" s="1" t="s">
        <v>6076</v>
      </c>
      <c r="M1838">
        <f t="shared" si="57"/>
        <v>12</v>
      </c>
      <c r="N1838" t="s">
        <v>650</v>
      </c>
    </row>
    <row r="1839" spans="1:14" hidden="1" x14ac:dyDescent="0.3">
      <c r="A1839" t="s">
        <v>11339</v>
      </c>
      <c r="B1839" t="s">
        <v>802</v>
      </c>
      <c r="C1839" t="s">
        <v>11340</v>
      </c>
      <c r="E1839" s="1" t="e">
        <v>#N/A</v>
      </c>
      <c r="F1839" s="1" t="e">
        <v>#N/A</v>
      </c>
      <c r="G1839" s="1" t="s">
        <v>12809</v>
      </c>
      <c r="H1839">
        <v>2023</v>
      </c>
      <c r="I1839">
        <v>2026</v>
      </c>
      <c r="J1839">
        <f t="shared" si="56"/>
        <v>4</v>
      </c>
      <c r="K1839" s="1" t="s">
        <v>4668</v>
      </c>
      <c r="L1839" s="1" t="s">
        <v>798</v>
      </c>
      <c r="M1839">
        <f t="shared" si="57"/>
        <v>0</v>
      </c>
    </row>
    <row r="1840" spans="1:14" x14ac:dyDescent="0.3">
      <c r="A1840" s="1" t="s">
        <v>7543</v>
      </c>
      <c r="B1840" s="1" t="s">
        <v>802</v>
      </c>
      <c r="C1840" s="1" t="s">
        <v>7544</v>
      </c>
      <c r="D1840" s="1" t="s">
        <v>644</v>
      </c>
      <c r="E1840" s="1" t="s">
        <v>6076</v>
      </c>
      <c r="F1840" s="1" t="s">
        <v>6076</v>
      </c>
      <c r="G1840" s="1" t="s">
        <v>5085</v>
      </c>
      <c r="H1840">
        <v>2003</v>
      </c>
      <c r="I1840">
        <v>2003</v>
      </c>
      <c r="J1840">
        <f t="shared" si="56"/>
        <v>1</v>
      </c>
      <c r="K1840" s="1" t="s">
        <v>6076</v>
      </c>
      <c r="L1840" s="1" t="s">
        <v>6076</v>
      </c>
      <c r="M1840">
        <f t="shared" si="57"/>
        <v>23</v>
      </c>
      <c r="N1840" t="s">
        <v>640</v>
      </c>
    </row>
    <row r="1841" spans="1:14" hidden="1" x14ac:dyDescent="0.3">
      <c r="A1841" s="1" t="s">
        <v>5083</v>
      </c>
      <c r="B1841" s="1" t="s">
        <v>802</v>
      </c>
      <c r="C1841" s="1" t="s">
        <v>5084</v>
      </c>
      <c r="D1841" s="1" t="s">
        <v>644</v>
      </c>
      <c r="E1841" s="1" t="s">
        <v>645</v>
      </c>
      <c r="F1841" s="1" t="s">
        <v>646</v>
      </c>
      <c r="G1841" s="1" t="s">
        <v>5085</v>
      </c>
      <c r="H1841">
        <v>2018</v>
      </c>
      <c r="I1841">
        <v>2021</v>
      </c>
      <c r="J1841">
        <f t="shared" si="56"/>
        <v>4</v>
      </c>
      <c r="K1841" s="1" t="s">
        <v>4668</v>
      </c>
      <c r="L1841" s="1" t="s">
        <v>798</v>
      </c>
      <c r="M1841">
        <f t="shared" si="57"/>
        <v>5</v>
      </c>
      <c r="N1841" t="s">
        <v>650</v>
      </c>
    </row>
    <row r="1842" spans="1:14" hidden="1" x14ac:dyDescent="0.3">
      <c r="A1842" s="1" t="s">
        <v>5086</v>
      </c>
      <c r="B1842" s="1" t="s">
        <v>802</v>
      </c>
      <c r="C1842" s="1" t="s">
        <v>5087</v>
      </c>
      <c r="D1842" s="1" t="s">
        <v>644</v>
      </c>
      <c r="E1842" s="1" t="s">
        <v>645</v>
      </c>
      <c r="F1842" s="1" t="s">
        <v>646</v>
      </c>
      <c r="G1842" s="1" t="s">
        <v>5085</v>
      </c>
      <c r="H1842">
        <v>2010</v>
      </c>
      <c r="I1842">
        <v>2010</v>
      </c>
      <c r="J1842">
        <f t="shared" si="56"/>
        <v>1</v>
      </c>
      <c r="K1842" s="1" t="s">
        <v>4668</v>
      </c>
      <c r="L1842" s="1" t="s">
        <v>798</v>
      </c>
      <c r="M1842">
        <f t="shared" si="57"/>
        <v>16</v>
      </c>
      <c r="N1842" t="s">
        <v>650</v>
      </c>
    </row>
    <row r="1843" spans="1:14" hidden="1" x14ac:dyDescent="0.3">
      <c r="A1843" s="1" t="s">
        <v>5088</v>
      </c>
      <c r="B1843" s="1" t="s">
        <v>802</v>
      </c>
      <c r="C1843" s="1" t="s">
        <v>5089</v>
      </c>
      <c r="D1843" s="1" t="s">
        <v>644</v>
      </c>
      <c r="E1843" s="1" t="s">
        <v>645</v>
      </c>
      <c r="F1843" s="1" t="s">
        <v>646</v>
      </c>
      <c r="G1843" s="1" t="s">
        <v>5085</v>
      </c>
      <c r="H1843">
        <v>2010</v>
      </c>
      <c r="I1843">
        <v>2017</v>
      </c>
      <c r="J1843">
        <f t="shared" si="56"/>
        <v>8</v>
      </c>
      <c r="K1843" s="1" t="s">
        <v>4668</v>
      </c>
      <c r="L1843" s="1" t="s">
        <v>798</v>
      </c>
      <c r="M1843">
        <f t="shared" si="57"/>
        <v>9</v>
      </c>
      <c r="N1843" t="s">
        <v>650</v>
      </c>
    </row>
    <row r="1844" spans="1:14" hidden="1" x14ac:dyDescent="0.3">
      <c r="A1844" s="1" t="s">
        <v>5090</v>
      </c>
      <c r="B1844" s="1" t="s">
        <v>802</v>
      </c>
      <c r="C1844" s="1" t="s">
        <v>5091</v>
      </c>
      <c r="D1844" s="1" t="s">
        <v>644</v>
      </c>
      <c r="E1844" s="1" t="s">
        <v>645</v>
      </c>
      <c r="F1844" s="1" t="s">
        <v>646</v>
      </c>
      <c r="G1844" s="1" t="s">
        <v>5085</v>
      </c>
      <c r="H1844">
        <v>2018</v>
      </c>
      <c r="I1844">
        <v>2018</v>
      </c>
      <c r="J1844">
        <f t="shared" si="56"/>
        <v>1</v>
      </c>
      <c r="K1844" s="1" t="s">
        <v>4668</v>
      </c>
      <c r="L1844" s="1" t="s">
        <v>798</v>
      </c>
      <c r="M1844">
        <f t="shared" si="57"/>
        <v>8</v>
      </c>
      <c r="N1844" t="s">
        <v>650</v>
      </c>
    </row>
    <row r="1845" spans="1:14" hidden="1" x14ac:dyDescent="0.3">
      <c r="A1845" s="1" t="s">
        <v>5092</v>
      </c>
      <c r="B1845" s="1" t="s">
        <v>802</v>
      </c>
      <c r="C1845" s="1" t="s">
        <v>5093</v>
      </c>
      <c r="D1845" s="1" t="s">
        <v>644</v>
      </c>
      <c r="E1845" s="1" t="s">
        <v>645</v>
      </c>
      <c r="F1845" s="1" t="s">
        <v>646</v>
      </c>
      <c r="G1845" s="1" t="s">
        <v>5085</v>
      </c>
      <c r="H1845">
        <v>2018</v>
      </c>
      <c r="I1845">
        <v>2018</v>
      </c>
      <c r="J1845">
        <f t="shared" si="56"/>
        <v>1</v>
      </c>
      <c r="K1845" s="1" t="s">
        <v>4668</v>
      </c>
      <c r="L1845" s="1" t="s">
        <v>798</v>
      </c>
      <c r="M1845">
        <f t="shared" si="57"/>
        <v>8</v>
      </c>
      <c r="N1845" t="s">
        <v>650</v>
      </c>
    </row>
    <row r="1846" spans="1:14" hidden="1" x14ac:dyDescent="0.3">
      <c r="A1846" s="1" t="s">
        <v>5094</v>
      </c>
      <c r="B1846" s="1" t="s">
        <v>802</v>
      </c>
      <c r="C1846" s="1" t="s">
        <v>5095</v>
      </c>
      <c r="D1846" s="1" t="s">
        <v>644</v>
      </c>
      <c r="E1846" s="1" t="s">
        <v>645</v>
      </c>
      <c r="F1846" s="1" t="s">
        <v>646</v>
      </c>
      <c r="G1846" s="1" t="s">
        <v>5085</v>
      </c>
      <c r="H1846">
        <v>2010</v>
      </c>
      <c r="I1846">
        <v>2010</v>
      </c>
      <c r="J1846">
        <f t="shared" si="56"/>
        <v>1</v>
      </c>
      <c r="K1846" s="1" t="s">
        <v>4668</v>
      </c>
      <c r="L1846" s="1" t="s">
        <v>798</v>
      </c>
      <c r="M1846">
        <f t="shared" si="57"/>
        <v>16</v>
      </c>
      <c r="N1846" t="s">
        <v>650</v>
      </c>
    </row>
    <row r="1847" spans="1:14" x14ac:dyDescent="0.3">
      <c r="A1847" s="1" t="s">
        <v>7545</v>
      </c>
      <c r="B1847" s="1" t="s">
        <v>802</v>
      </c>
      <c r="C1847" s="1" t="s">
        <v>7546</v>
      </c>
      <c r="D1847" s="1" t="s">
        <v>644</v>
      </c>
      <c r="E1847" s="1" t="s">
        <v>6076</v>
      </c>
      <c r="F1847" s="1" t="s">
        <v>6076</v>
      </c>
      <c r="G1847" s="1" t="s">
        <v>5085</v>
      </c>
      <c r="H1847">
        <v>1998</v>
      </c>
      <c r="I1847">
        <v>1998</v>
      </c>
      <c r="J1847">
        <f t="shared" si="56"/>
        <v>1</v>
      </c>
      <c r="K1847" s="1" t="s">
        <v>6076</v>
      </c>
      <c r="L1847" s="1" t="s">
        <v>6076</v>
      </c>
      <c r="M1847">
        <f t="shared" si="57"/>
        <v>28</v>
      </c>
      <c r="N1847" t="s">
        <v>640</v>
      </c>
    </row>
    <row r="1848" spans="1:14" x14ac:dyDescent="0.3">
      <c r="A1848" s="1" t="s">
        <v>7547</v>
      </c>
      <c r="B1848" s="1" t="s">
        <v>802</v>
      </c>
      <c r="C1848" s="1" t="s">
        <v>7548</v>
      </c>
      <c r="D1848" s="1" t="s">
        <v>644</v>
      </c>
      <c r="E1848" s="1" t="s">
        <v>6076</v>
      </c>
      <c r="F1848" s="1" t="s">
        <v>6076</v>
      </c>
      <c r="G1848" s="1" t="s">
        <v>5085</v>
      </c>
      <c r="H1848">
        <v>1998</v>
      </c>
      <c r="I1848">
        <v>1998</v>
      </c>
      <c r="J1848">
        <f t="shared" si="56"/>
        <v>1</v>
      </c>
      <c r="K1848" s="1" t="s">
        <v>6076</v>
      </c>
      <c r="L1848" s="1" t="s">
        <v>6076</v>
      </c>
      <c r="M1848">
        <f t="shared" si="57"/>
        <v>28</v>
      </c>
      <c r="N1848" t="s">
        <v>640</v>
      </c>
    </row>
    <row r="1849" spans="1:14" hidden="1" x14ac:dyDescent="0.3">
      <c r="A1849" s="1" t="s">
        <v>5096</v>
      </c>
      <c r="B1849" s="1" t="s">
        <v>802</v>
      </c>
      <c r="C1849" s="1" t="s">
        <v>5097</v>
      </c>
      <c r="D1849" s="1" t="s">
        <v>644</v>
      </c>
      <c r="E1849" s="1" t="s">
        <v>645</v>
      </c>
      <c r="F1849" s="1" t="s">
        <v>646</v>
      </c>
      <c r="G1849" s="1" t="s">
        <v>5085</v>
      </c>
      <c r="H1849">
        <v>2018</v>
      </c>
      <c r="I1849">
        <v>2018</v>
      </c>
      <c r="J1849">
        <f t="shared" si="56"/>
        <v>1</v>
      </c>
      <c r="K1849" s="1" t="s">
        <v>4668</v>
      </c>
      <c r="L1849" s="1" t="s">
        <v>798</v>
      </c>
      <c r="M1849">
        <f t="shared" si="57"/>
        <v>8</v>
      </c>
      <c r="N1849" t="s">
        <v>650</v>
      </c>
    </row>
    <row r="1850" spans="1:14" x14ac:dyDescent="0.3">
      <c r="A1850" s="1" t="s">
        <v>7549</v>
      </c>
      <c r="B1850" s="1" t="s">
        <v>802</v>
      </c>
      <c r="C1850" s="1" t="s">
        <v>7550</v>
      </c>
      <c r="D1850" s="1" t="s">
        <v>644</v>
      </c>
      <c r="E1850" s="1" t="s">
        <v>6076</v>
      </c>
      <c r="F1850" s="1" t="s">
        <v>6076</v>
      </c>
      <c r="G1850" s="1" t="s">
        <v>5085</v>
      </c>
      <c r="H1850">
        <v>1998</v>
      </c>
      <c r="I1850">
        <v>1998</v>
      </c>
      <c r="J1850">
        <f t="shared" si="56"/>
        <v>1</v>
      </c>
      <c r="K1850" s="1" t="s">
        <v>6076</v>
      </c>
      <c r="L1850" s="1" t="s">
        <v>6076</v>
      </c>
      <c r="M1850">
        <f t="shared" si="57"/>
        <v>28</v>
      </c>
      <c r="N1850" t="s">
        <v>640</v>
      </c>
    </row>
    <row r="1851" spans="1:14" hidden="1" x14ac:dyDescent="0.3">
      <c r="A1851" s="1" t="s">
        <v>5098</v>
      </c>
      <c r="B1851" s="1" t="s">
        <v>802</v>
      </c>
      <c r="C1851" s="1" t="s">
        <v>5099</v>
      </c>
      <c r="D1851" s="1" t="s">
        <v>644</v>
      </c>
      <c r="E1851" s="1" t="s">
        <v>645</v>
      </c>
      <c r="F1851" s="1" t="s">
        <v>646</v>
      </c>
      <c r="G1851" s="1" t="s">
        <v>5085</v>
      </c>
      <c r="H1851">
        <v>2010</v>
      </c>
      <c r="I1851">
        <v>2010</v>
      </c>
      <c r="J1851">
        <f t="shared" si="56"/>
        <v>1</v>
      </c>
      <c r="K1851" s="1" t="s">
        <v>4668</v>
      </c>
      <c r="L1851" s="1" t="s">
        <v>798</v>
      </c>
      <c r="M1851">
        <f t="shared" si="57"/>
        <v>16</v>
      </c>
      <c r="N1851" t="s">
        <v>650</v>
      </c>
    </row>
    <row r="1852" spans="1:14" hidden="1" x14ac:dyDescent="0.3">
      <c r="A1852" s="1" t="s">
        <v>5100</v>
      </c>
      <c r="B1852" s="1" t="s">
        <v>802</v>
      </c>
      <c r="C1852" s="1" t="s">
        <v>5101</v>
      </c>
      <c r="D1852" s="1" t="s">
        <v>644</v>
      </c>
      <c r="E1852" s="1" t="s">
        <v>645</v>
      </c>
      <c r="F1852" s="1" t="s">
        <v>646</v>
      </c>
      <c r="G1852" s="1" t="s">
        <v>5085</v>
      </c>
      <c r="H1852">
        <v>2010</v>
      </c>
      <c r="I1852">
        <v>2010</v>
      </c>
      <c r="J1852">
        <f t="shared" si="56"/>
        <v>1</v>
      </c>
      <c r="K1852" s="1" t="s">
        <v>4668</v>
      </c>
      <c r="L1852" s="1" t="s">
        <v>798</v>
      </c>
      <c r="M1852">
        <f t="shared" si="57"/>
        <v>16</v>
      </c>
      <c r="N1852" t="s">
        <v>650</v>
      </c>
    </row>
    <row r="1853" spans="1:14" hidden="1" x14ac:dyDescent="0.3">
      <c r="A1853" t="s">
        <v>11341</v>
      </c>
      <c r="B1853" t="s">
        <v>802</v>
      </c>
      <c r="C1853" t="s">
        <v>11342</v>
      </c>
      <c r="E1853" s="1" t="e">
        <v>#N/A</v>
      </c>
      <c r="F1853" s="1" t="e">
        <v>#N/A</v>
      </c>
      <c r="G1853" s="1" t="s">
        <v>12809</v>
      </c>
      <c r="H1853">
        <v>2023</v>
      </c>
      <c r="I1853">
        <v>2026</v>
      </c>
      <c r="J1853">
        <f t="shared" si="56"/>
        <v>4</v>
      </c>
      <c r="K1853" s="1" t="s">
        <v>4668</v>
      </c>
      <c r="L1853" s="1" t="s">
        <v>798</v>
      </c>
      <c r="M1853">
        <f t="shared" si="57"/>
        <v>0</v>
      </c>
    </row>
    <row r="1854" spans="1:14" hidden="1" x14ac:dyDescent="0.3">
      <c r="A1854" s="1" t="s">
        <v>5102</v>
      </c>
      <c r="B1854" s="1" t="s">
        <v>802</v>
      </c>
      <c r="C1854" s="1" t="s">
        <v>5103</v>
      </c>
      <c r="D1854" s="1" t="s">
        <v>644</v>
      </c>
      <c r="E1854" s="1" t="s">
        <v>645</v>
      </c>
      <c r="F1854" s="1" t="s">
        <v>646</v>
      </c>
      <c r="G1854" s="1" t="s">
        <v>5085</v>
      </c>
      <c r="H1854">
        <v>2018</v>
      </c>
      <c r="I1854">
        <v>2018</v>
      </c>
      <c r="J1854">
        <f t="shared" si="56"/>
        <v>1</v>
      </c>
      <c r="K1854" s="1" t="s">
        <v>4668</v>
      </c>
      <c r="L1854" s="1" t="s">
        <v>798</v>
      </c>
      <c r="M1854">
        <f t="shared" si="57"/>
        <v>8</v>
      </c>
      <c r="N1854" t="s">
        <v>650</v>
      </c>
    </row>
    <row r="1855" spans="1:14" x14ac:dyDescent="0.3">
      <c r="A1855" s="1" t="s">
        <v>7551</v>
      </c>
      <c r="B1855" s="1" t="s">
        <v>802</v>
      </c>
      <c r="C1855" s="1" t="s">
        <v>7552</v>
      </c>
      <c r="D1855" s="1" t="s">
        <v>644</v>
      </c>
      <c r="E1855" s="1" t="s">
        <v>6076</v>
      </c>
      <c r="F1855" s="1" t="s">
        <v>6076</v>
      </c>
      <c r="G1855" s="1" t="s">
        <v>5085</v>
      </c>
      <c r="H1855">
        <v>1998</v>
      </c>
      <c r="I1855">
        <v>1998</v>
      </c>
      <c r="J1855">
        <f t="shared" si="56"/>
        <v>1</v>
      </c>
      <c r="K1855" s="1" t="s">
        <v>6076</v>
      </c>
      <c r="L1855" s="1" t="s">
        <v>6076</v>
      </c>
      <c r="M1855">
        <f t="shared" si="57"/>
        <v>28</v>
      </c>
      <c r="N1855" t="s">
        <v>640</v>
      </c>
    </row>
    <row r="1856" spans="1:14" hidden="1" x14ac:dyDescent="0.3">
      <c r="A1856" s="1" t="s">
        <v>5104</v>
      </c>
      <c r="B1856" s="1" t="s">
        <v>802</v>
      </c>
      <c r="C1856" s="1" t="s">
        <v>5105</v>
      </c>
      <c r="D1856" s="1" t="s">
        <v>644</v>
      </c>
      <c r="E1856" s="1" t="s">
        <v>645</v>
      </c>
      <c r="F1856" s="1" t="s">
        <v>646</v>
      </c>
      <c r="G1856" s="1" t="s">
        <v>5085</v>
      </c>
      <c r="H1856">
        <v>2017</v>
      </c>
      <c r="I1856">
        <v>2019</v>
      </c>
      <c r="J1856">
        <f t="shared" si="56"/>
        <v>3</v>
      </c>
      <c r="K1856" s="1" t="s">
        <v>4668</v>
      </c>
      <c r="L1856" s="1" t="s">
        <v>798</v>
      </c>
      <c r="M1856">
        <f t="shared" si="57"/>
        <v>7</v>
      </c>
      <c r="N1856" t="s">
        <v>650</v>
      </c>
    </row>
    <row r="1857" spans="1:14" hidden="1" x14ac:dyDescent="0.3">
      <c r="A1857" t="s">
        <v>11343</v>
      </c>
      <c r="B1857" t="s">
        <v>802</v>
      </c>
      <c r="C1857" t="s">
        <v>11344</v>
      </c>
      <c r="E1857" s="1" t="e">
        <v>#N/A</v>
      </c>
      <c r="F1857" s="1" t="e">
        <v>#N/A</v>
      </c>
      <c r="G1857" s="1" t="s">
        <v>12809</v>
      </c>
      <c r="H1857">
        <v>2023</v>
      </c>
      <c r="I1857">
        <v>2026</v>
      </c>
      <c r="J1857">
        <f t="shared" si="56"/>
        <v>4</v>
      </c>
      <c r="K1857" s="1" t="s">
        <v>4668</v>
      </c>
      <c r="L1857" s="1" t="s">
        <v>798</v>
      </c>
      <c r="M1857">
        <f t="shared" si="57"/>
        <v>0</v>
      </c>
    </row>
    <row r="1858" spans="1:14" hidden="1" x14ac:dyDescent="0.3">
      <c r="A1858" t="s">
        <v>11345</v>
      </c>
      <c r="B1858" t="s">
        <v>802</v>
      </c>
      <c r="C1858" t="s">
        <v>11346</v>
      </c>
      <c r="E1858" s="1" t="e">
        <v>#N/A</v>
      </c>
      <c r="F1858" s="1" t="e">
        <v>#N/A</v>
      </c>
      <c r="G1858" s="1" t="s">
        <v>12809</v>
      </c>
      <c r="H1858">
        <v>2025</v>
      </c>
      <c r="I1858">
        <v>2026</v>
      </c>
      <c r="J1858">
        <f t="shared" si="56"/>
        <v>2</v>
      </c>
      <c r="K1858" s="1" t="s">
        <v>4668</v>
      </c>
      <c r="L1858" s="1" t="s">
        <v>798</v>
      </c>
      <c r="M1858">
        <f t="shared" si="57"/>
        <v>0</v>
      </c>
    </row>
    <row r="1859" spans="1:14" hidden="1" x14ac:dyDescent="0.3">
      <c r="A1859" t="s">
        <v>11347</v>
      </c>
      <c r="B1859" t="s">
        <v>802</v>
      </c>
      <c r="C1859" t="s">
        <v>11348</v>
      </c>
      <c r="E1859" s="1" t="e">
        <v>#N/A</v>
      </c>
      <c r="F1859" s="1" t="e">
        <v>#N/A</v>
      </c>
      <c r="G1859" s="1" t="s">
        <v>12809</v>
      </c>
      <c r="H1859">
        <v>2023</v>
      </c>
      <c r="I1859">
        <v>2026</v>
      </c>
      <c r="J1859">
        <f t="shared" si="56"/>
        <v>4</v>
      </c>
      <c r="K1859" s="1" t="s">
        <v>4668</v>
      </c>
      <c r="L1859" s="1" t="s">
        <v>798</v>
      </c>
      <c r="M1859">
        <f t="shared" si="57"/>
        <v>0</v>
      </c>
    </row>
    <row r="1860" spans="1:14" hidden="1" x14ac:dyDescent="0.3">
      <c r="A1860" t="s">
        <v>11349</v>
      </c>
      <c r="B1860" t="s">
        <v>802</v>
      </c>
      <c r="C1860" t="s">
        <v>11350</v>
      </c>
      <c r="E1860" s="1" t="e">
        <v>#N/A</v>
      </c>
      <c r="F1860" s="1" t="e">
        <v>#N/A</v>
      </c>
      <c r="G1860" s="1" t="s">
        <v>12809</v>
      </c>
      <c r="H1860">
        <v>2025</v>
      </c>
      <c r="I1860">
        <v>2026</v>
      </c>
      <c r="J1860">
        <f t="shared" si="56"/>
        <v>2</v>
      </c>
      <c r="K1860" s="1" t="s">
        <v>4668</v>
      </c>
      <c r="L1860" s="1" t="s">
        <v>798</v>
      </c>
      <c r="M1860">
        <f t="shared" si="57"/>
        <v>0</v>
      </c>
    </row>
    <row r="1861" spans="1:14" hidden="1" x14ac:dyDescent="0.3">
      <c r="A1861" s="1" t="s">
        <v>5106</v>
      </c>
      <c r="B1861" s="1" t="s">
        <v>802</v>
      </c>
      <c r="C1861" s="1" t="s">
        <v>5107</v>
      </c>
      <c r="D1861" s="1" t="s">
        <v>644</v>
      </c>
      <c r="E1861" s="1" t="s">
        <v>645</v>
      </c>
      <c r="F1861" s="1" t="s">
        <v>646</v>
      </c>
      <c r="G1861" s="1" t="s">
        <v>5085</v>
      </c>
      <c r="H1861">
        <v>2018</v>
      </c>
      <c r="I1861">
        <v>2018</v>
      </c>
      <c r="J1861">
        <f t="shared" si="56"/>
        <v>1</v>
      </c>
      <c r="K1861" s="1" t="s">
        <v>4668</v>
      </c>
      <c r="L1861" s="1" t="s">
        <v>798</v>
      </c>
      <c r="M1861">
        <f t="shared" si="57"/>
        <v>8</v>
      </c>
      <c r="N1861" t="s">
        <v>650</v>
      </c>
    </row>
    <row r="1862" spans="1:14" hidden="1" x14ac:dyDescent="0.3">
      <c r="A1862" s="1" t="s">
        <v>5108</v>
      </c>
      <c r="B1862" s="1" t="s">
        <v>802</v>
      </c>
      <c r="C1862" s="1" t="s">
        <v>5109</v>
      </c>
      <c r="D1862" s="1" t="s">
        <v>644</v>
      </c>
      <c r="E1862" s="1" t="s">
        <v>645</v>
      </c>
      <c r="F1862" s="1" t="s">
        <v>646</v>
      </c>
      <c r="G1862" s="1" t="s">
        <v>5085</v>
      </c>
      <c r="H1862">
        <v>2010</v>
      </c>
      <c r="I1862">
        <v>2010</v>
      </c>
      <c r="J1862">
        <f t="shared" ref="J1862:J1925" si="58">1+(I1862-H1862)</f>
        <v>1</v>
      </c>
      <c r="K1862" s="1" t="s">
        <v>4668</v>
      </c>
      <c r="L1862" s="1" t="s">
        <v>798</v>
      </c>
      <c r="M1862">
        <f t="shared" ref="M1862:M1925" si="59">IF(I1862=0,0,$B$2-I1862)</f>
        <v>16</v>
      </c>
      <c r="N1862" t="s">
        <v>650</v>
      </c>
    </row>
    <row r="1863" spans="1:14" hidden="1" x14ac:dyDescent="0.3">
      <c r="A1863" s="1" t="s">
        <v>5110</v>
      </c>
      <c r="B1863" s="1" t="s">
        <v>802</v>
      </c>
      <c r="C1863" s="1" t="s">
        <v>5111</v>
      </c>
      <c r="D1863" s="1" t="s">
        <v>644</v>
      </c>
      <c r="E1863" s="1" t="s">
        <v>645</v>
      </c>
      <c r="F1863" s="1" t="s">
        <v>646</v>
      </c>
      <c r="G1863" s="1" t="s">
        <v>5085</v>
      </c>
      <c r="H1863">
        <v>2010</v>
      </c>
      <c r="I1863">
        <v>2010</v>
      </c>
      <c r="J1863">
        <f t="shared" si="58"/>
        <v>1</v>
      </c>
      <c r="K1863" s="1" t="s">
        <v>4668</v>
      </c>
      <c r="L1863" s="1" t="s">
        <v>798</v>
      </c>
      <c r="M1863">
        <f t="shared" si="59"/>
        <v>16</v>
      </c>
      <c r="N1863" t="s">
        <v>650</v>
      </c>
    </row>
    <row r="1864" spans="1:14" x14ac:dyDescent="0.3">
      <c r="A1864" s="1" t="s">
        <v>7553</v>
      </c>
      <c r="B1864" s="1" t="s">
        <v>802</v>
      </c>
      <c r="C1864" s="1" t="s">
        <v>7554</v>
      </c>
      <c r="D1864" s="1" t="s">
        <v>644</v>
      </c>
      <c r="E1864" s="1" t="s">
        <v>6076</v>
      </c>
      <c r="F1864" s="1" t="s">
        <v>6076</v>
      </c>
      <c r="G1864" s="1" t="s">
        <v>5085</v>
      </c>
      <c r="H1864">
        <v>1998</v>
      </c>
      <c r="I1864">
        <v>1998</v>
      </c>
      <c r="J1864">
        <f t="shared" si="58"/>
        <v>1</v>
      </c>
      <c r="K1864" s="1" t="s">
        <v>6076</v>
      </c>
      <c r="L1864" s="1" t="s">
        <v>6076</v>
      </c>
      <c r="M1864">
        <f t="shared" si="59"/>
        <v>28</v>
      </c>
      <c r="N1864" t="s">
        <v>640</v>
      </c>
    </row>
    <row r="1865" spans="1:14" x14ac:dyDescent="0.3">
      <c r="A1865" s="1" t="s">
        <v>7555</v>
      </c>
      <c r="B1865" s="1" t="s">
        <v>802</v>
      </c>
      <c r="C1865" s="1" t="s">
        <v>7556</v>
      </c>
      <c r="D1865" s="1" t="s">
        <v>644</v>
      </c>
      <c r="E1865" s="1" t="s">
        <v>6076</v>
      </c>
      <c r="F1865" s="1" t="s">
        <v>6076</v>
      </c>
      <c r="G1865" s="1" t="s">
        <v>5085</v>
      </c>
      <c r="H1865">
        <v>1998</v>
      </c>
      <c r="I1865">
        <v>1998</v>
      </c>
      <c r="J1865">
        <f t="shared" si="58"/>
        <v>1</v>
      </c>
      <c r="K1865" s="1" t="s">
        <v>6076</v>
      </c>
      <c r="L1865" s="1" t="s">
        <v>6076</v>
      </c>
      <c r="M1865">
        <f t="shared" si="59"/>
        <v>28</v>
      </c>
      <c r="N1865" t="s">
        <v>640</v>
      </c>
    </row>
    <row r="1866" spans="1:14" hidden="1" x14ac:dyDescent="0.3">
      <c r="A1866" s="1" t="s">
        <v>5112</v>
      </c>
      <c r="B1866" s="1" t="s">
        <v>802</v>
      </c>
      <c r="C1866" s="1" t="s">
        <v>5113</v>
      </c>
      <c r="D1866" s="1" t="s">
        <v>644</v>
      </c>
      <c r="E1866" s="1" t="s">
        <v>645</v>
      </c>
      <c r="F1866" s="1" t="s">
        <v>646</v>
      </c>
      <c r="G1866" s="1" t="s">
        <v>5085</v>
      </c>
      <c r="H1866">
        <v>2018</v>
      </c>
      <c r="I1866">
        <v>2018</v>
      </c>
      <c r="J1866">
        <f t="shared" si="58"/>
        <v>1</v>
      </c>
      <c r="K1866" s="1" t="s">
        <v>4668</v>
      </c>
      <c r="L1866" s="1" t="s">
        <v>798</v>
      </c>
      <c r="M1866">
        <f t="shared" si="59"/>
        <v>8</v>
      </c>
      <c r="N1866" t="s">
        <v>650</v>
      </c>
    </row>
    <row r="1867" spans="1:14" x14ac:dyDescent="0.3">
      <c r="A1867" s="1" t="s">
        <v>7557</v>
      </c>
      <c r="B1867" s="1" t="s">
        <v>802</v>
      </c>
      <c r="C1867" s="1" t="s">
        <v>7558</v>
      </c>
      <c r="D1867" s="1" t="s">
        <v>644</v>
      </c>
      <c r="E1867" s="1" t="s">
        <v>6076</v>
      </c>
      <c r="F1867" s="1" t="s">
        <v>6076</v>
      </c>
      <c r="G1867" s="1" t="s">
        <v>5085</v>
      </c>
      <c r="H1867">
        <v>2001</v>
      </c>
      <c r="I1867">
        <v>2001</v>
      </c>
      <c r="J1867">
        <f t="shared" si="58"/>
        <v>1</v>
      </c>
      <c r="K1867" s="1" t="s">
        <v>6076</v>
      </c>
      <c r="L1867" s="1" t="s">
        <v>6076</v>
      </c>
      <c r="M1867">
        <f t="shared" si="59"/>
        <v>25</v>
      </c>
      <c r="N1867" t="s">
        <v>640</v>
      </c>
    </row>
    <row r="1868" spans="1:14" x14ac:dyDescent="0.3">
      <c r="A1868" s="1" t="s">
        <v>7559</v>
      </c>
      <c r="B1868" s="1" t="s">
        <v>802</v>
      </c>
      <c r="C1868" s="1" t="s">
        <v>7560</v>
      </c>
      <c r="D1868" s="1" t="s">
        <v>644</v>
      </c>
      <c r="E1868" s="1" t="s">
        <v>6076</v>
      </c>
      <c r="F1868" s="1" t="s">
        <v>6076</v>
      </c>
      <c r="G1868" s="1" t="s">
        <v>5085</v>
      </c>
      <c r="H1868">
        <v>2001</v>
      </c>
      <c r="I1868">
        <v>2001</v>
      </c>
      <c r="J1868">
        <f t="shared" si="58"/>
        <v>1</v>
      </c>
      <c r="K1868" s="1" t="s">
        <v>6076</v>
      </c>
      <c r="L1868" s="1" t="s">
        <v>6076</v>
      </c>
      <c r="M1868">
        <f t="shared" si="59"/>
        <v>25</v>
      </c>
      <c r="N1868" t="s">
        <v>640</v>
      </c>
    </row>
    <row r="1869" spans="1:14" hidden="1" x14ac:dyDescent="0.3">
      <c r="A1869" t="s">
        <v>11351</v>
      </c>
      <c r="B1869" t="s">
        <v>802</v>
      </c>
      <c r="C1869" t="s">
        <v>11352</v>
      </c>
      <c r="E1869" s="1" t="e">
        <v>#N/A</v>
      </c>
      <c r="F1869" s="1" t="e">
        <v>#N/A</v>
      </c>
      <c r="G1869" s="1" t="s">
        <v>12809</v>
      </c>
      <c r="H1869">
        <v>2023</v>
      </c>
      <c r="I1869">
        <v>2026</v>
      </c>
      <c r="J1869">
        <f t="shared" si="58"/>
        <v>4</v>
      </c>
      <c r="K1869" s="1" t="s">
        <v>4668</v>
      </c>
      <c r="L1869" s="1" t="s">
        <v>798</v>
      </c>
      <c r="M1869">
        <f t="shared" si="59"/>
        <v>0</v>
      </c>
    </row>
    <row r="1870" spans="1:14" hidden="1" x14ac:dyDescent="0.3">
      <c r="A1870" s="1" t="s">
        <v>5114</v>
      </c>
      <c r="B1870" s="1" t="s">
        <v>802</v>
      </c>
      <c r="C1870" s="1" t="s">
        <v>5115</v>
      </c>
      <c r="D1870" s="1" t="s">
        <v>644</v>
      </c>
      <c r="E1870" s="1" t="s">
        <v>645</v>
      </c>
      <c r="F1870" s="1" t="s">
        <v>646</v>
      </c>
      <c r="G1870" s="1" t="s">
        <v>5085</v>
      </c>
      <c r="H1870">
        <v>2018</v>
      </c>
      <c r="I1870">
        <v>2018</v>
      </c>
      <c r="J1870">
        <f t="shared" si="58"/>
        <v>1</v>
      </c>
      <c r="K1870" s="1" t="s">
        <v>4668</v>
      </c>
      <c r="L1870" s="1" t="s">
        <v>798</v>
      </c>
      <c r="M1870">
        <f t="shared" si="59"/>
        <v>8</v>
      </c>
      <c r="N1870" t="s">
        <v>650</v>
      </c>
    </row>
    <row r="1871" spans="1:14" hidden="1" x14ac:dyDescent="0.3">
      <c r="A1871" s="1" t="s">
        <v>5116</v>
      </c>
      <c r="B1871" s="1" t="s">
        <v>802</v>
      </c>
      <c r="C1871" s="1" t="s">
        <v>5117</v>
      </c>
      <c r="D1871" s="1" t="s">
        <v>644</v>
      </c>
      <c r="E1871" s="1" t="s">
        <v>645</v>
      </c>
      <c r="F1871" s="1" t="s">
        <v>646</v>
      </c>
      <c r="G1871" s="1" t="s">
        <v>5085</v>
      </c>
      <c r="H1871">
        <v>2010</v>
      </c>
      <c r="I1871">
        <v>2010</v>
      </c>
      <c r="J1871">
        <f t="shared" si="58"/>
        <v>1</v>
      </c>
      <c r="K1871" s="1" t="s">
        <v>4668</v>
      </c>
      <c r="L1871" s="1" t="s">
        <v>798</v>
      </c>
      <c r="M1871">
        <f t="shared" si="59"/>
        <v>16</v>
      </c>
      <c r="N1871" t="s">
        <v>650</v>
      </c>
    </row>
    <row r="1872" spans="1:14" x14ac:dyDescent="0.3">
      <c r="A1872" s="1" t="s">
        <v>7561</v>
      </c>
      <c r="B1872" s="1" t="s">
        <v>802</v>
      </c>
      <c r="C1872" s="1" t="s">
        <v>7562</v>
      </c>
      <c r="D1872" s="1" t="s">
        <v>644</v>
      </c>
      <c r="E1872" s="1" t="s">
        <v>6076</v>
      </c>
      <c r="F1872" s="1" t="s">
        <v>6076</v>
      </c>
      <c r="G1872" s="1" t="s">
        <v>5085</v>
      </c>
      <c r="H1872">
        <v>1998</v>
      </c>
      <c r="I1872">
        <v>1998</v>
      </c>
      <c r="J1872">
        <f t="shared" si="58"/>
        <v>1</v>
      </c>
      <c r="K1872" s="1" t="s">
        <v>6076</v>
      </c>
      <c r="L1872" s="1" t="s">
        <v>6076</v>
      </c>
      <c r="M1872">
        <f t="shared" si="59"/>
        <v>28</v>
      </c>
      <c r="N1872" t="s">
        <v>640</v>
      </c>
    </row>
    <row r="1873" spans="1:14" hidden="1" x14ac:dyDescent="0.3">
      <c r="A1873" s="1" t="s">
        <v>5118</v>
      </c>
      <c r="B1873" s="1" t="s">
        <v>802</v>
      </c>
      <c r="C1873" s="1" t="s">
        <v>5119</v>
      </c>
      <c r="D1873" s="1" t="s">
        <v>644</v>
      </c>
      <c r="E1873" s="1" t="s">
        <v>645</v>
      </c>
      <c r="F1873" s="1" t="s">
        <v>646</v>
      </c>
      <c r="G1873" s="1" t="s">
        <v>5085</v>
      </c>
      <c r="H1873">
        <v>2018</v>
      </c>
      <c r="I1873">
        <v>2018</v>
      </c>
      <c r="J1873">
        <f t="shared" si="58"/>
        <v>1</v>
      </c>
      <c r="K1873" s="1" t="s">
        <v>4668</v>
      </c>
      <c r="L1873" s="1" t="s">
        <v>798</v>
      </c>
      <c r="M1873">
        <f t="shared" si="59"/>
        <v>8</v>
      </c>
      <c r="N1873" t="s">
        <v>650</v>
      </c>
    </row>
    <row r="1874" spans="1:14" x14ac:dyDescent="0.3">
      <c r="A1874" s="1" t="s">
        <v>7563</v>
      </c>
      <c r="B1874" s="1" t="s">
        <v>802</v>
      </c>
      <c r="C1874" s="1" t="s">
        <v>7564</v>
      </c>
      <c r="D1874" s="1" t="s">
        <v>644</v>
      </c>
      <c r="E1874" s="1" t="s">
        <v>6076</v>
      </c>
      <c r="F1874" s="1" t="s">
        <v>6076</v>
      </c>
      <c r="G1874" s="1" t="s">
        <v>5085</v>
      </c>
      <c r="H1874">
        <v>1970</v>
      </c>
      <c r="I1874">
        <v>1970</v>
      </c>
      <c r="J1874">
        <f t="shared" si="58"/>
        <v>1</v>
      </c>
      <c r="K1874" s="1" t="s">
        <v>6076</v>
      </c>
      <c r="L1874" s="1" t="s">
        <v>6076</v>
      </c>
      <c r="M1874">
        <f t="shared" si="59"/>
        <v>56</v>
      </c>
      <c r="N1874" t="s">
        <v>640</v>
      </c>
    </row>
    <row r="1875" spans="1:14" x14ac:dyDescent="0.3">
      <c r="A1875" s="1" t="s">
        <v>7565</v>
      </c>
      <c r="B1875" s="1" t="s">
        <v>802</v>
      </c>
      <c r="C1875" s="1" t="s">
        <v>7566</v>
      </c>
      <c r="D1875" s="1" t="s">
        <v>644</v>
      </c>
      <c r="E1875" s="1" t="s">
        <v>6076</v>
      </c>
      <c r="F1875" s="1" t="s">
        <v>6076</v>
      </c>
      <c r="G1875" s="1" t="s">
        <v>5085</v>
      </c>
      <c r="H1875">
        <v>1998</v>
      </c>
      <c r="I1875">
        <v>1998</v>
      </c>
      <c r="J1875">
        <f t="shared" si="58"/>
        <v>1</v>
      </c>
      <c r="K1875" s="1" t="s">
        <v>6076</v>
      </c>
      <c r="L1875" s="1" t="s">
        <v>6076</v>
      </c>
      <c r="M1875">
        <f t="shared" si="59"/>
        <v>28</v>
      </c>
      <c r="N1875" t="s">
        <v>640</v>
      </c>
    </row>
    <row r="1876" spans="1:14" x14ac:dyDescent="0.3">
      <c r="A1876" s="1" t="s">
        <v>7567</v>
      </c>
      <c r="B1876" s="1" t="s">
        <v>802</v>
      </c>
      <c r="C1876" s="1" t="s">
        <v>7568</v>
      </c>
      <c r="D1876" s="1" t="s">
        <v>644</v>
      </c>
      <c r="E1876" s="1" t="s">
        <v>6076</v>
      </c>
      <c r="F1876" s="1" t="s">
        <v>6076</v>
      </c>
      <c r="G1876" s="1" t="s">
        <v>5085</v>
      </c>
      <c r="H1876">
        <v>1998</v>
      </c>
      <c r="I1876">
        <v>1998</v>
      </c>
      <c r="J1876">
        <f t="shared" si="58"/>
        <v>1</v>
      </c>
      <c r="K1876" s="1" t="s">
        <v>6076</v>
      </c>
      <c r="L1876" s="1" t="s">
        <v>6076</v>
      </c>
      <c r="M1876">
        <f t="shared" si="59"/>
        <v>28</v>
      </c>
      <c r="N1876" t="s">
        <v>640</v>
      </c>
    </row>
    <row r="1877" spans="1:14" x14ac:dyDescent="0.3">
      <c r="A1877" s="1" t="s">
        <v>7569</v>
      </c>
      <c r="B1877" s="1" t="s">
        <v>802</v>
      </c>
      <c r="C1877" s="1" t="s">
        <v>7570</v>
      </c>
      <c r="D1877" s="1" t="s">
        <v>644</v>
      </c>
      <c r="E1877" s="1" t="s">
        <v>6076</v>
      </c>
      <c r="F1877" s="1" t="s">
        <v>6076</v>
      </c>
      <c r="G1877" s="1" t="s">
        <v>5085</v>
      </c>
      <c r="H1877">
        <v>1997</v>
      </c>
      <c r="I1877">
        <v>1997</v>
      </c>
      <c r="J1877">
        <f t="shared" si="58"/>
        <v>1</v>
      </c>
      <c r="K1877" s="1" t="s">
        <v>6076</v>
      </c>
      <c r="L1877" s="1" t="s">
        <v>6076</v>
      </c>
      <c r="M1877">
        <f t="shared" si="59"/>
        <v>29</v>
      </c>
      <c r="N1877" t="s">
        <v>640</v>
      </c>
    </row>
    <row r="1878" spans="1:14" x14ac:dyDescent="0.3">
      <c r="A1878" s="1" t="s">
        <v>7571</v>
      </c>
      <c r="B1878" s="1" t="s">
        <v>802</v>
      </c>
      <c r="C1878" s="1" t="s">
        <v>7572</v>
      </c>
      <c r="D1878" s="1" t="s">
        <v>738</v>
      </c>
      <c r="E1878" s="1" t="s">
        <v>6076</v>
      </c>
      <c r="F1878" s="1" t="s">
        <v>6076</v>
      </c>
      <c r="G1878" s="1" t="s">
        <v>7573</v>
      </c>
      <c r="H1878">
        <v>1994</v>
      </c>
      <c r="I1878">
        <v>1994</v>
      </c>
      <c r="J1878">
        <f t="shared" si="58"/>
        <v>1</v>
      </c>
      <c r="K1878" s="1" t="s">
        <v>6076</v>
      </c>
      <c r="L1878" s="1" t="s">
        <v>6076</v>
      </c>
      <c r="M1878">
        <f t="shared" si="59"/>
        <v>32</v>
      </c>
      <c r="N1878" t="s">
        <v>640</v>
      </c>
    </row>
    <row r="1879" spans="1:14" x14ac:dyDescent="0.3">
      <c r="A1879" t="s">
        <v>11277</v>
      </c>
      <c r="B1879" t="s">
        <v>10998</v>
      </c>
      <c r="C1879" t="s">
        <v>11278</v>
      </c>
      <c r="E1879" s="1" t="s">
        <v>6076</v>
      </c>
      <c r="F1879" s="1" t="s">
        <v>6076</v>
      </c>
      <c r="G1879" s="1" t="s">
        <v>12804</v>
      </c>
      <c r="H1879">
        <v>2013</v>
      </c>
      <c r="I1879">
        <v>2013</v>
      </c>
      <c r="J1879">
        <f t="shared" si="58"/>
        <v>1</v>
      </c>
      <c r="K1879" s="1" t="s">
        <v>6076</v>
      </c>
      <c r="L1879" s="1" t="s">
        <v>6076</v>
      </c>
      <c r="M1879">
        <f t="shared" si="59"/>
        <v>13</v>
      </c>
    </row>
    <row r="1880" spans="1:14" x14ac:dyDescent="0.3">
      <c r="A1880" t="s">
        <v>11279</v>
      </c>
      <c r="B1880" t="s">
        <v>10998</v>
      </c>
      <c r="C1880" t="s">
        <v>11280</v>
      </c>
      <c r="E1880" s="1" t="s">
        <v>6076</v>
      </c>
      <c r="F1880" s="1" t="s">
        <v>6076</v>
      </c>
      <c r="G1880" s="1" t="s">
        <v>12804</v>
      </c>
      <c r="H1880">
        <v>2012</v>
      </c>
      <c r="I1880">
        <v>2013</v>
      </c>
      <c r="J1880">
        <f t="shared" si="58"/>
        <v>2</v>
      </c>
      <c r="K1880" s="1" t="s">
        <v>6076</v>
      </c>
      <c r="L1880" s="1" t="s">
        <v>6076</v>
      </c>
      <c r="M1880">
        <f t="shared" si="59"/>
        <v>13</v>
      </c>
    </row>
    <row r="1881" spans="1:14" x14ac:dyDescent="0.3">
      <c r="A1881" t="s">
        <v>11281</v>
      </c>
      <c r="B1881" t="s">
        <v>10998</v>
      </c>
      <c r="C1881" t="s">
        <v>11282</v>
      </c>
      <c r="E1881" s="1" t="s">
        <v>6076</v>
      </c>
      <c r="F1881" s="1" t="s">
        <v>6076</v>
      </c>
      <c r="G1881" s="1" t="s">
        <v>12804</v>
      </c>
      <c r="H1881">
        <v>2015</v>
      </c>
      <c r="I1881">
        <v>2015</v>
      </c>
      <c r="J1881">
        <f t="shared" si="58"/>
        <v>1</v>
      </c>
      <c r="K1881" s="1" t="s">
        <v>6076</v>
      </c>
      <c r="L1881" s="1" t="s">
        <v>6076</v>
      </c>
      <c r="M1881">
        <f t="shared" si="59"/>
        <v>11</v>
      </c>
    </row>
    <row r="1882" spans="1:14" hidden="1" x14ac:dyDescent="0.3">
      <c r="A1882" s="1" t="s">
        <v>4216</v>
      </c>
      <c r="B1882" s="1" t="s">
        <v>12756</v>
      </c>
      <c r="C1882" s="1" t="s">
        <v>4217</v>
      </c>
      <c r="D1882" s="1" t="s">
        <v>1395</v>
      </c>
      <c r="E1882" s="1" t="s">
        <v>1396</v>
      </c>
      <c r="F1882" s="1" t="s">
        <v>1397</v>
      </c>
      <c r="G1882" s="1" t="s">
        <v>1398</v>
      </c>
      <c r="H1882">
        <v>2012</v>
      </c>
      <c r="I1882">
        <v>2016</v>
      </c>
      <c r="J1882">
        <f t="shared" si="58"/>
        <v>5</v>
      </c>
      <c r="K1882" s="1" t="s">
        <v>3665</v>
      </c>
      <c r="L1882" s="1" t="s">
        <v>666</v>
      </c>
      <c r="M1882">
        <f t="shared" si="59"/>
        <v>10</v>
      </c>
      <c r="N1882" t="s">
        <v>650</v>
      </c>
    </row>
    <row r="1883" spans="1:14" hidden="1" x14ac:dyDescent="0.3">
      <c r="A1883" s="1" t="s">
        <v>4218</v>
      </c>
      <c r="B1883" s="1" t="s">
        <v>12756</v>
      </c>
      <c r="C1883" s="1" t="s">
        <v>4219</v>
      </c>
      <c r="D1883" s="1" t="s">
        <v>1395</v>
      </c>
      <c r="E1883" s="1" t="s">
        <v>1396</v>
      </c>
      <c r="F1883" s="1" t="s">
        <v>1397</v>
      </c>
      <c r="G1883" s="1" t="s">
        <v>1398</v>
      </c>
      <c r="H1883">
        <v>2018</v>
      </c>
      <c r="I1883">
        <v>2022</v>
      </c>
      <c r="J1883">
        <f t="shared" si="58"/>
        <v>5</v>
      </c>
      <c r="K1883" s="1" t="s">
        <v>3665</v>
      </c>
      <c r="L1883" s="1" t="s">
        <v>798</v>
      </c>
      <c r="M1883">
        <f t="shared" si="59"/>
        <v>4</v>
      </c>
      <c r="N1883" t="s">
        <v>650</v>
      </c>
    </row>
    <row r="1884" spans="1:14" hidden="1" x14ac:dyDescent="0.3">
      <c r="A1884" s="1" t="s">
        <v>4220</v>
      </c>
      <c r="B1884" s="1" t="s">
        <v>12756</v>
      </c>
      <c r="C1884" s="1" t="s">
        <v>4221</v>
      </c>
      <c r="D1884" s="1" t="s">
        <v>1395</v>
      </c>
      <c r="E1884" s="1" t="s">
        <v>1396</v>
      </c>
      <c r="F1884" s="1" t="s">
        <v>1397</v>
      </c>
      <c r="G1884" s="1" t="s">
        <v>1398</v>
      </c>
      <c r="H1884">
        <v>2016</v>
      </c>
      <c r="I1884">
        <v>2018</v>
      </c>
      <c r="J1884">
        <f t="shared" si="58"/>
        <v>3</v>
      </c>
      <c r="K1884" s="1" t="s">
        <v>3665</v>
      </c>
      <c r="L1884" s="1" t="s">
        <v>666</v>
      </c>
      <c r="M1884">
        <f t="shared" si="59"/>
        <v>8</v>
      </c>
      <c r="N1884" t="s">
        <v>650</v>
      </c>
    </row>
    <row r="1885" spans="1:14" hidden="1" x14ac:dyDescent="0.3">
      <c r="A1885" s="1" t="s">
        <v>4222</v>
      </c>
      <c r="B1885" s="1" t="s">
        <v>12756</v>
      </c>
      <c r="C1885" s="1" t="s">
        <v>4223</v>
      </c>
      <c r="D1885" s="1" t="s">
        <v>1395</v>
      </c>
      <c r="E1885" s="1" t="s">
        <v>1396</v>
      </c>
      <c r="F1885" s="1" t="s">
        <v>1397</v>
      </c>
      <c r="G1885" s="1" t="s">
        <v>1398</v>
      </c>
      <c r="H1885">
        <v>2017</v>
      </c>
      <c r="I1885">
        <v>2018</v>
      </c>
      <c r="J1885">
        <f t="shared" si="58"/>
        <v>2</v>
      </c>
      <c r="K1885" s="1" t="s">
        <v>3665</v>
      </c>
      <c r="L1885" s="1" t="s">
        <v>666</v>
      </c>
      <c r="M1885">
        <f t="shared" si="59"/>
        <v>8</v>
      </c>
      <c r="N1885" t="s">
        <v>650</v>
      </c>
    </row>
    <row r="1886" spans="1:14" hidden="1" x14ac:dyDescent="0.3">
      <c r="A1886" s="1" t="s">
        <v>4224</v>
      </c>
      <c r="B1886" s="1" t="s">
        <v>12756</v>
      </c>
      <c r="C1886" s="1" t="s">
        <v>4225</v>
      </c>
      <c r="D1886" s="1" t="s">
        <v>1395</v>
      </c>
      <c r="E1886" s="1" t="s">
        <v>1396</v>
      </c>
      <c r="F1886" s="1" t="s">
        <v>1397</v>
      </c>
      <c r="G1886" s="1" t="s">
        <v>1398</v>
      </c>
      <c r="H1886">
        <v>2016</v>
      </c>
      <c r="I1886">
        <v>2018</v>
      </c>
      <c r="J1886">
        <f t="shared" si="58"/>
        <v>3</v>
      </c>
      <c r="K1886" s="1" t="s">
        <v>3665</v>
      </c>
      <c r="L1886" s="1" t="s">
        <v>666</v>
      </c>
      <c r="M1886">
        <f t="shared" si="59"/>
        <v>8</v>
      </c>
      <c r="N1886" t="s">
        <v>650</v>
      </c>
    </row>
    <row r="1887" spans="1:14" hidden="1" x14ac:dyDescent="0.3">
      <c r="A1887" s="1" t="s">
        <v>4226</v>
      </c>
      <c r="B1887" s="1" t="s">
        <v>12756</v>
      </c>
      <c r="C1887" s="1" t="s">
        <v>4227</v>
      </c>
      <c r="D1887" s="1" t="s">
        <v>1395</v>
      </c>
      <c r="E1887" s="1" t="s">
        <v>1396</v>
      </c>
      <c r="F1887" s="1" t="s">
        <v>1397</v>
      </c>
      <c r="G1887" s="1" t="s">
        <v>1398</v>
      </c>
      <c r="H1887">
        <v>2012</v>
      </c>
      <c r="I1887">
        <v>2020</v>
      </c>
      <c r="J1887">
        <f t="shared" si="58"/>
        <v>9</v>
      </c>
      <c r="K1887" s="1" t="s">
        <v>3665</v>
      </c>
      <c r="L1887" s="1" t="s">
        <v>666</v>
      </c>
      <c r="M1887">
        <f t="shared" si="59"/>
        <v>6</v>
      </c>
      <c r="N1887" t="s">
        <v>650</v>
      </c>
    </row>
    <row r="1888" spans="1:14" hidden="1" x14ac:dyDescent="0.3">
      <c r="A1888" s="1" t="s">
        <v>4228</v>
      </c>
      <c r="B1888" s="1" t="s">
        <v>12756</v>
      </c>
      <c r="C1888" s="1" t="s">
        <v>4229</v>
      </c>
      <c r="D1888" s="1" t="s">
        <v>1395</v>
      </c>
      <c r="E1888" s="1" t="s">
        <v>1396</v>
      </c>
      <c r="F1888" s="1" t="s">
        <v>1397</v>
      </c>
      <c r="G1888" s="1" t="s">
        <v>1398</v>
      </c>
      <c r="H1888">
        <v>2018</v>
      </c>
      <c r="I1888">
        <v>2020</v>
      </c>
      <c r="J1888">
        <f t="shared" si="58"/>
        <v>3</v>
      </c>
      <c r="K1888" s="1" t="s">
        <v>3665</v>
      </c>
      <c r="L1888" s="1" t="s">
        <v>666</v>
      </c>
      <c r="M1888">
        <f t="shared" si="59"/>
        <v>6</v>
      </c>
      <c r="N1888" t="s">
        <v>650</v>
      </c>
    </row>
    <row r="1889" spans="1:14" hidden="1" x14ac:dyDescent="0.3">
      <c r="A1889" s="1" t="s">
        <v>4230</v>
      </c>
      <c r="B1889" s="1" t="s">
        <v>12756</v>
      </c>
      <c r="C1889" s="1" t="s">
        <v>4231</v>
      </c>
      <c r="D1889" s="1" t="s">
        <v>1395</v>
      </c>
      <c r="E1889" s="1" t="s">
        <v>1396</v>
      </c>
      <c r="F1889" s="1" t="s">
        <v>1397</v>
      </c>
      <c r="G1889" s="1" t="s">
        <v>1398</v>
      </c>
      <c r="H1889">
        <v>2012</v>
      </c>
      <c r="I1889">
        <v>2020</v>
      </c>
      <c r="J1889">
        <f t="shared" si="58"/>
        <v>9</v>
      </c>
      <c r="K1889" s="1" t="s">
        <v>3665</v>
      </c>
      <c r="L1889" s="1" t="s">
        <v>666</v>
      </c>
      <c r="M1889">
        <f t="shared" si="59"/>
        <v>6</v>
      </c>
      <c r="N1889" t="s">
        <v>650</v>
      </c>
    </row>
    <row r="1890" spans="1:14" hidden="1" x14ac:dyDescent="0.3">
      <c r="A1890" s="1" t="s">
        <v>4232</v>
      </c>
      <c r="B1890" s="1" t="s">
        <v>12756</v>
      </c>
      <c r="C1890" s="1" t="s">
        <v>4233</v>
      </c>
      <c r="D1890" s="1" t="s">
        <v>1395</v>
      </c>
      <c r="E1890" s="1" t="s">
        <v>1396</v>
      </c>
      <c r="F1890" s="1" t="s">
        <v>1397</v>
      </c>
      <c r="G1890" s="1" t="s">
        <v>1398</v>
      </c>
      <c r="H1890">
        <v>2012</v>
      </c>
      <c r="I1890">
        <v>2019</v>
      </c>
      <c r="J1890">
        <f t="shared" si="58"/>
        <v>8</v>
      </c>
      <c r="K1890" s="1" t="s">
        <v>3665</v>
      </c>
      <c r="L1890" s="1" t="s">
        <v>666</v>
      </c>
      <c r="M1890">
        <f t="shared" si="59"/>
        <v>7</v>
      </c>
      <c r="N1890" t="s">
        <v>650</v>
      </c>
    </row>
    <row r="1891" spans="1:14" hidden="1" x14ac:dyDescent="0.3">
      <c r="A1891" s="1" t="s">
        <v>4234</v>
      </c>
      <c r="B1891" s="1" t="s">
        <v>12756</v>
      </c>
      <c r="C1891" s="1" t="s">
        <v>4235</v>
      </c>
      <c r="D1891" s="1" t="s">
        <v>1395</v>
      </c>
      <c r="E1891" s="1" t="s">
        <v>1396</v>
      </c>
      <c r="F1891" s="1" t="s">
        <v>1397</v>
      </c>
      <c r="G1891" s="1" t="s">
        <v>1398</v>
      </c>
      <c r="H1891">
        <v>2012</v>
      </c>
      <c r="I1891">
        <v>2020</v>
      </c>
      <c r="J1891">
        <f t="shared" si="58"/>
        <v>9</v>
      </c>
      <c r="K1891" s="1" t="s">
        <v>3665</v>
      </c>
      <c r="L1891" s="1" t="s">
        <v>666</v>
      </c>
      <c r="M1891">
        <f t="shared" si="59"/>
        <v>6</v>
      </c>
      <c r="N1891" t="s">
        <v>650</v>
      </c>
    </row>
    <row r="1892" spans="1:14" hidden="1" x14ac:dyDescent="0.3">
      <c r="A1892" s="1" t="s">
        <v>1393</v>
      </c>
      <c r="B1892" s="1" t="s">
        <v>12756</v>
      </c>
      <c r="C1892" s="1" t="s">
        <v>1394</v>
      </c>
      <c r="D1892" s="1" t="s">
        <v>1395</v>
      </c>
      <c r="E1892" s="1" t="s">
        <v>1396</v>
      </c>
      <c r="F1892" s="1" t="s">
        <v>1397</v>
      </c>
      <c r="G1892" s="1" t="s">
        <v>1398</v>
      </c>
      <c r="H1892">
        <v>2018</v>
      </c>
      <c r="I1892">
        <v>2020</v>
      </c>
      <c r="J1892">
        <f t="shared" si="58"/>
        <v>3</v>
      </c>
      <c r="K1892" s="1" t="s">
        <v>741</v>
      </c>
      <c r="L1892" s="1" t="s">
        <v>666</v>
      </c>
      <c r="M1892">
        <f t="shared" si="59"/>
        <v>6</v>
      </c>
      <c r="N1892" t="s">
        <v>650</v>
      </c>
    </row>
    <row r="1893" spans="1:14" hidden="1" x14ac:dyDescent="0.3">
      <c r="A1893" s="1" t="s">
        <v>4236</v>
      </c>
      <c r="B1893" s="1" t="s">
        <v>12756</v>
      </c>
      <c r="C1893" s="1" t="s">
        <v>4237</v>
      </c>
      <c r="D1893" s="1" t="s">
        <v>1395</v>
      </c>
      <c r="E1893" s="1" t="s">
        <v>1396</v>
      </c>
      <c r="F1893" s="1" t="s">
        <v>1397</v>
      </c>
      <c r="G1893" s="1" t="s">
        <v>1398</v>
      </c>
      <c r="H1893">
        <v>2012</v>
      </c>
      <c r="I1893">
        <v>2016</v>
      </c>
      <c r="J1893">
        <f t="shared" si="58"/>
        <v>5</v>
      </c>
      <c r="K1893" s="1" t="s">
        <v>3665</v>
      </c>
      <c r="L1893" s="1" t="s">
        <v>666</v>
      </c>
      <c r="M1893">
        <f t="shared" si="59"/>
        <v>10</v>
      </c>
      <c r="N1893" t="s">
        <v>650</v>
      </c>
    </row>
    <row r="1894" spans="1:14" hidden="1" x14ac:dyDescent="0.3">
      <c r="A1894" s="1" t="s">
        <v>4238</v>
      </c>
      <c r="B1894" s="1" t="s">
        <v>12756</v>
      </c>
      <c r="C1894" s="1" t="s">
        <v>4239</v>
      </c>
      <c r="D1894" s="1" t="s">
        <v>1395</v>
      </c>
      <c r="E1894" s="1" t="s">
        <v>1396</v>
      </c>
      <c r="F1894" s="1" t="s">
        <v>1397</v>
      </c>
      <c r="G1894" s="1" t="s">
        <v>1398</v>
      </c>
      <c r="H1894">
        <v>2020</v>
      </c>
      <c r="I1894">
        <v>2020</v>
      </c>
      <c r="J1894">
        <f t="shared" si="58"/>
        <v>1</v>
      </c>
      <c r="K1894" s="1" t="s">
        <v>3665</v>
      </c>
      <c r="L1894" s="1" t="s">
        <v>666</v>
      </c>
      <c r="M1894">
        <f t="shared" si="59"/>
        <v>6</v>
      </c>
      <c r="N1894" t="s">
        <v>650</v>
      </c>
    </row>
    <row r="1895" spans="1:14" hidden="1" x14ac:dyDescent="0.3">
      <c r="A1895" s="1" t="s">
        <v>4240</v>
      </c>
      <c r="B1895" s="1" t="s">
        <v>12756</v>
      </c>
      <c r="C1895" s="1" t="s">
        <v>4241</v>
      </c>
      <c r="D1895" s="1" t="s">
        <v>1395</v>
      </c>
      <c r="E1895" s="1" t="s">
        <v>1396</v>
      </c>
      <c r="F1895" s="1" t="s">
        <v>1397</v>
      </c>
      <c r="G1895" s="1" t="s">
        <v>1398</v>
      </c>
      <c r="H1895">
        <v>2020</v>
      </c>
      <c r="I1895">
        <v>2020</v>
      </c>
      <c r="J1895">
        <f t="shared" si="58"/>
        <v>1</v>
      </c>
      <c r="K1895" s="1" t="s">
        <v>3665</v>
      </c>
      <c r="L1895" s="1" t="s">
        <v>666</v>
      </c>
      <c r="M1895">
        <f t="shared" si="59"/>
        <v>6</v>
      </c>
      <c r="N1895" t="s">
        <v>650</v>
      </c>
    </row>
    <row r="1896" spans="1:14" hidden="1" x14ac:dyDescent="0.3">
      <c r="A1896" s="1" t="s">
        <v>4242</v>
      </c>
      <c r="B1896" s="1" t="s">
        <v>12756</v>
      </c>
      <c r="C1896" s="1" t="s">
        <v>4243</v>
      </c>
      <c r="D1896" s="1" t="s">
        <v>1395</v>
      </c>
      <c r="E1896" s="1" t="s">
        <v>1396</v>
      </c>
      <c r="F1896" s="1" t="s">
        <v>1397</v>
      </c>
      <c r="G1896" s="1" t="s">
        <v>1398</v>
      </c>
      <c r="H1896">
        <v>2023</v>
      </c>
      <c r="I1896">
        <v>2023</v>
      </c>
      <c r="J1896">
        <f t="shared" si="58"/>
        <v>1</v>
      </c>
      <c r="K1896" s="1" t="s">
        <v>3665</v>
      </c>
      <c r="L1896" s="1" t="s">
        <v>798</v>
      </c>
      <c r="M1896">
        <f t="shared" si="59"/>
        <v>3</v>
      </c>
      <c r="N1896" t="s">
        <v>650</v>
      </c>
    </row>
    <row r="1897" spans="1:14" hidden="1" x14ac:dyDescent="0.3">
      <c r="A1897" s="1" t="s">
        <v>4244</v>
      </c>
      <c r="B1897" s="1" t="s">
        <v>12756</v>
      </c>
      <c r="C1897" s="1" t="s">
        <v>4245</v>
      </c>
      <c r="D1897" s="1" t="s">
        <v>1395</v>
      </c>
      <c r="E1897" s="1" t="s">
        <v>1396</v>
      </c>
      <c r="F1897" s="1" t="s">
        <v>1397</v>
      </c>
      <c r="G1897" s="1" t="s">
        <v>1398</v>
      </c>
      <c r="H1897">
        <v>2020</v>
      </c>
      <c r="I1897">
        <v>2022</v>
      </c>
      <c r="J1897">
        <f t="shared" si="58"/>
        <v>3</v>
      </c>
      <c r="K1897" s="1" t="s">
        <v>3665</v>
      </c>
      <c r="L1897" s="1" t="s">
        <v>798</v>
      </c>
      <c r="M1897">
        <f t="shared" si="59"/>
        <v>4</v>
      </c>
      <c r="N1897" t="s">
        <v>650</v>
      </c>
    </row>
    <row r="1898" spans="1:14" hidden="1" x14ac:dyDescent="0.3">
      <c r="A1898" t="s">
        <v>12253</v>
      </c>
      <c r="B1898" t="s">
        <v>12756</v>
      </c>
      <c r="C1898" t="s">
        <v>12254</v>
      </c>
      <c r="E1898" s="1" t="e">
        <v>#N/A</v>
      </c>
      <c r="F1898" s="1" t="e">
        <v>#N/A</v>
      </c>
      <c r="G1898" s="1" t="s">
        <v>1398</v>
      </c>
      <c r="H1898">
        <v>2024</v>
      </c>
      <c r="I1898">
        <v>2026</v>
      </c>
      <c r="J1898">
        <f t="shared" si="58"/>
        <v>3</v>
      </c>
      <c r="K1898" s="1" t="s">
        <v>3665</v>
      </c>
      <c r="L1898" s="1" t="s">
        <v>798</v>
      </c>
      <c r="M1898">
        <f t="shared" si="59"/>
        <v>0</v>
      </c>
    </row>
    <row r="1899" spans="1:14" hidden="1" x14ac:dyDescent="0.3">
      <c r="A1899" t="s">
        <v>12255</v>
      </c>
      <c r="B1899" t="s">
        <v>12756</v>
      </c>
      <c r="C1899" t="s">
        <v>12256</v>
      </c>
      <c r="E1899" s="1" t="e">
        <v>#N/A</v>
      </c>
      <c r="F1899" s="1" t="e">
        <v>#N/A</v>
      </c>
      <c r="G1899" s="1" t="s">
        <v>1398</v>
      </c>
      <c r="H1899">
        <v>2024</v>
      </c>
      <c r="I1899">
        <v>2026</v>
      </c>
      <c r="J1899">
        <f t="shared" si="58"/>
        <v>3</v>
      </c>
      <c r="K1899" s="1" t="s">
        <v>3665</v>
      </c>
      <c r="L1899" s="1" t="s">
        <v>798</v>
      </c>
      <c r="M1899">
        <f t="shared" si="59"/>
        <v>0</v>
      </c>
    </row>
    <row r="1900" spans="1:14" hidden="1" x14ac:dyDescent="0.3">
      <c r="A1900" s="1" t="s">
        <v>4246</v>
      </c>
      <c r="B1900" s="1" t="s">
        <v>12756</v>
      </c>
      <c r="C1900" s="1" t="s">
        <v>4247</v>
      </c>
      <c r="D1900" s="1" t="s">
        <v>1395</v>
      </c>
      <c r="E1900" s="1" t="s">
        <v>1396</v>
      </c>
      <c r="F1900" s="1" t="s">
        <v>1397</v>
      </c>
      <c r="G1900" s="1" t="s">
        <v>1398</v>
      </c>
      <c r="H1900">
        <v>2021</v>
      </c>
      <c r="I1900">
        <v>2022</v>
      </c>
      <c r="J1900">
        <f t="shared" si="58"/>
        <v>2</v>
      </c>
      <c r="K1900" s="1" t="s">
        <v>3665</v>
      </c>
      <c r="L1900" s="1" t="s">
        <v>798</v>
      </c>
      <c r="M1900">
        <f t="shared" si="59"/>
        <v>4</v>
      </c>
      <c r="N1900" t="s">
        <v>650</v>
      </c>
    </row>
    <row r="1901" spans="1:14" hidden="1" x14ac:dyDescent="0.3">
      <c r="A1901" t="s">
        <v>12257</v>
      </c>
      <c r="B1901" t="s">
        <v>12756</v>
      </c>
      <c r="C1901" t="s">
        <v>12258</v>
      </c>
      <c r="E1901" s="1" t="e">
        <v>#N/A</v>
      </c>
      <c r="F1901" s="1" t="e">
        <v>#N/A</v>
      </c>
      <c r="G1901" s="1" t="s">
        <v>1398</v>
      </c>
      <c r="H1901">
        <v>2023</v>
      </c>
      <c r="I1901">
        <v>2024</v>
      </c>
      <c r="J1901">
        <f t="shared" si="58"/>
        <v>2</v>
      </c>
      <c r="K1901" s="1" t="s">
        <v>3665</v>
      </c>
      <c r="L1901" s="1" t="s">
        <v>798</v>
      </c>
      <c r="M1901">
        <f t="shared" si="59"/>
        <v>2</v>
      </c>
    </row>
    <row r="1902" spans="1:14" hidden="1" x14ac:dyDescent="0.3">
      <c r="A1902" t="s">
        <v>12259</v>
      </c>
      <c r="B1902" t="s">
        <v>12756</v>
      </c>
      <c r="C1902" t="s">
        <v>12260</v>
      </c>
      <c r="E1902" s="1" t="e">
        <v>#N/A</v>
      </c>
      <c r="F1902" s="1" t="e">
        <v>#N/A</v>
      </c>
      <c r="G1902" s="1" t="s">
        <v>1398</v>
      </c>
      <c r="H1902">
        <v>2024</v>
      </c>
      <c r="I1902">
        <v>2026</v>
      </c>
      <c r="J1902">
        <f t="shared" si="58"/>
        <v>3</v>
      </c>
      <c r="K1902" s="1" t="s">
        <v>3665</v>
      </c>
      <c r="L1902" s="1" t="s">
        <v>798</v>
      </c>
      <c r="M1902">
        <f t="shared" si="59"/>
        <v>0</v>
      </c>
    </row>
    <row r="1903" spans="1:14" hidden="1" x14ac:dyDescent="0.3">
      <c r="A1903" t="s">
        <v>12261</v>
      </c>
      <c r="B1903" t="s">
        <v>12756</v>
      </c>
      <c r="C1903" t="s">
        <v>12262</v>
      </c>
      <c r="E1903" s="1" t="e">
        <v>#N/A</v>
      </c>
      <c r="F1903" s="1" t="e">
        <v>#N/A</v>
      </c>
      <c r="G1903" s="1" t="s">
        <v>1398</v>
      </c>
      <c r="H1903">
        <v>2024</v>
      </c>
      <c r="I1903">
        <v>2026</v>
      </c>
      <c r="J1903">
        <f t="shared" si="58"/>
        <v>3</v>
      </c>
      <c r="K1903" s="1" t="s">
        <v>3665</v>
      </c>
      <c r="L1903" s="1" t="s">
        <v>798</v>
      </c>
      <c r="M1903">
        <f t="shared" si="59"/>
        <v>0</v>
      </c>
    </row>
    <row r="1904" spans="1:14" hidden="1" x14ac:dyDescent="0.3">
      <c r="A1904" s="1" t="s">
        <v>4248</v>
      </c>
      <c r="B1904" s="1" t="s">
        <v>12756</v>
      </c>
      <c r="C1904" s="1" t="s">
        <v>4249</v>
      </c>
      <c r="D1904" s="1" t="s">
        <v>1242</v>
      </c>
      <c r="E1904" s="1" t="s">
        <v>4250</v>
      </c>
      <c r="F1904" s="1" t="s">
        <v>4251</v>
      </c>
      <c r="G1904" s="1" t="s">
        <v>1398</v>
      </c>
      <c r="H1904">
        <v>2016</v>
      </c>
      <c r="I1904">
        <v>2022</v>
      </c>
      <c r="J1904">
        <f t="shared" si="58"/>
        <v>7</v>
      </c>
      <c r="K1904" s="1" t="s">
        <v>3665</v>
      </c>
      <c r="L1904" s="1" t="s">
        <v>798</v>
      </c>
      <c r="M1904">
        <f t="shared" si="59"/>
        <v>4</v>
      </c>
      <c r="N1904" t="s">
        <v>650</v>
      </c>
    </row>
    <row r="1905" spans="1:14" hidden="1" x14ac:dyDescent="0.3">
      <c r="A1905" s="1" t="s">
        <v>4252</v>
      </c>
      <c r="B1905" s="1" t="s">
        <v>12756</v>
      </c>
      <c r="C1905" s="1" t="s">
        <v>4253</v>
      </c>
      <c r="D1905" s="1" t="s">
        <v>1242</v>
      </c>
      <c r="E1905" s="1" t="s">
        <v>4250</v>
      </c>
      <c r="F1905" s="1" t="s">
        <v>4251</v>
      </c>
      <c r="G1905" s="1" t="s">
        <v>1398</v>
      </c>
      <c r="H1905">
        <v>2017</v>
      </c>
      <c r="I1905">
        <v>2022</v>
      </c>
      <c r="J1905">
        <f t="shared" si="58"/>
        <v>6</v>
      </c>
      <c r="K1905" s="1" t="s">
        <v>3665</v>
      </c>
      <c r="L1905" s="1" t="s">
        <v>798</v>
      </c>
      <c r="M1905">
        <f t="shared" si="59"/>
        <v>4</v>
      </c>
      <c r="N1905" t="s">
        <v>650</v>
      </c>
    </row>
    <row r="1906" spans="1:14" hidden="1" x14ac:dyDescent="0.3">
      <c r="A1906" s="1" t="s">
        <v>4254</v>
      </c>
      <c r="B1906" s="1" t="s">
        <v>12756</v>
      </c>
      <c r="C1906" s="1" t="s">
        <v>4255</v>
      </c>
      <c r="D1906" s="1" t="s">
        <v>1242</v>
      </c>
      <c r="E1906" s="1" t="s">
        <v>4250</v>
      </c>
      <c r="F1906" s="1" t="s">
        <v>4251</v>
      </c>
      <c r="G1906" s="1" t="s">
        <v>1398</v>
      </c>
      <c r="H1906">
        <v>2016</v>
      </c>
      <c r="I1906">
        <v>2022</v>
      </c>
      <c r="J1906">
        <f t="shared" si="58"/>
        <v>7</v>
      </c>
      <c r="K1906" s="1" t="s">
        <v>3665</v>
      </c>
      <c r="L1906" s="1" t="s">
        <v>798</v>
      </c>
      <c r="M1906">
        <f t="shared" si="59"/>
        <v>4</v>
      </c>
      <c r="N1906" t="s">
        <v>650</v>
      </c>
    </row>
    <row r="1907" spans="1:14" hidden="1" x14ac:dyDescent="0.3">
      <c r="A1907" s="1" t="s">
        <v>4256</v>
      </c>
      <c r="B1907" s="1" t="s">
        <v>12756</v>
      </c>
      <c r="C1907" s="1" t="s">
        <v>4257</v>
      </c>
      <c r="D1907" s="1" t="s">
        <v>1242</v>
      </c>
      <c r="E1907" s="1" t="s">
        <v>4250</v>
      </c>
      <c r="F1907" s="1" t="s">
        <v>4251</v>
      </c>
      <c r="G1907" s="1" t="s">
        <v>1398</v>
      </c>
      <c r="H1907">
        <v>2017</v>
      </c>
      <c r="I1907">
        <v>2022</v>
      </c>
      <c r="J1907">
        <f t="shared" si="58"/>
        <v>6</v>
      </c>
      <c r="K1907" s="1" t="s">
        <v>3665</v>
      </c>
      <c r="L1907" s="1" t="s">
        <v>798</v>
      </c>
      <c r="M1907">
        <f t="shared" si="59"/>
        <v>4</v>
      </c>
      <c r="N1907" t="s">
        <v>650</v>
      </c>
    </row>
    <row r="1908" spans="1:14" hidden="1" x14ac:dyDescent="0.3">
      <c r="A1908" s="1" t="s">
        <v>4258</v>
      </c>
      <c r="B1908" s="1" t="s">
        <v>12756</v>
      </c>
      <c r="C1908" s="1" t="s">
        <v>4259</v>
      </c>
      <c r="D1908" s="1" t="s">
        <v>1242</v>
      </c>
      <c r="E1908" s="1" t="s">
        <v>4250</v>
      </c>
      <c r="F1908" s="1" t="s">
        <v>4251</v>
      </c>
      <c r="G1908" s="1" t="s">
        <v>1398</v>
      </c>
      <c r="H1908">
        <v>2016</v>
      </c>
      <c r="I1908">
        <v>2022</v>
      </c>
      <c r="J1908">
        <f t="shared" si="58"/>
        <v>7</v>
      </c>
      <c r="K1908" s="1" t="s">
        <v>3665</v>
      </c>
      <c r="L1908" s="1" t="s">
        <v>798</v>
      </c>
      <c r="M1908">
        <f t="shared" si="59"/>
        <v>4</v>
      </c>
      <c r="N1908" t="s">
        <v>650</v>
      </c>
    </row>
    <row r="1909" spans="1:14" hidden="1" x14ac:dyDescent="0.3">
      <c r="A1909" s="1" t="s">
        <v>4260</v>
      </c>
      <c r="B1909" s="1" t="s">
        <v>12756</v>
      </c>
      <c r="C1909" s="1" t="s">
        <v>4261</v>
      </c>
      <c r="D1909" s="1" t="s">
        <v>1395</v>
      </c>
      <c r="E1909" s="1" t="s">
        <v>1396</v>
      </c>
      <c r="F1909" s="1" t="s">
        <v>1397</v>
      </c>
      <c r="G1909" s="1" t="s">
        <v>1398</v>
      </c>
      <c r="H1909">
        <v>2015</v>
      </c>
      <c r="I1909">
        <v>2015</v>
      </c>
      <c r="J1909">
        <f t="shared" si="58"/>
        <v>1</v>
      </c>
      <c r="K1909" s="1" t="s">
        <v>3665</v>
      </c>
      <c r="L1909" s="1" t="s">
        <v>649</v>
      </c>
      <c r="M1909">
        <f t="shared" si="59"/>
        <v>11</v>
      </c>
      <c r="N1909" t="s">
        <v>650</v>
      </c>
    </row>
    <row r="1910" spans="1:14" hidden="1" x14ac:dyDescent="0.3">
      <c r="A1910" s="1" t="s">
        <v>4262</v>
      </c>
      <c r="B1910" s="1" t="s">
        <v>12756</v>
      </c>
      <c r="C1910" s="1" t="s">
        <v>4263</v>
      </c>
      <c r="D1910" s="1" t="s">
        <v>1395</v>
      </c>
      <c r="E1910" s="1" t="s">
        <v>1396</v>
      </c>
      <c r="F1910" s="1" t="s">
        <v>1397</v>
      </c>
      <c r="G1910" s="1" t="s">
        <v>1398</v>
      </c>
      <c r="H1910">
        <v>2013</v>
      </c>
      <c r="I1910">
        <v>2015</v>
      </c>
      <c r="J1910">
        <f t="shared" si="58"/>
        <v>3</v>
      </c>
      <c r="K1910" s="1" t="s">
        <v>3665</v>
      </c>
      <c r="L1910" s="1" t="s">
        <v>649</v>
      </c>
      <c r="M1910">
        <f t="shared" si="59"/>
        <v>11</v>
      </c>
      <c r="N1910" t="s">
        <v>650</v>
      </c>
    </row>
    <row r="1911" spans="1:14" hidden="1" x14ac:dyDescent="0.3">
      <c r="A1911" s="1" t="s">
        <v>4264</v>
      </c>
      <c r="B1911" s="1" t="s">
        <v>12756</v>
      </c>
      <c r="C1911" s="1" t="s">
        <v>4265</v>
      </c>
      <c r="D1911" s="1" t="s">
        <v>1395</v>
      </c>
      <c r="E1911" s="1" t="s">
        <v>1396</v>
      </c>
      <c r="F1911" s="1" t="s">
        <v>1397</v>
      </c>
      <c r="G1911" s="1" t="s">
        <v>1398</v>
      </c>
      <c r="H1911">
        <v>2013</v>
      </c>
      <c r="I1911">
        <v>2015</v>
      </c>
      <c r="J1911">
        <f t="shared" si="58"/>
        <v>3</v>
      </c>
      <c r="K1911" s="1" t="s">
        <v>3665</v>
      </c>
      <c r="L1911" s="1" t="s">
        <v>649</v>
      </c>
      <c r="M1911">
        <f t="shared" si="59"/>
        <v>11</v>
      </c>
      <c r="N1911" t="s">
        <v>650</v>
      </c>
    </row>
    <row r="1912" spans="1:14" hidden="1" x14ac:dyDescent="0.3">
      <c r="A1912" s="1" t="s">
        <v>4266</v>
      </c>
      <c r="B1912" s="1" t="s">
        <v>12756</v>
      </c>
      <c r="C1912" s="1" t="s">
        <v>4267</v>
      </c>
      <c r="D1912" s="1" t="s">
        <v>1395</v>
      </c>
      <c r="E1912" s="1" t="s">
        <v>1396</v>
      </c>
      <c r="F1912" s="1" t="s">
        <v>1397</v>
      </c>
      <c r="G1912" s="1" t="s">
        <v>1398</v>
      </c>
      <c r="H1912">
        <v>2013</v>
      </c>
      <c r="I1912">
        <v>2015</v>
      </c>
      <c r="J1912">
        <f t="shared" si="58"/>
        <v>3</v>
      </c>
      <c r="K1912" s="1" t="s">
        <v>3665</v>
      </c>
      <c r="L1912" s="1" t="s">
        <v>649</v>
      </c>
      <c r="M1912">
        <f t="shared" si="59"/>
        <v>11</v>
      </c>
      <c r="N1912" t="s">
        <v>650</v>
      </c>
    </row>
    <row r="1913" spans="1:14" hidden="1" x14ac:dyDescent="0.3">
      <c r="A1913" s="1" t="s">
        <v>4268</v>
      </c>
      <c r="B1913" s="1" t="s">
        <v>12756</v>
      </c>
      <c r="C1913" s="1" t="s">
        <v>4269</v>
      </c>
      <c r="D1913" s="1" t="s">
        <v>1395</v>
      </c>
      <c r="E1913" s="1" t="s">
        <v>1396</v>
      </c>
      <c r="F1913" s="1" t="s">
        <v>1397</v>
      </c>
      <c r="G1913" s="1" t="s">
        <v>1398</v>
      </c>
      <c r="H1913">
        <v>2014</v>
      </c>
      <c r="I1913">
        <v>2015</v>
      </c>
      <c r="J1913">
        <f t="shared" si="58"/>
        <v>2</v>
      </c>
      <c r="K1913" s="1" t="s">
        <v>3665</v>
      </c>
      <c r="L1913" s="1" t="s">
        <v>649</v>
      </c>
      <c r="M1913">
        <f t="shared" si="59"/>
        <v>11</v>
      </c>
      <c r="N1913" t="s">
        <v>650</v>
      </c>
    </row>
    <row r="1914" spans="1:14" hidden="1" x14ac:dyDescent="0.3">
      <c r="A1914" s="1" t="s">
        <v>4270</v>
      </c>
      <c r="B1914" s="1" t="s">
        <v>12756</v>
      </c>
      <c r="C1914" s="1" t="s">
        <v>4271</v>
      </c>
      <c r="D1914" s="1" t="s">
        <v>1395</v>
      </c>
      <c r="E1914" s="1" t="s">
        <v>1396</v>
      </c>
      <c r="F1914" s="1" t="s">
        <v>1397</v>
      </c>
      <c r="G1914" s="1" t="s">
        <v>1398</v>
      </c>
      <c r="H1914">
        <v>2020</v>
      </c>
      <c r="I1914">
        <v>2022</v>
      </c>
      <c r="J1914">
        <f t="shared" si="58"/>
        <v>3</v>
      </c>
      <c r="K1914" s="1" t="s">
        <v>3665</v>
      </c>
      <c r="L1914" s="1" t="s">
        <v>798</v>
      </c>
      <c r="M1914">
        <f t="shared" si="59"/>
        <v>4</v>
      </c>
      <c r="N1914" t="s">
        <v>650</v>
      </c>
    </row>
    <row r="1915" spans="1:14" hidden="1" x14ac:dyDescent="0.3">
      <c r="A1915" s="1" t="s">
        <v>4272</v>
      </c>
      <c r="B1915" s="1" t="s">
        <v>12756</v>
      </c>
      <c r="C1915" s="1" t="s">
        <v>4273</v>
      </c>
      <c r="D1915" s="1" t="s">
        <v>1395</v>
      </c>
      <c r="E1915" s="1" t="s">
        <v>1396</v>
      </c>
      <c r="F1915" s="1" t="s">
        <v>1397</v>
      </c>
      <c r="G1915" s="1" t="s">
        <v>1398</v>
      </c>
      <c r="H1915">
        <v>2020</v>
      </c>
      <c r="I1915">
        <v>2022</v>
      </c>
      <c r="J1915">
        <f t="shared" si="58"/>
        <v>3</v>
      </c>
      <c r="K1915" s="1" t="s">
        <v>3665</v>
      </c>
      <c r="L1915" s="1" t="s">
        <v>798</v>
      </c>
      <c r="M1915">
        <f t="shared" si="59"/>
        <v>4</v>
      </c>
      <c r="N1915" t="s">
        <v>650</v>
      </c>
    </row>
    <row r="1916" spans="1:14" x14ac:dyDescent="0.3">
      <c r="A1916" s="1" t="s">
        <v>7574</v>
      </c>
      <c r="B1916" s="1" t="s">
        <v>5931</v>
      </c>
      <c r="C1916" s="1" t="s">
        <v>7575</v>
      </c>
      <c r="D1916" s="1" t="s">
        <v>738</v>
      </c>
      <c r="E1916" s="1" t="s">
        <v>6076</v>
      </c>
      <c r="F1916" s="1" t="s">
        <v>6076</v>
      </c>
      <c r="G1916" s="1" t="s">
        <v>7575</v>
      </c>
      <c r="H1916">
        <v>1988</v>
      </c>
      <c r="I1916">
        <v>1993</v>
      </c>
      <c r="J1916">
        <f t="shared" si="58"/>
        <v>6</v>
      </c>
      <c r="K1916" s="1" t="s">
        <v>6076</v>
      </c>
      <c r="L1916" s="1" t="s">
        <v>6076</v>
      </c>
      <c r="M1916">
        <f t="shared" si="59"/>
        <v>33</v>
      </c>
    </row>
    <row r="1917" spans="1:14" x14ac:dyDescent="0.3">
      <c r="A1917" s="1" t="s">
        <v>7576</v>
      </c>
      <c r="B1917" s="1" t="s">
        <v>5931</v>
      </c>
      <c r="C1917" s="1" t="s">
        <v>7577</v>
      </c>
      <c r="D1917" s="1" t="s">
        <v>738</v>
      </c>
      <c r="E1917" s="1" t="s">
        <v>6076</v>
      </c>
      <c r="F1917" s="1" t="s">
        <v>6076</v>
      </c>
      <c r="G1917" s="1" t="s">
        <v>7575</v>
      </c>
      <c r="H1917">
        <v>1986</v>
      </c>
      <c r="I1917">
        <v>1993</v>
      </c>
      <c r="J1917">
        <f t="shared" si="58"/>
        <v>8</v>
      </c>
      <c r="K1917" s="1" t="s">
        <v>6076</v>
      </c>
      <c r="L1917" s="1" t="s">
        <v>6076</v>
      </c>
      <c r="M1917">
        <f t="shared" si="59"/>
        <v>33</v>
      </c>
    </row>
    <row r="1918" spans="1:14" x14ac:dyDescent="0.3">
      <c r="A1918" s="1" t="s">
        <v>7578</v>
      </c>
      <c r="B1918" s="1" t="s">
        <v>5931</v>
      </c>
      <c r="C1918" s="1" t="s">
        <v>7579</v>
      </c>
      <c r="D1918" s="1" t="s">
        <v>738</v>
      </c>
      <c r="E1918" s="1" t="s">
        <v>6076</v>
      </c>
      <c r="F1918" s="1" t="s">
        <v>6076</v>
      </c>
      <c r="G1918" s="1" t="s">
        <v>7580</v>
      </c>
      <c r="H1918">
        <v>1993</v>
      </c>
      <c r="I1918">
        <v>1995</v>
      </c>
      <c r="J1918">
        <f t="shared" si="58"/>
        <v>3</v>
      </c>
      <c r="K1918" s="1" t="s">
        <v>6076</v>
      </c>
      <c r="L1918" s="1" t="s">
        <v>6076</v>
      </c>
      <c r="M1918">
        <f t="shared" si="59"/>
        <v>31</v>
      </c>
    </row>
    <row r="1919" spans="1:14" hidden="1" x14ac:dyDescent="0.3">
      <c r="A1919" t="s">
        <v>12176</v>
      </c>
      <c r="B1919" t="s">
        <v>642</v>
      </c>
      <c r="C1919" t="s">
        <v>12177</v>
      </c>
      <c r="E1919" s="1" t="e">
        <v>#N/A</v>
      </c>
      <c r="F1919" s="1" t="e">
        <v>#N/A</v>
      </c>
      <c r="G1919" s="1" t="s">
        <v>12910</v>
      </c>
      <c r="H1919">
        <v>2023</v>
      </c>
      <c r="I1919">
        <v>2023</v>
      </c>
      <c r="J1919">
        <f t="shared" si="58"/>
        <v>1</v>
      </c>
      <c r="K1919" s="1" t="s">
        <v>659</v>
      </c>
      <c r="L1919" s="1" t="s">
        <v>649</v>
      </c>
      <c r="M1919">
        <f t="shared" si="59"/>
        <v>3</v>
      </c>
    </row>
    <row r="1920" spans="1:14" hidden="1" x14ac:dyDescent="0.3">
      <c r="A1920" s="1" t="s">
        <v>5944</v>
      </c>
      <c r="B1920" s="1" t="s">
        <v>642</v>
      </c>
      <c r="C1920" s="1" t="s">
        <v>5945</v>
      </c>
      <c r="D1920" s="1" t="s">
        <v>746</v>
      </c>
      <c r="E1920" s="1" t="s">
        <v>747</v>
      </c>
      <c r="F1920" s="1" t="s">
        <v>748</v>
      </c>
      <c r="G1920" s="1">
        <v>208</v>
      </c>
      <c r="H1920">
        <v>2022</v>
      </c>
      <c r="I1920">
        <v>2022</v>
      </c>
      <c r="J1920">
        <f t="shared" si="58"/>
        <v>1</v>
      </c>
      <c r="K1920" s="1" t="s">
        <v>5909</v>
      </c>
      <c r="L1920" s="1" t="s">
        <v>3793</v>
      </c>
      <c r="M1920">
        <f t="shared" si="59"/>
        <v>4</v>
      </c>
      <c r="N1920" t="s">
        <v>650</v>
      </c>
    </row>
    <row r="1921" spans="1:13" x14ac:dyDescent="0.3">
      <c r="A1921" s="1" t="s">
        <v>7581</v>
      </c>
      <c r="B1921" s="1" t="s">
        <v>5931</v>
      </c>
      <c r="C1921" s="1" t="s">
        <v>7582</v>
      </c>
      <c r="D1921" s="1" t="s">
        <v>738</v>
      </c>
      <c r="E1921" s="1" t="s">
        <v>6076</v>
      </c>
      <c r="F1921" s="1" t="s">
        <v>6076</v>
      </c>
      <c r="G1921" s="1" t="s">
        <v>7583</v>
      </c>
      <c r="H1921">
        <v>1993</v>
      </c>
      <c r="I1921">
        <v>1995</v>
      </c>
      <c r="J1921">
        <f t="shared" si="58"/>
        <v>3</v>
      </c>
      <c r="K1921" s="1" t="s">
        <v>6076</v>
      </c>
      <c r="L1921" s="1" t="s">
        <v>6076</v>
      </c>
      <c r="M1921">
        <f t="shared" si="59"/>
        <v>31</v>
      </c>
    </row>
    <row r="1922" spans="1:13" x14ac:dyDescent="0.3">
      <c r="A1922" s="1" t="s">
        <v>7584</v>
      </c>
      <c r="B1922" s="1" t="s">
        <v>5931</v>
      </c>
      <c r="C1922" s="1" t="s">
        <v>7585</v>
      </c>
      <c r="D1922" s="1" t="s">
        <v>738</v>
      </c>
      <c r="E1922" s="1" t="s">
        <v>6076</v>
      </c>
      <c r="F1922" s="1" t="s">
        <v>6076</v>
      </c>
      <c r="G1922" s="1" t="s">
        <v>7586</v>
      </c>
      <c r="H1922">
        <v>1996</v>
      </c>
      <c r="I1922">
        <v>1998</v>
      </c>
      <c r="J1922">
        <f t="shared" si="58"/>
        <v>3</v>
      </c>
      <c r="K1922" s="1" t="s">
        <v>6076</v>
      </c>
      <c r="L1922" s="1" t="s">
        <v>6076</v>
      </c>
      <c r="M1922">
        <f t="shared" si="59"/>
        <v>28</v>
      </c>
    </row>
    <row r="1923" spans="1:13" x14ac:dyDescent="0.3">
      <c r="A1923" s="1" t="s">
        <v>7587</v>
      </c>
      <c r="B1923" s="1" t="s">
        <v>5931</v>
      </c>
      <c r="C1923" s="1" t="s">
        <v>7588</v>
      </c>
      <c r="D1923" s="1" t="s">
        <v>738</v>
      </c>
      <c r="E1923" s="1" t="s">
        <v>6076</v>
      </c>
      <c r="F1923" s="1" t="s">
        <v>6076</v>
      </c>
      <c r="G1923" s="1" t="s">
        <v>7589</v>
      </c>
      <c r="H1923">
        <v>1998</v>
      </c>
      <c r="I1923">
        <v>2002</v>
      </c>
      <c r="J1923">
        <f t="shared" si="58"/>
        <v>5</v>
      </c>
      <c r="K1923" s="1" t="s">
        <v>6076</v>
      </c>
      <c r="L1923" s="1" t="s">
        <v>6076</v>
      </c>
      <c r="M1923">
        <f t="shared" si="59"/>
        <v>24</v>
      </c>
    </row>
    <row r="1924" spans="1:13" x14ac:dyDescent="0.3">
      <c r="A1924" s="1" t="s">
        <v>7590</v>
      </c>
      <c r="B1924" s="1" t="s">
        <v>5931</v>
      </c>
      <c r="C1924" s="1" t="s">
        <v>7591</v>
      </c>
      <c r="D1924" s="1" t="s">
        <v>3850</v>
      </c>
      <c r="E1924" s="1" t="s">
        <v>6076</v>
      </c>
      <c r="F1924" s="1" t="s">
        <v>6076</v>
      </c>
      <c r="G1924" s="1" t="s">
        <v>7592</v>
      </c>
      <c r="H1924">
        <v>2014</v>
      </c>
      <c r="I1924">
        <v>2016</v>
      </c>
      <c r="J1924">
        <f t="shared" si="58"/>
        <v>3</v>
      </c>
      <c r="K1924" s="1" t="s">
        <v>6076</v>
      </c>
      <c r="L1924" s="1" t="s">
        <v>6076</v>
      </c>
      <c r="M1924">
        <f t="shared" si="59"/>
        <v>10</v>
      </c>
    </row>
    <row r="1925" spans="1:13" x14ac:dyDescent="0.3">
      <c r="A1925" s="1" t="s">
        <v>7593</v>
      </c>
      <c r="B1925" s="1" t="s">
        <v>5931</v>
      </c>
      <c r="C1925" s="1" t="s">
        <v>7594</v>
      </c>
      <c r="D1925" s="1" t="s">
        <v>738</v>
      </c>
      <c r="E1925" s="1" t="s">
        <v>6076</v>
      </c>
      <c r="F1925" s="1" t="s">
        <v>6076</v>
      </c>
      <c r="G1925" s="1" t="s">
        <v>7592</v>
      </c>
      <c r="H1925">
        <v>2011</v>
      </c>
      <c r="I1925">
        <v>2013</v>
      </c>
      <c r="J1925">
        <f t="shared" si="58"/>
        <v>3</v>
      </c>
      <c r="K1925" s="1" t="s">
        <v>6076</v>
      </c>
      <c r="L1925" s="1" t="s">
        <v>6076</v>
      </c>
      <c r="M1925">
        <f t="shared" si="59"/>
        <v>13</v>
      </c>
    </row>
    <row r="1926" spans="1:13" x14ac:dyDescent="0.3">
      <c r="A1926" s="1" t="s">
        <v>7595</v>
      </c>
      <c r="B1926" s="1" t="s">
        <v>5931</v>
      </c>
      <c r="C1926" s="1" t="s">
        <v>7596</v>
      </c>
      <c r="D1926" s="1" t="s">
        <v>738</v>
      </c>
      <c r="E1926" s="1" t="s">
        <v>6076</v>
      </c>
      <c r="F1926" s="1" t="s">
        <v>6076</v>
      </c>
      <c r="G1926" s="1" t="s">
        <v>7592</v>
      </c>
      <c r="H1926">
        <v>2014</v>
      </c>
      <c r="I1926">
        <v>2019</v>
      </c>
      <c r="J1926">
        <f t="shared" ref="J1926:J1989" si="60">1+(I1926-H1926)</f>
        <v>6</v>
      </c>
      <c r="K1926" s="1" t="s">
        <v>6076</v>
      </c>
      <c r="L1926" s="1" t="s">
        <v>6076</v>
      </c>
      <c r="M1926">
        <f t="shared" ref="M1926:M1989" si="61">IF(I1926=0,0,$B$2-I1926)</f>
        <v>7</v>
      </c>
    </row>
    <row r="1927" spans="1:13" x14ac:dyDescent="0.3">
      <c r="A1927" s="1" t="s">
        <v>7597</v>
      </c>
      <c r="B1927" s="1" t="s">
        <v>5931</v>
      </c>
      <c r="C1927" s="1" t="s">
        <v>7598</v>
      </c>
      <c r="D1927" s="1" t="s">
        <v>3850</v>
      </c>
      <c r="E1927" s="1" t="s">
        <v>6076</v>
      </c>
      <c r="F1927" s="1" t="s">
        <v>6076</v>
      </c>
      <c r="G1927" s="1" t="s">
        <v>7592</v>
      </c>
      <c r="H1927">
        <v>2011</v>
      </c>
      <c r="I1927">
        <v>2013</v>
      </c>
      <c r="J1927">
        <f t="shared" si="60"/>
        <v>3</v>
      </c>
      <c r="K1927" s="1" t="s">
        <v>6076</v>
      </c>
      <c r="L1927" s="1" t="s">
        <v>6076</v>
      </c>
      <c r="M1927">
        <f t="shared" si="61"/>
        <v>13</v>
      </c>
    </row>
    <row r="1928" spans="1:13" x14ac:dyDescent="0.3">
      <c r="A1928" s="1" t="s">
        <v>7599</v>
      </c>
      <c r="B1928" s="1" t="s">
        <v>5931</v>
      </c>
      <c r="C1928" s="1" t="s">
        <v>7600</v>
      </c>
      <c r="D1928" s="1" t="s">
        <v>738</v>
      </c>
      <c r="E1928" s="1" t="s">
        <v>6076</v>
      </c>
      <c r="F1928" s="1" t="s">
        <v>6076</v>
      </c>
      <c r="G1928" s="1" t="s">
        <v>7592</v>
      </c>
      <c r="H1928">
        <v>2014</v>
      </c>
      <c r="I1928">
        <v>2015</v>
      </c>
      <c r="J1928">
        <f t="shared" si="60"/>
        <v>2</v>
      </c>
      <c r="K1928" s="1" t="s">
        <v>6076</v>
      </c>
      <c r="L1928" s="1" t="s">
        <v>6076</v>
      </c>
      <c r="M1928">
        <f t="shared" si="61"/>
        <v>11</v>
      </c>
    </row>
    <row r="1929" spans="1:13" x14ac:dyDescent="0.3">
      <c r="A1929" s="1" t="s">
        <v>7601</v>
      </c>
      <c r="B1929" s="1" t="s">
        <v>5931</v>
      </c>
      <c r="C1929" s="1" t="s">
        <v>7602</v>
      </c>
      <c r="D1929" s="1" t="s">
        <v>3850</v>
      </c>
      <c r="E1929" s="1" t="s">
        <v>6076</v>
      </c>
      <c r="F1929" s="1" t="s">
        <v>6076</v>
      </c>
      <c r="G1929" s="1" t="s">
        <v>7592</v>
      </c>
      <c r="H1929">
        <v>2014</v>
      </c>
      <c r="I1929">
        <v>2016</v>
      </c>
      <c r="J1929">
        <f t="shared" si="60"/>
        <v>3</v>
      </c>
      <c r="K1929" s="1" t="s">
        <v>6076</v>
      </c>
      <c r="L1929" s="1" t="s">
        <v>6076</v>
      </c>
      <c r="M1929">
        <f t="shared" si="61"/>
        <v>10</v>
      </c>
    </row>
    <row r="1930" spans="1:13" x14ac:dyDescent="0.3">
      <c r="A1930" s="1" t="s">
        <v>7603</v>
      </c>
      <c r="B1930" s="1" t="s">
        <v>5931</v>
      </c>
      <c r="C1930" s="1" t="s">
        <v>7604</v>
      </c>
      <c r="D1930" s="1" t="s">
        <v>738</v>
      </c>
      <c r="E1930" s="1" t="s">
        <v>6076</v>
      </c>
      <c r="F1930" s="1" t="s">
        <v>6076</v>
      </c>
      <c r="G1930" s="1" t="s">
        <v>7592</v>
      </c>
      <c r="H1930">
        <v>2017</v>
      </c>
      <c r="I1930">
        <v>2017</v>
      </c>
      <c r="J1930">
        <f t="shared" si="60"/>
        <v>1</v>
      </c>
      <c r="K1930" s="1" t="s">
        <v>6076</v>
      </c>
      <c r="L1930" s="1" t="s">
        <v>6076</v>
      </c>
      <c r="M1930">
        <f t="shared" si="61"/>
        <v>9</v>
      </c>
    </row>
    <row r="1931" spans="1:13" x14ac:dyDescent="0.3">
      <c r="A1931" s="1" t="s">
        <v>7605</v>
      </c>
      <c r="B1931" s="1" t="s">
        <v>5931</v>
      </c>
      <c r="C1931" s="1" t="s">
        <v>7606</v>
      </c>
      <c r="D1931" s="1" t="s">
        <v>738</v>
      </c>
      <c r="E1931" s="1" t="s">
        <v>6076</v>
      </c>
      <c r="F1931" s="1" t="s">
        <v>6076</v>
      </c>
      <c r="G1931" s="1" t="s">
        <v>7592</v>
      </c>
      <c r="H1931">
        <v>2017</v>
      </c>
      <c r="I1931">
        <v>2019</v>
      </c>
      <c r="J1931">
        <f t="shared" si="60"/>
        <v>3</v>
      </c>
      <c r="K1931" s="1" t="s">
        <v>6076</v>
      </c>
      <c r="L1931" s="1" t="s">
        <v>6076</v>
      </c>
      <c r="M1931">
        <f t="shared" si="61"/>
        <v>7</v>
      </c>
    </row>
    <row r="1932" spans="1:13" x14ac:dyDescent="0.3">
      <c r="A1932" s="1" t="s">
        <v>7607</v>
      </c>
      <c r="B1932" s="1" t="s">
        <v>5931</v>
      </c>
      <c r="C1932" s="1" t="s">
        <v>7608</v>
      </c>
      <c r="D1932" s="1" t="s">
        <v>738</v>
      </c>
      <c r="E1932" s="1" t="s">
        <v>6076</v>
      </c>
      <c r="F1932" s="1" t="s">
        <v>6076</v>
      </c>
      <c r="G1932" s="1" t="s">
        <v>7609</v>
      </c>
      <c r="H1932">
        <v>1993</v>
      </c>
      <c r="I1932">
        <v>1995</v>
      </c>
      <c r="J1932">
        <f t="shared" si="60"/>
        <v>3</v>
      </c>
      <c r="K1932" s="1" t="s">
        <v>6076</v>
      </c>
      <c r="L1932" s="1" t="s">
        <v>6076</v>
      </c>
      <c r="M1932">
        <f t="shared" si="61"/>
        <v>31</v>
      </c>
    </row>
    <row r="1933" spans="1:13" x14ac:dyDescent="0.3">
      <c r="A1933" s="1" t="s">
        <v>7610</v>
      </c>
      <c r="B1933" s="1" t="s">
        <v>5931</v>
      </c>
      <c r="C1933" s="1" t="s">
        <v>7611</v>
      </c>
      <c r="D1933" s="1" t="s">
        <v>738</v>
      </c>
      <c r="E1933" s="1" t="s">
        <v>6076</v>
      </c>
      <c r="F1933" s="1" t="s">
        <v>6076</v>
      </c>
      <c r="G1933" s="1" t="s">
        <v>7609</v>
      </c>
      <c r="H1933">
        <v>1993</v>
      </c>
      <c r="I1933">
        <v>1995</v>
      </c>
      <c r="J1933">
        <f t="shared" si="60"/>
        <v>3</v>
      </c>
      <c r="K1933" s="1" t="s">
        <v>6076</v>
      </c>
      <c r="L1933" s="1" t="s">
        <v>6076</v>
      </c>
      <c r="M1933">
        <f t="shared" si="61"/>
        <v>31</v>
      </c>
    </row>
    <row r="1934" spans="1:13" x14ac:dyDescent="0.3">
      <c r="A1934" s="1" t="s">
        <v>7612</v>
      </c>
      <c r="B1934" s="1" t="s">
        <v>5931</v>
      </c>
      <c r="C1934" s="1" t="s">
        <v>7613</v>
      </c>
      <c r="D1934" s="1" t="s">
        <v>738</v>
      </c>
      <c r="E1934" s="1" t="s">
        <v>6076</v>
      </c>
      <c r="F1934" s="1" t="s">
        <v>6076</v>
      </c>
      <c r="G1934" s="1" t="s">
        <v>7614</v>
      </c>
      <c r="H1934">
        <v>2021</v>
      </c>
      <c r="I1934">
        <v>2022</v>
      </c>
      <c r="J1934">
        <f t="shared" si="60"/>
        <v>2</v>
      </c>
      <c r="K1934" s="1" t="s">
        <v>6076</v>
      </c>
      <c r="L1934" s="1" t="s">
        <v>6076</v>
      </c>
      <c r="M1934">
        <f t="shared" si="61"/>
        <v>4</v>
      </c>
    </row>
    <row r="1935" spans="1:13" x14ac:dyDescent="0.3">
      <c r="A1935" s="1" t="s">
        <v>7615</v>
      </c>
      <c r="B1935" s="1" t="s">
        <v>5931</v>
      </c>
      <c r="C1935" s="1" t="s">
        <v>7616</v>
      </c>
      <c r="D1935" s="1" t="s">
        <v>738</v>
      </c>
      <c r="E1935" s="1" t="s">
        <v>6076</v>
      </c>
      <c r="F1935" s="1" t="s">
        <v>6076</v>
      </c>
      <c r="G1935" s="1" t="s">
        <v>7614</v>
      </c>
      <c r="H1935">
        <v>2019</v>
      </c>
      <c r="I1935">
        <v>2022</v>
      </c>
      <c r="J1935">
        <f t="shared" si="60"/>
        <v>4</v>
      </c>
      <c r="K1935" s="1" t="s">
        <v>6076</v>
      </c>
      <c r="L1935" s="1" t="s">
        <v>6076</v>
      </c>
      <c r="M1935">
        <f t="shared" si="61"/>
        <v>4</v>
      </c>
    </row>
    <row r="1936" spans="1:13" x14ac:dyDescent="0.3">
      <c r="A1936" s="1" t="s">
        <v>7617</v>
      </c>
      <c r="B1936" s="1" t="s">
        <v>5931</v>
      </c>
      <c r="C1936" s="1" t="s">
        <v>7618</v>
      </c>
      <c r="D1936" s="1" t="s">
        <v>738</v>
      </c>
      <c r="E1936" s="1" t="s">
        <v>6076</v>
      </c>
      <c r="F1936" s="1" t="s">
        <v>6076</v>
      </c>
      <c r="G1936" s="1" t="s">
        <v>7614</v>
      </c>
      <c r="H1936">
        <v>2020</v>
      </c>
      <c r="I1936">
        <v>2022</v>
      </c>
      <c r="J1936">
        <f t="shared" si="60"/>
        <v>3</v>
      </c>
      <c r="K1936" s="1" t="s">
        <v>6076</v>
      </c>
      <c r="L1936" s="1" t="s">
        <v>6076</v>
      </c>
      <c r="M1936">
        <f t="shared" si="61"/>
        <v>4</v>
      </c>
    </row>
    <row r="1937" spans="1:13" x14ac:dyDescent="0.3">
      <c r="A1937" s="1" t="s">
        <v>7619</v>
      </c>
      <c r="B1937" s="1" t="s">
        <v>5931</v>
      </c>
      <c r="C1937" s="1" t="s">
        <v>7620</v>
      </c>
      <c r="D1937" s="1" t="s">
        <v>738</v>
      </c>
      <c r="E1937" s="1" t="s">
        <v>6076</v>
      </c>
      <c r="F1937" s="1" t="s">
        <v>6076</v>
      </c>
      <c r="G1937" s="1" t="s">
        <v>7614</v>
      </c>
      <c r="H1937">
        <v>2018</v>
      </c>
      <c r="I1937">
        <v>2018</v>
      </c>
      <c r="J1937">
        <f t="shared" si="60"/>
        <v>1</v>
      </c>
      <c r="K1937" s="1" t="s">
        <v>6076</v>
      </c>
      <c r="L1937" s="1" t="s">
        <v>6076</v>
      </c>
      <c r="M1937">
        <f t="shared" si="61"/>
        <v>8</v>
      </c>
    </row>
    <row r="1938" spans="1:13" x14ac:dyDescent="0.3">
      <c r="A1938" s="1" t="s">
        <v>7621</v>
      </c>
      <c r="B1938" s="1" t="s">
        <v>5931</v>
      </c>
      <c r="C1938" s="1" t="s">
        <v>7622</v>
      </c>
      <c r="D1938" s="1" t="s">
        <v>3850</v>
      </c>
      <c r="E1938" s="1" t="s">
        <v>6076</v>
      </c>
      <c r="F1938" s="1" t="s">
        <v>6076</v>
      </c>
      <c r="G1938" s="1" t="s">
        <v>7614</v>
      </c>
      <c r="H1938">
        <v>2017</v>
      </c>
      <c r="I1938">
        <v>2018</v>
      </c>
      <c r="J1938">
        <f t="shared" si="60"/>
        <v>2</v>
      </c>
      <c r="K1938" s="1" t="s">
        <v>6076</v>
      </c>
      <c r="L1938" s="1" t="s">
        <v>6076</v>
      </c>
      <c r="M1938">
        <f t="shared" si="61"/>
        <v>8</v>
      </c>
    </row>
    <row r="1939" spans="1:13" x14ac:dyDescent="0.3">
      <c r="A1939" s="1" t="s">
        <v>7623</v>
      </c>
      <c r="B1939" s="1" t="s">
        <v>5931</v>
      </c>
      <c r="C1939" s="1" t="s">
        <v>7624</v>
      </c>
      <c r="D1939" s="1" t="s">
        <v>738</v>
      </c>
      <c r="E1939" s="1" t="s">
        <v>6076</v>
      </c>
      <c r="F1939" s="1" t="s">
        <v>6076</v>
      </c>
      <c r="G1939" s="1" t="s">
        <v>7614</v>
      </c>
      <c r="H1939">
        <v>2019</v>
      </c>
      <c r="I1939">
        <v>2022</v>
      </c>
      <c r="J1939">
        <f t="shared" si="60"/>
        <v>4</v>
      </c>
      <c r="K1939" s="1" t="s">
        <v>6076</v>
      </c>
      <c r="L1939" s="1" t="s">
        <v>6076</v>
      </c>
      <c r="M1939">
        <f t="shared" si="61"/>
        <v>4</v>
      </c>
    </row>
    <row r="1940" spans="1:13" x14ac:dyDescent="0.3">
      <c r="A1940" t="s">
        <v>11772</v>
      </c>
      <c r="B1940" t="s">
        <v>5931</v>
      </c>
      <c r="C1940" t="s">
        <v>11773</v>
      </c>
      <c r="E1940" s="1" t="s">
        <v>6076</v>
      </c>
      <c r="F1940" s="1" t="s">
        <v>6076</v>
      </c>
      <c r="G1940" s="1" t="s">
        <v>7614</v>
      </c>
      <c r="H1940">
        <v>2024</v>
      </c>
      <c r="I1940">
        <v>2026</v>
      </c>
      <c r="J1940">
        <f t="shared" si="60"/>
        <v>3</v>
      </c>
      <c r="K1940" s="1" t="s">
        <v>6076</v>
      </c>
      <c r="L1940" s="1" t="s">
        <v>6076</v>
      </c>
      <c r="M1940">
        <f t="shared" si="61"/>
        <v>0</v>
      </c>
    </row>
    <row r="1941" spans="1:13" x14ac:dyDescent="0.3">
      <c r="A1941" s="1" t="s">
        <v>7625</v>
      </c>
      <c r="B1941" s="1" t="s">
        <v>5931</v>
      </c>
      <c r="C1941" s="1" t="s">
        <v>7626</v>
      </c>
      <c r="D1941" s="1" t="s">
        <v>738</v>
      </c>
      <c r="E1941" s="1" t="s">
        <v>6076</v>
      </c>
      <c r="F1941" s="1" t="s">
        <v>6076</v>
      </c>
      <c r="G1941" s="1" t="s">
        <v>7626</v>
      </c>
      <c r="H1941">
        <v>1995</v>
      </c>
      <c r="I1941">
        <v>2000</v>
      </c>
      <c r="J1941">
        <f t="shared" si="60"/>
        <v>6</v>
      </c>
      <c r="K1941" s="1" t="s">
        <v>6076</v>
      </c>
      <c r="L1941" s="1" t="s">
        <v>6076</v>
      </c>
      <c r="M1941">
        <f t="shared" si="61"/>
        <v>26</v>
      </c>
    </row>
    <row r="1942" spans="1:13" x14ac:dyDescent="0.3">
      <c r="A1942" s="1" t="s">
        <v>7627</v>
      </c>
      <c r="B1942" s="1" t="s">
        <v>5931</v>
      </c>
      <c r="C1942" s="1" t="s">
        <v>7628</v>
      </c>
      <c r="D1942" s="1" t="s">
        <v>738</v>
      </c>
      <c r="E1942" s="1" t="s">
        <v>6076</v>
      </c>
      <c r="F1942" s="1" t="s">
        <v>6076</v>
      </c>
      <c r="G1942" s="1" t="s">
        <v>7626</v>
      </c>
      <c r="H1942">
        <v>1993</v>
      </c>
      <c r="I1942">
        <v>2005</v>
      </c>
      <c r="J1942">
        <f t="shared" si="60"/>
        <v>13</v>
      </c>
      <c r="K1942" s="1" t="s">
        <v>6076</v>
      </c>
      <c r="L1942" s="1" t="s">
        <v>6076</v>
      </c>
      <c r="M1942">
        <f t="shared" si="61"/>
        <v>21</v>
      </c>
    </row>
    <row r="1943" spans="1:13" x14ac:dyDescent="0.3">
      <c r="A1943" s="1" t="s">
        <v>7629</v>
      </c>
      <c r="B1943" s="1" t="s">
        <v>5931</v>
      </c>
      <c r="C1943" s="1" t="s">
        <v>7630</v>
      </c>
      <c r="D1943" s="1" t="s">
        <v>738</v>
      </c>
      <c r="E1943" s="1" t="s">
        <v>6076</v>
      </c>
      <c r="F1943" s="1" t="s">
        <v>6076</v>
      </c>
      <c r="G1943" s="1" t="s">
        <v>7626</v>
      </c>
      <c r="H1943">
        <v>1996</v>
      </c>
      <c r="I1943">
        <v>2005</v>
      </c>
      <c r="J1943">
        <f t="shared" si="60"/>
        <v>10</v>
      </c>
      <c r="K1943" s="1" t="s">
        <v>6076</v>
      </c>
      <c r="L1943" s="1" t="s">
        <v>6076</v>
      </c>
      <c r="M1943">
        <f t="shared" si="61"/>
        <v>21</v>
      </c>
    </row>
    <row r="1944" spans="1:13" x14ac:dyDescent="0.3">
      <c r="A1944" s="1" t="s">
        <v>7631</v>
      </c>
      <c r="B1944" s="1" t="s">
        <v>5931</v>
      </c>
      <c r="C1944" s="1" t="s">
        <v>7632</v>
      </c>
      <c r="D1944" s="1" t="s">
        <v>738</v>
      </c>
      <c r="E1944" s="1" t="s">
        <v>6076</v>
      </c>
      <c r="F1944" s="1" t="s">
        <v>6076</v>
      </c>
      <c r="G1944" s="1" t="s">
        <v>7626</v>
      </c>
      <c r="H1944">
        <v>1993</v>
      </c>
      <c r="I1944">
        <v>1996</v>
      </c>
      <c r="J1944">
        <f t="shared" si="60"/>
        <v>4</v>
      </c>
      <c r="K1944" s="1" t="s">
        <v>6076</v>
      </c>
      <c r="L1944" s="1" t="s">
        <v>6076</v>
      </c>
      <c r="M1944">
        <f t="shared" si="61"/>
        <v>30</v>
      </c>
    </row>
    <row r="1945" spans="1:13" x14ac:dyDescent="0.3">
      <c r="A1945" s="1" t="s">
        <v>7633</v>
      </c>
      <c r="B1945" s="1" t="s">
        <v>5931</v>
      </c>
      <c r="C1945" s="1" t="s">
        <v>7634</v>
      </c>
      <c r="D1945" s="1" t="s">
        <v>3850</v>
      </c>
      <c r="E1945" s="1" t="s">
        <v>6076</v>
      </c>
      <c r="F1945" s="1" t="s">
        <v>6076</v>
      </c>
      <c r="G1945" s="1" t="s">
        <v>7626</v>
      </c>
      <c r="H1945">
        <v>1994</v>
      </c>
      <c r="I1945">
        <v>1996</v>
      </c>
      <c r="J1945">
        <f t="shared" si="60"/>
        <v>3</v>
      </c>
      <c r="K1945" s="1" t="s">
        <v>6076</v>
      </c>
      <c r="L1945" s="1" t="s">
        <v>6076</v>
      </c>
      <c r="M1945">
        <f t="shared" si="61"/>
        <v>30</v>
      </c>
    </row>
    <row r="1946" spans="1:13" x14ac:dyDescent="0.3">
      <c r="A1946" s="1" t="s">
        <v>7635</v>
      </c>
      <c r="B1946" s="1" t="s">
        <v>5931</v>
      </c>
      <c r="C1946" s="1" t="s">
        <v>7636</v>
      </c>
      <c r="D1946" s="1" t="s">
        <v>738</v>
      </c>
      <c r="E1946" s="1" t="s">
        <v>6076</v>
      </c>
      <c r="F1946" s="1" t="s">
        <v>6076</v>
      </c>
      <c r="G1946" s="1" t="s">
        <v>7626</v>
      </c>
      <c r="H1946">
        <v>2004</v>
      </c>
      <c r="I1946">
        <v>2004</v>
      </c>
      <c r="J1946">
        <f t="shared" si="60"/>
        <v>1</v>
      </c>
      <c r="K1946" s="1" t="s">
        <v>6076</v>
      </c>
      <c r="L1946" s="1" t="s">
        <v>6076</v>
      </c>
      <c r="M1946">
        <f t="shared" si="61"/>
        <v>22</v>
      </c>
    </row>
    <row r="1947" spans="1:13" x14ac:dyDescent="0.3">
      <c r="A1947" s="1" t="s">
        <v>7637</v>
      </c>
      <c r="B1947" s="1" t="s">
        <v>5931</v>
      </c>
      <c r="C1947" s="1" t="s">
        <v>7638</v>
      </c>
      <c r="D1947" s="1" t="s">
        <v>738</v>
      </c>
      <c r="E1947" s="1" t="s">
        <v>6076</v>
      </c>
      <c r="F1947" s="1" t="s">
        <v>6076</v>
      </c>
      <c r="G1947" s="1" t="s">
        <v>7626</v>
      </c>
      <c r="H1947">
        <v>1993</v>
      </c>
      <c r="I1947">
        <v>2001</v>
      </c>
      <c r="J1947">
        <f t="shared" si="60"/>
        <v>9</v>
      </c>
      <c r="K1947" s="1" t="s">
        <v>6076</v>
      </c>
      <c r="L1947" s="1" t="s">
        <v>6076</v>
      </c>
      <c r="M1947">
        <f t="shared" si="61"/>
        <v>25</v>
      </c>
    </row>
    <row r="1948" spans="1:13" x14ac:dyDescent="0.3">
      <c r="A1948" s="1" t="s">
        <v>7639</v>
      </c>
      <c r="B1948" s="1" t="s">
        <v>5931</v>
      </c>
      <c r="C1948" s="1" t="s">
        <v>7640</v>
      </c>
      <c r="D1948" s="1" t="s">
        <v>738</v>
      </c>
      <c r="E1948" s="1" t="s">
        <v>6076</v>
      </c>
      <c r="F1948" s="1" t="s">
        <v>6076</v>
      </c>
      <c r="G1948" s="1" t="s">
        <v>7641</v>
      </c>
      <c r="H1948">
        <v>2010</v>
      </c>
      <c r="I1948">
        <v>2012</v>
      </c>
      <c r="J1948">
        <f t="shared" si="60"/>
        <v>3</v>
      </c>
      <c r="K1948" s="1" t="s">
        <v>6076</v>
      </c>
      <c r="L1948" s="1" t="s">
        <v>6076</v>
      </c>
      <c r="M1948">
        <f t="shared" si="61"/>
        <v>14</v>
      </c>
    </row>
    <row r="1949" spans="1:13" x14ac:dyDescent="0.3">
      <c r="A1949" s="1" t="s">
        <v>7642</v>
      </c>
      <c r="B1949" s="1" t="s">
        <v>5931</v>
      </c>
      <c r="C1949" s="1" t="s">
        <v>7643</v>
      </c>
      <c r="D1949" s="1" t="s">
        <v>738</v>
      </c>
      <c r="E1949" s="1" t="s">
        <v>6076</v>
      </c>
      <c r="F1949" s="1" t="s">
        <v>6076</v>
      </c>
      <c r="G1949" s="1" t="s">
        <v>7641</v>
      </c>
      <c r="H1949">
        <v>2005</v>
      </c>
      <c r="I1949">
        <v>2007</v>
      </c>
      <c r="J1949">
        <f t="shared" si="60"/>
        <v>3</v>
      </c>
      <c r="K1949" s="1" t="s">
        <v>6076</v>
      </c>
      <c r="L1949" s="1" t="s">
        <v>6076</v>
      </c>
      <c r="M1949">
        <f t="shared" si="61"/>
        <v>19</v>
      </c>
    </row>
    <row r="1950" spans="1:13" x14ac:dyDescent="0.3">
      <c r="A1950" s="1" t="s">
        <v>7644</v>
      </c>
      <c r="B1950" s="1" t="s">
        <v>5931</v>
      </c>
      <c r="C1950" s="1" t="s">
        <v>7645</v>
      </c>
      <c r="D1950" s="1" t="s">
        <v>3850</v>
      </c>
      <c r="E1950" s="1" t="s">
        <v>6076</v>
      </c>
      <c r="F1950" s="1" t="s">
        <v>6076</v>
      </c>
      <c r="G1950" s="1" t="s">
        <v>7641</v>
      </c>
      <c r="H1950">
        <v>2010</v>
      </c>
      <c r="I1950">
        <v>2012</v>
      </c>
      <c r="J1950">
        <f t="shared" si="60"/>
        <v>3</v>
      </c>
      <c r="K1950" s="1" t="s">
        <v>6076</v>
      </c>
      <c r="L1950" s="1" t="s">
        <v>6076</v>
      </c>
      <c r="M1950">
        <f t="shared" si="61"/>
        <v>14</v>
      </c>
    </row>
    <row r="1951" spans="1:13" x14ac:dyDescent="0.3">
      <c r="A1951" s="1" t="s">
        <v>7646</v>
      </c>
      <c r="B1951" s="1" t="s">
        <v>5931</v>
      </c>
      <c r="C1951" s="1" t="s">
        <v>7647</v>
      </c>
      <c r="D1951" s="1" t="s">
        <v>738</v>
      </c>
      <c r="E1951" s="1" t="s">
        <v>6076</v>
      </c>
      <c r="F1951" s="1" t="s">
        <v>6076</v>
      </c>
      <c r="G1951" s="1" t="s">
        <v>7641</v>
      </c>
      <c r="H1951">
        <v>2012</v>
      </c>
      <c r="I1951">
        <v>2014</v>
      </c>
      <c r="J1951">
        <f t="shared" si="60"/>
        <v>3</v>
      </c>
      <c r="K1951" s="1" t="s">
        <v>6076</v>
      </c>
      <c r="L1951" s="1" t="s">
        <v>6076</v>
      </c>
      <c r="M1951">
        <f t="shared" si="61"/>
        <v>12</v>
      </c>
    </row>
    <row r="1952" spans="1:13" x14ac:dyDescent="0.3">
      <c r="A1952" s="1" t="s">
        <v>7648</v>
      </c>
      <c r="B1952" s="1" t="s">
        <v>5931</v>
      </c>
      <c r="C1952" s="1" t="s">
        <v>7649</v>
      </c>
      <c r="D1952" s="1" t="s">
        <v>3850</v>
      </c>
      <c r="E1952" s="1" t="s">
        <v>6076</v>
      </c>
      <c r="F1952" s="1" t="s">
        <v>6076</v>
      </c>
      <c r="G1952" s="1" t="s">
        <v>7641</v>
      </c>
      <c r="H1952">
        <v>2013</v>
      </c>
      <c r="I1952">
        <v>2015</v>
      </c>
      <c r="J1952">
        <f t="shared" si="60"/>
        <v>3</v>
      </c>
      <c r="K1952" s="1" t="s">
        <v>6076</v>
      </c>
      <c r="L1952" s="1" t="s">
        <v>6076</v>
      </c>
      <c r="M1952">
        <f t="shared" si="61"/>
        <v>11</v>
      </c>
    </row>
    <row r="1953" spans="1:13" x14ac:dyDescent="0.3">
      <c r="A1953" s="1" t="s">
        <v>7650</v>
      </c>
      <c r="B1953" s="1" t="s">
        <v>5931</v>
      </c>
      <c r="C1953" s="1" t="s">
        <v>7651</v>
      </c>
      <c r="D1953" s="1" t="s">
        <v>738</v>
      </c>
      <c r="E1953" s="1" t="s">
        <v>6076</v>
      </c>
      <c r="F1953" s="1" t="s">
        <v>6076</v>
      </c>
      <c r="G1953" s="1" t="s">
        <v>7641</v>
      </c>
      <c r="H1953">
        <v>2012</v>
      </c>
      <c r="I1953">
        <v>2012</v>
      </c>
      <c r="J1953">
        <f t="shared" si="60"/>
        <v>1</v>
      </c>
      <c r="K1953" s="1" t="s">
        <v>6076</v>
      </c>
      <c r="L1953" s="1" t="s">
        <v>6076</v>
      </c>
      <c r="M1953">
        <f t="shared" si="61"/>
        <v>14</v>
      </c>
    </row>
    <row r="1954" spans="1:13" x14ac:dyDescent="0.3">
      <c r="A1954" s="1" t="s">
        <v>7652</v>
      </c>
      <c r="B1954" s="1" t="s">
        <v>5931</v>
      </c>
      <c r="C1954" s="1" t="s">
        <v>7653</v>
      </c>
      <c r="D1954" s="1" t="s">
        <v>738</v>
      </c>
      <c r="E1954" s="1" t="s">
        <v>6076</v>
      </c>
      <c r="F1954" s="1" t="s">
        <v>6076</v>
      </c>
      <c r="G1954" s="1" t="s">
        <v>7641</v>
      </c>
      <c r="H1954">
        <v>2012</v>
      </c>
      <c r="I1954">
        <v>2012</v>
      </c>
      <c r="J1954">
        <f t="shared" si="60"/>
        <v>1</v>
      </c>
      <c r="K1954" s="1" t="s">
        <v>6076</v>
      </c>
      <c r="L1954" s="1" t="s">
        <v>6076</v>
      </c>
      <c r="M1954">
        <f t="shared" si="61"/>
        <v>14</v>
      </c>
    </row>
    <row r="1955" spans="1:13" x14ac:dyDescent="0.3">
      <c r="A1955" s="1" t="s">
        <v>7654</v>
      </c>
      <c r="B1955" s="1" t="s">
        <v>5931</v>
      </c>
      <c r="C1955" s="1" t="s">
        <v>7655</v>
      </c>
      <c r="D1955" s="1" t="s">
        <v>3850</v>
      </c>
      <c r="E1955" s="1" t="s">
        <v>6076</v>
      </c>
      <c r="F1955" s="1" t="s">
        <v>6076</v>
      </c>
      <c r="G1955" s="1" t="s">
        <v>7641</v>
      </c>
      <c r="H1955">
        <v>2010</v>
      </c>
      <c r="I1955">
        <v>2012</v>
      </c>
      <c r="J1955">
        <f t="shared" si="60"/>
        <v>3</v>
      </c>
      <c r="K1955" s="1" t="s">
        <v>6076</v>
      </c>
      <c r="L1955" s="1" t="s">
        <v>6076</v>
      </c>
      <c r="M1955">
        <f t="shared" si="61"/>
        <v>14</v>
      </c>
    </row>
    <row r="1956" spans="1:13" x14ac:dyDescent="0.3">
      <c r="A1956" s="1" t="s">
        <v>7656</v>
      </c>
      <c r="B1956" s="1" t="s">
        <v>5931</v>
      </c>
      <c r="C1956" s="1" t="s">
        <v>7657</v>
      </c>
      <c r="D1956" s="1" t="s">
        <v>738</v>
      </c>
      <c r="E1956" s="1" t="s">
        <v>6076</v>
      </c>
      <c r="F1956" s="1" t="s">
        <v>6076</v>
      </c>
      <c r="G1956" s="1" t="s">
        <v>7641</v>
      </c>
      <c r="H1956">
        <v>2008</v>
      </c>
      <c r="I1956">
        <v>2010</v>
      </c>
      <c r="J1956">
        <f t="shared" si="60"/>
        <v>3</v>
      </c>
      <c r="K1956" s="1" t="s">
        <v>6076</v>
      </c>
      <c r="L1956" s="1" t="s">
        <v>6076</v>
      </c>
      <c r="M1956">
        <f t="shared" si="61"/>
        <v>16</v>
      </c>
    </row>
    <row r="1957" spans="1:13" x14ac:dyDescent="0.3">
      <c r="A1957" s="1" t="s">
        <v>7658</v>
      </c>
      <c r="B1957" s="1" t="s">
        <v>5931</v>
      </c>
      <c r="C1957" s="1" t="s">
        <v>7659</v>
      </c>
      <c r="D1957" s="1" t="s">
        <v>738</v>
      </c>
      <c r="E1957" s="1" t="s">
        <v>6076</v>
      </c>
      <c r="F1957" s="1" t="s">
        <v>6076</v>
      </c>
      <c r="G1957" s="1" t="s">
        <v>7641</v>
      </c>
      <c r="H1957">
        <v>2006</v>
      </c>
      <c r="I1957">
        <v>2007</v>
      </c>
      <c r="J1957">
        <f t="shared" si="60"/>
        <v>2</v>
      </c>
      <c r="K1957" s="1" t="s">
        <v>6076</v>
      </c>
      <c r="L1957" s="1" t="s">
        <v>6076</v>
      </c>
      <c r="M1957">
        <f t="shared" si="61"/>
        <v>19</v>
      </c>
    </row>
    <row r="1958" spans="1:13" x14ac:dyDescent="0.3">
      <c r="A1958" s="1" t="s">
        <v>7660</v>
      </c>
      <c r="B1958" s="1" t="s">
        <v>5931</v>
      </c>
      <c r="C1958" s="1" t="s">
        <v>7661</v>
      </c>
      <c r="D1958" s="1" t="s">
        <v>738</v>
      </c>
      <c r="E1958" s="1" t="s">
        <v>6076</v>
      </c>
      <c r="F1958" s="1" t="s">
        <v>6076</v>
      </c>
      <c r="G1958" s="1" t="s">
        <v>7662</v>
      </c>
      <c r="H1958">
        <v>2015</v>
      </c>
      <c r="I1958">
        <v>2016</v>
      </c>
      <c r="J1958">
        <f t="shared" si="60"/>
        <v>2</v>
      </c>
      <c r="K1958" s="1" t="s">
        <v>6076</v>
      </c>
      <c r="L1958" s="1" t="s">
        <v>6076</v>
      </c>
      <c r="M1958">
        <f t="shared" si="61"/>
        <v>10</v>
      </c>
    </row>
    <row r="1959" spans="1:13" x14ac:dyDescent="0.3">
      <c r="A1959" s="1" t="s">
        <v>7663</v>
      </c>
      <c r="B1959" s="1" t="s">
        <v>5931</v>
      </c>
      <c r="C1959" s="1" t="s">
        <v>7664</v>
      </c>
      <c r="D1959" s="1" t="s">
        <v>3850</v>
      </c>
      <c r="E1959" s="1" t="s">
        <v>6076</v>
      </c>
      <c r="F1959" s="1" t="s">
        <v>6076</v>
      </c>
      <c r="G1959" s="1" t="s">
        <v>7662</v>
      </c>
      <c r="H1959">
        <v>2015</v>
      </c>
      <c r="I1959">
        <v>2016</v>
      </c>
      <c r="J1959">
        <f t="shared" si="60"/>
        <v>2</v>
      </c>
      <c r="K1959" s="1" t="s">
        <v>6076</v>
      </c>
      <c r="L1959" s="1" t="s">
        <v>6076</v>
      </c>
      <c r="M1959">
        <f t="shared" si="61"/>
        <v>10</v>
      </c>
    </row>
    <row r="1960" spans="1:13" x14ac:dyDescent="0.3">
      <c r="A1960" s="1" t="s">
        <v>7665</v>
      </c>
      <c r="B1960" s="1" t="s">
        <v>5931</v>
      </c>
      <c r="C1960" s="1" t="s">
        <v>7666</v>
      </c>
      <c r="D1960" s="1" t="s">
        <v>738</v>
      </c>
      <c r="E1960" s="1" t="s">
        <v>6076</v>
      </c>
      <c r="F1960" s="1" t="s">
        <v>6076</v>
      </c>
      <c r="G1960" s="1" t="s">
        <v>7667</v>
      </c>
      <c r="H1960">
        <v>1993</v>
      </c>
      <c r="I1960">
        <v>1998</v>
      </c>
      <c r="J1960">
        <f t="shared" si="60"/>
        <v>6</v>
      </c>
      <c r="K1960" s="1" t="s">
        <v>6076</v>
      </c>
      <c r="L1960" s="1" t="s">
        <v>6076</v>
      </c>
      <c r="M1960">
        <f t="shared" si="61"/>
        <v>28</v>
      </c>
    </row>
    <row r="1961" spans="1:13" x14ac:dyDescent="0.3">
      <c r="A1961" s="1" t="s">
        <v>7668</v>
      </c>
      <c r="B1961" s="1" t="s">
        <v>5931</v>
      </c>
      <c r="C1961" s="1" t="s">
        <v>7669</v>
      </c>
      <c r="D1961" s="1" t="s">
        <v>738</v>
      </c>
      <c r="E1961" s="1" t="s">
        <v>6076</v>
      </c>
      <c r="F1961" s="1" t="s">
        <v>6076</v>
      </c>
      <c r="G1961" s="1" t="s">
        <v>7667</v>
      </c>
      <c r="H1961">
        <v>1997</v>
      </c>
      <c r="I1961">
        <v>1998</v>
      </c>
      <c r="J1961">
        <f t="shared" si="60"/>
        <v>2</v>
      </c>
      <c r="K1961" s="1" t="s">
        <v>6076</v>
      </c>
      <c r="L1961" s="1" t="s">
        <v>6076</v>
      </c>
      <c r="M1961">
        <f t="shared" si="61"/>
        <v>28</v>
      </c>
    </row>
    <row r="1962" spans="1:13" x14ac:dyDescent="0.3">
      <c r="A1962" s="1" t="s">
        <v>7670</v>
      </c>
      <c r="B1962" s="1" t="s">
        <v>5931</v>
      </c>
      <c r="C1962" s="1" t="s">
        <v>7671</v>
      </c>
      <c r="D1962" s="1" t="s">
        <v>738</v>
      </c>
      <c r="E1962" s="1" t="s">
        <v>6076</v>
      </c>
      <c r="F1962" s="1" t="s">
        <v>6076</v>
      </c>
      <c r="G1962" s="1" t="s">
        <v>7672</v>
      </c>
      <c r="H1962">
        <v>2017</v>
      </c>
      <c r="I1962">
        <v>2018</v>
      </c>
      <c r="J1962">
        <f t="shared" si="60"/>
        <v>2</v>
      </c>
      <c r="K1962" s="1" t="s">
        <v>6076</v>
      </c>
      <c r="L1962" s="1" t="s">
        <v>6076</v>
      </c>
      <c r="M1962">
        <f t="shared" si="61"/>
        <v>8</v>
      </c>
    </row>
    <row r="1963" spans="1:13" x14ac:dyDescent="0.3">
      <c r="A1963" s="1" t="s">
        <v>7673</v>
      </c>
      <c r="B1963" s="1" t="s">
        <v>5931</v>
      </c>
      <c r="C1963" s="1" t="s">
        <v>7674</v>
      </c>
      <c r="D1963" s="1" t="s">
        <v>738</v>
      </c>
      <c r="E1963" s="1" t="s">
        <v>6076</v>
      </c>
      <c r="F1963" s="1" t="s">
        <v>6076</v>
      </c>
      <c r="G1963" s="1" t="s">
        <v>7675</v>
      </c>
      <c r="H1963">
        <v>1997</v>
      </c>
      <c r="I1963">
        <v>2002</v>
      </c>
      <c r="J1963">
        <f t="shared" si="60"/>
        <v>6</v>
      </c>
      <c r="K1963" s="1" t="s">
        <v>6076</v>
      </c>
      <c r="L1963" s="1" t="s">
        <v>6076</v>
      </c>
      <c r="M1963">
        <f t="shared" si="61"/>
        <v>24</v>
      </c>
    </row>
    <row r="1964" spans="1:13" x14ac:dyDescent="0.3">
      <c r="A1964" s="1" t="s">
        <v>7676</v>
      </c>
      <c r="B1964" s="1" t="s">
        <v>5931</v>
      </c>
      <c r="C1964" s="1" t="s">
        <v>7677</v>
      </c>
      <c r="D1964" s="1" t="s">
        <v>738</v>
      </c>
      <c r="E1964" s="1" t="s">
        <v>6076</v>
      </c>
      <c r="F1964" s="1" t="s">
        <v>6076</v>
      </c>
      <c r="G1964" s="1" t="s">
        <v>7675</v>
      </c>
      <c r="H1964">
        <v>1997</v>
      </c>
      <c r="I1964">
        <v>2002</v>
      </c>
      <c r="J1964">
        <f t="shared" si="60"/>
        <v>6</v>
      </c>
      <c r="K1964" s="1" t="s">
        <v>6076</v>
      </c>
      <c r="L1964" s="1" t="s">
        <v>6076</v>
      </c>
      <c r="M1964">
        <f t="shared" si="61"/>
        <v>24</v>
      </c>
    </row>
    <row r="1965" spans="1:13" x14ac:dyDescent="0.3">
      <c r="A1965" s="1" t="s">
        <v>7678</v>
      </c>
      <c r="B1965" s="1" t="s">
        <v>5931</v>
      </c>
      <c r="C1965" s="1" t="s">
        <v>7679</v>
      </c>
      <c r="D1965" s="1" t="s">
        <v>738</v>
      </c>
      <c r="E1965" s="1" t="s">
        <v>6076</v>
      </c>
      <c r="F1965" s="1" t="s">
        <v>6076</v>
      </c>
      <c r="G1965" s="1" t="s">
        <v>7675</v>
      </c>
      <c r="H1965">
        <v>1997</v>
      </c>
      <c r="I1965">
        <v>2001</v>
      </c>
      <c r="J1965">
        <f t="shared" si="60"/>
        <v>5</v>
      </c>
      <c r="K1965" s="1" t="s">
        <v>6076</v>
      </c>
      <c r="L1965" s="1" t="s">
        <v>6076</v>
      </c>
      <c r="M1965">
        <f t="shared" si="61"/>
        <v>25</v>
      </c>
    </row>
    <row r="1966" spans="1:13" x14ac:dyDescent="0.3">
      <c r="A1966" s="1" t="s">
        <v>7680</v>
      </c>
      <c r="B1966" s="1" t="s">
        <v>5931</v>
      </c>
      <c r="C1966" s="1" t="s">
        <v>7681</v>
      </c>
      <c r="D1966" s="1" t="s">
        <v>738</v>
      </c>
      <c r="E1966" s="1" t="s">
        <v>6076</v>
      </c>
      <c r="F1966" s="1" t="s">
        <v>6076</v>
      </c>
      <c r="G1966" s="1" t="s">
        <v>7682</v>
      </c>
      <c r="H1966">
        <v>2009</v>
      </c>
      <c r="I1966">
        <v>2011</v>
      </c>
      <c r="J1966">
        <f t="shared" si="60"/>
        <v>3</v>
      </c>
      <c r="K1966" s="1" t="s">
        <v>6076</v>
      </c>
      <c r="L1966" s="1" t="s">
        <v>6076</v>
      </c>
      <c r="M1966">
        <f t="shared" si="61"/>
        <v>15</v>
      </c>
    </row>
    <row r="1967" spans="1:13" x14ac:dyDescent="0.3">
      <c r="A1967" s="1" t="s">
        <v>7683</v>
      </c>
      <c r="B1967" s="1" t="s">
        <v>5931</v>
      </c>
      <c r="C1967" s="1" t="s">
        <v>7684</v>
      </c>
      <c r="D1967" s="1" t="s">
        <v>738</v>
      </c>
      <c r="E1967" s="1" t="s">
        <v>6076</v>
      </c>
      <c r="F1967" s="1" t="s">
        <v>6076</v>
      </c>
      <c r="G1967" s="1" t="s">
        <v>7682</v>
      </c>
      <c r="H1967">
        <v>2004</v>
      </c>
      <c r="I1967">
        <v>2012</v>
      </c>
      <c r="J1967">
        <f t="shared" si="60"/>
        <v>9</v>
      </c>
      <c r="K1967" s="1" t="s">
        <v>6076</v>
      </c>
      <c r="L1967" s="1" t="s">
        <v>6076</v>
      </c>
      <c r="M1967">
        <f t="shared" si="61"/>
        <v>14</v>
      </c>
    </row>
    <row r="1968" spans="1:13" x14ac:dyDescent="0.3">
      <c r="A1968" s="1" t="s">
        <v>7685</v>
      </c>
      <c r="B1968" s="1" t="s">
        <v>5931</v>
      </c>
      <c r="C1968" s="1" t="s">
        <v>7686</v>
      </c>
      <c r="D1968" s="1" t="s">
        <v>738</v>
      </c>
      <c r="E1968" s="1" t="s">
        <v>6076</v>
      </c>
      <c r="F1968" s="1" t="s">
        <v>6076</v>
      </c>
      <c r="G1968" s="1" t="s">
        <v>7682</v>
      </c>
      <c r="H1968">
        <v>2012</v>
      </c>
      <c r="I1968">
        <v>2014</v>
      </c>
      <c r="J1968">
        <f t="shared" si="60"/>
        <v>3</v>
      </c>
      <c r="K1968" s="1" t="s">
        <v>6076</v>
      </c>
      <c r="L1968" s="1" t="s">
        <v>6076</v>
      </c>
      <c r="M1968">
        <f t="shared" si="61"/>
        <v>12</v>
      </c>
    </row>
    <row r="1969" spans="1:13" x14ac:dyDescent="0.3">
      <c r="A1969" s="1" t="s">
        <v>7687</v>
      </c>
      <c r="B1969" s="1" t="s">
        <v>5931</v>
      </c>
      <c r="C1969" s="1" t="s">
        <v>7688</v>
      </c>
      <c r="D1969" s="1" t="s">
        <v>738</v>
      </c>
      <c r="E1969" s="1" t="s">
        <v>6076</v>
      </c>
      <c r="F1969" s="1" t="s">
        <v>6076</v>
      </c>
      <c r="G1969" s="1" t="s">
        <v>7682</v>
      </c>
      <c r="H1969">
        <v>2011</v>
      </c>
      <c r="I1969">
        <v>2012</v>
      </c>
      <c r="J1969">
        <f t="shared" si="60"/>
        <v>2</v>
      </c>
      <c r="K1969" s="1" t="s">
        <v>6076</v>
      </c>
      <c r="L1969" s="1" t="s">
        <v>6076</v>
      </c>
      <c r="M1969">
        <f t="shared" si="61"/>
        <v>14</v>
      </c>
    </row>
    <row r="1970" spans="1:13" x14ac:dyDescent="0.3">
      <c r="A1970" s="1" t="s">
        <v>7689</v>
      </c>
      <c r="B1970" s="1" t="s">
        <v>5931</v>
      </c>
      <c r="C1970" s="1" t="s">
        <v>7690</v>
      </c>
      <c r="D1970" s="1" t="s">
        <v>3850</v>
      </c>
      <c r="E1970" s="1" t="s">
        <v>6076</v>
      </c>
      <c r="F1970" s="1" t="s">
        <v>6076</v>
      </c>
      <c r="G1970" s="1" t="s">
        <v>7682</v>
      </c>
      <c r="H1970">
        <v>2012</v>
      </c>
      <c r="I1970">
        <v>2012</v>
      </c>
      <c r="J1970">
        <f t="shared" si="60"/>
        <v>1</v>
      </c>
      <c r="K1970" s="1" t="s">
        <v>6076</v>
      </c>
      <c r="L1970" s="1" t="s">
        <v>6076</v>
      </c>
      <c r="M1970">
        <f t="shared" si="61"/>
        <v>14</v>
      </c>
    </row>
    <row r="1971" spans="1:13" x14ac:dyDescent="0.3">
      <c r="A1971" s="1" t="s">
        <v>7691</v>
      </c>
      <c r="B1971" s="1" t="s">
        <v>5931</v>
      </c>
      <c r="C1971" s="1" t="s">
        <v>7692</v>
      </c>
      <c r="D1971" s="1" t="s">
        <v>3850</v>
      </c>
      <c r="E1971" s="1" t="s">
        <v>6076</v>
      </c>
      <c r="F1971" s="1" t="s">
        <v>6076</v>
      </c>
      <c r="G1971" s="1" t="s">
        <v>7682</v>
      </c>
      <c r="H1971">
        <v>2010</v>
      </c>
      <c r="I1971">
        <v>2011</v>
      </c>
      <c r="J1971">
        <f t="shared" si="60"/>
        <v>2</v>
      </c>
      <c r="K1971" s="1" t="s">
        <v>6076</v>
      </c>
      <c r="L1971" s="1" t="s">
        <v>6076</v>
      </c>
      <c r="M1971">
        <f t="shared" si="61"/>
        <v>15</v>
      </c>
    </row>
    <row r="1972" spans="1:13" x14ac:dyDescent="0.3">
      <c r="A1972" s="1" t="s">
        <v>7693</v>
      </c>
      <c r="B1972" s="1" t="s">
        <v>5931</v>
      </c>
      <c r="C1972" s="1" t="s">
        <v>7694</v>
      </c>
      <c r="D1972" s="1" t="s">
        <v>738</v>
      </c>
      <c r="E1972" s="1" t="s">
        <v>6076</v>
      </c>
      <c r="F1972" s="1" t="s">
        <v>6076</v>
      </c>
      <c r="G1972" s="1" t="s">
        <v>7682</v>
      </c>
      <c r="H1972">
        <v>2003</v>
      </c>
      <c r="I1972">
        <v>2007</v>
      </c>
      <c r="J1972">
        <f t="shared" si="60"/>
        <v>5</v>
      </c>
      <c r="K1972" s="1" t="s">
        <v>6076</v>
      </c>
      <c r="L1972" s="1" t="s">
        <v>6076</v>
      </c>
      <c r="M1972">
        <f t="shared" si="61"/>
        <v>19</v>
      </c>
    </row>
    <row r="1973" spans="1:13" x14ac:dyDescent="0.3">
      <c r="A1973" s="1" t="s">
        <v>7695</v>
      </c>
      <c r="B1973" s="1" t="s">
        <v>5931</v>
      </c>
      <c r="C1973" s="1" t="s">
        <v>7696</v>
      </c>
      <c r="D1973" s="1" t="s">
        <v>738</v>
      </c>
      <c r="E1973" s="1" t="s">
        <v>6076</v>
      </c>
      <c r="F1973" s="1" t="s">
        <v>6076</v>
      </c>
      <c r="G1973" s="1" t="s">
        <v>7682</v>
      </c>
      <c r="H1973">
        <v>2008</v>
      </c>
      <c r="I1973">
        <v>2010</v>
      </c>
      <c r="J1973">
        <f t="shared" si="60"/>
        <v>3</v>
      </c>
      <c r="K1973" s="1" t="s">
        <v>6076</v>
      </c>
      <c r="L1973" s="1" t="s">
        <v>6076</v>
      </c>
      <c r="M1973">
        <f t="shared" si="61"/>
        <v>16</v>
      </c>
    </row>
    <row r="1974" spans="1:13" x14ac:dyDescent="0.3">
      <c r="A1974" s="1" t="s">
        <v>7697</v>
      </c>
      <c r="B1974" s="1" t="s">
        <v>5931</v>
      </c>
      <c r="C1974" s="1" t="s">
        <v>7698</v>
      </c>
      <c r="D1974" s="1" t="s">
        <v>738</v>
      </c>
      <c r="E1974" s="1" t="s">
        <v>6076</v>
      </c>
      <c r="F1974" s="1" t="s">
        <v>6076</v>
      </c>
      <c r="G1974" s="1" t="s">
        <v>7682</v>
      </c>
      <c r="H1974">
        <v>2004</v>
      </c>
      <c r="I1974">
        <v>2011</v>
      </c>
      <c r="J1974">
        <f t="shared" si="60"/>
        <v>8</v>
      </c>
      <c r="K1974" s="1" t="s">
        <v>6076</v>
      </c>
      <c r="L1974" s="1" t="s">
        <v>6076</v>
      </c>
      <c r="M1974">
        <f t="shared" si="61"/>
        <v>15</v>
      </c>
    </row>
    <row r="1975" spans="1:13" x14ac:dyDescent="0.3">
      <c r="A1975" s="1" t="s">
        <v>7699</v>
      </c>
      <c r="B1975" s="1" t="s">
        <v>5931</v>
      </c>
      <c r="C1975" s="1" t="s">
        <v>7700</v>
      </c>
      <c r="D1975" s="1" t="s">
        <v>738</v>
      </c>
      <c r="E1975" s="1" t="s">
        <v>6076</v>
      </c>
      <c r="F1975" s="1" t="s">
        <v>6076</v>
      </c>
      <c r="G1975" s="1" t="s">
        <v>7701</v>
      </c>
      <c r="H1975">
        <v>2019</v>
      </c>
      <c r="I1975">
        <v>2022</v>
      </c>
      <c r="J1975">
        <f t="shared" si="60"/>
        <v>4</v>
      </c>
      <c r="K1975" s="1" t="s">
        <v>6076</v>
      </c>
      <c r="L1975" s="1" t="s">
        <v>6076</v>
      </c>
      <c r="M1975">
        <f t="shared" si="61"/>
        <v>4</v>
      </c>
    </row>
    <row r="1976" spans="1:13" x14ac:dyDescent="0.3">
      <c r="A1976" s="1" t="s">
        <v>7702</v>
      </c>
      <c r="B1976" s="1" t="s">
        <v>5931</v>
      </c>
      <c r="C1976" s="1" t="s">
        <v>7703</v>
      </c>
      <c r="D1976" s="1" t="s">
        <v>738</v>
      </c>
      <c r="E1976" s="1" t="s">
        <v>6076</v>
      </c>
      <c r="F1976" s="1" t="s">
        <v>6076</v>
      </c>
      <c r="G1976" s="1" t="s">
        <v>7704</v>
      </c>
      <c r="H1976">
        <v>1998</v>
      </c>
      <c r="I1976">
        <v>2006</v>
      </c>
      <c r="J1976">
        <f t="shared" si="60"/>
        <v>9</v>
      </c>
      <c r="K1976" s="1" t="s">
        <v>6076</v>
      </c>
      <c r="L1976" s="1" t="s">
        <v>6076</v>
      </c>
      <c r="M1976">
        <f t="shared" si="61"/>
        <v>20</v>
      </c>
    </row>
    <row r="1977" spans="1:13" x14ac:dyDescent="0.3">
      <c r="A1977" s="1" t="s">
        <v>7705</v>
      </c>
      <c r="B1977" s="1" t="s">
        <v>5931</v>
      </c>
      <c r="C1977" s="1" t="s">
        <v>7706</v>
      </c>
      <c r="D1977" s="1" t="s">
        <v>738</v>
      </c>
      <c r="E1977" s="1" t="s">
        <v>6076</v>
      </c>
      <c r="F1977" s="1" t="s">
        <v>6076</v>
      </c>
      <c r="G1977" s="1" t="s">
        <v>7704</v>
      </c>
      <c r="H1977">
        <v>2004</v>
      </c>
      <c r="I1977">
        <v>2006</v>
      </c>
      <c r="J1977">
        <f t="shared" si="60"/>
        <v>3</v>
      </c>
      <c r="K1977" s="1" t="s">
        <v>6076</v>
      </c>
      <c r="L1977" s="1" t="s">
        <v>6076</v>
      </c>
      <c r="M1977">
        <f t="shared" si="61"/>
        <v>20</v>
      </c>
    </row>
    <row r="1978" spans="1:13" x14ac:dyDescent="0.3">
      <c r="A1978" s="1" t="s">
        <v>7707</v>
      </c>
      <c r="B1978" s="1" t="s">
        <v>5931</v>
      </c>
      <c r="C1978" s="1" t="s">
        <v>7708</v>
      </c>
      <c r="D1978" s="1" t="s">
        <v>738</v>
      </c>
      <c r="E1978" s="1" t="s">
        <v>6076</v>
      </c>
      <c r="F1978" s="1" t="s">
        <v>6076</v>
      </c>
      <c r="G1978" s="1" t="s">
        <v>7709</v>
      </c>
      <c r="H1978">
        <v>2012</v>
      </c>
      <c r="I1978">
        <v>2016</v>
      </c>
      <c r="J1978">
        <f t="shared" si="60"/>
        <v>5</v>
      </c>
      <c r="K1978" s="1" t="s">
        <v>6076</v>
      </c>
      <c r="L1978" s="1" t="s">
        <v>6076</v>
      </c>
      <c r="M1978">
        <f t="shared" si="61"/>
        <v>10</v>
      </c>
    </row>
    <row r="1979" spans="1:13" x14ac:dyDescent="0.3">
      <c r="A1979" s="1" t="s">
        <v>7710</v>
      </c>
      <c r="B1979" s="1" t="s">
        <v>5931</v>
      </c>
      <c r="C1979" s="1" t="s">
        <v>7711</v>
      </c>
      <c r="D1979" s="1" t="s">
        <v>738</v>
      </c>
      <c r="E1979" s="1" t="s">
        <v>6076</v>
      </c>
      <c r="F1979" s="1" t="s">
        <v>6076</v>
      </c>
      <c r="G1979" s="1" t="s">
        <v>7709</v>
      </c>
      <c r="H1979">
        <v>2007</v>
      </c>
      <c r="I1979">
        <v>2012</v>
      </c>
      <c r="J1979">
        <f t="shared" si="60"/>
        <v>6</v>
      </c>
      <c r="K1979" s="1" t="s">
        <v>6076</v>
      </c>
      <c r="L1979" s="1" t="s">
        <v>6076</v>
      </c>
      <c r="M1979">
        <f t="shared" si="61"/>
        <v>14</v>
      </c>
    </row>
    <row r="1980" spans="1:13" x14ac:dyDescent="0.3">
      <c r="A1980" s="1" t="s">
        <v>7712</v>
      </c>
      <c r="B1980" s="1" t="s">
        <v>5931</v>
      </c>
      <c r="C1980" s="1" t="s">
        <v>7713</v>
      </c>
      <c r="D1980" s="1" t="s">
        <v>738</v>
      </c>
      <c r="E1980" s="1" t="s">
        <v>6076</v>
      </c>
      <c r="F1980" s="1" t="s">
        <v>6076</v>
      </c>
      <c r="G1980" s="1" t="s">
        <v>7709</v>
      </c>
      <c r="H1980">
        <v>2017</v>
      </c>
      <c r="I1980">
        <v>2022</v>
      </c>
      <c r="J1980">
        <f t="shared" si="60"/>
        <v>6</v>
      </c>
      <c r="K1980" s="1" t="s">
        <v>6076</v>
      </c>
      <c r="L1980" s="1" t="s">
        <v>6076</v>
      </c>
      <c r="M1980">
        <f t="shared" si="61"/>
        <v>4</v>
      </c>
    </row>
    <row r="1981" spans="1:13" x14ac:dyDescent="0.3">
      <c r="A1981" s="1" t="s">
        <v>7714</v>
      </c>
      <c r="B1981" s="1" t="s">
        <v>5931</v>
      </c>
      <c r="C1981" s="1" t="s">
        <v>7715</v>
      </c>
      <c r="D1981" s="1" t="s">
        <v>738</v>
      </c>
      <c r="E1981" s="1" t="s">
        <v>6076</v>
      </c>
      <c r="F1981" s="1" t="s">
        <v>6076</v>
      </c>
      <c r="G1981" s="1" t="s">
        <v>7709</v>
      </c>
      <c r="H1981">
        <v>2021</v>
      </c>
      <c r="I1981">
        <v>2022</v>
      </c>
      <c r="J1981">
        <f t="shared" si="60"/>
        <v>2</v>
      </c>
      <c r="K1981" s="1" t="s">
        <v>6076</v>
      </c>
      <c r="L1981" s="1" t="s">
        <v>6076</v>
      </c>
      <c r="M1981">
        <f t="shared" si="61"/>
        <v>4</v>
      </c>
    </row>
    <row r="1982" spans="1:13" x14ac:dyDescent="0.3">
      <c r="A1982" s="1" t="s">
        <v>7716</v>
      </c>
      <c r="B1982" s="1" t="s">
        <v>5931</v>
      </c>
      <c r="C1982" s="1" t="s">
        <v>7717</v>
      </c>
      <c r="D1982" s="1" t="s">
        <v>738</v>
      </c>
      <c r="E1982" s="1" t="s">
        <v>6076</v>
      </c>
      <c r="F1982" s="1" t="s">
        <v>6076</v>
      </c>
      <c r="G1982" s="1" t="s">
        <v>7709</v>
      </c>
      <c r="H1982">
        <v>2012</v>
      </c>
      <c r="I1982">
        <v>2012</v>
      </c>
      <c r="J1982">
        <f t="shared" si="60"/>
        <v>1</v>
      </c>
      <c r="K1982" s="1" t="s">
        <v>6076</v>
      </c>
      <c r="L1982" s="1" t="s">
        <v>6076</v>
      </c>
      <c r="M1982">
        <f t="shared" si="61"/>
        <v>14</v>
      </c>
    </row>
    <row r="1983" spans="1:13" x14ac:dyDescent="0.3">
      <c r="A1983" s="1" t="s">
        <v>7718</v>
      </c>
      <c r="B1983" s="1" t="s">
        <v>5931</v>
      </c>
      <c r="C1983" s="1" t="s">
        <v>7719</v>
      </c>
      <c r="D1983" s="1" t="s">
        <v>738</v>
      </c>
      <c r="E1983" s="1" t="s">
        <v>6076</v>
      </c>
      <c r="F1983" s="1" t="s">
        <v>6076</v>
      </c>
      <c r="G1983" s="1" t="s">
        <v>7709</v>
      </c>
      <c r="H1983">
        <v>2010</v>
      </c>
      <c r="I1983">
        <v>2012</v>
      </c>
      <c r="J1983">
        <f t="shared" si="60"/>
        <v>3</v>
      </c>
      <c r="K1983" s="1" t="s">
        <v>6076</v>
      </c>
      <c r="L1983" s="1" t="s">
        <v>6076</v>
      </c>
      <c r="M1983">
        <f t="shared" si="61"/>
        <v>14</v>
      </c>
    </row>
    <row r="1984" spans="1:13" x14ac:dyDescent="0.3">
      <c r="A1984" t="s">
        <v>12393</v>
      </c>
      <c r="B1984" t="s">
        <v>12697</v>
      </c>
      <c r="C1984" t="s">
        <v>12394</v>
      </c>
      <c r="E1984" s="1" t="s">
        <v>6076</v>
      </c>
      <c r="F1984" s="1" t="s">
        <v>6076</v>
      </c>
      <c r="G1984" s="1" t="s">
        <v>12891</v>
      </c>
      <c r="H1984">
        <v>2025</v>
      </c>
      <c r="I1984">
        <v>2026</v>
      </c>
      <c r="J1984">
        <f t="shared" si="60"/>
        <v>2</v>
      </c>
      <c r="K1984" s="1" t="s">
        <v>6076</v>
      </c>
      <c r="L1984" s="1" t="s">
        <v>6076</v>
      </c>
      <c r="M1984">
        <f t="shared" si="61"/>
        <v>0</v>
      </c>
    </row>
    <row r="1985" spans="1:14" x14ac:dyDescent="0.3">
      <c r="A1985" t="s">
        <v>12395</v>
      </c>
      <c r="B1985" t="s">
        <v>12697</v>
      </c>
      <c r="C1985" t="s">
        <v>12396</v>
      </c>
      <c r="E1985" s="1" t="s">
        <v>6076</v>
      </c>
      <c r="F1985" s="1" t="s">
        <v>6076</v>
      </c>
      <c r="G1985" s="1" t="s">
        <v>12891</v>
      </c>
      <c r="H1985">
        <v>2025</v>
      </c>
      <c r="I1985">
        <v>2026</v>
      </c>
      <c r="J1985">
        <f t="shared" si="60"/>
        <v>2</v>
      </c>
      <c r="K1985" s="1" t="s">
        <v>6076</v>
      </c>
      <c r="L1985" s="1" t="s">
        <v>6076</v>
      </c>
      <c r="M1985">
        <f t="shared" si="61"/>
        <v>0</v>
      </c>
    </row>
    <row r="1986" spans="1:14" x14ac:dyDescent="0.3">
      <c r="A1986" t="s">
        <v>12397</v>
      </c>
      <c r="B1986" t="s">
        <v>12697</v>
      </c>
      <c r="C1986" t="s">
        <v>12398</v>
      </c>
      <c r="E1986" s="1" t="s">
        <v>6076</v>
      </c>
      <c r="F1986" s="1" t="s">
        <v>6076</v>
      </c>
      <c r="G1986" s="1" t="s">
        <v>12891</v>
      </c>
      <c r="H1986">
        <v>2025</v>
      </c>
      <c r="I1986">
        <v>2026</v>
      </c>
      <c r="J1986">
        <f t="shared" si="60"/>
        <v>2</v>
      </c>
      <c r="K1986" s="1" t="s">
        <v>6076</v>
      </c>
      <c r="L1986" s="1" t="s">
        <v>6076</v>
      </c>
      <c r="M1986">
        <f t="shared" si="61"/>
        <v>0</v>
      </c>
    </row>
    <row r="1987" spans="1:14" x14ac:dyDescent="0.3">
      <c r="A1987" t="s">
        <v>11511</v>
      </c>
      <c r="B1987" t="s">
        <v>11523</v>
      </c>
      <c r="C1987" t="s">
        <v>11512</v>
      </c>
      <c r="E1987" s="1" t="s">
        <v>6076</v>
      </c>
      <c r="F1987" s="1" t="s">
        <v>6076</v>
      </c>
      <c r="G1987" s="1" t="s">
        <v>12827</v>
      </c>
      <c r="H1987">
        <v>2014</v>
      </c>
      <c r="I1987">
        <v>2014</v>
      </c>
      <c r="J1987">
        <f t="shared" si="60"/>
        <v>1</v>
      </c>
      <c r="K1987" s="1" t="s">
        <v>6076</v>
      </c>
      <c r="L1987" s="1" t="s">
        <v>6076</v>
      </c>
      <c r="M1987">
        <f t="shared" si="61"/>
        <v>12</v>
      </c>
    </row>
    <row r="1988" spans="1:14" x14ac:dyDescent="0.3">
      <c r="A1988" s="1" t="s">
        <v>7720</v>
      </c>
      <c r="B1988" s="1" t="s">
        <v>4561</v>
      </c>
      <c r="C1988" s="1" t="s">
        <v>7721</v>
      </c>
      <c r="D1988" s="1" t="s">
        <v>1395</v>
      </c>
      <c r="E1988" s="1" t="s">
        <v>6076</v>
      </c>
      <c r="F1988" s="1" t="s">
        <v>6076</v>
      </c>
      <c r="G1988" s="1" t="s">
        <v>7722</v>
      </c>
      <c r="H1988">
        <v>2020</v>
      </c>
      <c r="I1988">
        <v>2022</v>
      </c>
      <c r="J1988">
        <f t="shared" si="60"/>
        <v>3</v>
      </c>
      <c r="K1988" s="1" t="s">
        <v>6076</v>
      </c>
      <c r="L1988" s="1" t="s">
        <v>6076</v>
      </c>
      <c r="M1988">
        <f t="shared" si="61"/>
        <v>4</v>
      </c>
      <c r="N1988" t="s">
        <v>650</v>
      </c>
    </row>
    <row r="1989" spans="1:14" x14ac:dyDescent="0.3">
      <c r="A1989" t="s">
        <v>12062</v>
      </c>
      <c r="B1989" t="s">
        <v>4561</v>
      </c>
      <c r="C1989" t="s">
        <v>12063</v>
      </c>
      <c r="E1989" s="1" t="s">
        <v>6076</v>
      </c>
      <c r="F1989" s="1" t="s">
        <v>6076</v>
      </c>
      <c r="G1989" s="1" t="s">
        <v>12867</v>
      </c>
      <c r="H1989">
        <v>2025</v>
      </c>
      <c r="I1989">
        <v>2025</v>
      </c>
      <c r="J1989">
        <f t="shared" si="60"/>
        <v>1</v>
      </c>
      <c r="K1989" s="1" t="s">
        <v>6076</v>
      </c>
      <c r="L1989" s="1" t="s">
        <v>6076</v>
      </c>
      <c r="M1989">
        <f t="shared" si="61"/>
        <v>1</v>
      </c>
    </row>
    <row r="1990" spans="1:14" x14ac:dyDescent="0.3">
      <c r="A1990" s="1" t="s">
        <v>7723</v>
      </c>
      <c r="B1990" s="1" t="s">
        <v>4561</v>
      </c>
      <c r="C1990" s="1" t="s">
        <v>7724</v>
      </c>
      <c r="D1990" s="1" t="s">
        <v>1395</v>
      </c>
      <c r="E1990" s="1" t="s">
        <v>6076</v>
      </c>
      <c r="F1990" s="1" t="s">
        <v>6076</v>
      </c>
      <c r="G1990" s="1" t="s">
        <v>7722</v>
      </c>
      <c r="H1990">
        <v>2020</v>
      </c>
      <c r="I1990">
        <v>2022</v>
      </c>
      <c r="J1990">
        <f t="shared" ref="J1990:J2053" si="62">1+(I1990-H1990)</f>
        <v>3</v>
      </c>
      <c r="K1990" s="1" t="s">
        <v>6076</v>
      </c>
      <c r="L1990" s="1" t="s">
        <v>6076</v>
      </c>
      <c r="M1990">
        <f t="shared" ref="M1990:M2053" si="63">IF(I1990=0,0,$B$2-I1990)</f>
        <v>4</v>
      </c>
      <c r="N1990" t="s">
        <v>650</v>
      </c>
    </row>
    <row r="1991" spans="1:14" x14ac:dyDescent="0.3">
      <c r="A1991" t="s">
        <v>12064</v>
      </c>
      <c r="B1991" t="s">
        <v>4561</v>
      </c>
      <c r="C1991" t="s">
        <v>12065</v>
      </c>
      <c r="E1991" s="1" t="s">
        <v>6076</v>
      </c>
      <c r="F1991" s="1" t="s">
        <v>6076</v>
      </c>
      <c r="G1991" s="1" t="s">
        <v>12867</v>
      </c>
      <c r="H1991">
        <v>2025</v>
      </c>
      <c r="I1991">
        <v>2026</v>
      </c>
      <c r="J1991">
        <f t="shared" si="62"/>
        <v>2</v>
      </c>
      <c r="K1991" s="1" t="s">
        <v>6076</v>
      </c>
      <c r="L1991" s="1" t="s">
        <v>6076</v>
      </c>
      <c r="M1991">
        <f t="shared" si="63"/>
        <v>0</v>
      </c>
    </row>
    <row r="1992" spans="1:14" x14ac:dyDescent="0.3">
      <c r="A1992" s="1" t="s">
        <v>7725</v>
      </c>
      <c r="B1992" s="1" t="s">
        <v>4561</v>
      </c>
      <c r="C1992" s="1" t="s">
        <v>7726</v>
      </c>
      <c r="D1992" s="1" t="s">
        <v>1395</v>
      </c>
      <c r="E1992" s="1" t="s">
        <v>6076</v>
      </c>
      <c r="F1992" s="1" t="s">
        <v>6076</v>
      </c>
      <c r="G1992" s="1" t="s">
        <v>7722</v>
      </c>
      <c r="H1992">
        <v>2019</v>
      </c>
      <c r="I1992">
        <v>2022</v>
      </c>
      <c r="J1992">
        <f t="shared" si="62"/>
        <v>4</v>
      </c>
      <c r="K1992" s="1" t="s">
        <v>6076</v>
      </c>
      <c r="L1992" s="1" t="s">
        <v>6076</v>
      </c>
      <c r="M1992">
        <f t="shared" si="63"/>
        <v>4</v>
      </c>
      <c r="N1992" t="s">
        <v>650</v>
      </c>
    </row>
    <row r="1993" spans="1:14" x14ac:dyDescent="0.3">
      <c r="A1993" s="1" t="s">
        <v>7727</v>
      </c>
      <c r="B1993" s="1" t="s">
        <v>4561</v>
      </c>
      <c r="C1993" s="1" t="s">
        <v>7728</v>
      </c>
      <c r="D1993" s="1" t="s">
        <v>1395</v>
      </c>
      <c r="E1993" s="1" t="s">
        <v>6076</v>
      </c>
      <c r="F1993" s="1" t="s">
        <v>6076</v>
      </c>
      <c r="G1993" s="1" t="s">
        <v>7722</v>
      </c>
      <c r="H1993">
        <v>2018</v>
      </c>
      <c r="I1993">
        <v>2022</v>
      </c>
      <c r="J1993">
        <f t="shared" si="62"/>
        <v>5</v>
      </c>
      <c r="K1993" s="1" t="s">
        <v>6076</v>
      </c>
      <c r="L1993" s="1" t="s">
        <v>6076</v>
      </c>
      <c r="M1993">
        <f t="shared" si="63"/>
        <v>4</v>
      </c>
      <c r="N1993" t="s">
        <v>650</v>
      </c>
    </row>
    <row r="1994" spans="1:14" x14ac:dyDescent="0.3">
      <c r="A1994" t="s">
        <v>12066</v>
      </c>
      <c r="B1994" t="s">
        <v>4561</v>
      </c>
      <c r="C1994" t="s">
        <v>12067</v>
      </c>
      <c r="E1994" s="1" t="s">
        <v>6076</v>
      </c>
      <c r="F1994" s="1" t="s">
        <v>6076</v>
      </c>
      <c r="G1994" s="1" t="s">
        <v>12867</v>
      </c>
      <c r="H1994">
        <v>2025</v>
      </c>
      <c r="I1994">
        <v>2026</v>
      </c>
      <c r="J1994">
        <f t="shared" si="62"/>
        <v>2</v>
      </c>
      <c r="K1994" s="1" t="s">
        <v>6076</v>
      </c>
      <c r="L1994" s="1" t="s">
        <v>6076</v>
      </c>
      <c r="M1994">
        <f t="shared" si="63"/>
        <v>0</v>
      </c>
    </row>
    <row r="1995" spans="1:14" x14ac:dyDescent="0.3">
      <c r="A1995" t="s">
        <v>12068</v>
      </c>
      <c r="B1995" t="s">
        <v>4561</v>
      </c>
      <c r="C1995" t="s">
        <v>12069</v>
      </c>
      <c r="E1995" s="1" t="s">
        <v>6076</v>
      </c>
      <c r="F1995" s="1" t="s">
        <v>6076</v>
      </c>
      <c r="G1995" s="1" t="s">
        <v>12867</v>
      </c>
      <c r="H1995">
        <v>2025</v>
      </c>
      <c r="I1995">
        <v>2025</v>
      </c>
      <c r="J1995">
        <f t="shared" si="62"/>
        <v>1</v>
      </c>
      <c r="K1995" s="1" t="s">
        <v>6076</v>
      </c>
      <c r="L1995" s="1" t="s">
        <v>6076</v>
      </c>
      <c r="M1995">
        <f t="shared" si="63"/>
        <v>1</v>
      </c>
    </row>
    <row r="1996" spans="1:14" x14ac:dyDescent="0.3">
      <c r="A1996" s="1" t="s">
        <v>7729</v>
      </c>
      <c r="B1996" s="1" t="s">
        <v>4561</v>
      </c>
      <c r="C1996" s="1" t="s">
        <v>7730</v>
      </c>
      <c r="D1996" s="1" t="s">
        <v>1395</v>
      </c>
      <c r="E1996" s="1" t="s">
        <v>6076</v>
      </c>
      <c r="F1996" s="1" t="s">
        <v>6076</v>
      </c>
      <c r="G1996" s="1" t="s">
        <v>7722</v>
      </c>
      <c r="H1996">
        <v>2020</v>
      </c>
      <c r="I1996">
        <v>2022</v>
      </c>
      <c r="J1996">
        <f t="shared" si="62"/>
        <v>3</v>
      </c>
      <c r="K1996" s="1" t="s">
        <v>6076</v>
      </c>
      <c r="L1996" s="1" t="s">
        <v>6076</v>
      </c>
      <c r="M1996">
        <f t="shared" si="63"/>
        <v>4</v>
      </c>
      <c r="N1996" t="s">
        <v>650</v>
      </c>
    </row>
    <row r="1997" spans="1:14" x14ac:dyDescent="0.3">
      <c r="A1997" s="1" t="s">
        <v>7731</v>
      </c>
      <c r="B1997" s="1" t="s">
        <v>4561</v>
      </c>
      <c r="C1997" s="1" t="s">
        <v>7732</v>
      </c>
      <c r="D1997" s="1" t="s">
        <v>1395</v>
      </c>
      <c r="E1997" s="1" t="s">
        <v>6076</v>
      </c>
      <c r="F1997" s="1" t="s">
        <v>6076</v>
      </c>
      <c r="G1997" s="1" t="s">
        <v>7722</v>
      </c>
      <c r="H1997">
        <v>2022</v>
      </c>
      <c r="I1997">
        <v>2022</v>
      </c>
      <c r="J1997">
        <f t="shared" si="62"/>
        <v>1</v>
      </c>
      <c r="K1997" s="1" t="s">
        <v>6076</v>
      </c>
      <c r="L1997" s="1" t="s">
        <v>6076</v>
      </c>
      <c r="M1997">
        <f t="shared" si="63"/>
        <v>4</v>
      </c>
      <c r="N1997" t="s">
        <v>650</v>
      </c>
    </row>
    <row r="1998" spans="1:14" x14ac:dyDescent="0.3">
      <c r="A1998" s="1" t="s">
        <v>7733</v>
      </c>
      <c r="B1998" s="1" t="s">
        <v>4561</v>
      </c>
      <c r="C1998" s="1" t="s">
        <v>7734</v>
      </c>
      <c r="D1998" s="1" t="s">
        <v>1395</v>
      </c>
      <c r="E1998" s="1" t="s">
        <v>6076</v>
      </c>
      <c r="F1998" s="1" t="s">
        <v>6076</v>
      </c>
      <c r="G1998" s="1" t="s">
        <v>7722</v>
      </c>
      <c r="H1998">
        <v>2020</v>
      </c>
      <c r="I1998">
        <v>2022</v>
      </c>
      <c r="J1998">
        <f t="shared" si="62"/>
        <v>3</v>
      </c>
      <c r="K1998" s="1" t="s">
        <v>6076</v>
      </c>
      <c r="L1998" s="1" t="s">
        <v>6076</v>
      </c>
      <c r="M1998">
        <f t="shared" si="63"/>
        <v>4</v>
      </c>
      <c r="N1998" t="s">
        <v>650</v>
      </c>
    </row>
    <row r="1999" spans="1:14" x14ac:dyDescent="0.3">
      <c r="A1999" t="s">
        <v>12070</v>
      </c>
      <c r="B1999" t="s">
        <v>4561</v>
      </c>
      <c r="C1999" t="s">
        <v>12071</v>
      </c>
      <c r="E1999" s="1" t="s">
        <v>6076</v>
      </c>
      <c r="F1999" s="1" t="s">
        <v>6076</v>
      </c>
      <c r="G1999" s="1" t="s">
        <v>12867</v>
      </c>
      <c r="H1999">
        <v>2025</v>
      </c>
      <c r="I1999">
        <v>2026</v>
      </c>
      <c r="J1999">
        <f t="shared" si="62"/>
        <v>2</v>
      </c>
      <c r="K1999" s="1" t="s">
        <v>6076</v>
      </c>
      <c r="L1999" s="1" t="s">
        <v>6076</v>
      </c>
      <c r="M1999">
        <f t="shared" si="63"/>
        <v>0</v>
      </c>
    </row>
    <row r="2000" spans="1:14" x14ac:dyDescent="0.3">
      <c r="A2000" t="s">
        <v>12072</v>
      </c>
      <c r="B2000" t="s">
        <v>4561</v>
      </c>
      <c r="C2000" t="s">
        <v>12073</v>
      </c>
      <c r="E2000" s="1" t="s">
        <v>6076</v>
      </c>
      <c r="F2000" s="1" t="s">
        <v>6076</v>
      </c>
      <c r="G2000" s="1" t="s">
        <v>12867</v>
      </c>
      <c r="H2000">
        <v>2025</v>
      </c>
      <c r="I2000">
        <v>2026</v>
      </c>
      <c r="J2000">
        <f t="shared" si="62"/>
        <v>2</v>
      </c>
      <c r="K2000" s="1" t="s">
        <v>6076</v>
      </c>
      <c r="L2000" s="1" t="s">
        <v>6076</v>
      </c>
      <c r="M2000">
        <f t="shared" si="63"/>
        <v>0</v>
      </c>
    </row>
    <row r="2001" spans="1:14" x14ac:dyDescent="0.3">
      <c r="A2001" s="1" t="s">
        <v>7735</v>
      </c>
      <c r="B2001" s="1" t="s">
        <v>4561</v>
      </c>
      <c r="C2001" s="1" t="s">
        <v>7736</v>
      </c>
      <c r="D2001" s="1" t="s">
        <v>1395</v>
      </c>
      <c r="E2001" s="1" t="s">
        <v>6076</v>
      </c>
      <c r="F2001" s="1" t="s">
        <v>6076</v>
      </c>
      <c r="G2001" s="1" t="s">
        <v>7722</v>
      </c>
      <c r="H2001">
        <v>1991</v>
      </c>
      <c r="I2001">
        <v>1995</v>
      </c>
      <c r="J2001">
        <f t="shared" si="62"/>
        <v>5</v>
      </c>
      <c r="K2001" s="1" t="s">
        <v>6076</v>
      </c>
      <c r="L2001" s="1" t="s">
        <v>6076</v>
      </c>
      <c r="M2001">
        <f t="shared" si="63"/>
        <v>31</v>
      </c>
      <c r="N2001" t="s">
        <v>640</v>
      </c>
    </row>
    <row r="2002" spans="1:14" x14ac:dyDescent="0.3">
      <c r="A2002" s="1" t="s">
        <v>7737</v>
      </c>
      <c r="B2002" s="1" t="s">
        <v>4561</v>
      </c>
      <c r="C2002" s="1" t="s">
        <v>7738</v>
      </c>
      <c r="D2002" s="1" t="s">
        <v>1395</v>
      </c>
      <c r="E2002" s="1" t="s">
        <v>6076</v>
      </c>
      <c r="F2002" s="1" t="s">
        <v>6076</v>
      </c>
      <c r="G2002" s="1" t="s">
        <v>7722</v>
      </c>
      <c r="H2002">
        <v>1991</v>
      </c>
      <c r="I2002">
        <v>1999</v>
      </c>
      <c r="J2002">
        <f t="shared" si="62"/>
        <v>9</v>
      </c>
      <c r="K2002" s="1" t="s">
        <v>6076</v>
      </c>
      <c r="L2002" s="1" t="s">
        <v>6076</v>
      </c>
      <c r="M2002">
        <f t="shared" si="63"/>
        <v>27</v>
      </c>
      <c r="N2002" t="s">
        <v>640</v>
      </c>
    </row>
    <row r="2003" spans="1:14" x14ac:dyDescent="0.3">
      <c r="A2003" s="1" t="s">
        <v>7739</v>
      </c>
      <c r="B2003" s="1" t="s">
        <v>4561</v>
      </c>
      <c r="C2003" s="1" t="s">
        <v>7740</v>
      </c>
      <c r="D2003" s="1" t="s">
        <v>1395</v>
      </c>
      <c r="E2003" s="1" t="s">
        <v>6076</v>
      </c>
      <c r="F2003" s="1" t="s">
        <v>6076</v>
      </c>
      <c r="G2003" s="1" t="s">
        <v>7722</v>
      </c>
      <c r="H2003">
        <v>1991</v>
      </c>
      <c r="I2003">
        <v>1995</v>
      </c>
      <c r="J2003">
        <f t="shared" si="62"/>
        <v>5</v>
      </c>
      <c r="K2003" s="1" t="s">
        <v>6076</v>
      </c>
      <c r="L2003" s="1" t="s">
        <v>6076</v>
      </c>
      <c r="M2003">
        <f t="shared" si="63"/>
        <v>31</v>
      </c>
      <c r="N2003" t="s">
        <v>640</v>
      </c>
    </row>
    <row r="2004" spans="1:14" x14ac:dyDescent="0.3">
      <c r="A2004" s="1" t="s">
        <v>7741</v>
      </c>
      <c r="B2004" s="1" t="s">
        <v>4561</v>
      </c>
      <c r="C2004" s="1" t="s">
        <v>7742</v>
      </c>
      <c r="D2004" s="1" t="s">
        <v>1395</v>
      </c>
      <c r="E2004" s="1" t="s">
        <v>6076</v>
      </c>
      <c r="F2004" s="1" t="s">
        <v>6076</v>
      </c>
      <c r="G2004" s="1" t="s">
        <v>7722</v>
      </c>
      <c r="H2004">
        <v>2000</v>
      </c>
      <c r="I2004">
        <v>2001</v>
      </c>
      <c r="J2004">
        <f t="shared" si="62"/>
        <v>2</v>
      </c>
      <c r="K2004" s="1" t="s">
        <v>6076</v>
      </c>
      <c r="L2004" s="1" t="s">
        <v>6076</v>
      </c>
      <c r="M2004">
        <f t="shared" si="63"/>
        <v>25</v>
      </c>
      <c r="N2004" t="s">
        <v>640</v>
      </c>
    </row>
    <row r="2005" spans="1:14" x14ac:dyDescent="0.3">
      <c r="A2005" s="1" t="s">
        <v>7743</v>
      </c>
      <c r="B2005" s="1" t="s">
        <v>4561</v>
      </c>
      <c r="C2005" s="1" t="s">
        <v>7744</v>
      </c>
      <c r="D2005" s="1" t="s">
        <v>1395</v>
      </c>
      <c r="E2005" s="1" t="s">
        <v>6076</v>
      </c>
      <c r="F2005" s="1" t="s">
        <v>6076</v>
      </c>
      <c r="G2005" s="1" t="s">
        <v>7722</v>
      </c>
      <c r="H2005">
        <v>2006</v>
      </c>
      <c r="I2005">
        <v>2011</v>
      </c>
      <c r="J2005">
        <f t="shared" si="62"/>
        <v>6</v>
      </c>
      <c r="K2005" s="1" t="s">
        <v>6076</v>
      </c>
      <c r="L2005" s="1" t="s">
        <v>6076</v>
      </c>
      <c r="M2005">
        <f t="shared" si="63"/>
        <v>15</v>
      </c>
      <c r="N2005" t="s">
        <v>650</v>
      </c>
    </row>
    <row r="2006" spans="1:14" hidden="1" x14ac:dyDescent="0.3">
      <c r="A2006" s="1" t="s">
        <v>4274</v>
      </c>
      <c r="B2006" s="1" t="s">
        <v>1451</v>
      </c>
      <c r="C2006" s="1" t="s">
        <v>4275</v>
      </c>
      <c r="D2006" s="1" t="s">
        <v>1395</v>
      </c>
      <c r="E2006" s="1" t="s">
        <v>1396</v>
      </c>
      <c r="F2006" s="1" t="s">
        <v>1397</v>
      </c>
      <c r="G2006" s="1" t="s">
        <v>4276</v>
      </c>
      <c r="H2006">
        <v>2020</v>
      </c>
      <c r="I2006">
        <v>2020</v>
      </c>
      <c r="J2006">
        <f t="shared" si="62"/>
        <v>1</v>
      </c>
      <c r="K2006" s="1" t="s">
        <v>3665</v>
      </c>
      <c r="L2006" s="1" t="s">
        <v>798</v>
      </c>
      <c r="M2006">
        <f t="shared" si="63"/>
        <v>6</v>
      </c>
      <c r="N2006" t="s">
        <v>650</v>
      </c>
    </row>
    <row r="2007" spans="1:14" hidden="1" x14ac:dyDescent="0.3">
      <c r="A2007" s="1" t="s">
        <v>4277</v>
      </c>
      <c r="B2007" s="1" t="s">
        <v>1451</v>
      </c>
      <c r="C2007" s="1" t="s">
        <v>4278</v>
      </c>
      <c r="D2007" s="1" t="s">
        <v>1395</v>
      </c>
      <c r="E2007" s="1" t="s">
        <v>1396</v>
      </c>
      <c r="F2007" s="1" t="s">
        <v>1397</v>
      </c>
      <c r="G2007" s="1" t="s">
        <v>4276</v>
      </c>
      <c r="H2007">
        <v>2004</v>
      </c>
      <c r="I2007">
        <v>2012</v>
      </c>
      <c r="J2007">
        <f t="shared" si="62"/>
        <v>9</v>
      </c>
      <c r="K2007" s="1" t="s">
        <v>3665</v>
      </c>
      <c r="L2007" s="1" t="s">
        <v>798</v>
      </c>
      <c r="M2007">
        <f t="shared" si="63"/>
        <v>14</v>
      </c>
      <c r="N2007" t="s">
        <v>650</v>
      </c>
    </row>
    <row r="2008" spans="1:14" hidden="1" x14ac:dyDescent="0.3">
      <c r="A2008" s="1" t="s">
        <v>4279</v>
      </c>
      <c r="B2008" s="1" t="s">
        <v>1451</v>
      </c>
      <c r="C2008" s="1" t="s">
        <v>4280</v>
      </c>
      <c r="D2008" s="1" t="s">
        <v>1395</v>
      </c>
      <c r="E2008" s="1" t="s">
        <v>1396</v>
      </c>
      <c r="F2008" s="1" t="s">
        <v>1397</v>
      </c>
      <c r="G2008" s="1" t="s">
        <v>4276</v>
      </c>
      <c r="H2008">
        <v>2018</v>
      </c>
      <c r="I2008">
        <v>2022</v>
      </c>
      <c r="J2008">
        <f t="shared" si="62"/>
        <v>5</v>
      </c>
      <c r="K2008" s="1" t="s">
        <v>3665</v>
      </c>
      <c r="L2008" s="1" t="s">
        <v>798</v>
      </c>
      <c r="M2008">
        <f t="shared" si="63"/>
        <v>4</v>
      </c>
      <c r="N2008" t="s">
        <v>650</v>
      </c>
    </row>
    <row r="2009" spans="1:14" hidden="1" x14ac:dyDescent="0.3">
      <c r="A2009" s="1" t="s">
        <v>4281</v>
      </c>
      <c r="B2009" s="1" t="s">
        <v>1451</v>
      </c>
      <c r="C2009" s="1" t="s">
        <v>4282</v>
      </c>
      <c r="D2009" s="1" t="s">
        <v>1395</v>
      </c>
      <c r="E2009" s="1" t="s">
        <v>1396</v>
      </c>
      <c r="F2009" s="1" t="s">
        <v>1397</v>
      </c>
      <c r="G2009" s="1" t="s">
        <v>4276</v>
      </c>
      <c r="H2009">
        <v>2018</v>
      </c>
      <c r="I2009">
        <v>2022</v>
      </c>
      <c r="J2009">
        <f t="shared" si="62"/>
        <v>5</v>
      </c>
      <c r="K2009" s="1" t="s">
        <v>3665</v>
      </c>
      <c r="L2009" s="1" t="s">
        <v>798</v>
      </c>
      <c r="M2009">
        <f t="shared" si="63"/>
        <v>4</v>
      </c>
      <c r="N2009" t="s">
        <v>650</v>
      </c>
    </row>
    <row r="2010" spans="1:14" hidden="1" x14ac:dyDescent="0.3">
      <c r="A2010" s="1" t="s">
        <v>4283</v>
      </c>
      <c r="B2010" s="1" t="s">
        <v>1451</v>
      </c>
      <c r="C2010" s="1" t="s">
        <v>4284</v>
      </c>
      <c r="D2010" s="1" t="s">
        <v>1395</v>
      </c>
      <c r="E2010" s="1" t="s">
        <v>1396</v>
      </c>
      <c r="F2010" s="1" t="s">
        <v>1397</v>
      </c>
      <c r="G2010" s="1" t="s">
        <v>4276</v>
      </c>
      <c r="H2010">
        <v>2012</v>
      </c>
      <c r="I2010">
        <v>2017</v>
      </c>
      <c r="J2010">
        <f t="shared" si="62"/>
        <v>6</v>
      </c>
      <c r="K2010" s="1" t="s">
        <v>3665</v>
      </c>
      <c r="L2010" s="1" t="s">
        <v>798</v>
      </c>
      <c r="M2010">
        <f t="shared" si="63"/>
        <v>9</v>
      </c>
      <c r="N2010" t="s">
        <v>650</v>
      </c>
    </row>
    <row r="2011" spans="1:14" hidden="1" x14ac:dyDescent="0.3">
      <c r="A2011" s="1" t="s">
        <v>4285</v>
      </c>
      <c r="B2011" s="1" t="s">
        <v>1451</v>
      </c>
      <c r="C2011" s="1" t="s">
        <v>4286</v>
      </c>
      <c r="D2011" s="1" t="s">
        <v>1395</v>
      </c>
      <c r="E2011" s="1" t="s">
        <v>1396</v>
      </c>
      <c r="F2011" s="1" t="s">
        <v>1397</v>
      </c>
      <c r="G2011" s="1" t="s">
        <v>4276</v>
      </c>
      <c r="H2011">
        <v>2012</v>
      </c>
      <c r="I2011">
        <v>2017</v>
      </c>
      <c r="J2011">
        <f t="shared" si="62"/>
        <v>6</v>
      </c>
      <c r="K2011" s="1" t="s">
        <v>3665</v>
      </c>
      <c r="L2011" s="1" t="s">
        <v>798</v>
      </c>
      <c r="M2011">
        <f t="shared" si="63"/>
        <v>9</v>
      </c>
      <c r="N2011" t="s">
        <v>650</v>
      </c>
    </row>
    <row r="2012" spans="1:14" hidden="1" x14ac:dyDescent="0.3">
      <c r="A2012" s="1" t="s">
        <v>4287</v>
      </c>
      <c r="B2012" s="1" t="s">
        <v>1451</v>
      </c>
      <c r="C2012" s="1" t="s">
        <v>4288</v>
      </c>
      <c r="D2012" s="1" t="s">
        <v>1395</v>
      </c>
      <c r="E2012" s="1" t="s">
        <v>1396</v>
      </c>
      <c r="F2012" s="1" t="s">
        <v>1397</v>
      </c>
      <c r="G2012" s="1" t="s">
        <v>4276</v>
      </c>
      <c r="H2012">
        <v>2013</v>
      </c>
      <c r="I2012">
        <v>2017</v>
      </c>
      <c r="J2012">
        <f t="shared" si="62"/>
        <v>5</v>
      </c>
      <c r="K2012" s="1" t="s">
        <v>3665</v>
      </c>
      <c r="L2012" s="1" t="s">
        <v>798</v>
      </c>
      <c r="M2012">
        <f t="shared" si="63"/>
        <v>9</v>
      </c>
      <c r="N2012" t="s">
        <v>650</v>
      </c>
    </row>
    <row r="2013" spans="1:14" hidden="1" x14ac:dyDescent="0.3">
      <c r="A2013" s="1" t="s">
        <v>4289</v>
      </c>
      <c r="B2013" s="1" t="s">
        <v>1451</v>
      </c>
      <c r="C2013" s="1" t="s">
        <v>4290</v>
      </c>
      <c r="D2013" s="1" t="s">
        <v>1395</v>
      </c>
      <c r="E2013" s="1" t="s">
        <v>1396</v>
      </c>
      <c r="F2013" s="1" t="s">
        <v>1397</v>
      </c>
      <c r="G2013" s="1" t="s">
        <v>4276</v>
      </c>
      <c r="H2013">
        <v>2013</v>
      </c>
      <c r="I2013">
        <v>2014</v>
      </c>
      <c r="J2013">
        <f t="shared" si="62"/>
        <v>2</v>
      </c>
      <c r="K2013" s="1" t="s">
        <v>3665</v>
      </c>
      <c r="L2013" s="1" t="s">
        <v>798</v>
      </c>
      <c r="M2013">
        <f t="shared" si="63"/>
        <v>12</v>
      </c>
      <c r="N2013" t="s">
        <v>650</v>
      </c>
    </row>
    <row r="2014" spans="1:14" hidden="1" x14ac:dyDescent="0.3">
      <c r="A2014" s="1" t="s">
        <v>4291</v>
      </c>
      <c r="B2014" s="1" t="s">
        <v>1451</v>
      </c>
      <c r="C2014" s="1" t="s">
        <v>4292</v>
      </c>
      <c r="D2014" s="1" t="s">
        <v>1395</v>
      </c>
      <c r="E2014" s="1" t="s">
        <v>1396</v>
      </c>
      <c r="F2014" s="1" t="s">
        <v>1397</v>
      </c>
      <c r="G2014" s="1" t="s">
        <v>4276</v>
      </c>
      <c r="H2014">
        <v>2015</v>
      </c>
      <c r="I2014">
        <v>2016</v>
      </c>
      <c r="J2014">
        <f t="shared" si="62"/>
        <v>2</v>
      </c>
      <c r="K2014" s="1" t="s">
        <v>3665</v>
      </c>
      <c r="L2014" s="1" t="s">
        <v>798</v>
      </c>
      <c r="M2014">
        <f t="shared" si="63"/>
        <v>10</v>
      </c>
      <c r="N2014" t="s">
        <v>650</v>
      </c>
    </row>
    <row r="2015" spans="1:14" hidden="1" x14ac:dyDescent="0.3">
      <c r="A2015" s="1" t="s">
        <v>4293</v>
      </c>
      <c r="B2015" s="1" t="s">
        <v>1451</v>
      </c>
      <c r="C2015" s="1" t="s">
        <v>4294</v>
      </c>
      <c r="D2015" s="1" t="s">
        <v>1395</v>
      </c>
      <c r="E2015" s="1" t="s">
        <v>1396</v>
      </c>
      <c r="F2015" s="1" t="s">
        <v>1397</v>
      </c>
      <c r="G2015" s="1" t="s">
        <v>4276</v>
      </c>
      <c r="H2015">
        <v>2019</v>
      </c>
      <c r="I2015">
        <v>2019</v>
      </c>
      <c r="J2015">
        <f t="shared" si="62"/>
        <v>1</v>
      </c>
      <c r="K2015" s="1" t="s">
        <v>3665</v>
      </c>
      <c r="L2015" s="1" t="s">
        <v>798</v>
      </c>
      <c r="M2015">
        <f t="shared" si="63"/>
        <v>7</v>
      </c>
      <c r="N2015" t="s">
        <v>650</v>
      </c>
    </row>
    <row r="2016" spans="1:14" hidden="1" x14ac:dyDescent="0.3">
      <c r="A2016" s="1" t="s">
        <v>4295</v>
      </c>
      <c r="B2016" s="1" t="s">
        <v>1451</v>
      </c>
      <c r="C2016" s="1" t="s">
        <v>4296</v>
      </c>
      <c r="D2016" s="1" t="s">
        <v>1395</v>
      </c>
      <c r="E2016" s="1" t="s">
        <v>1396</v>
      </c>
      <c r="F2016" s="1" t="s">
        <v>1397</v>
      </c>
      <c r="G2016" s="1" t="s">
        <v>4276</v>
      </c>
      <c r="H2016">
        <v>2013</v>
      </c>
      <c r="I2016">
        <v>2015</v>
      </c>
      <c r="J2016">
        <f t="shared" si="62"/>
        <v>3</v>
      </c>
      <c r="K2016" s="1" t="s">
        <v>3665</v>
      </c>
      <c r="L2016" s="1" t="s">
        <v>798</v>
      </c>
      <c r="M2016">
        <f t="shared" si="63"/>
        <v>11</v>
      </c>
      <c r="N2016" t="s">
        <v>650</v>
      </c>
    </row>
    <row r="2017" spans="1:14" hidden="1" x14ac:dyDescent="0.3">
      <c r="A2017" s="1" t="s">
        <v>4297</v>
      </c>
      <c r="B2017" s="1" t="s">
        <v>1451</v>
      </c>
      <c r="C2017" s="1" t="s">
        <v>4298</v>
      </c>
      <c r="D2017" s="1" t="s">
        <v>1395</v>
      </c>
      <c r="E2017" s="1" t="s">
        <v>1396</v>
      </c>
      <c r="F2017" s="1" t="s">
        <v>1397</v>
      </c>
      <c r="G2017" s="1" t="s">
        <v>4276</v>
      </c>
      <c r="H2017">
        <v>2018</v>
      </c>
      <c r="I2017">
        <v>2022</v>
      </c>
      <c r="J2017">
        <f t="shared" si="62"/>
        <v>5</v>
      </c>
      <c r="K2017" s="1" t="s">
        <v>3665</v>
      </c>
      <c r="L2017" s="1" t="s">
        <v>798</v>
      </c>
      <c r="M2017">
        <f t="shared" si="63"/>
        <v>4</v>
      </c>
      <c r="N2017" t="s">
        <v>650</v>
      </c>
    </row>
    <row r="2018" spans="1:14" hidden="1" x14ac:dyDescent="0.3">
      <c r="A2018" s="1" t="s">
        <v>4299</v>
      </c>
      <c r="B2018" s="1" t="s">
        <v>1451</v>
      </c>
      <c r="C2018" s="1" t="s">
        <v>4300</v>
      </c>
      <c r="D2018" s="1" t="s">
        <v>1395</v>
      </c>
      <c r="E2018" s="1" t="s">
        <v>1396</v>
      </c>
      <c r="F2018" s="1" t="s">
        <v>1397</v>
      </c>
      <c r="G2018" s="1" t="s">
        <v>4276</v>
      </c>
      <c r="H2018">
        <v>2018</v>
      </c>
      <c r="I2018">
        <v>2022</v>
      </c>
      <c r="J2018">
        <f t="shared" si="62"/>
        <v>5</v>
      </c>
      <c r="K2018" s="1" t="s">
        <v>3665</v>
      </c>
      <c r="L2018" s="1" t="s">
        <v>798</v>
      </c>
      <c r="M2018">
        <f t="shared" si="63"/>
        <v>4</v>
      </c>
      <c r="N2018" t="s">
        <v>650</v>
      </c>
    </row>
    <row r="2019" spans="1:14" hidden="1" x14ac:dyDescent="0.3">
      <c r="A2019" s="1" t="s">
        <v>4301</v>
      </c>
      <c r="B2019" s="1" t="s">
        <v>1451</v>
      </c>
      <c r="C2019" s="1" t="s">
        <v>4302</v>
      </c>
      <c r="D2019" s="1" t="s">
        <v>1395</v>
      </c>
      <c r="E2019" s="1" t="s">
        <v>1396</v>
      </c>
      <c r="F2019" s="1" t="s">
        <v>1397</v>
      </c>
      <c r="G2019" s="1" t="s">
        <v>4276</v>
      </c>
      <c r="H2019">
        <v>2016</v>
      </c>
      <c r="I2019">
        <v>2017</v>
      </c>
      <c r="J2019">
        <f t="shared" si="62"/>
        <v>2</v>
      </c>
      <c r="K2019" s="1" t="s">
        <v>3665</v>
      </c>
      <c r="L2019" s="1" t="s">
        <v>798</v>
      </c>
      <c r="M2019">
        <f t="shared" si="63"/>
        <v>9</v>
      </c>
      <c r="N2019" t="s">
        <v>650</v>
      </c>
    </row>
    <row r="2020" spans="1:14" hidden="1" x14ac:dyDescent="0.3">
      <c r="A2020" s="1" t="s">
        <v>4303</v>
      </c>
      <c r="B2020" s="1" t="s">
        <v>1451</v>
      </c>
      <c r="C2020" s="1" t="s">
        <v>4304</v>
      </c>
      <c r="D2020" s="1" t="s">
        <v>1395</v>
      </c>
      <c r="E2020" s="1" t="s">
        <v>1396</v>
      </c>
      <c r="F2020" s="1" t="s">
        <v>1397</v>
      </c>
      <c r="G2020" s="1" t="s">
        <v>4276</v>
      </c>
      <c r="H2020">
        <v>2013</v>
      </c>
      <c r="I2020">
        <v>2017</v>
      </c>
      <c r="J2020">
        <f t="shared" si="62"/>
        <v>5</v>
      </c>
      <c r="K2020" s="1" t="s">
        <v>3665</v>
      </c>
      <c r="L2020" s="1" t="s">
        <v>798</v>
      </c>
      <c r="M2020">
        <f t="shared" si="63"/>
        <v>9</v>
      </c>
      <c r="N2020" t="s">
        <v>650</v>
      </c>
    </row>
    <row r="2021" spans="1:14" hidden="1" x14ac:dyDescent="0.3">
      <c r="A2021" s="1" t="s">
        <v>4305</v>
      </c>
      <c r="B2021" s="1" t="s">
        <v>1451</v>
      </c>
      <c r="C2021" s="1" t="s">
        <v>4306</v>
      </c>
      <c r="D2021" s="1" t="s">
        <v>1395</v>
      </c>
      <c r="E2021" s="1" t="s">
        <v>1396</v>
      </c>
      <c r="F2021" s="1" t="s">
        <v>1397</v>
      </c>
      <c r="G2021" s="1" t="s">
        <v>4276</v>
      </c>
      <c r="H2021">
        <v>2013</v>
      </c>
      <c r="I2021">
        <v>2019</v>
      </c>
      <c r="J2021">
        <f t="shared" si="62"/>
        <v>7</v>
      </c>
      <c r="K2021" s="1" t="s">
        <v>3665</v>
      </c>
      <c r="L2021" s="1" t="s">
        <v>798</v>
      </c>
      <c r="M2021">
        <f t="shared" si="63"/>
        <v>7</v>
      </c>
      <c r="N2021" t="s">
        <v>650</v>
      </c>
    </row>
    <row r="2022" spans="1:14" hidden="1" x14ac:dyDescent="0.3">
      <c r="A2022" s="1" t="s">
        <v>4307</v>
      </c>
      <c r="B2022" s="1" t="s">
        <v>1451</v>
      </c>
      <c r="C2022" s="1" t="s">
        <v>4308</v>
      </c>
      <c r="D2022" s="1" t="s">
        <v>1395</v>
      </c>
      <c r="E2022" s="1" t="s">
        <v>1396</v>
      </c>
      <c r="F2022" s="1" t="s">
        <v>1397</v>
      </c>
      <c r="G2022" s="1" t="s">
        <v>4276</v>
      </c>
      <c r="H2022">
        <v>2019</v>
      </c>
      <c r="I2022">
        <v>2022</v>
      </c>
      <c r="J2022">
        <f t="shared" si="62"/>
        <v>4</v>
      </c>
      <c r="K2022" s="1" t="s">
        <v>3665</v>
      </c>
      <c r="L2022" s="1" t="s">
        <v>798</v>
      </c>
      <c r="M2022">
        <f t="shared" si="63"/>
        <v>4</v>
      </c>
      <c r="N2022" t="s">
        <v>650</v>
      </c>
    </row>
    <row r="2023" spans="1:14" hidden="1" x14ac:dyDescent="0.3">
      <c r="A2023" s="1" t="s">
        <v>4309</v>
      </c>
      <c r="B2023" s="1" t="s">
        <v>1451</v>
      </c>
      <c r="C2023" s="1" t="s">
        <v>4310</v>
      </c>
      <c r="D2023" s="1" t="s">
        <v>1395</v>
      </c>
      <c r="E2023" s="1" t="s">
        <v>1396</v>
      </c>
      <c r="F2023" s="1" t="s">
        <v>1397</v>
      </c>
      <c r="G2023" s="1" t="s">
        <v>4276</v>
      </c>
      <c r="H2023">
        <v>2017</v>
      </c>
      <c r="I2023">
        <v>2017</v>
      </c>
      <c r="J2023">
        <f t="shared" si="62"/>
        <v>1</v>
      </c>
      <c r="K2023" s="1" t="s">
        <v>3665</v>
      </c>
      <c r="L2023" s="1" t="s">
        <v>798</v>
      </c>
      <c r="M2023">
        <f t="shared" si="63"/>
        <v>9</v>
      </c>
      <c r="N2023" t="s">
        <v>650</v>
      </c>
    </row>
    <row r="2024" spans="1:14" hidden="1" x14ac:dyDescent="0.3">
      <c r="A2024" s="1" t="s">
        <v>4311</v>
      </c>
      <c r="B2024" s="1" t="s">
        <v>1451</v>
      </c>
      <c r="C2024" s="1" t="s">
        <v>4312</v>
      </c>
      <c r="D2024" s="1" t="s">
        <v>1395</v>
      </c>
      <c r="E2024" s="1" t="s">
        <v>1396</v>
      </c>
      <c r="F2024" s="1" t="s">
        <v>1397</v>
      </c>
      <c r="G2024" s="1" t="s">
        <v>4276</v>
      </c>
      <c r="H2024">
        <v>2018</v>
      </c>
      <c r="I2024">
        <v>2022</v>
      </c>
      <c r="J2024">
        <f t="shared" si="62"/>
        <v>5</v>
      </c>
      <c r="K2024" s="1" t="s">
        <v>3665</v>
      </c>
      <c r="L2024" s="1" t="s">
        <v>798</v>
      </c>
      <c r="M2024">
        <f t="shared" si="63"/>
        <v>4</v>
      </c>
      <c r="N2024" t="s">
        <v>650</v>
      </c>
    </row>
    <row r="2025" spans="1:14" hidden="1" x14ac:dyDescent="0.3">
      <c r="A2025" s="1" t="s">
        <v>4313</v>
      </c>
      <c r="B2025" s="1" t="s">
        <v>1451</v>
      </c>
      <c r="C2025" s="1" t="s">
        <v>4314</v>
      </c>
      <c r="D2025" s="1" t="s">
        <v>1395</v>
      </c>
      <c r="E2025" s="1" t="s">
        <v>1396</v>
      </c>
      <c r="F2025" s="1" t="s">
        <v>1397</v>
      </c>
      <c r="G2025" s="1" t="s">
        <v>4276</v>
      </c>
      <c r="H2025">
        <v>2018</v>
      </c>
      <c r="I2025">
        <v>2022</v>
      </c>
      <c r="J2025">
        <f t="shared" si="62"/>
        <v>5</v>
      </c>
      <c r="K2025" s="1" t="s">
        <v>3665</v>
      </c>
      <c r="L2025" s="1" t="s">
        <v>798</v>
      </c>
      <c r="M2025">
        <f t="shared" si="63"/>
        <v>4</v>
      </c>
      <c r="N2025" t="s">
        <v>650</v>
      </c>
    </row>
    <row r="2026" spans="1:14" hidden="1" x14ac:dyDescent="0.3">
      <c r="A2026" s="1" t="s">
        <v>4315</v>
      </c>
      <c r="B2026" s="1" t="s">
        <v>1451</v>
      </c>
      <c r="C2026" s="1" t="s">
        <v>4316</v>
      </c>
      <c r="D2026" s="1" t="s">
        <v>1395</v>
      </c>
      <c r="E2026" s="1" t="s">
        <v>1396</v>
      </c>
      <c r="F2026" s="1" t="s">
        <v>1397</v>
      </c>
      <c r="G2026" s="1" t="s">
        <v>4276</v>
      </c>
      <c r="H2026">
        <v>2013</v>
      </c>
      <c r="I2026">
        <v>2015</v>
      </c>
      <c r="J2026">
        <f t="shared" si="62"/>
        <v>3</v>
      </c>
      <c r="K2026" s="1" t="s">
        <v>3665</v>
      </c>
      <c r="L2026" s="1" t="s">
        <v>798</v>
      </c>
      <c r="M2026">
        <f t="shared" si="63"/>
        <v>11</v>
      </c>
      <c r="N2026" t="s">
        <v>650</v>
      </c>
    </row>
    <row r="2027" spans="1:14" hidden="1" x14ac:dyDescent="0.3">
      <c r="A2027" s="1" t="s">
        <v>4317</v>
      </c>
      <c r="B2027" s="1" t="s">
        <v>1451</v>
      </c>
      <c r="C2027" s="1" t="s">
        <v>4318</v>
      </c>
      <c r="D2027" s="1" t="s">
        <v>1395</v>
      </c>
      <c r="E2027" s="1" t="s">
        <v>1396</v>
      </c>
      <c r="F2027" s="1" t="s">
        <v>1397</v>
      </c>
      <c r="G2027" s="1" t="s">
        <v>4276</v>
      </c>
      <c r="H2027">
        <v>2013</v>
      </c>
      <c r="I2027">
        <v>2015</v>
      </c>
      <c r="J2027">
        <f t="shared" si="62"/>
        <v>3</v>
      </c>
      <c r="K2027" s="1" t="s">
        <v>3665</v>
      </c>
      <c r="L2027" s="1" t="s">
        <v>798</v>
      </c>
      <c r="M2027">
        <f t="shared" si="63"/>
        <v>11</v>
      </c>
      <c r="N2027" t="s">
        <v>650</v>
      </c>
    </row>
    <row r="2028" spans="1:14" hidden="1" x14ac:dyDescent="0.3">
      <c r="A2028" s="1" t="s">
        <v>4319</v>
      </c>
      <c r="B2028" s="1" t="s">
        <v>1451</v>
      </c>
      <c r="C2028" s="1" t="s">
        <v>4320</v>
      </c>
      <c r="D2028" s="1" t="s">
        <v>1395</v>
      </c>
      <c r="E2028" s="1" t="s">
        <v>1396</v>
      </c>
      <c r="F2028" s="1" t="s">
        <v>1397</v>
      </c>
      <c r="G2028" s="1" t="s">
        <v>4276</v>
      </c>
      <c r="H2028">
        <v>2013</v>
      </c>
      <c r="I2028">
        <v>2019</v>
      </c>
      <c r="J2028">
        <f t="shared" si="62"/>
        <v>7</v>
      </c>
      <c r="K2028" s="1" t="s">
        <v>3665</v>
      </c>
      <c r="L2028" s="1" t="s">
        <v>798</v>
      </c>
      <c r="M2028">
        <f t="shared" si="63"/>
        <v>7</v>
      </c>
      <c r="N2028" t="s">
        <v>650</v>
      </c>
    </row>
    <row r="2029" spans="1:14" hidden="1" x14ac:dyDescent="0.3">
      <c r="A2029" s="1" t="s">
        <v>4321</v>
      </c>
      <c r="B2029" s="1" t="s">
        <v>1451</v>
      </c>
      <c r="C2029" s="1" t="s">
        <v>4322</v>
      </c>
      <c r="D2029" s="1" t="s">
        <v>1395</v>
      </c>
      <c r="E2029" s="1" t="s">
        <v>1396</v>
      </c>
      <c r="F2029" s="1" t="s">
        <v>1397</v>
      </c>
      <c r="G2029" s="1" t="s">
        <v>4276</v>
      </c>
      <c r="H2029">
        <v>2003</v>
      </c>
      <c r="I2029">
        <v>2012</v>
      </c>
      <c r="J2029">
        <f t="shared" si="62"/>
        <v>10</v>
      </c>
      <c r="K2029" s="1" t="s">
        <v>3665</v>
      </c>
      <c r="L2029" s="1" t="s">
        <v>798</v>
      </c>
      <c r="M2029">
        <f t="shared" si="63"/>
        <v>14</v>
      </c>
      <c r="N2029" t="s">
        <v>650</v>
      </c>
    </row>
    <row r="2030" spans="1:14" hidden="1" x14ac:dyDescent="0.3">
      <c r="A2030" s="1" t="s">
        <v>4323</v>
      </c>
      <c r="B2030" s="1" t="s">
        <v>1451</v>
      </c>
      <c r="C2030" s="1" t="s">
        <v>4324</v>
      </c>
      <c r="D2030" s="1" t="s">
        <v>1395</v>
      </c>
      <c r="E2030" s="1" t="s">
        <v>1396</v>
      </c>
      <c r="F2030" s="1" t="s">
        <v>1397</v>
      </c>
      <c r="G2030" s="1" t="s">
        <v>4276</v>
      </c>
      <c r="H2030">
        <v>2003</v>
      </c>
      <c r="I2030">
        <v>2006</v>
      </c>
      <c r="J2030">
        <f t="shared" si="62"/>
        <v>4</v>
      </c>
      <c r="K2030" s="1" t="s">
        <v>3665</v>
      </c>
      <c r="L2030" s="1" t="s">
        <v>798</v>
      </c>
      <c r="M2030">
        <f t="shared" si="63"/>
        <v>20</v>
      </c>
      <c r="N2030" t="s">
        <v>650</v>
      </c>
    </row>
    <row r="2031" spans="1:14" hidden="1" x14ac:dyDescent="0.3">
      <c r="A2031" s="1" t="s">
        <v>4325</v>
      </c>
      <c r="B2031" s="1" t="s">
        <v>1451</v>
      </c>
      <c r="C2031" s="1" t="s">
        <v>4326</v>
      </c>
      <c r="D2031" s="1" t="s">
        <v>1395</v>
      </c>
      <c r="E2031" s="1" t="s">
        <v>1396</v>
      </c>
      <c r="F2031" s="1" t="s">
        <v>1397</v>
      </c>
      <c r="G2031" s="1" t="s">
        <v>4276</v>
      </c>
      <c r="H2031">
        <v>2003</v>
      </c>
      <c r="I2031">
        <v>2012</v>
      </c>
      <c r="J2031">
        <f t="shared" si="62"/>
        <v>10</v>
      </c>
      <c r="K2031" s="1" t="s">
        <v>3665</v>
      </c>
      <c r="L2031" s="1" t="s">
        <v>798</v>
      </c>
      <c r="M2031">
        <f t="shared" si="63"/>
        <v>14</v>
      </c>
      <c r="N2031" t="s">
        <v>650</v>
      </c>
    </row>
    <row r="2032" spans="1:14" hidden="1" x14ac:dyDescent="0.3">
      <c r="A2032" s="1" t="s">
        <v>4327</v>
      </c>
      <c r="B2032" s="1" t="s">
        <v>1451</v>
      </c>
      <c r="C2032" s="1" t="s">
        <v>4328</v>
      </c>
      <c r="D2032" s="1" t="s">
        <v>1395</v>
      </c>
      <c r="E2032" s="1" t="s">
        <v>1396</v>
      </c>
      <c r="F2032" s="1" t="s">
        <v>1397</v>
      </c>
      <c r="G2032" s="1" t="s">
        <v>4276</v>
      </c>
      <c r="H2032">
        <v>2007</v>
      </c>
      <c r="I2032">
        <v>2012</v>
      </c>
      <c r="J2032">
        <f t="shared" si="62"/>
        <v>6</v>
      </c>
      <c r="K2032" s="1" t="s">
        <v>3665</v>
      </c>
      <c r="L2032" s="1" t="s">
        <v>798</v>
      </c>
      <c r="M2032">
        <f t="shared" si="63"/>
        <v>14</v>
      </c>
      <c r="N2032" t="s">
        <v>650</v>
      </c>
    </row>
    <row r="2033" spans="1:14" hidden="1" x14ac:dyDescent="0.3">
      <c r="A2033" s="1" t="s">
        <v>4329</v>
      </c>
      <c r="B2033" s="1" t="s">
        <v>1451</v>
      </c>
      <c r="C2033" s="1" t="s">
        <v>4330</v>
      </c>
      <c r="D2033" s="1" t="s">
        <v>1395</v>
      </c>
      <c r="E2033" s="1" t="s">
        <v>1396</v>
      </c>
      <c r="F2033" s="1" t="s">
        <v>1397</v>
      </c>
      <c r="G2033" s="1" t="s">
        <v>4276</v>
      </c>
      <c r="H2033">
        <v>2006</v>
      </c>
      <c r="I2033">
        <v>2007</v>
      </c>
      <c r="J2033">
        <f t="shared" si="62"/>
        <v>2</v>
      </c>
      <c r="K2033" s="1" t="s">
        <v>3665</v>
      </c>
      <c r="L2033" s="1" t="s">
        <v>798</v>
      </c>
      <c r="M2033">
        <f t="shared" si="63"/>
        <v>19</v>
      </c>
      <c r="N2033" t="s">
        <v>650</v>
      </c>
    </row>
    <row r="2034" spans="1:14" hidden="1" x14ac:dyDescent="0.3">
      <c r="A2034" s="1" t="s">
        <v>4331</v>
      </c>
      <c r="B2034" s="1" t="s">
        <v>1451</v>
      </c>
      <c r="C2034" s="1" t="s">
        <v>4332</v>
      </c>
      <c r="D2034" s="1" t="s">
        <v>1395</v>
      </c>
      <c r="E2034" s="1" t="s">
        <v>1396</v>
      </c>
      <c r="F2034" s="1" t="s">
        <v>1397</v>
      </c>
      <c r="G2034" s="1" t="s">
        <v>4276</v>
      </c>
      <c r="H2034">
        <v>2003</v>
      </c>
      <c r="I2034">
        <v>2012</v>
      </c>
      <c r="J2034">
        <f t="shared" si="62"/>
        <v>10</v>
      </c>
      <c r="K2034" s="1" t="s">
        <v>3665</v>
      </c>
      <c r="L2034" s="1" t="s">
        <v>798</v>
      </c>
      <c r="M2034">
        <f t="shared" si="63"/>
        <v>14</v>
      </c>
      <c r="N2034" t="s">
        <v>650</v>
      </c>
    </row>
    <row r="2035" spans="1:14" hidden="1" x14ac:dyDescent="0.3">
      <c r="A2035" s="1" t="s">
        <v>4333</v>
      </c>
      <c r="B2035" s="1" t="s">
        <v>1451</v>
      </c>
      <c r="C2035" s="1" t="s">
        <v>4334</v>
      </c>
      <c r="D2035" s="1" t="s">
        <v>1395</v>
      </c>
      <c r="E2035" s="1" t="s">
        <v>1396</v>
      </c>
      <c r="F2035" s="1" t="s">
        <v>1397</v>
      </c>
      <c r="G2035" s="1" t="s">
        <v>4276</v>
      </c>
      <c r="H2035">
        <v>2006</v>
      </c>
      <c r="I2035">
        <v>2012</v>
      </c>
      <c r="J2035">
        <f t="shared" si="62"/>
        <v>7</v>
      </c>
      <c r="K2035" s="1" t="s">
        <v>3665</v>
      </c>
      <c r="L2035" s="1" t="s">
        <v>798</v>
      </c>
      <c r="M2035">
        <f t="shared" si="63"/>
        <v>14</v>
      </c>
      <c r="N2035" t="s">
        <v>650</v>
      </c>
    </row>
    <row r="2036" spans="1:14" hidden="1" x14ac:dyDescent="0.3">
      <c r="A2036" s="1" t="s">
        <v>4335</v>
      </c>
      <c r="B2036" s="1" t="s">
        <v>1451</v>
      </c>
      <c r="C2036" s="1" t="s">
        <v>4336</v>
      </c>
      <c r="D2036" s="1" t="s">
        <v>1395</v>
      </c>
      <c r="E2036" s="1" t="s">
        <v>1396</v>
      </c>
      <c r="F2036" s="1" t="s">
        <v>1397</v>
      </c>
      <c r="G2036" s="1" t="s">
        <v>4276</v>
      </c>
      <c r="H2036">
        <v>2003</v>
      </c>
      <c r="I2036">
        <v>2012</v>
      </c>
      <c r="J2036">
        <f t="shared" si="62"/>
        <v>10</v>
      </c>
      <c r="K2036" s="1" t="s">
        <v>3665</v>
      </c>
      <c r="L2036" s="1" t="s">
        <v>798</v>
      </c>
      <c r="M2036">
        <f t="shared" si="63"/>
        <v>14</v>
      </c>
      <c r="N2036" t="s">
        <v>650</v>
      </c>
    </row>
    <row r="2037" spans="1:14" hidden="1" x14ac:dyDescent="0.3">
      <c r="A2037" s="1" t="s">
        <v>4337</v>
      </c>
      <c r="B2037" s="1" t="s">
        <v>1451</v>
      </c>
      <c r="C2037" s="1" t="s">
        <v>4338</v>
      </c>
      <c r="D2037" s="1" t="s">
        <v>1395</v>
      </c>
      <c r="E2037" s="1" t="s">
        <v>1396</v>
      </c>
      <c r="F2037" s="1" t="s">
        <v>1397</v>
      </c>
      <c r="G2037" s="1" t="s">
        <v>4276</v>
      </c>
      <c r="H2037">
        <v>2007</v>
      </c>
      <c r="I2037">
        <v>2012</v>
      </c>
      <c r="J2037">
        <f t="shared" si="62"/>
        <v>6</v>
      </c>
      <c r="K2037" s="1" t="s">
        <v>3665</v>
      </c>
      <c r="L2037" s="1" t="s">
        <v>798</v>
      </c>
      <c r="M2037">
        <f t="shared" si="63"/>
        <v>14</v>
      </c>
      <c r="N2037" t="s">
        <v>650</v>
      </c>
    </row>
    <row r="2038" spans="1:14" hidden="1" x14ac:dyDescent="0.3">
      <c r="A2038" s="1" t="s">
        <v>4339</v>
      </c>
      <c r="B2038" s="1" t="s">
        <v>1451</v>
      </c>
      <c r="C2038" s="1" t="s">
        <v>4340</v>
      </c>
      <c r="D2038" s="1" t="s">
        <v>1395</v>
      </c>
      <c r="E2038" s="1" t="s">
        <v>1396</v>
      </c>
      <c r="F2038" s="1" t="s">
        <v>1397</v>
      </c>
      <c r="G2038" s="1" t="s">
        <v>4276</v>
      </c>
      <c r="H2038">
        <v>2009</v>
      </c>
      <c r="I2038">
        <v>2012</v>
      </c>
      <c r="J2038">
        <f t="shared" si="62"/>
        <v>4</v>
      </c>
      <c r="K2038" s="1" t="s">
        <v>3665</v>
      </c>
      <c r="L2038" s="1" t="s">
        <v>798</v>
      </c>
      <c r="M2038">
        <f t="shared" si="63"/>
        <v>14</v>
      </c>
      <c r="N2038" t="s">
        <v>650</v>
      </c>
    </row>
    <row r="2039" spans="1:14" x14ac:dyDescent="0.3">
      <c r="A2039" s="1" t="s">
        <v>7745</v>
      </c>
      <c r="B2039" s="1" t="s">
        <v>1451</v>
      </c>
      <c r="C2039" s="1" t="s">
        <v>7746</v>
      </c>
      <c r="D2039" s="1" t="s">
        <v>1395</v>
      </c>
      <c r="E2039" s="1" t="s">
        <v>6076</v>
      </c>
      <c r="F2039" s="1" t="s">
        <v>6076</v>
      </c>
      <c r="G2039" s="1" t="s">
        <v>5996</v>
      </c>
      <c r="H2039">
        <v>2009</v>
      </c>
      <c r="I2039">
        <v>2015</v>
      </c>
      <c r="J2039">
        <f t="shared" si="62"/>
        <v>7</v>
      </c>
      <c r="K2039" s="1" t="s">
        <v>6076</v>
      </c>
      <c r="L2039" s="1" t="s">
        <v>6076</v>
      </c>
      <c r="M2039">
        <f t="shared" si="63"/>
        <v>11</v>
      </c>
      <c r="N2039" t="s">
        <v>650</v>
      </c>
    </row>
    <row r="2040" spans="1:14" x14ac:dyDescent="0.3">
      <c r="A2040" s="1" t="s">
        <v>7747</v>
      </c>
      <c r="B2040" s="1" t="s">
        <v>1451</v>
      </c>
      <c r="C2040" s="1" t="s">
        <v>7748</v>
      </c>
      <c r="D2040" s="1" t="s">
        <v>1395</v>
      </c>
      <c r="E2040" s="1" t="s">
        <v>6076</v>
      </c>
      <c r="F2040" s="1" t="s">
        <v>6076</v>
      </c>
      <c r="G2040" s="1" t="s">
        <v>5996</v>
      </c>
      <c r="H2040">
        <v>2012</v>
      </c>
      <c r="I2040">
        <v>2013</v>
      </c>
      <c r="J2040">
        <f t="shared" si="62"/>
        <v>2</v>
      </c>
      <c r="K2040" s="1" t="s">
        <v>6076</v>
      </c>
      <c r="L2040" s="1" t="s">
        <v>6076</v>
      </c>
      <c r="M2040">
        <f t="shared" si="63"/>
        <v>13</v>
      </c>
      <c r="N2040" t="s">
        <v>650</v>
      </c>
    </row>
    <row r="2041" spans="1:14" hidden="1" x14ac:dyDescent="0.3">
      <c r="A2041" s="1" t="s">
        <v>5994</v>
      </c>
      <c r="B2041" s="1" t="s">
        <v>1451</v>
      </c>
      <c r="C2041" s="1" t="s">
        <v>5995</v>
      </c>
      <c r="D2041" s="1" t="s">
        <v>1395</v>
      </c>
      <c r="E2041" s="1" t="s">
        <v>3905</v>
      </c>
      <c r="F2041" s="1" t="s">
        <v>3906</v>
      </c>
      <c r="G2041" s="1" t="s">
        <v>5996</v>
      </c>
      <c r="H2041">
        <v>2009</v>
      </c>
      <c r="I2041">
        <v>2012</v>
      </c>
      <c r="J2041">
        <f t="shared" si="62"/>
        <v>4</v>
      </c>
      <c r="K2041" s="1" t="s">
        <v>5909</v>
      </c>
      <c r="L2041" s="1" t="s">
        <v>3793</v>
      </c>
      <c r="M2041">
        <f t="shared" si="63"/>
        <v>14</v>
      </c>
      <c r="N2041" t="s">
        <v>650</v>
      </c>
    </row>
    <row r="2042" spans="1:14" x14ac:dyDescent="0.3">
      <c r="A2042" s="1" t="s">
        <v>7749</v>
      </c>
      <c r="B2042" s="1" t="s">
        <v>1451</v>
      </c>
      <c r="C2042" s="1" t="s">
        <v>7750</v>
      </c>
      <c r="D2042" s="1" t="s">
        <v>1395</v>
      </c>
      <c r="E2042" s="1" t="s">
        <v>6076</v>
      </c>
      <c r="F2042" s="1" t="s">
        <v>6076</v>
      </c>
      <c r="G2042" s="1" t="s">
        <v>5996</v>
      </c>
      <c r="H2042">
        <v>2012</v>
      </c>
      <c r="I2042">
        <v>2015</v>
      </c>
      <c r="J2042">
        <f t="shared" si="62"/>
        <v>4</v>
      </c>
      <c r="K2042" s="1" t="s">
        <v>6076</v>
      </c>
      <c r="L2042" s="1" t="s">
        <v>6076</v>
      </c>
      <c r="M2042">
        <f t="shared" si="63"/>
        <v>11</v>
      </c>
      <c r="N2042" t="s">
        <v>650</v>
      </c>
    </row>
    <row r="2043" spans="1:14" x14ac:dyDescent="0.3">
      <c r="A2043" s="1" t="s">
        <v>7751</v>
      </c>
      <c r="B2043" s="1" t="s">
        <v>1451</v>
      </c>
      <c r="C2043" s="1" t="s">
        <v>7752</v>
      </c>
      <c r="D2043" s="1" t="s">
        <v>1395</v>
      </c>
      <c r="E2043" s="1" t="s">
        <v>6076</v>
      </c>
      <c r="F2043" s="1" t="s">
        <v>6076</v>
      </c>
      <c r="G2043" s="1" t="s">
        <v>5996</v>
      </c>
      <c r="H2043">
        <v>2019</v>
      </c>
      <c r="I2043">
        <v>2020</v>
      </c>
      <c r="J2043">
        <f t="shared" si="62"/>
        <v>2</v>
      </c>
      <c r="K2043" s="1" t="s">
        <v>6076</v>
      </c>
      <c r="L2043" s="1" t="s">
        <v>6076</v>
      </c>
      <c r="M2043">
        <f t="shared" si="63"/>
        <v>6</v>
      </c>
      <c r="N2043" t="s">
        <v>650</v>
      </c>
    </row>
    <row r="2044" spans="1:14" x14ac:dyDescent="0.3">
      <c r="A2044" s="1" t="s">
        <v>7753</v>
      </c>
      <c r="B2044" s="1" t="s">
        <v>1451</v>
      </c>
      <c r="C2044" s="1" t="s">
        <v>7754</v>
      </c>
      <c r="D2044" s="1" t="s">
        <v>1395</v>
      </c>
      <c r="E2044" s="1" t="s">
        <v>6076</v>
      </c>
      <c r="F2044" s="1" t="s">
        <v>6076</v>
      </c>
      <c r="G2044" s="1" t="s">
        <v>5996</v>
      </c>
      <c r="H2044">
        <v>2016</v>
      </c>
      <c r="I2044">
        <v>2018</v>
      </c>
      <c r="J2044">
        <f t="shared" si="62"/>
        <v>3</v>
      </c>
      <c r="K2044" s="1" t="s">
        <v>6076</v>
      </c>
      <c r="L2044" s="1" t="s">
        <v>6076</v>
      </c>
      <c r="M2044">
        <f t="shared" si="63"/>
        <v>8</v>
      </c>
      <c r="N2044" t="s">
        <v>650</v>
      </c>
    </row>
    <row r="2045" spans="1:14" hidden="1" x14ac:dyDescent="0.3">
      <c r="A2045" t="s">
        <v>12178</v>
      </c>
      <c r="B2045" t="s">
        <v>642</v>
      </c>
      <c r="C2045" t="s">
        <v>12179</v>
      </c>
      <c r="E2045" s="1" t="e">
        <v>#N/A</v>
      </c>
      <c r="F2045" s="1" t="e">
        <v>#N/A</v>
      </c>
      <c r="G2045" s="1" t="s">
        <v>12911</v>
      </c>
      <c r="H2045">
        <v>2022</v>
      </c>
      <c r="I2045">
        <v>2023</v>
      </c>
      <c r="J2045">
        <f t="shared" si="62"/>
        <v>2</v>
      </c>
      <c r="K2045" s="1" t="s">
        <v>12912</v>
      </c>
      <c r="L2045" s="1" t="s">
        <v>12912</v>
      </c>
      <c r="M2045">
        <f t="shared" si="63"/>
        <v>3</v>
      </c>
    </row>
    <row r="2046" spans="1:14" x14ac:dyDescent="0.3">
      <c r="A2046" t="s">
        <v>11666</v>
      </c>
      <c r="B2046" t="s">
        <v>5289</v>
      </c>
      <c r="C2046" t="s">
        <v>11667</v>
      </c>
      <c r="E2046" s="1" t="s">
        <v>6076</v>
      </c>
      <c r="F2046" s="1" t="s">
        <v>6076</v>
      </c>
      <c r="G2046" s="1" t="s">
        <v>12903</v>
      </c>
      <c r="H2046">
        <v>2022</v>
      </c>
      <c r="I2046">
        <v>2026</v>
      </c>
      <c r="J2046">
        <f t="shared" si="62"/>
        <v>5</v>
      </c>
      <c r="K2046" s="1" t="s">
        <v>6076</v>
      </c>
      <c r="L2046" s="1" t="s">
        <v>6076</v>
      </c>
      <c r="M2046">
        <f t="shared" si="63"/>
        <v>0</v>
      </c>
    </row>
    <row r="2047" spans="1:14" x14ac:dyDescent="0.3">
      <c r="A2047" s="1" t="s">
        <v>7755</v>
      </c>
      <c r="B2047" s="1" t="s">
        <v>5289</v>
      </c>
      <c r="C2047" s="1" t="s">
        <v>7756</v>
      </c>
      <c r="D2047" s="1" t="s">
        <v>746</v>
      </c>
      <c r="E2047" s="1" t="s">
        <v>6076</v>
      </c>
      <c r="F2047" s="1" t="s">
        <v>6076</v>
      </c>
      <c r="G2047" s="1" t="s">
        <v>7757</v>
      </c>
      <c r="H2047">
        <v>2022</v>
      </c>
      <c r="I2047">
        <v>2022</v>
      </c>
      <c r="J2047">
        <f t="shared" si="62"/>
        <v>1</v>
      </c>
      <c r="K2047" s="1" t="s">
        <v>6076</v>
      </c>
      <c r="L2047" s="1" t="s">
        <v>6076</v>
      </c>
      <c r="M2047">
        <f t="shared" si="63"/>
        <v>4</v>
      </c>
      <c r="N2047" t="s">
        <v>650</v>
      </c>
    </row>
    <row r="2048" spans="1:14" hidden="1" x14ac:dyDescent="0.3">
      <c r="A2048" t="s">
        <v>11668</v>
      </c>
      <c r="B2048" t="s">
        <v>5289</v>
      </c>
      <c r="C2048" t="s">
        <v>11669</v>
      </c>
      <c r="E2048" s="1" t="e">
        <v>#N/A</v>
      </c>
      <c r="F2048" s="1" t="e">
        <v>#N/A</v>
      </c>
      <c r="G2048" s="1" t="s">
        <v>7757</v>
      </c>
      <c r="H2048">
        <v>2023</v>
      </c>
      <c r="I2048">
        <v>2026</v>
      </c>
      <c r="J2048">
        <f t="shared" si="62"/>
        <v>4</v>
      </c>
      <c r="K2048" s="1" t="s">
        <v>5909</v>
      </c>
      <c r="L2048" s="1" t="s">
        <v>659</v>
      </c>
      <c r="M2048">
        <f t="shared" si="63"/>
        <v>0</v>
      </c>
    </row>
    <row r="2049" spans="1:14" x14ac:dyDescent="0.3">
      <c r="A2049" s="1" t="s">
        <v>7758</v>
      </c>
      <c r="B2049" s="1" t="s">
        <v>5289</v>
      </c>
      <c r="C2049" s="1" t="s">
        <v>7759</v>
      </c>
      <c r="D2049" s="1" t="s">
        <v>746</v>
      </c>
      <c r="E2049" s="1" t="s">
        <v>6076</v>
      </c>
      <c r="F2049" s="1" t="s">
        <v>6076</v>
      </c>
      <c r="G2049" s="1" t="s">
        <v>7757</v>
      </c>
      <c r="H2049">
        <v>2022</v>
      </c>
      <c r="I2049">
        <v>2022</v>
      </c>
      <c r="J2049">
        <f t="shared" si="62"/>
        <v>1</v>
      </c>
      <c r="K2049" s="1" t="s">
        <v>6076</v>
      </c>
      <c r="L2049" s="1" t="s">
        <v>6076</v>
      </c>
      <c r="M2049">
        <f t="shared" si="63"/>
        <v>4</v>
      </c>
      <c r="N2049" t="s">
        <v>650</v>
      </c>
    </row>
    <row r="2050" spans="1:14" x14ac:dyDescent="0.3">
      <c r="A2050" s="1" t="s">
        <v>7760</v>
      </c>
      <c r="B2050" s="1" t="s">
        <v>5289</v>
      </c>
      <c r="C2050" s="1" t="s">
        <v>7761</v>
      </c>
      <c r="D2050" s="1" t="s">
        <v>1395</v>
      </c>
      <c r="E2050" s="1" t="s">
        <v>6076</v>
      </c>
      <c r="F2050" s="1" t="s">
        <v>6076</v>
      </c>
      <c r="G2050" s="1" t="s">
        <v>7757</v>
      </c>
      <c r="H2050">
        <v>2022</v>
      </c>
      <c r="I2050">
        <v>2022</v>
      </c>
      <c r="J2050">
        <f t="shared" si="62"/>
        <v>1</v>
      </c>
      <c r="K2050" s="1" t="s">
        <v>6076</v>
      </c>
      <c r="L2050" s="1" t="s">
        <v>6076</v>
      </c>
      <c r="M2050">
        <f t="shared" si="63"/>
        <v>4</v>
      </c>
      <c r="N2050" t="s">
        <v>650</v>
      </c>
    </row>
    <row r="2051" spans="1:14" hidden="1" x14ac:dyDescent="0.3">
      <c r="A2051" t="s">
        <v>11229</v>
      </c>
      <c r="B2051" t="s">
        <v>672</v>
      </c>
      <c r="C2051" t="s">
        <v>11230</v>
      </c>
      <c r="E2051" s="1" t="e">
        <v>#N/A</v>
      </c>
      <c r="F2051" s="1" t="e">
        <v>#N/A</v>
      </c>
      <c r="G2051" s="1" t="s">
        <v>12909</v>
      </c>
      <c r="H2051">
        <v>2022</v>
      </c>
      <c r="I2051">
        <v>2023</v>
      </c>
      <c r="J2051">
        <f t="shared" si="62"/>
        <v>2</v>
      </c>
      <c r="K2051" s="1" t="s">
        <v>12912</v>
      </c>
      <c r="L2051" s="1" t="s">
        <v>12912</v>
      </c>
      <c r="M2051">
        <f t="shared" si="63"/>
        <v>3</v>
      </c>
    </row>
    <row r="2052" spans="1:14" x14ac:dyDescent="0.3">
      <c r="A2052" t="s">
        <v>11670</v>
      </c>
      <c r="B2052" t="s">
        <v>5289</v>
      </c>
      <c r="C2052" t="s">
        <v>11671</v>
      </c>
      <c r="E2052" s="1" t="s">
        <v>6076</v>
      </c>
      <c r="F2052" s="1" t="s">
        <v>6076</v>
      </c>
      <c r="G2052" s="1" t="s">
        <v>12904</v>
      </c>
      <c r="H2052">
        <v>2025</v>
      </c>
      <c r="I2052">
        <v>2026</v>
      </c>
      <c r="J2052">
        <f t="shared" si="62"/>
        <v>2</v>
      </c>
      <c r="K2052" s="1" t="s">
        <v>6076</v>
      </c>
      <c r="L2052" s="1" t="s">
        <v>6076</v>
      </c>
      <c r="M2052">
        <f t="shared" si="63"/>
        <v>0</v>
      </c>
    </row>
    <row r="2053" spans="1:14" x14ac:dyDescent="0.3">
      <c r="A2053" t="s">
        <v>11672</v>
      </c>
      <c r="B2053" t="s">
        <v>5289</v>
      </c>
      <c r="C2053" t="s">
        <v>11673</v>
      </c>
      <c r="E2053" s="1" t="s">
        <v>6076</v>
      </c>
      <c r="F2053" s="1" t="s">
        <v>6076</v>
      </c>
      <c r="G2053" s="1" t="s">
        <v>12904</v>
      </c>
      <c r="H2053">
        <v>2025</v>
      </c>
      <c r="I2053">
        <v>2026</v>
      </c>
      <c r="J2053">
        <f t="shared" si="62"/>
        <v>2</v>
      </c>
      <c r="K2053" s="1" t="s">
        <v>6076</v>
      </c>
      <c r="L2053" s="1" t="s">
        <v>6076</v>
      </c>
      <c r="M2053">
        <f t="shared" si="63"/>
        <v>0</v>
      </c>
    </row>
    <row r="2054" spans="1:14" x14ac:dyDescent="0.3">
      <c r="A2054" t="s">
        <v>11674</v>
      </c>
      <c r="B2054" t="s">
        <v>5289</v>
      </c>
      <c r="C2054" t="s">
        <v>11675</v>
      </c>
      <c r="E2054" s="1" t="s">
        <v>6076</v>
      </c>
      <c r="F2054" s="1" t="s">
        <v>6076</v>
      </c>
      <c r="G2054" s="1" t="s">
        <v>12904</v>
      </c>
      <c r="H2054">
        <v>2023</v>
      </c>
      <c r="I2054">
        <v>2026</v>
      </c>
      <c r="J2054">
        <f t="shared" ref="J2054:J2117" si="64">1+(I2054-H2054)</f>
        <v>4</v>
      </c>
      <c r="K2054" s="1" t="s">
        <v>6076</v>
      </c>
      <c r="L2054" s="1" t="s">
        <v>6076</v>
      </c>
      <c r="M2054">
        <f t="shared" ref="M2054:M2117" si="65">IF(I2054=0,0,$B$2-I2054)</f>
        <v>0</v>
      </c>
    </row>
    <row r="2055" spans="1:14" x14ac:dyDescent="0.3">
      <c r="A2055" t="s">
        <v>11676</v>
      </c>
      <c r="B2055" t="s">
        <v>5289</v>
      </c>
      <c r="C2055" t="s">
        <v>11677</v>
      </c>
      <c r="E2055" s="1" t="s">
        <v>6076</v>
      </c>
      <c r="F2055" s="1" t="s">
        <v>6076</v>
      </c>
      <c r="G2055" s="1" t="s">
        <v>12904</v>
      </c>
      <c r="H2055">
        <v>2023</v>
      </c>
      <c r="I2055">
        <v>2026</v>
      </c>
      <c r="J2055">
        <f t="shared" si="64"/>
        <v>4</v>
      </c>
      <c r="K2055" s="1" t="s">
        <v>6076</v>
      </c>
      <c r="L2055" s="1" t="s">
        <v>6076</v>
      </c>
      <c r="M2055">
        <f t="shared" si="65"/>
        <v>0</v>
      </c>
    </row>
    <row r="2056" spans="1:14" x14ac:dyDescent="0.3">
      <c r="A2056" s="1" t="s">
        <v>7762</v>
      </c>
      <c r="B2056" s="1" t="s">
        <v>1849</v>
      </c>
      <c r="C2056" s="1" t="s">
        <v>7763</v>
      </c>
      <c r="D2056" s="1" t="s">
        <v>738</v>
      </c>
      <c r="E2056" s="1" t="s">
        <v>6076</v>
      </c>
      <c r="F2056" s="1" t="s">
        <v>6076</v>
      </c>
      <c r="G2056" s="1" t="s">
        <v>5122</v>
      </c>
      <c r="H2056">
        <v>2017</v>
      </c>
      <c r="I2056">
        <v>2018</v>
      </c>
      <c r="J2056">
        <f t="shared" si="64"/>
        <v>2</v>
      </c>
      <c r="K2056" s="1" t="s">
        <v>6076</v>
      </c>
      <c r="L2056" s="1" t="s">
        <v>6076</v>
      </c>
      <c r="M2056">
        <f t="shared" si="65"/>
        <v>8</v>
      </c>
      <c r="N2056" t="s">
        <v>650</v>
      </c>
    </row>
    <row r="2057" spans="1:14" x14ac:dyDescent="0.3">
      <c r="A2057" s="1" t="s">
        <v>7764</v>
      </c>
      <c r="B2057" s="1" t="s">
        <v>1849</v>
      </c>
      <c r="C2057" s="1" t="s">
        <v>7765</v>
      </c>
      <c r="D2057" s="1" t="s">
        <v>738</v>
      </c>
      <c r="E2057" s="1" t="s">
        <v>6076</v>
      </c>
      <c r="F2057" s="1" t="s">
        <v>6076</v>
      </c>
      <c r="G2057" s="1" t="s">
        <v>5122</v>
      </c>
      <c r="H2057">
        <v>1992</v>
      </c>
      <c r="I2057">
        <v>1995</v>
      </c>
      <c r="J2057">
        <f t="shared" si="64"/>
        <v>4</v>
      </c>
      <c r="K2057" s="1" t="s">
        <v>6076</v>
      </c>
      <c r="L2057" s="1" t="s">
        <v>6076</v>
      </c>
      <c r="M2057">
        <f t="shared" si="65"/>
        <v>31</v>
      </c>
      <c r="N2057" t="s">
        <v>640</v>
      </c>
    </row>
    <row r="2058" spans="1:14" x14ac:dyDescent="0.3">
      <c r="A2058" s="1" t="s">
        <v>7766</v>
      </c>
      <c r="B2058" s="1" t="s">
        <v>1849</v>
      </c>
      <c r="C2058" s="1" t="s">
        <v>7767</v>
      </c>
      <c r="D2058" s="1" t="s">
        <v>738</v>
      </c>
      <c r="E2058" s="1" t="s">
        <v>6076</v>
      </c>
      <c r="F2058" s="1" t="s">
        <v>6076</v>
      </c>
      <c r="G2058" s="1" t="s">
        <v>5122</v>
      </c>
      <c r="H2058">
        <v>1992</v>
      </c>
      <c r="I2058">
        <v>1997</v>
      </c>
      <c r="J2058">
        <f t="shared" si="64"/>
        <v>6</v>
      </c>
      <c r="K2058" s="1" t="s">
        <v>6076</v>
      </c>
      <c r="L2058" s="1" t="s">
        <v>6076</v>
      </c>
      <c r="M2058">
        <f t="shared" si="65"/>
        <v>29</v>
      </c>
      <c r="N2058" t="s">
        <v>640</v>
      </c>
    </row>
    <row r="2059" spans="1:14" x14ac:dyDescent="0.3">
      <c r="A2059" s="1" t="s">
        <v>7768</v>
      </c>
      <c r="B2059" s="1" t="s">
        <v>1849</v>
      </c>
      <c r="C2059" s="1" t="s">
        <v>7769</v>
      </c>
      <c r="D2059" s="1" t="s">
        <v>738</v>
      </c>
      <c r="E2059" s="1" t="s">
        <v>6076</v>
      </c>
      <c r="F2059" s="1" t="s">
        <v>6076</v>
      </c>
      <c r="G2059" s="1" t="s">
        <v>5122</v>
      </c>
      <c r="H2059">
        <v>1996</v>
      </c>
      <c r="I2059">
        <v>1998</v>
      </c>
      <c r="J2059">
        <f t="shared" si="64"/>
        <v>3</v>
      </c>
      <c r="K2059" s="1" t="s">
        <v>6076</v>
      </c>
      <c r="L2059" s="1" t="s">
        <v>6076</v>
      </c>
      <c r="M2059">
        <f t="shared" si="65"/>
        <v>28</v>
      </c>
      <c r="N2059" t="s">
        <v>640</v>
      </c>
    </row>
    <row r="2060" spans="1:14" hidden="1" x14ac:dyDescent="0.3">
      <c r="A2060" s="1" t="s">
        <v>5120</v>
      </c>
      <c r="B2060" s="1" t="s">
        <v>1849</v>
      </c>
      <c r="C2060" s="1" t="s">
        <v>5121</v>
      </c>
      <c r="D2060" s="1" t="s">
        <v>738</v>
      </c>
      <c r="E2060" s="1" t="s">
        <v>812</v>
      </c>
      <c r="F2060" s="1" t="s">
        <v>813</v>
      </c>
      <c r="G2060" s="1" t="s">
        <v>5122</v>
      </c>
      <c r="H2060">
        <v>2012</v>
      </c>
      <c r="I2060">
        <v>2013</v>
      </c>
      <c r="J2060">
        <f t="shared" si="64"/>
        <v>2</v>
      </c>
      <c r="K2060" s="1" t="s">
        <v>4668</v>
      </c>
      <c r="L2060" s="1" t="s">
        <v>649</v>
      </c>
      <c r="M2060">
        <f t="shared" si="65"/>
        <v>13</v>
      </c>
      <c r="N2060" t="s">
        <v>650</v>
      </c>
    </row>
    <row r="2061" spans="1:14" hidden="1" x14ac:dyDescent="0.3">
      <c r="A2061" s="1" t="s">
        <v>5123</v>
      </c>
      <c r="B2061" s="1" t="s">
        <v>1849</v>
      </c>
      <c r="C2061" s="1" t="s">
        <v>5124</v>
      </c>
      <c r="D2061" s="1" t="s">
        <v>738</v>
      </c>
      <c r="E2061" s="1" t="s">
        <v>812</v>
      </c>
      <c r="F2061" s="1" t="s">
        <v>813</v>
      </c>
      <c r="G2061" s="1" t="s">
        <v>5122</v>
      </c>
      <c r="H2061">
        <v>2012</v>
      </c>
      <c r="I2061">
        <v>2012</v>
      </c>
      <c r="J2061">
        <f t="shared" si="64"/>
        <v>1</v>
      </c>
      <c r="K2061" s="1" t="s">
        <v>4668</v>
      </c>
      <c r="L2061" s="1" t="s">
        <v>649</v>
      </c>
      <c r="M2061">
        <f t="shared" si="65"/>
        <v>14</v>
      </c>
      <c r="N2061" t="s">
        <v>650</v>
      </c>
    </row>
    <row r="2062" spans="1:14" x14ac:dyDescent="0.3">
      <c r="A2062" s="1" t="s">
        <v>7770</v>
      </c>
      <c r="B2062" s="1" t="s">
        <v>1849</v>
      </c>
      <c r="C2062" s="1" t="s">
        <v>7771</v>
      </c>
      <c r="D2062" s="1" t="s">
        <v>738</v>
      </c>
      <c r="E2062" s="1" t="s">
        <v>6076</v>
      </c>
      <c r="F2062" s="1" t="s">
        <v>6076</v>
      </c>
      <c r="G2062" s="1" t="s">
        <v>5122</v>
      </c>
      <c r="H2062">
        <v>2001</v>
      </c>
      <c r="I2062">
        <v>2004</v>
      </c>
      <c r="J2062">
        <f t="shared" si="64"/>
        <v>4</v>
      </c>
      <c r="K2062" s="1" t="s">
        <v>6076</v>
      </c>
      <c r="L2062" s="1" t="s">
        <v>6076</v>
      </c>
      <c r="M2062">
        <f t="shared" si="65"/>
        <v>22</v>
      </c>
      <c r="N2062" t="s">
        <v>640</v>
      </c>
    </row>
    <row r="2063" spans="1:14" x14ac:dyDescent="0.3">
      <c r="A2063" s="1" t="s">
        <v>7772</v>
      </c>
      <c r="B2063" s="1" t="s">
        <v>1849</v>
      </c>
      <c r="C2063" s="1" t="s">
        <v>7773</v>
      </c>
      <c r="D2063" s="1" t="s">
        <v>738</v>
      </c>
      <c r="E2063" s="1" t="s">
        <v>6076</v>
      </c>
      <c r="F2063" s="1" t="s">
        <v>6076</v>
      </c>
      <c r="G2063" s="1" t="s">
        <v>5122</v>
      </c>
      <c r="H2063">
        <v>1992</v>
      </c>
      <c r="I2063">
        <v>1995</v>
      </c>
      <c r="J2063">
        <f t="shared" si="64"/>
        <v>4</v>
      </c>
      <c r="K2063" s="1" t="s">
        <v>6076</v>
      </c>
      <c r="L2063" s="1" t="s">
        <v>6076</v>
      </c>
      <c r="M2063">
        <f t="shared" si="65"/>
        <v>31</v>
      </c>
      <c r="N2063" t="s">
        <v>640</v>
      </c>
    </row>
    <row r="2064" spans="1:14" x14ac:dyDescent="0.3">
      <c r="A2064" s="1" t="s">
        <v>7774</v>
      </c>
      <c r="B2064" s="1" t="s">
        <v>1849</v>
      </c>
      <c r="C2064" s="1" t="s">
        <v>7775</v>
      </c>
      <c r="D2064" s="1" t="s">
        <v>738</v>
      </c>
      <c r="E2064" s="1" t="s">
        <v>6076</v>
      </c>
      <c r="F2064" s="1" t="s">
        <v>6076</v>
      </c>
      <c r="G2064" s="1" t="s">
        <v>5122</v>
      </c>
      <c r="H2064">
        <v>2001</v>
      </c>
      <c r="I2064">
        <v>2004</v>
      </c>
      <c r="J2064">
        <f t="shared" si="64"/>
        <v>4</v>
      </c>
      <c r="K2064" s="1" t="s">
        <v>6076</v>
      </c>
      <c r="L2064" s="1" t="s">
        <v>6076</v>
      </c>
      <c r="M2064">
        <f t="shared" si="65"/>
        <v>22</v>
      </c>
      <c r="N2064" t="s">
        <v>640</v>
      </c>
    </row>
    <row r="2065" spans="1:14" x14ac:dyDescent="0.3">
      <c r="A2065" s="1" t="s">
        <v>7776</v>
      </c>
      <c r="B2065" s="1" t="s">
        <v>1849</v>
      </c>
      <c r="C2065" s="1" t="s">
        <v>7777</v>
      </c>
      <c r="D2065" s="1" t="s">
        <v>738</v>
      </c>
      <c r="E2065" s="1" t="s">
        <v>6076</v>
      </c>
      <c r="F2065" s="1" t="s">
        <v>6076</v>
      </c>
      <c r="G2065" s="1" t="s">
        <v>5122</v>
      </c>
      <c r="H2065">
        <v>2017</v>
      </c>
      <c r="I2065">
        <v>2018</v>
      </c>
      <c r="J2065">
        <f t="shared" si="64"/>
        <v>2</v>
      </c>
      <c r="K2065" s="1" t="s">
        <v>6076</v>
      </c>
      <c r="L2065" s="1" t="s">
        <v>6076</v>
      </c>
      <c r="M2065">
        <f t="shared" si="65"/>
        <v>8</v>
      </c>
      <c r="N2065" t="s">
        <v>650</v>
      </c>
    </row>
    <row r="2066" spans="1:14" x14ac:dyDescent="0.3">
      <c r="A2066" s="1" t="s">
        <v>7778</v>
      </c>
      <c r="B2066" s="1" t="s">
        <v>1849</v>
      </c>
      <c r="C2066" s="1" t="s">
        <v>7779</v>
      </c>
      <c r="D2066" s="1" t="s">
        <v>738</v>
      </c>
      <c r="E2066" s="1" t="s">
        <v>6076</v>
      </c>
      <c r="F2066" s="1" t="s">
        <v>6076</v>
      </c>
      <c r="G2066" s="1" t="s">
        <v>5122</v>
      </c>
      <c r="H2066">
        <v>1996</v>
      </c>
      <c r="I2066">
        <v>1998</v>
      </c>
      <c r="J2066">
        <f t="shared" si="64"/>
        <v>3</v>
      </c>
      <c r="K2066" s="1" t="s">
        <v>6076</v>
      </c>
      <c r="L2066" s="1" t="s">
        <v>6076</v>
      </c>
      <c r="M2066">
        <f t="shared" si="65"/>
        <v>28</v>
      </c>
      <c r="N2066" t="s">
        <v>640</v>
      </c>
    </row>
    <row r="2067" spans="1:14" x14ac:dyDescent="0.3">
      <c r="A2067" s="1" t="s">
        <v>7780</v>
      </c>
      <c r="B2067" s="1" t="s">
        <v>802</v>
      </c>
      <c r="C2067" s="1" t="s">
        <v>7781</v>
      </c>
      <c r="D2067" s="1" t="s">
        <v>738</v>
      </c>
      <c r="E2067" s="1" t="s">
        <v>6076</v>
      </c>
      <c r="F2067" s="1" t="s">
        <v>6076</v>
      </c>
      <c r="G2067" s="1" t="s">
        <v>7782</v>
      </c>
      <c r="H2067">
        <v>1988</v>
      </c>
      <c r="I2067">
        <v>1988</v>
      </c>
      <c r="J2067">
        <f t="shared" si="64"/>
        <v>1</v>
      </c>
      <c r="K2067" s="1" t="s">
        <v>6076</v>
      </c>
      <c r="L2067" s="1" t="s">
        <v>6076</v>
      </c>
      <c r="M2067">
        <f t="shared" si="65"/>
        <v>38</v>
      </c>
      <c r="N2067" t="s">
        <v>640</v>
      </c>
    </row>
    <row r="2068" spans="1:14" x14ac:dyDescent="0.3">
      <c r="A2068" s="1" t="s">
        <v>7783</v>
      </c>
      <c r="B2068" s="1" t="s">
        <v>802</v>
      </c>
      <c r="C2068" s="1" t="s">
        <v>7784</v>
      </c>
      <c r="D2068" s="1" t="s">
        <v>738</v>
      </c>
      <c r="E2068" s="1" t="s">
        <v>6076</v>
      </c>
      <c r="F2068" s="1" t="s">
        <v>6076</v>
      </c>
      <c r="G2068" s="1" t="s">
        <v>7782</v>
      </c>
      <c r="H2068">
        <v>1985</v>
      </c>
      <c r="I2068">
        <v>1985</v>
      </c>
      <c r="J2068">
        <f t="shared" si="64"/>
        <v>1</v>
      </c>
      <c r="K2068" s="1" t="s">
        <v>6076</v>
      </c>
      <c r="L2068" s="1" t="s">
        <v>6076</v>
      </c>
      <c r="M2068">
        <f t="shared" si="65"/>
        <v>41</v>
      </c>
      <c r="N2068" t="s">
        <v>640</v>
      </c>
    </row>
    <row r="2069" spans="1:14" x14ac:dyDescent="0.3">
      <c r="A2069" s="1" t="s">
        <v>7785</v>
      </c>
      <c r="B2069" s="1" t="s">
        <v>802</v>
      </c>
      <c r="C2069" s="1" t="s">
        <v>7786</v>
      </c>
      <c r="D2069" s="1" t="s">
        <v>738</v>
      </c>
      <c r="E2069" s="1" t="s">
        <v>6076</v>
      </c>
      <c r="F2069" s="1" t="s">
        <v>6076</v>
      </c>
      <c r="G2069" s="1" t="s">
        <v>7782</v>
      </c>
      <c r="H2069">
        <v>1985</v>
      </c>
      <c r="I2069">
        <v>1985</v>
      </c>
      <c r="J2069">
        <f t="shared" si="64"/>
        <v>1</v>
      </c>
      <c r="K2069" s="1" t="s">
        <v>6076</v>
      </c>
      <c r="L2069" s="1" t="s">
        <v>6076</v>
      </c>
      <c r="M2069">
        <f t="shared" si="65"/>
        <v>41</v>
      </c>
      <c r="N2069" t="s">
        <v>640</v>
      </c>
    </row>
    <row r="2070" spans="1:14" x14ac:dyDescent="0.3">
      <c r="A2070" s="1" t="s">
        <v>7787</v>
      </c>
      <c r="B2070" s="1" t="s">
        <v>802</v>
      </c>
      <c r="C2070" s="1" t="s">
        <v>7788</v>
      </c>
      <c r="D2070" s="1" t="s">
        <v>738</v>
      </c>
      <c r="E2070" s="1" t="s">
        <v>6076</v>
      </c>
      <c r="F2070" s="1" t="s">
        <v>6076</v>
      </c>
      <c r="G2070" s="1" t="s">
        <v>2022</v>
      </c>
      <c r="H2070">
        <v>1991</v>
      </c>
      <c r="I2070">
        <v>1991</v>
      </c>
      <c r="J2070">
        <f t="shared" si="64"/>
        <v>1</v>
      </c>
      <c r="K2070" s="1" t="s">
        <v>6076</v>
      </c>
      <c r="L2070" s="1" t="s">
        <v>6076</v>
      </c>
      <c r="M2070">
        <f t="shared" si="65"/>
        <v>35</v>
      </c>
      <c r="N2070" t="s">
        <v>640</v>
      </c>
    </row>
    <row r="2071" spans="1:14" x14ac:dyDescent="0.3">
      <c r="A2071" s="1" t="s">
        <v>7789</v>
      </c>
      <c r="B2071" s="1" t="s">
        <v>810</v>
      </c>
      <c r="C2071" s="1" t="s">
        <v>7790</v>
      </c>
      <c r="D2071" s="1" t="s">
        <v>7113</v>
      </c>
      <c r="E2071" s="1" t="s">
        <v>6076</v>
      </c>
      <c r="F2071" s="1" t="s">
        <v>6076</v>
      </c>
      <c r="G2071" s="1" t="s">
        <v>7791</v>
      </c>
      <c r="H2071">
        <v>2008</v>
      </c>
      <c r="I2071">
        <v>2012</v>
      </c>
      <c r="J2071">
        <f t="shared" si="64"/>
        <v>5</v>
      </c>
      <c r="K2071" s="1" t="s">
        <v>6076</v>
      </c>
      <c r="L2071" s="1" t="s">
        <v>6076</v>
      </c>
      <c r="M2071">
        <f t="shared" si="65"/>
        <v>14</v>
      </c>
      <c r="N2071" t="s">
        <v>650</v>
      </c>
    </row>
    <row r="2072" spans="1:14" x14ac:dyDescent="0.3">
      <c r="A2072" t="s">
        <v>11775</v>
      </c>
      <c r="B2072" t="s">
        <v>5931</v>
      </c>
      <c r="C2072" t="s">
        <v>11776</v>
      </c>
      <c r="E2072" s="1" t="s">
        <v>6076</v>
      </c>
      <c r="F2072" s="1" t="s">
        <v>6076</v>
      </c>
      <c r="G2072" s="1" t="s">
        <v>12852</v>
      </c>
      <c r="H2072">
        <v>2023</v>
      </c>
      <c r="I2072">
        <v>2026</v>
      </c>
      <c r="J2072">
        <f t="shared" si="64"/>
        <v>4</v>
      </c>
      <c r="K2072" s="1" t="s">
        <v>6076</v>
      </c>
      <c r="L2072" s="1" t="s">
        <v>6076</v>
      </c>
      <c r="M2072">
        <f t="shared" si="65"/>
        <v>0</v>
      </c>
    </row>
    <row r="2073" spans="1:14" x14ac:dyDescent="0.3">
      <c r="A2073" t="s">
        <v>11777</v>
      </c>
      <c r="B2073" t="s">
        <v>5931</v>
      </c>
      <c r="C2073" t="s">
        <v>11778</v>
      </c>
      <c r="E2073" s="1" t="s">
        <v>6076</v>
      </c>
      <c r="F2073" s="1" t="s">
        <v>6076</v>
      </c>
      <c r="G2073" s="1" t="s">
        <v>12852</v>
      </c>
      <c r="H2073">
        <v>2025</v>
      </c>
      <c r="I2073">
        <v>2026</v>
      </c>
      <c r="J2073">
        <f t="shared" si="64"/>
        <v>2</v>
      </c>
      <c r="K2073" s="1" t="s">
        <v>6076</v>
      </c>
      <c r="L2073" s="1" t="s">
        <v>6076</v>
      </c>
      <c r="M2073">
        <f t="shared" si="65"/>
        <v>0</v>
      </c>
    </row>
    <row r="2074" spans="1:14" x14ac:dyDescent="0.3">
      <c r="A2074" t="s">
        <v>11779</v>
      </c>
      <c r="B2074" t="s">
        <v>5931</v>
      </c>
      <c r="C2074" t="s">
        <v>11780</v>
      </c>
      <c r="E2074" s="1" t="s">
        <v>6076</v>
      </c>
      <c r="F2074" s="1" t="s">
        <v>6076</v>
      </c>
      <c r="G2074" s="1" t="s">
        <v>12853</v>
      </c>
      <c r="H2074">
        <v>2023</v>
      </c>
      <c r="I2074">
        <v>2023</v>
      </c>
      <c r="J2074">
        <f t="shared" si="64"/>
        <v>1</v>
      </c>
      <c r="K2074" s="1" t="s">
        <v>6076</v>
      </c>
      <c r="L2074" s="1" t="s">
        <v>6076</v>
      </c>
      <c r="M2074">
        <f t="shared" si="65"/>
        <v>3</v>
      </c>
    </row>
    <row r="2075" spans="1:14" x14ac:dyDescent="0.3">
      <c r="A2075" t="s">
        <v>11781</v>
      </c>
      <c r="B2075" t="s">
        <v>5931</v>
      </c>
      <c r="C2075" t="s">
        <v>11782</v>
      </c>
      <c r="E2075" s="1" t="s">
        <v>6076</v>
      </c>
      <c r="F2075" s="1" t="s">
        <v>6076</v>
      </c>
      <c r="G2075" s="1" t="s">
        <v>12853</v>
      </c>
      <c r="H2075">
        <v>2025</v>
      </c>
      <c r="I2075">
        <v>2026</v>
      </c>
      <c r="J2075">
        <f t="shared" si="64"/>
        <v>2</v>
      </c>
      <c r="K2075" s="1" t="s">
        <v>6076</v>
      </c>
      <c r="L2075" s="1" t="s">
        <v>6076</v>
      </c>
      <c r="M2075">
        <f t="shared" si="65"/>
        <v>0</v>
      </c>
    </row>
    <row r="2076" spans="1:14" x14ac:dyDescent="0.3">
      <c r="A2076" t="s">
        <v>11783</v>
      </c>
      <c r="B2076" t="s">
        <v>5931</v>
      </c>
      <c r="C2076" t="s">
        <v>11784</v>
      </c>
      <c r="E2076" s="1" t="s">
        <v>6076</v>
      </c>
      <c r="F2076" s="1" t="s">
        <v>6076</v>
      </c>
      <c r="G2076" s="1" t="s">
        <v>12853</v>
      </c>
      <c r="H2076">
        <v>2024</v>
      </c>
      <c r="I2076">
        <v>2025</v>
      </c>
      <c r="J2076">
        <f t="shared" si="64"/>
        <v>2</v>
      </c>
      <c r="K2076" s="1" t="s">
        <v>6076</v>
      </c>
      <c r="L2076" s="1" t="s">
        <v>6076</v>
      </c>
      <c r="M2076">
        <f t="shared" si="65"/>
        <v>1</v>
      </c>
    </row>
    <row r="2077" spans="1:14" x14ac:dyDescent="0.3">
      <c r="A2077" t="s">
        <v>11785</v>
      </c>
      <c r="B2077" t="s">
        <v>5931</v>
      </c>
      <c r="C2077" t="s">
        <v>11786</v>
      </c>
      <c r="E2077" s="1" t="s">
        <v>6076</v>
      </c>
      <c r="F2077" s="1" t="s">
        <v>6076</v>
      </c>
      <c r="G2077" s="1" t="s">
        <v>12853</v>
      </c>
      <c r="H2077">
        <v>2025</v>
      </c>
      <c r="I2077">
        <v>2026</v>
      </c>
      <c r="J2077">
        <f t="shared" si="64"/>
        <v>2</v>
      </c>
      <c r="K2077" s="1" t="s">
        <v>6076</v>
      </c>
      <c r="L2077" s="1" t="s">
        <v>6076</v>
      </c>
      <c r="M2077">
        <f t="shared" si="65"/>
        <v>0</v>
      </c>
    </row>
    <row r="2078" spans="1:14" x14ac:dyDescent="0.3">
      <c r="A2078" s="1" t="s">
        <v>7792</v>
      </c>
      <c r="B2078" s="1" t="s">
        <v>5931</v>
      </c>
      <c r="C2078" s="1" t="s">
        <v>7793</v>
      </c>
      <c r="D2078" s="1" t="s">
        <v>1395</v>
      </c>
      <c r="E2078" s="1" t="s">
        <v>6076</v>
      </c>
      <c r="F2078" s="1" t="s">
        <v>6076</v>
      </c>
      <c r="G2078" s="1" t="s">
        <v>7794</v>
      </c>
      <c r="H2078">
        <v>2020</v>
      </c>
      <c r="I2078">
        <v>2022</v>
      </c>
      <c r="J2078">
        <f t="shared" si="64"/>
        <v>3</v>
      </c>
      <c r="K2078" s="1" t="s">
        <v>6076</v>
      </c>
      <c r="L2078" s="1" t="s">
        <v>6076</v>
      </c>
      <c r="M2078">
        <f t="shared" si="65"/>
        <v>4</v>
      </c>
    </row>
    <row r="2079" spans="1:14" x14ac:dyDescent="0.3">
      <c r="A2079" t="s">
        <v>11787</v>
      </c>
      <c r="B2079" t="s">
        <v>5931</v>
      </c>
      <c r="C2079" t="s">
        <v>11788</v>
      </c>
      <c r="E2079" s="1" t="s">
        <v>6076</v>
      </c>
      <c r="F2079" s="1" t="s">
        <v>6076</v>
      </c>
      <c r="G2079" s="1" t="s">
        <v>7794</v>
      </c>
      <c r="H2079">
        <v>2022</v>
      </c>
      <c r="I2079">
        <v>2023</v>
      </c>
      <c r="J2079">
        <f t="shared" si="64"/>
        <v>2</v>
      </c>
      <c r="K2079" s="1" t="s">
        <v>6076</v>
      </c>
      <c r="L2079" s="1" t="s">
        <v>6076</v>
      </c>
      <c r="M2079">
        <f t="shared" si="65"/>
        <v>3</v>
      </c>
    </row>
    <row r="2080" spans="1:14" x14ac:dyDescent="0.3">
      <c r="A2080" t="s">
        <v>11789</v>
      </c>
      <c r="B2080" t="s">
        <v>5931</v>
      </c>
      <c r="C2080" t="s">
        <v>11790</v>
      </c>
      <c r="E2080" s="1" t="s">
        <v>6076</v>
      </c>
      <c r="F2080" s="1" t="s">
        <v>6076</v>
      </c>
      <c r="G2080" s="1" t="s">
        <v>12854</v>
      </c>
      <c r="H2080">
        <v>2024</v>
      </c>
      <c r="I2080">
        <v>2024</v>
      </c>
      <c r="J2080">
        <f t="shared" si="64"/>
        <v>1</v>
      </c>
      <c r="K2080" s="1" t="s">
        <v>6076</v>
      </c>
      <c r="L2080" s="1" t="s">
        <v>6076</v>
      </c>
      <c r="M2080">
        <f t="shared" si="65"/>
        <v>2</v>
      </c>
    </row>
    <row r="2081" spans="1:14" x14ac:dyDescent="0.3">
      <c r="A2081" t="s">
        <v>11791</v>
      </c>
      <c r="B2081" t="s">
        <v>5931</v>
      </c>
      <c r="C2081" t="s">
        <v>11792</v>
      </c>
      <c r="E2081" s="1" t="s">
        <v>6076</v>
      </c>
      <c r="F2081" s="1" t="s">
        <v>6076</v>
      </c>
      <c r="G2081" s="1" t="s">
        <v>12854</v>
      </c>
      <c r="H2081">
        <v>2023</v>
      </c>
      <c r="I2081">
        <v>2024</v>
      </c>
      <c r="J2081">
        <f t="shared" si="64"/>
        <v>2</v>
      </c>
      <c r="K2081" s="1" t="s">
        <v>6076</v>
      </c>
      <c r="L2081" s="1" t="s">
        <v>6076</v>
      </c>
      <c r="M2081">
        <f t="shared" si="65"/>
        <v>2</v>
      </c>
    </row>
    <row r="2082" spans="1:14" x14ac:dyDescent="0.3">
      <c r="A2082" t="s">
        <v>11793</v>
      </c>
      <c r="B2082" t="s">
        <v>5931</v>
      </c>
      <c r="C2082" t="s">
        <v>11794</v>
      </c>
      <c r="E2082" s="1" t="s">
        <v>6076</v>
      </c>
      <c r="F2082" s="1" t="s">
        <v>6076</v>
      </c>
      <c r="G2082" s="1" t="s">
        <v>12854</v>
      </c>
      <c r="H2082">
        <v>2023</v>
      </c>
      <c r="I2082">
        <v>2024</v>
      </c>
      <c r="J2082">
        <f t="shared" si="64"/>
        <v>2</v>
      </c>
      <c r="K2082" s="1" t="s">
        <v>6076</v>
      </c>
      <c r="L2082" s="1" t="s">
        <v>6076</v>
      </c>
      <c r="M2082">
        <f t="shared" si="65"/>
        <v>2</v>
      </c>
    </row>
    <row r="2083" spans="1:14" x14ac:dyDescent="0.3">
      <c r="A2083" t="s">
        <v>11795</v>
      </c>
      <c r="B2083" t="s">
        <v>5931</v>
      </c>
      <c r="C2083" t="s">
        <v>11796</v>
      </c>
      <c r="E2083" s="1" t="s">
        <v>6076</v>
      </c>
      <c r="F2083" s="1" t="s">
        <v>6076</v>
      </c>
      <c r="G2083" s="1" t="s">
        <v>12854</v>
      </c>
      <c r="H2083">
        <v>2025</v>
      </c>
      <c r="I2083">
        <v>2026</v>
      </c>
      <c r="J2083">
        <f t="shared" si="64"/>
        <v>2</v>
      </c>
      <c r="K2083" s="1" t="s">
        <v>6076</v>
      </c>
      <c r="L2083" s="1" t="s">
        <v>6076</v>
      </c>
      <c r="M2083">
        <f t="shared" si="65"/>
        <v>0</v>
      </c>
    </row>
    <row r="2084" spans="1:14" x14ac:dyDescent="0.3">
      <c r="A2084" t="s">
        <v>11797</v>
      </c>
      <c r="B2084" t="s">
        <v>5931</v>
      </c>
      <c r="C2084" t="s">
        <v>11798</v>
      </c>
      <c r="E2084" s="1" t="s">
        <v>6076</v>
      </c>
      <c r="F2084" s="1" t="s">
        <v>6076</v>
      </c>
      <c r="G2084" s="1" t="s">
        <v>12854</v>
      </c>
      <c r="H2084">
        <v>2024</v>
      </c>
      <c r="I2084">
        <v>2026</v>
      </c>
      <c r="J2084">
        <f t="shared" si="64"/>
        <v>3</v>
      </c>
      <c r="K2084" s="1" t="s">
        <v>6076</v>
      </c>
      <c r="L2084" s="1" t="s">
        <v>6076</v>
      </c>
      <c r="M2084">
        <f t="shared" si="65"/>
        <v>0</v>
      </c>
    </row>
    <row r="2085" spans="1:14" x14ac:dyDescent="0.3">
      <c r="A2085" t="s">
        <v>11799</v>
      </c>
      <c r="B2085" t="s">
        <v>5931</v>
      </c>
      <c r="C2085" t="s">
        <v>11800</v>
      </c>
      <c r="E2085" s="1" t="s">
        <v>6076</v>
      </c>
      <c r="F2085" s="1" t="s">
        <v>6076</v>
      </c>
      <c r="G2085" s="1" t="s">
        <v>12854</v>
      </c>
      <c r="H2085">
        <v>2024</v>
      </c>
      <c r="I2085">
        <v>2026</v>
      </c>
      <c r="J2085">
        <f t="shared" si="64"/>
        <v>3</v>
      </c>
      <c r="K2085" s="1" t="s">
        <v>6076</v>
      </c>
      <c r="L2085" s="1" t="s">
        <v>6076</v>
      </c>
      <c r="M2085">
        <f t="shared" si="65"/>
        <v>0</v>
      </c>
    </row>
    <row r="2086" spans="1:14" x14ac:dyDescent="0.3">
      <c r="A2086" t="s">
        <v>11801</v>
      </c>
      <c r="B2086" t="s">
        <v>5931</v>
      </c>
      <c r="C2086" t="s">
        <v>11802</v>
      </c>
      <c r="E2086" s="1" t="s">
        <v>6076</v>
      </c>
      <c r="F2086" s="1" t="s">
        <v>6076</v>
      </c>
      <c r="G2086" s="1" t="s">
        <v>12855</v>
      </c>
      <c r="H2086">
        <v>2024</v>
      </c>
      <c r="I2086">
        <v>2026</v>
      </c>
      <c r="J2086">
        <f t="shared" si="64"/>
        <v>3</v>
      </c>
      <c r="K2086" s="1" t="s">
        <v>6076</v>
      </c>
      <c r="L2086" s="1" t="s">
        <v>6076</v>
      </c>
      <c r="M2086">
        <f t="shared" si="65"/>
        <v>0</v>
      </c>
    </row>
    <row r="2087" spans="1:14" x14ac:dyDescent="0.3">
      <c r="A2087" t="s">
        <v>11803</v>
      </c>
      <c r="B2087" t="s">
        <v>5931</v>
      </c>
      <c r="C2087" t="s">
        <v>11804</v>
      </c>
      <c r="E2087" s="1" t="s">
        <v>6076</v>
      </c>
      <c r="F2087" s="1" t="s">
        <v>6076</v>
      </c>
      <c r="G2087" s="1" t="s">
        <v>12855</v>
      </c>
      <c r="H2087">
        <v>2023</v>
      </c>
      <c r="I2087">
        <v>2023</v>
      </c>
      <c r="J2087">
        <f t="shared" si="64"/>
        <v>1</v>
      </c>
      <c r="K2087" s="1" t="s">
        <v>6076</v>
      </c>
      <c r="L2087" s="1" t="s">
        <v>6076</v>
      </c>
      <c r="M2087">
        <f t="shared" si="65"/>
        <v>3</v>
      </c>
    </row>
    <row r="2088" spans="1:14" x14ac:dyDescent="0.3">
      <c r="A2088" t="s">
        <v>11805</v>
      </c>
      <c r="B2088" t="s">
        <v>5931</v>
      </c>
      <c r="C2088" t="s">
        <v>11806</v>
      </c>
      <c r="E2088" s="1" t="s">
        <v>6076</v>
      </c>
      <c r="F2088" s="1" t="s">
        <v>6076</v>
      </c>
      <c r="G2088" s="1" t="s">
        <v>12855</v>
      </c>
      <c r="H2088">
        <v>2022</v>
      </c>
      <c r="I2088">
        <v>2026</v>
      </c>
      <c r="J2088">
        <f t="shared" si="64"/>
        <v>5</v>
      </c>
      <c r="K2088" s="1" t="s">
        <v>6076</v>
      </c>
      <c r="L2088" s="1" t="s">
        <v>6076</v>
      </c>
      <c r="M2088">
        <f t="shared" si="65"/>
        <v>0</v>
      </c>
    </row>
    <row r="2089" spans="1:14" hidden="1" x14ac:dyDescent="0.3">
      <c r="A2089" t="s">
        <v>11071</v>
      </c>
      <c r="B2089" t="s">
        <v>795</v>
      </c>
      <c r="C2089" t="s">
        <v>11072</v>
      </c>
      <c r="E2089" s="1" t="e">
        <v>#N/A</v>
      </c>
      <c r="F2089" s="1" t="e">
        <v>#N/A</v>
      </c>
      <c r="G2089" s="1" t="s">
        <v>5127</v>
      </c>
      <c r="H2089">
        <v>2025</v>
      </c>
      <c r="I2089">
        <v>2026</v>
      </c>
      <c r="J2089">
        <f t="shared" si="64"/>
        <v>2</v>
      </c>
      <c r="K2089" s="1" t="s">
        <v>4668</v>
      </c>
      <c r="L2089" s="1" t="s">
        <v>666</v>
      </c>
      <c r="M2089">
        <f t="shared" si="65"/>
        <v>0</v>
      </c>
    </row>
    <row r="2090" spans="1:14" hidden="1" x14ac:dyDescent="0.3">
      <c r="A2090" t="s">
        <v>11073</v>
      </c>
      <c r="B2090" t="s">
        <v>795</v>
      </c>
      <c r="C2090" t="s">
        <v>11074</v>
      </c>
      <c r="E2090" s="1" t="e">
        <v>#N/A</v>
      </c>
      <c r="F2090" s="1" t="e">
        <v>#N/A</v>
      </c>
      <c r="G2090" s="1" t="s">
        <v>5127</v>
      </c>
      <c r="H2090">
        <v>2024</v>
      </c>
      <c r="I2090">
        <v>2026</v>
      </c>
      <c r="J2090">
        <f t="shared" si="64"/>
        <v>3</v>
      </c>
      <c r="K2090" s="1" t="s">
        <v>4668</v>
      </c>
      <c r="L2090" s="1" t="s">
        <v>666</v>
      </c>
      <c r="M2090">
        <f t="shared" si="65"/>
        <v>0</v>
      </c>
    </row>
    <row r="2091" spans="1:14" hidden="1" x14ac:dyDescent="0.3">
      <c r="A2091" s="1" t="s">
        <v>5125</v>
      </c>
      <c r="B2091" s="1" t="s">
        <v>795</v>
      </c>
      <c r="C2091" s="1" t="s">
        <v>5126</v>
      </c>
      <c r="D2091" s="1" t="s">
        <v>1395</v>
      </c>
      <c r="E2091" s="1" t="s">
        <v>3905</v>
      </c>
      <c r="F2091" s="1" t="s">
        <v>3906</v>
      </c>
      <c r="G2091" s="1" t="s">
        <v>5127</v>
      </c>
      <c r="H2091">
        <v>2020</v>
      </c>
      <c r="I2091">
        <v>2022</v>
      </c>
      <c r="J2091">
        <f t="shared" si="64"/>
        <v>3</v>
      </c>
      <c r="K2091" s="1" t="s">
        <v>4668</v>
      </c>
      <c r="L2091" s="1" t="s">
        <v>666</v>
      </c>
      <c r="M2091">
        <f t="shared" si="65"/>
        <v>4</v>
      </c>
      <c r="N2091" t="s">
        <v>650</v>
      </c>
    </row>
    <row r="2092" spans="1:14" hidden="1" x14ac:dyDescent="0.3">
      <c r="A2092" s="1" t="s">
        <v>5128</v>
      </c>
      <c r="B2092" s="1" t="s">
        <v>795</v>
      </c>
      <c r="C2092" s="1" t="s">
        <v>5129</v>
      </c>
      <c r="D2092" s="1" t="s">
        <v>1395</v>
      </c>
      <c r="E2092" s="1" t="s">
        <v>3905</v>
      </c>
      <c r="F2092" s="1" t="s">
        <v>3906</v>
      </c>
      <c r="G2092" s="1" t="s">
        <v>5127</v>
      </c>
      <c r="H2092">
        <v>2018</v>
      </c>
      <c r="I2092">
        <v>2022</v>
      </c>
      <c r="J2092">
        <f t="shared" si="64"/>
        <v>5</v>
      </c>
      <c r="K2092" s="1" t="s">
        <v>4668</v>
      </c>
      <c r="L2092" s="1" t="s">
        <v>666</v>
      </c>
      <c r="M2092">
        <f t="shared" si="65"/>
        <v>4</v>
      </c>
      <c r="N2092" t="s">
        <v>650</v>
      </c>
    </row>
    <row r="2093" spans="1:14" hidden="1" x14ac:dyDescent="0.3">
      <c r="A2093" s="1" t="s">
        <v>5130</v>
      </c>
      <c r="B2093" s="1" t="s">
        <v>795</v>
      </c>
      <c r="C2093" s="1" t="s">
        <v>5131</v>
      </c>
      <c r="D2093" s="1" t="s">
        <v>1395</v>
      </c>
      <c r="E2093" s="1" t="s">
        <v>3905</v>
      </c>
      <c r="F2093" s="1" t="s">
        <v>3906</v>
      </c>
      <c r="G2093" s="1" t="s">
        <v>5127</v>
      </c>
      <c r="H2093">
        <v>2020</v>
      </c>
      <c r="I2093">
        <v>2022</v>
      </c>
      <c r="J2093">
        <f t="shared" si="64"/>
        <v>3</v>
      </c>
      <c r="K2093" s="1" t="s">
        <v>4668</v>
      </c>
      <c r="L2093" s="1" t="s">
        <v>666</v>
      </c>
      <c r="M2093">
        <f t="shared" si="65"/>
        <v>4</v>
      </c>
      <c r="N2093" t="s">
        <v>650</v>
      </c>
    </row>
    <row r="2094" spans="1:14" hidden="1" x14ac:dyDescent="0.3">
      <c r="A2094" s="1" t="s">
        <v>5132</v>
      </c>
      <c r="B2094" s="1" t="s">
        <v>795</v>
      </c>
      <c r="C2094" s="1" t="s">
        <v>5133</v>
      </c>
      <c r="D2094" s="1" t="s">
        <v>1395</v>
      </c>
      <c r="E2094" s="1" t="s">
        <v>3905</v>
      </c>
      <c r="F2094" s="1" t="s">
        <v>3906</v>
      </c>
      <c r="G2094" s="1" t="s">
        <v>5127</v>
      </c>
      <c r="H2094">
        <v>2020</v>
      </c>
      <c r="I2094">
        <v>2022</v>
      </c>
      <c r="J2094">
        <f t="shared" si="64"/>
        <v>3</v>
      </c>
      <c r="K2094" s="1" t="s">
        <v>4668</v>
      </c>
      <c r="L2094" s="1" t="s">
        <v>666</v>
      </c>
      <c r="M2094">
        <f t="shared" si="65"/>
        <v>4</v>
      </c>
      <c r="N2094" t="s">
        <v>650</v>
      </c>
    </row>
    <row r="2095" spans="1:14" hidden="1" x14ac:dyDescent="0.3">
      <c r="A2095" s="1" t="s">
        <v>5134</v>
      </c>
      <c r="B2095" s="1" t="s">
        <v>795</v>
      </c>
      <c r="C2095" s="1" t="s">
        <v>5135</v>
      </c>
      <c r="D2095" s="1" t="s">
        <v>1395</v>
      </c>
      <c r="E2095" s="1" t="s">
        <v>3905</v>
      </c>
      <c r="F2095" s="1" t="s">
        <v>3906</v>
      </c>
      <c r="G2095" s="1" t="s">
        <v>5127</v>
      </c>
      <c r="H2095">
        <v>2018</v>
      </c>
      <c r="I2095">
        <v>2022</v>
      </c>
      <c r="J2095">
        <f t="shared" si="64"/>
        <v>5</v>
      </c>
      <c r="K2095" s="1" t="s">
        <v>4668</v>
      </c>
      <c r="L2095" s="1" t="s">
        <v>666</v>
      </c>
      <c r="M2095">
        <f t="shared" si="65"/>
        <v>4</v>
      </c>
      <c r="N2095" t="s">
        <v>650</v>
      </c>
    </row>
    <row r="2096" spans="1:14" hidden="1" x14ac:dyDescent="0.3">
      <c r="A2096" t="s">
        <v>11075</v>
      </c>
      <c r="B2096" t="s">
        <v>795</v>
      </c>
      <c r="C2096" t="s">
        <v>11076</v>
      </c>
      <c r="E2096" s="1" t="e">
        <v>#N/A</v>
      </c>
      <c r="F2096" s="1" t="e">
        <v>#N/A</v>
      </c>
      <c r="G2096" s="1" t="s">
        <v>5127</v>
      </c>
      <c r="H2096">
        <v>2022</v>
      </c>
      <c r="I2096">
        <v>2026</v>
      </c>
      <c r="J2096">
        <f t="shared" si="64"/>
        <v>5</v>
      </c>
      <c r="K2096" s="1" t="s">
        <v>4668</v>
      </c>
      <c r="L2096" s="1" t="s">
        <v>666</v>
      </c>
      <c r="M2096">
        <f t="shared" si="65"/>
        <v>0</v>
      </c>
    </row>
    <row r="2097" spans="1:14" x14ac:dyDescent="0.3">
      <c r="A2097" s="1" t="s">
        <v>7795</v>
      </c>
      <c r="B2097" s="1" t="s">
        <v>1849</v>
      </c>
      <c r="C2097" s="1" t="s">
        <v>7796</v>
      </c>
      <c r="D2097" s="1" t="s">
        <v>738</v>
      </c>
      <c r="E2097" s="1" t="s">
        <v>6076</v>
      </c>
      <c r="F2097" s="1" t="s">
        <v>6076</v>
      </c>
      <c r="G2097" s="1" t="s">
        <v>7797</v>
      </c>
      <c r="H2097">
        <v>2012</v>
      </c>
      <c r="I2097">
        <v>2013</v>
      </c>
      <c r="J2097">
        <f t="shared" si="64"/>
        <v>2</v>
      </c>
      <c r="K2097" s="1" t="s">
        <v>6076</v>
      </c>
      <c r="L2097" s="1" t="s">
        <v>6076</v>
      </c>
      <c r="M2097">
        <f t="shared" si="65"/>
        <v>13</v>
      </c>
      <c r="N2097" t="s">
        <v>650</v>
      </c>
    </row>
    <row r="2098" spans="1:14" hidden="1" x14ac:dyDescent="0.3">
      <c r="A2098" s="1" t="s">
        <v>4341</v>
      </c>
      <c r="B2098" s="1" t="s">
        <v>1451</v>
      </c>
      <c r="C2098" s="1" t="s">
        <v>4342</v>
      </c>
      <c r="D2098" s="1" t="s">
        <v>746</v>
      </c>
      <c r="E2098" s="1" t="s">
        <v>1358</v>
      </c>
      <c r="F2098" s="1" t="s">
        <v>1359</v>
      </c>
      <c r="G2098" s="1" t="s">
        <v>4343</v>
      </c>
      <c r="H2098">
        <v>1985</v>
      </c>
      <c r="I2098">
        <v>1995</v>
      </c>
      <c r="J2098">
        <f t="shared" si="64"/>
        <v>11</v>
      </c>
      <c r="K2098" s="1" t="s">
        <v>3665</v>
      </c>
      <c r="L2098" s="1" t="s">
        <v>3793</v>
      </c>
      <c r="M2098">
        <f t="shared" si="65"/>
        <v>31</v>
      </c>
      <c r="N2098" t="s">
        <v>640</v>
      </c>
    </row>
    <row r="2099" spans="1:14" hidden="1" x14ac:dyDescent="0.3">
      <c r="A2099" s="1" t="s">
        <v>4344</v>
      </c>
      <c r="B2099" s="1" t="s">
        <v>1451</v>
      </c>
      <c r="C2099" s="1" t="s">
        <v>4345</v>
      </c>
      <c r="D2099" s="1" t="s">
        <v>746</v>
      </c>
      <c r="E2099" s="1" t="s">
        <v>1358</v>
      </c>
      <c r="F2099" s="1" t="s">
        <v>1359</v>
      </c>
      <c r="G2099" s="1" t="s">
        <v>4343</v>
      </c>
      <c r="H2099">
        <v>1993</v>
      </c>
      <c r="I2099">
        <v>1995</v>
      </c>
      <c r="J2099">
        <f t="shared" si="64"/>
        <v>3</v>
      </c>
      <c r="K2099" s="1" t="s">
        <v>3665</v>
      </c>
      <c r="L2099" s="1" t="s">
        <v>3793</v>
      </c>
      <c r="M2099">
        <f t="shared" si="65"/>
        <v>31</v>
      </c>
      <c r="N2099" t="s">
        <v>640</v>
      </c>
    </row>
    <row r="2100" spans="1:14" hidden="1" x14ac:dyDescent="0.3">
      <c r="A2100" s="1" t="s">
        <v>4346</v>
      </c>
      <c r="B2100" s="1" t="s">
        <v>1451</v>
      </c>
      <c r="C2100" s="1" t="s">
        <v>4347</v>
      </c>
      <c r="D2100" s="1" t="s">
        <v>746</v>
      </c>
      <c r="E2100" s="1" t="s">
        <v>1358</v>
      </c>
      <c r="F2100" s="1" t="s">
        <v>1359</v>
      </c>
      <c r="G2100" s="1" t="s">
        <v>4343</v>
      </c>
      <c r="H2100">
        <v>2000</v>
      </c>
      <c r="I2100">
        <v>2002</v>
      </c>
      <c r="J2100">
        <f t="shared" si="64"/>
        <v>3</v>
      </c>
      <c r="K2100" s="1" t="s">
        <v>3665</v>
      </c>
      <c r="L2100" s="1" t="s">
        <v>3793</v>
      </c>
      <c r="M2100">
        <f t="shared" si="65"/>
        <v>24</v>
      </c>
      <c r="N2100" t="s">
        <v>640</v>
      </c>
    </row>
    <row r="2101" spans="1:14" hidden="1" x14ac:dyDescent="0.3">
      <c r="A2101" s="1" t="s">
        <v>4348</v>
      </c>
      <c r="B2101" s="1" t="s">
        <v>1451</v>
      </c>
      <c r="C2101" s="1" t="s">
        <v>4349</v>
      </c>
      <c r="D2101" s="1" t="s">
        <v>746</v>
      </c>
      <c r="E2101" s="1" t="s">
        <v>1358</v>
      </c>
      <c r="F2101" s="1" t="s">
        <v>1359</v>
      </c>
      <c r="G2101" s="1" t="s">
        <v>4343</v>
      </c>
      <c r="H2101">
        <v>1985</v>
      </c>
      <c r="I2101">
        <v>1996</v>
      </c>
      <c r="J2101">
        <f t="shared" si="64"/>
        <v>12</v>
      </c>
      <c r="K2101" s="1" t="s">
        <v>3665</v>
      </c>
      <c r="L2101" s="1" t="s">
        <v>3793</v>
      </c>
      <c r="M2101">
        <f t="shared" si="65"/>
        <v>30</v>
      </c>
      <c r="N2101" t="s">
        <v>640</v>
      </c>
    </row>
    <row r="2102" spans="1:14" hidden="1" x14ac:dyDescent="0.3">
      <c r="A2102" s="1" t="s">
        <v>4350</v>
      </c>
      <c r="B2102" s="1" t="s">
        <v>1451</v>
      </c>
      <c r="C2102" s="1" t="s">
        <v>4351</v>
      </c>
      <c r="D2102" s="1" t="s">
        <v>746</v>
      </c>
      <c r="E2102" s="1" t="s">
        <v>1358</v>
      </c>
      <c r="F2102" s="1" t="s">
        <v>1359</v>
      </c>
      <c r="G2102" s="1" t="s">
        <v>4343</v>
      </c>
      <c r="H2102">
        <v>1989</v>
      </c>
      <c r="I2102">
        <v>1996</v>
      </c>
      <c r="J2102">
        <f t="shared" si="64"/>
        <v>8</v>
      </c>
      <c r="K2102" s="1" t="s">
        <v>3665</v>
      </c>
      <c r="L2102" s="1" t="s">
        <v>3793</v>
      </c>
      <c r="M2102">
        <f t="shared" si="65"/>
        <v>30</v>
      </c>
      <c r="N2102" t="s">
        <v>640</v>
      </c>
    </row>
    <row r="2103" spans="1:14" hidden="1" x14ac:dyDescent="0.3">
      <c r="A2103" s="1" t="s">
        <v>4352</v>
      </c>
      <c r="B2103" s="1" t="s">
        <v>1451</v>
      </c>
      <c r="C2103" s="1" t="s">
        <v>4353</v>
      </c>
      <c r="D2103" s="1" t="s">
        <v>746</v>
      </c>
      <c r="E2103" s="1" t="s">
        <v>1358</v>
      </c>
      <c r="F2103" s="1" t="s">
        <v>1359</v>
      </c>
      <c r="G2103" s="1" t="s">
        <v>4343</v>
      </c>
      <c r="H2103">
        <v>1997</v>
      </c>
      <c r="I2103">
        <v>1999</v>
      </c>
      <c r="J2103">
        <f t="shared" si="64"/>
        <v>3</v>
      </c>
      <c r="K2103" s="1" t="s">
        <v>3665</v>
      </c>
      <c r="L2103" s="1" t="s">
        <v>3793</v>
      </c>
      <c r="M2103">
        <f t="shared" si="65"/>
        <v>27</v>
      </c>
      <c r="N2103" t="s">
        <v>640</v>
      </c>
    </row>
    <row r="2104" spans="1:14" hidden="1" x14ac:dyDescent="0.3">
      <c r="A2104" s="1" t="s">
        <v>4354</v>
      </c>
      <c r="B2104" s="1" t="s">
        <v>1451</v>
      </c>
      <c r="C2104" s="1" t="s">
        <v>4355</v>
      </c>
      <c r="D2104" s="1" t="s">
        <v>746</v>
      </c>
      <c r="E2104" s="1" t="s">
        <v>1358</v>
      </c>
      <c r="F2104" s="1" t="s">
        <v>1359</v>
      </c>
      <c r="G2104" s="1" t="s">
        <v>4343</v>
      </c>
      <c r="H2104">
        <v>1997</v>
      </c>
      <c r="I2104">
        <v>2003</v>
      </c>
      <c r="J2104">
        <f t="shared" si="64"/>
        <v>7</v>
      </c>
      <c r="K2104" s="1" t="s">
        <v>3665</v>
      </c>
      <c r="L2104" s="1" t="s">
        <v>3793</v>
      </c>
      <c r="M2104">
        <f t="shared" si="65"/>
        <v>23</v>
      </c>
      <c r="N2104" t="s">
        <v>640</v>
      </c>
    </row>
    <row r="2105" spans="1:14" hidden="1" x14ac:dyDescent="0.3">
      <c r="A2105" s="1" t="s">
        <v>4356</v>
      </c>
      <c r="B2105" s="1" t="s">
        <v>1451</v>
      </c>
      <c r="C2105" s="1" t="s">
        <v>4357</v>
      </c>
      <c r="D2105" s="1" t="s">
        <v>746</v>
      </c>
      <c r="E2105" s="1" t="s">
        <v>1358</v>
      </c>
      <c r="F2105" s="1" t="s">
        <v>1359</v>
      </c>
      <c r="G2105" s="1" t="s">
        <v>4343</v>
      </c>
      <c r="H2105">
        <v>1994</v>
      </c>
      <c r="I2105">
        <v>1996</v>
      </c>
      <c r="J2105">
        <f t="shared" si="64"/>
        <v>3</v>
      </c>
      <c r="K2105" s="1" t="s">
        <v>3665</v>
      </c>
      <c r="L2105" s="1" t="s">
        <v>3793</v>
      </c>
      <c r="M2105">
        <f t="shared" si="65"/>
        <v>30</v>
      </c>
      <c r="N2105" t="s">
        <v>640</v>
      </c>
    </row>
    <row r="2106" spans="1:14" hidden="1" x14ac:dyDescent="0.3">
      <c r="A2106" s="1" t="s">
        <v>4358</v>
      </c>
      <c r="B2106" s="1" t="s">
        <v>1451</v>
      </c>
      <c r="C2106" s="1" t="s">
        <v>4359</v>
      </c>
      <c r="D2106" s="1" t="s">
        <v>746</v>
      </c>
      <c r="E2106" s="1" t="s">
        <v>1358</v>
      </c>
      <c r="F2106" s="1" t="s">
        <v>1359</v>
      </c>
      <c r="G2106" s="1" t="s">
        <v>4343</v>
      </c>
      <c r="H2106">
        <v>1997</v>
      </c>
      <c r="I2106">
        <v>2001</v>
      </c>
      <c r="J2106">
        <f t="shared" si="64"/>
        <v>5</v>
      </c>
      <c r="K2106" s="1" t="s">
        <v>3665</v>
      </c>
      <c r="L2106" s="1" t="s">
        <v>3793</v>
      </c>
      <c r="M2106">
        <f t="shared" si="65"/>
        <v>25</v>
      </c>
      <c r="N2106" t="s">
        <v>640</v>
      </c>
    </row>
    <row r="2107" spans="1:14" hidden="1" x14ac:dyDescent="0.3">
      <c r="A2107" s="1" t="s">
        <v>4360</v>
      </c>
      <c r="B2107" s="1" t="s">
        <v>1451</v>
      </c>
      <c r="C2107" s="1" t="s">
        <v>4361</v>
      </c>
      <c r="D2107" s="1" t="s">
        <v>746</v>
      </c>
      <c r="E2107" s="1" t="s">
        <v>1358</v>
      </c>
      <c r="F2107" s="1" t="s">
        <v>1359</v>
      </c>
      <c r="G2107" s="1" t="s">
        <v>4343</v>
      </c>
      <c r="H2107">
        <v>1994</v>
      </c>
      <c r="I2107">
        <v>1996</v>
      </c>
      <c r="J2107">
        <f t="shared" si="64"/>
        <v>3</v>
      </c>
      <c r="K2107" s="1" t="s">
        <v>3665</v>
      </c>
      <c r="L2107" s="1" t="s">
        <v>3793</v>
      </c>
      <c r="M2107">
        <f t="shared" si="65"/>
        <v>30</v>
      </c>
      <c r="N2107" t="s">
        <v>640</v>
      </c>
    </row>
    <row r="2108" spans="1:14" hidden="1" x14ac:dyDescent="0.3">
      <c r="A2108" s="1" t="s">
        <v>4362</v>
      </c>
      <c r="B2108" s="1" t="s">
        <v>1451</v>
      </c>
      <c r="C2108" s="1" t="s">
        <v>4363</v>
      </c>
      <c r="D2108" s="1" t="s">
        <v>746</v>
      </c>
      <c r="E2108" s="1" t="s">
        <v>1358</v>
      </c>
      <c r="F2108" s="1" t="s">
        <v>1359</v>
      </c>
      <c r="G2108" s="1" t="s">
        <v>4343</v>
      </c>
      <c r="H2108">
        <v>1991</v>
      </c>
      <c r="I2108">
        <v>1993</v>
      </c>
      <c r="J2108">
        <f t="shared" si="64"/>
        <v>3</v>
      </c>
      <c r="K2108" s="1" t="s">
        <v>3665</v>
      </c>
      <c r="L2108" s="1" t="s">
        <v>3793</v>
      </c>
      <c r="M2108">
        <f t="shared" si="65"/>
        <v>33</v>
      </c>
      <c r="N2108" t="s">
        <v>640</v>
      </c>
    </row>
    <row r="2109" spans="1:14" hidden="1" x14ac:dyDescent="0.3">
      <c r="A2109" s="1" t="s">
        <v>4364</v>
      </c>
      <c r="B2109" s="1" t="s">
        <v>1451</v>
      </c>
      <c r="C2109" s="1" t="s">
        <v>4365</v>
      </c>
      <c r="D2109" s="1" t="s">
        <v>746</v>
      </c>
      <c r="E2109" s="1" t="s">
        <v>1358</v>
      </c>
      <c r="F2109" s="1" t="s">
        <v>1359</v>
      </c>
      <c r="G2109" s="1" t="s">
        <v>4343</v>
      </c>
      <c r="H2109">
        <v>1993</v>
      </c>
      <c r="I2109">
        <v>1996</v>
      </c>
      <c r="J2109">
        <f t="shared" si="64"/>
        <v>4</v>
      </c>
      <c r="K2109" s="1" t="s">
        <v>3665</v>
      </c>
      <c r="L2109" s="1" t="s">
        <v>3793</v>
      </c>
      <c r="M2109">
        <f t="shared" si="65"/>
        <v>30</v>
      </c>
      <c r="N2109" t="s">
        <v>640</v>
      </c>
    </row>
    <row r="2110" spans="1:14" hidden="1" x14ac:dyDescent="0.3">
      <c r="A2110" s="1" t="s">
        <v>4366</v>
      </c>
      <c r="B2110" s="1" t="s">
        <v>1451</v>
      </c>
      <c r="C2110" s="1" t="s">
        <v>4367</v>
      </c>
      <c r="D2110" s="1" t="s">
        <v>746</v>
      </c>
      <c r="E2110" s="1" t="s">
        <v>1358</v>
      </c>
      <c r="F2110" s="1" t="s">
        <v>1359</v>
      </c>
      <c r="G2110" s="1" t="s">
        <v>4343</v>
      </c>
      <c r="H2110">
        <v>1993</v>
      </c>
      <c r="I2110">
        <v>1995</v>
      </c>
      <c r="J2110">
        <f t="shared" si="64"/>
        <v>3</v>
      </c>
      <c r="K2110" s="1" t="s">
        <v>3665</v>
      </c>
      <c r="L2110" s="1" t="s">
        <v>3793</v>
      </c>
      <c r="M2110">
        <f t="shared" si="65"/>
        <v>31</v>
      </c>
      <c r="N2110" t="s">
        <v>640</v>
      </c>
    </row>
    <row r="2111" spans="1:14" hidden="1" x14ac:dyDescent="0.3">
      <c r="A2111" s="1" t="s">
        <v>4368</v>
      </c>
      <c r="B2111" s="1" t="s">
        <v>1451</v>
      </c>
      <c r="C2111" s="1" t="s">
        <v>4369</v>
      </c>
      <c r="D2111" s="1" t="s">
        <v>746</v>
      </c>
      <c r="E2111" s="1" t="s">
        <v>1358</v>
      </c>
      <c r="F2111" s="1" t="s">
        <v>1359</v>
      </c>
      <c r="G2111" s="1" t="s">
        <v>4343</v>
      </c>
      <c r="H2111">
        <v>1991</v>
      </c>
      <c r="I2111">
        <v>1994</v>
      </c>
      <c r="J2111">
        <f t="shared" si="64"/>
        <v>4</v>
      </c>
      <c r="K2111" s="1" t="s">
        <v>3665</v>
      </c>
      <c r="L2111" s="1" t="s">
        <v>3793</v>
      </c>
      <c r="M2111">
        <f t="shared" si="65"/>
        <v>32</v>
      </c>
      <c r="N2111" t="s">
        <v>640</v>
      </c>
    </row>
    <row r="2112" spans="1:14" hidden="1" x14ac:dyDescent="0.3">
      <c r="A2112" s="1" t="s">
        <v>4370</v>
      </c>
      <c r="B2112" s="1" t="s">
        <v>1451</v>
      </c>
      <c r="C2112" s="1" t="s">
        <v>4371</v>
      </c>
      <c r="D2112" s="1" t="s">
        <v>746</v>
      </c>
      <c r="E2112" s="1" t="s">
        <v>1358</v>
      </c>
      <c r="F2112" s="1" t="s">
        <v>1359</v>
      </c>
      <c r="G2112" s="1" t="s">
        <v>4343</v>
      </c>
      <c r="H2112">
        <v>1985</v>
      </c>
      <c r="I2112">
        <v>1994</v>
      </c>
      <c r="J2112">
        <f t="shared" si="64"/>
        <v>10</v>
      </c>
      <c r="K2112" s="1" t="s">
        <v>3665</v>
      </c>
      <c r="L2112" s="1" t="s">
        <v>3793</v>
      </c>
      <c r="M2112">
        <f t="shared" si="65"/>
        <v>32</v>
      </c>
      <c r="N2112" t="s">
        <v>640</v>
      </c>
    </row>
    <row r="2113" spans="1:14" hidden="1" x14ac:dyDescent="0.3">
      <c r="A2113" s="1" t="s">
        <v>4372</v>
      </c>
      <c r="B2113" s="1" t="s">
        <v>1451</v>
      </c>
      <c r="C2113" s="1" t="s">
        <v>4373</v>
      </c>
      <c r="D2113" s="1" t="s">
        <v>746</v>
      </c>
      <c r="E2113" s="1" t="s">
        <v>1358</v>
      </c>
      <c r="F2113" s="1" t="s">
        <v>1359</v>
      </c>
      <c r="G2113" s="1" t="s">
        <v>4343</v>
      </c>
      <c r="H2113">
        <v>1996</v>
      </c>
      <c r="I2113">
        <v>1996</v>
      </c>
      <c r="J2113">
        <f t="shared" si="64"/>
        <v>1</v>
      </c>
      <c r="K2113" s="1" t="s">
        <v>3665</v>
      </c>
      <c r="L2113" s="1" t="s">
        <v>3793</v>
      </c>
      <c r="M2113">
        <f t="shared" si="65"/>
        <v>30</v>
      </c>
      <c r="N2113" t="s">
        <v>640</v>
      </c>
    </row>
    <row r="2114" spans="1:14" hidden="1" x14ac:dyDescent="0.3">
      <c r="A2114" s="1" t="s">
        <v>4374</v>
      </c>
      <c r="B2114" s="1" t="s">
        <v>1451</v>
      </c>
      <c r="C2114" s="1" t="s">
        <v>4375</v>
      </c>
      <c r="D2114" s="1" t="s">
        <v>746</v>
      </c>
      <c r="E2114" s="1" t="s">
        <v>1358</v>
      </c>
      <c r="F2114" s="1" t="s">
        <v>1359</v>
      </c>
      <c r="G2114" s="1" t="s">
        <v>4343</v>
      </c>
      <c r="H2114">
        <v>1998</v>
      </c>
      <c r="I2114">
        <v>2000</v>
      </c>
      <c r="J2114">
        <f t="shared" si="64"/>
        <v>3</v>
      </c>
      <c r="K2114" s="1" t="s">
        <v>3665</v>
      </c>
      <c r="L2114" s="1" t="s">
        <v>3793</v>
      </c>
      <c r="M2114">
        <f t="shared" si="65"/>
        <v>26</v>
      </c>
      <c r="N2114" t="s">
        <v>640</v>
      </c>
    </row>
    <row r="2115" spans="1:14" hidden="1" x14ac:dyDescent="0.3">
      <c r="A2115" s="1" t="s">
        <v>4376</v>
      </c>
      <c r="B2115" s="1" t="s">
        <v>1451</v>
      </c>
      <c r="C2115" s="1" t="s">
        <v>4377</v>
      </c>
      <c r="D2115" s="1" t="s">
        <v>746</v>
      </c>
      <c r="E2115" s="1" t="s">
        <v>1358</v>
      </c>
      <c r="F2115" s="1" t="s">
        <v>1359</v>
      </c>
      <c r="G2115" s="1" t="s">
        <v>4343</v>
      </c>
      <c r="H2115">
        <v>1997</v>
      </c>
      <c r="I2115">
        <v>2003</v>
      </c>
      <c r="J2115">
        <f t="shared" si="64"/>
        <v>7</v>
      </c>
      <c r="K2115" s="1" t="s">
        <v>3665</v>
      </c>
      <c r="L2115" s="1" t="s">
        <v>3793</v>
      </c>
      <c r="M2115">
        <f t="shared" si="65"/>
        <v>23</v>
      </c>
      <c r="N2115" t="s">
        <v>640</v>
      </c>
    </row>
    <row r="2116" spans="1:14" hidden="1" x14ac:dyDescent="0.3">
      <c r="A2116" s="1" t="s">
        <v>4378</v>
      </c>
      <c r="B2116" s="1" t="s">
        <v>1451</v>
      </c>
      <c r="C2116" s="1" t="s">
        <v>4379</v>
      </c>
      <c r="D2116" s="1" t="s">
        <v>746</v>
      </c>
      <c r="E2116" s="1" t="s">
        <v>1358</v>
      </c>
      <c r="F2116" s="1" t="s">
        <v>1359</v>
      </c>
      <c r="G2116" s="1" t="s">
        <v>4343</v>
      </c>
      <c r="H2116">
        <v>1997</v>
      </c>
      <c r="I2116">
        <v>2002</v>
      </c>
      <c r="J2116">
        <f t="shared" si="64"/>
        <v>6</v>
      </c>
      <c r="K2116" s="1" t="s">
        <v>3665</v>
      </c>
      <c r="L2116" s="1" t="s">
        <v>3793</v>
      </c>
      <c r="M2116">
        <f t="shared" si="65"/>
        <v>24</v>
      </c>
      <c r="N2116" t="s">
        <v>640</v>
      </c>
    </row>
    <row r="2117" spans="1:14" hidden="1" x14ac:dyDescent="0.3">
      <c r="A2117" s="1" t="s">
        <v>4380</v>
      </c>
      <c r="B2117" s="1" t="s">
        <v>1451</v>
      </c>
      <c r="C2117" s="1" t="s">
        <v>4381</v>
      </c>
      <c r="D2117" s="1" t="s">
        <v>746</v>
      </c>
      <c r="E2117" s="1" t="s">
        <v>1358</v>
      </c>
      <c r="F2117" s="1" t="s">
        <v>1359</v>
      </c>
      <c r="G2117" s="1" t="s">
        <v>4343</v>
      </c>
      <c r="H2117">
        <v>1995</v>
      </c>
      <c r="I2117">
        <v>1995</v>
      </c>
      <c r="J2117">
        <f t="shared" si="64"/>
        <v>1</v>
      </c>
      <c r="K2117" s="1" t="s">
        <v>3665</v>
      </c>
      <c r="L2117" s="1" t="s">
        <v>3793</v>
      </c>
      <c r="M2117">
        <f t="shared" si="65"/>
        <v>31</v>
      </c>
      <c r="N2117" t="s">
        <v>640</v>
      </c>
    </row>
    <row r="2118" spans="1:14" hidden="1" x14ac:dyDescent="0.3">
      <c r="A2118" s="1" t="s">
        <v>4382</v>
      </c>
      <c r="B2118" s="1" t="s">
        <v>1451</v>
      </c>
      <c r="C2118" s="1" t="s">
        <v>4383</v>
      </c>
      <c r="D2118" s="1" t="s">
        <v>746</v>
      </c>
      <c r="E2118" s="1" t="s">
        <v>1358</v>
      </c>
      <c r="F2118" s="1" t="s">
        <v>1359</v>
      </c>
      <c r="G2118" s="1" t="s">
        <v>4343</v>
      </c>
      <c r="H2118">
        <v>2000</v>
      </c>
      <c r="I2118">
        <v>2003</v>
      </c>
      <c r="J2118">
        <f t="shared" ref="J2118:J2181" si="66">1+(I2118-H2118)</f>
        <v>4</v>
      </c>
      <c r="K2118" s="1" t="s">
        <v>3665</v>
      </c>
      <c r="L2118" s="1" t="s">
        <v>3793</v>
      </c>
      <c r="M2118">
        <f t="shared" ref="M2118:M2181" si="67">IF(I2118=0,0,$B$2-I2118)</f>
        <v>23</v>
      </c>
      <c r="N2118" t="s">
        <v>640</v>
      </c>
    </row>
    <row r="2119" spans="1:14" x14ac:dyDescent="0.3">
      <c r="A2119" s="1" t="s">
        <v>7798</v>
      </c>
      <c r="B2119" s="1" t="s">
        <v>1451</v>
      </c>
      <c r="C2119" s="1" t="s">
        <v>7799</v>
      </c>
      <c r="D2119" s="1" t="s">
        <v>746</v>
      </c>
      <c r="E2119" s="1" t="s">
        <v>6076</v>
      </c>
      <c r="F2119" s="1" t="s">
        <v>6076</v>
      </c>
      <c r="G2119" s="1" t="s">
        <v>4343</v>
      </c>
      <c r="H2119">
        <v>1985</v>
      </c>
      <c r="I2119">
        <v>1992</v>
      </c>
      <c r="J2119">
        <f t="shared" si="66"/>
        <v>8</v>
      </c>
      <c r="K2119" s="1" t="s">
        <v>6076</v>
      </c>
      <c r="L2119" s="1" t="s">
        <v>6076</v>
      </c>
      <c r="M2119">
        <f t="shared" si="67"/>
        <v>34</v>
      </c>
      <c r="N2119" t="s">
        <v>640</v>
      </c>
    </row>
    <row r="2120" spans="1:14" x14ac:dyDescent="0.3">
      <c r="A2120" s="1" t="s">
        <v>7800</v>
      </c>
      <c r="B2120" s="1" t="s">
        <v>1451</v>
      </c>
      <c r="C2120" s="1" t="s">
        <v>7801</v>
      </c>
      <c r="D2120" s="1" t="s">
        <v>746</v>
      </c>
      <c r="E2120" s="1" t="s">
        <v>6076</v>
      </c>
      <c r="F2120" s="1" t="s">
        <v>6076</v>
      </c>
      <c r="G2120" s="1" t="s">
        <v>4343</v>
      </c>
      <c r="H2120">
        <v>1985</v>
      </c>
      <c r="I2120">
        <v>1992</v>
      </c>
      <c r="J2120">
        <f t="shared" si="66"/>
        <v>8</v>
      </c>
      <c r="K2120" s="1" t="s">
        <v>6076</v>
      </c>
      <c r="L2120" s="1" t="s">
        <v>6076</v>
      </c>
      <c r="M2120">
        <f t="shared" si="67"/>
        <v>34</v>
      </c>
      <c r="N2120" t="s">
        <v>640</v>
      </c>
    </row>
    <row r="2121" spans="1:14" x14ac:dyDescent="0.3">
      <c r="A2121" s="1" t="s">
        <v>7802</v>
      </c>
      <c r="B2121" s="1" t="s">
        <v>1451</v>
      </c>
      <c r="C2121" s="1" t="s">
        <v>7803</v>
      </c>
      <c r="D2121" s="1" t="s">
        <v>746</v>
      </c>
      <c r="E2121" s="1" t="s">
        <v>6076</v>
      </c>
      <c r="F2121" s="1" t="s">
        <v>6076</v>
      </c>
      <c r="G2121" s="1" t="s">
        <v>4343</v>
      </c>
      <c r="H2121">
        <v>1993</v>
      </c>
      <c r="I2121">
        <v>1996</v>
      </c>
      <c r="J2121">
        <f t="shared" si="66"/>
        <v>4</v>
      </c>
      <c r="K2121" s="1" t="s">
        <v>6076</v>
      </c>
      <c r="L2121" s="1" t="s">
        <v>6076</v>
      </c>
      <c r="M2121">
        <f t="shared" si="67"/>
        <v>30</v>
      </c>
      <c r="N2121" t="s">
        <v>640</v>
      </c>
    </row>
    <row r="2122" spans="1:14" x14ac:dyDescent="0.3">
      <c r="A2122" s="1" t="s">
        <v>7804</v>
      </c>
      <c r="B2122" s="1" t="s">
        <v>1451</v>
      </c>
      <c r="C2122" s="1" t="s">
        <v>7805</v>
      </c>
      <c r="D2122" s="1" t="s">
        <v>746</v>
      </c>
      <c r="E2122" s="1" t="s">
        <v>6076</v>
      </c>
      <c r="F2122" s="1" t="s">
        <v>6076</v>
      </c>
      <c r="G2122" s="1" t="s">
        <v>4343</v>
      </c>
      <c r="H2122">
        <v>1993</v>
      </c>
      <c r="I2122">
        <v>1995</v>
      </c>
      <c r="J2122">
        <f t="shared" si="66"/>
        <v>3</v>
      </c>
      <c r="K2122" s="1" t="s">
        <v>6076</v>
      </c>
      <c r="L2122" s="1" t="s">
        <v>6076</v>
      </c>
      <c r="M2122">
        <f t="shared" si="67"/>
        <v>31</v>
      </c>
      <c r="N2122" t="s">
        <v>640</v>
      </c>
    </row>
    <row r="2123" spans="1:14" x14ac:dyDescent="0.3">
      <c r="A2123" t="s">
        <v>11353</v>
      </c>
      <c r="B2123" t="s">
        <v>802</v>
      </c>
      <c r="C2123" t="s">
        <v>11354</v>
      </c>
      <c r="E2123" s="1" t="s">
        <v>6076</v>
      </c>
      <c r="F2123" s="1" t="s">
        <v>6076</v>
      </c>
      <c r="G2123" s="1" t="s">
        <v>12908</v>
      </c>
      <c r="H2123">
        <v>2023</v>
      </c>
      <c r="I2123">
        <v>2026</v>
      </c>
      <c r="J2123">
        <f t="shared" si="66"/>
        <v>4</v>
      </c>
      <c r="K2123" s="1" t="s">
        <v>6076</v>
      </c>
      <c r="L2123" s="1" t="s">
        <v>6076</v>
      </c>
      <c r="M2123">
        <f t="shared" si="67"/>
        <v>0</v>
      </c>
    </row>
    <row r="2124" spans="1:14" hidden="1" x14ac:dyDescent="0.3">
      <c r="A2124" t="s">
        <v>11807</v>
      </c>
      <c r="B2124" t="s">
        <v>5931</v>
      </c>
      <c r="C2124" t="s">
        <v>11808</v>
      </c>
      <c r="E2124" s="1" t="e">
        <v>#N/A</v>
      </c>
      <c r="F2124" s="1" t="e">
        <v>#N/A</v>
      </c>
      <c r="G2124" s="1" t="s">
        <v>12856</v>
      </c>
      <c r="H2124">
        <v>2024</v>
      </c>
      <c r="I2124">
        <v>2026</v>
      </c>
      <c r="J2124">
        <f t="shared" si="66"/>
        <v>3</v>
      </c>
      <c r="K2124" s="1" t="s">
        <v>12912</v>
      </c>
      <c r="L2124" s="1" t="s">
        <v>12912</v>
      </c>
      <c r="M2124">
        <f t="shared" si="67"/>
        <v>0</v>
      </c>
    </row>
    <row r="2125" spans="1:14" hidden="1" x14ac:dyDescent="0.3">
      <c r="A2125" t="s">
        <v>11809</v>
      </c>
      <c r="B2125" t="s">
        <v>5931</v>
      </c>
      <c r="C2125" t="s">
        <v>11810</v>
      </c>
      <c r="E2125" s="1" t="e">
        <v>#N/A</v>
      </c>
      <c r="F2125" s="1" t="e">
        <v>#N/A</v>
      </c>
      <c r="G2125" s="1" t="s">
        <v>12856</v>
      </c>
      <c r="H2125">
        <v>2024</v>
      </c>
      <c r="I2125">
        <v>2026</v>
      </c>
      <c r="J2125">
        <f t="shared" si="66"/>
        <v>3</v>
      </c>
      <c r="K2125" s="1" t="s">
        <v>12912</v>
      </c>
      <c r="L2125" s="1" t="s">
        <v>12912</v>
      </c>
      <c r="M2125">
        <f t="shared" si="67"/>
        <v>0</v>
      </c>
    </row>
    <row r="2126" spans="1:14" hidden="1" x14ac:dyDescent="0.3">
      <c r="A2126" t="s">
        <v>11811</v>
      </c>
      <c r="B2126" t="s">
        <v>5931</v>
      </c>
      <c r="C2126" t="s">
        <v>11812</v>
      </c>
      <c r="E2126" s="1" t="e">
        <v>#N/A</v>
      </c>
      <c r="F2126" s="1" t="e">
        <v>#N/A</v>
      </c>
      <c r="G2126" s="1" t="s">
        <v>12856</v>
      </c>
      <c r="H2126">
        <v>2024</v>
      </c>
      <c r="I2126">
        <v>2026</v>
      </c>
      <c r="J2126">
        <f t="shared" si="66"/>
        <v>3</v>
      </c>
      <c r="K2126" s="1" t="s">
        <v>12912</v>
      </c>
      <c r="L2126" s="1" t="s">
        <v>12912</v>
      </c>
      <c r="M2126">
        <f t="shared" si="67"/>
        <v>0</v>
      </c>
    </row>
    <row r="2127" spans="1:14" hidden="1" x14ac:dyDescent="0.3">
      <c r="A2127" t="s">
        <v>11813</v>
      </c>
      <c r="B2127" t="s">
        <v>5931</v>
      </c>
      <c r="C2127" t="s">
        <v>11814</v>
      </c>
      <c r="E2127" s="1" t="e">
        <v>#N/A</v>
      </c>
      <c r="F2127" s="1" t="e">
        <v>#N/A</v>
      </c>
      <c r="G2127" s="1" t="s">
        <v>12856</v>
      </c>
      <c r="H2127">
        <v>2024</v>
      </c>
      <c r="I2127">
        <v>2026</v>
      </c>
      <c r="J2127">
        <f t="shared" si="66"/>
        <v>3</v>
      </c>
      <c r="K2127" s="1" t="s">
        <v>12912</v>
      </c>
      <c r="L2127" s="1" t="s">
        <v>12912</v>
      </c>
      <c r="M2127">
        <f t="shared" si="67"/>
        <v>0</v>
      </c>
    </row>
    <row r="2128" spans="1:14" hidden="1" x14ac:dyDescent="0.3">
      <c r="A2128" t="s">
        <v>11815</v>
      </c>
      <c r="B2128" t="s">
        <v>5931</v>
      </c>
      <c r="C2128" t="s">
        <v>11816</v>
      </c>
      <c r="E2128" s="1" t="e">
        <v>#N/A</v>
      </c>
      <c r="F2128" s="1" t="e">
        <v>#N/A</v>
      </c>
      <c r="G2128" s="1" t="s">
        <v>12856</v>
      </c>
      <c r="H2128">
        <v>2025</v>
      </c>
      <c r="I2128">
        <v>2026</v>
      </c>
      <c r="J2128">
        <f t="shared" si="66"/>
        <v>2</v>
      </c>
      <c r="K2128" s="1" t="s">
        <v>12912</v>
      </c>
      <c r="L2128" s="1" t="s">
        <v>12912</v>
      </c>
      <c r="M2128">
        <f t="shared" si="67"/>
        <v>0</v>
      </c>
    </row>
    <row r="2129" spans="1:14" hidden="1" x14ac:dyDescent="0.3">
      <c r="A2129" t="s">
        <v>11817</v>
      </c>
      <c r="B2129" t="s">
        <v>5931</v>
      </c>
      <c r="C2129" t="s">
        <v>11818</v>
      </c>
      <c r="E2129" s="1" t="e">
        <v>#N/A</v>
      </c>
      <c r="F2129" s="1" t="e">
        <v>#N/A</v>
      </c>
      <c r="G2129" s="1" t="s">
        <v>12856</v>
      </c>
      <c r="H2129">
        <v>2024</v>
      </c>
      <c r="I2129">
        <v>2026</v>
      </c>
      <c r="J2129">
        <f t="shared" si="66"/>
        <v>3</v>
      </c>
      <c r="K2129" s="1" t="s">
        <v>12912</v>
      </c>
      <c r="L2129" s="1" t="s">
        <v>12912</v>
      </c>
      <c r="M2129">
        <f t="shared" si="67"/>
        <v>0</v>
      </c>
    </row>
    <row r="2130" spans="1:14" x14ac:dyDescent="0.3">
      <c r="A2130" t="s">
        <v>11009</v>
      </c>
      <c r="B2130" t="s">
        <v>10996</v>
      </c>
      <c r="C2130" t="s">
        <v>11010</v>
      </c>
      <c r="E2130" s="1" t="s">
        <v>6076</v>
      </c>
      <c r="F2130" s="1" t="s">
        <v>6076</v>
      </c>
      <c r="G2130" s="1" t="s">
        <v>12775</v>
      </c>
      <c r="H2130">
        <v>2022</v>
      </c>
      <c r="I2130">
        <v>2023</v>
      </c>
      <c r="J2130">
        <f t="shared" si="66"/>
        <v>2</v>
      </c>
      <c r="K2130" s="1" t="s">
        <v>6076</v>
      </c>
      <c r="L2130" s="1" t="s">
        <v>6076</v>
      </c>
      <c r="M2130">
        <f t="shared" si="67"/>
        <v>3</v>
      </c>
    </row>
    <row r="2131" spans="1:14" hidden="1" x14ac:dyDescent="0.3">
      <c r="A2131" s="1" t="s">
        <v>1399</v>
      </c>
      <c r="B2131" s="1" t="s">
        <v>1205</v>
      </c>
      <c r="C2131" s="1" t="s">
        <v>1400</v>
      </c>
      <c r="D2131" s="1" t="s">
        <v>746</v>
      </c>
      <c r="E2131" s="1" t="s">
        <v>747</v>
      </c>
      <c r="F2131" s="1" t="s">
        <v>748</v>
      </c>
      <c r="G2131" s="1" t="s">
        <v>1401</v>
      </c>
      <c r="H2131">
        <v>2013</v>
      </c>
      <c r="I2131">
        <v>2014</v>
      </c>
      <c r="J2131">
        <f t="shared" si="66"/>
        <v>2</v>
      </c>
      <c r="K2131" s="1" t="s">
        <v>741</v>
      </c>
      <c r="L2131" s="1" t="s">
        <v>798</v>
      </c>
      <c r="M2131">
        <f t="shared" si="67"/>
        <v>12</v>
      </c>
      <c r="N2131" t="s">
        <v>650</v>
      </c>
    </row>
    <row r="2132" spans="1:14" hidden="1" x14ac:dyDescent="0.3">
      <c r="A2132" s="1" t="s">
        <v>1402</v>
      </c>
      <c r="B2132" s="1" t="s">
        <v>1205</v>
      </c>
      <c r="C2132" s="1" t="s">
        <v>1403</v>
      </c>
      <c r="D2132" s="1" t="s">
        <v>746</v>
      </c>
      <c r="E2132" s="1" t="s">
        <v>747</v>
      </c>
      <c r="F2132" s="1" t="s">
        <v>748</v>
      </c>
      <c r="G2132" s="1" t="s">
        <v>1401</v>
      </c>
      <c r="H2132">
        <v>2017</v>
      </c>
      <c r="I2132">
        <v>2018</v>
      </c>
      <c r="J2132">
        <f t="shared" si="66"/>
        <v>2</v>
      </c>
      <c r="K2132" s="1" t="s">
        <v>741</v>
      </c>
      <c r="L2132" s="1" t="s">
        <v>798</v>
      </c>
      <c r="M2132">
        <f t="shared" si="67"/>
        <v>8</v>
      </c>
      <c r="N2132" t="s">
        <v>650</v>
      </c>
    </row>
    <row r="2133" spans="1:14" hidden="1" x14ac:dyDescent="0.3">
      <c r="A2133" s="1" t="s">
        <v>1404</v>
      </c>
      <c r="B2133" s="1" t="s">
        <v>1205</v>
      </c>
      <c r="C2133" s="1" t="s">
        <v>1405</v>
      </c>
      <c r="D2133" s="1" t="s">
        <v>746</v>
      </c>
      <c r="E2133" s="1" t="s">
        <v>747</v>
      </c>
      <c r="F2133" s="1" t="s">
        <v>748</v>
      </c>
      <c r="G2133" s="1" t="s">
        <v>1401</v>
      </c>
      <c r="H2133">
        <v>2017</v>
      </c>
      <c r="I2133">
        <v>2018</v>
      </c>
      <c r="J2133">
        <f t="shared" si="66"/>
        <v>2</v>
      </c>
      <c r="K2133" s="1" t="s">
        <v>741</v>
      </c>
      <c r="L2133" s="1" t="s">
        <v>798</v>
      </c>
      <c r="M2133">
        <f t="shared" si="67"/>
        <v>8</v>
      </c>
      <c r="N2133" t="s">
        <v>650</v>
      </c>
    </row>
    <row r="2134" spans="1:14" hidden="1" x14ac:dyDescent="0.3">
      <c r="A2134" s="1" t="s">
        <v>1406</v>
      </c>
      <c r="B2134" s="1" t="s">
        <v>1205</v>
      </c>
      <c r="C2134" s="1" t="s">
        <v>1407</v>
      </c>
      <c r="D2134" s="1" t="s">
        <v>746</v>
      </c>
      <c r="E2134" s="1" t="s">
        <v>747</v>
      </c>
      <c r="F2134" s="1" t="s">
        <v>748</v>
      </c>
      <c r="G2134" s="1" t="s">
        <v>1401</v>
      </c>
      <c r="H2134">
        <v>2017</v>
      </c>
      <c r="I2134">
        <v>2019</v>
      </c>
      <c r="J2134">
        <f t="shared" si="66"/>
        <v>3</v>
      </c>
      <c r="K2134" s="1" t="s">
        <v>741</v>
      </c>
      <c r="L2134" s="1" t="s">
        <v>798</v>
      </c>
      <c r="M2134">
        <f t="shared" si="67"/>
        <v>7</v>
      </c>
      <c r="N2134" t="s">
        <v>650</v>
      </c>
    </row>
    <row r="2135" spans="1:14" hidden="1" x14ac:dyDescent="0.3">
      <c r="A2135" s="1" t="s">
        <v>1408</v>
      </c>
      <c r="B2135" s="1" t="s">
        <v>1205</v>
      </c>
      <c r="C2135" s="1" t="s">
        <v>1409</v>
      </c>
      <c r="D2135" s="1" t="s">
        <v>746</v>
      </c>
      <c r="E2135" s="1" t="s">
        <v>747</v>
      </c>
      <c r="F2135" s="1" t="s">
        <v>748</v>
      </c>
      <c r="G2135" s="1" t="s">
        <v>1401</v>
      </c>
      <c r="H2135">
        <v>2014</v>
      </c>
      <c r="I2135">
        <v>2016</v>
      </c>
      <c r="J2135">
        <f t="shared" si="66"/>
        <v>3</v>
      </c>
      <c r="K2135" s="1" t="s">
        <v>741</v>
      </c>
      <c r="L2135" s="1" t="s">
        <v>798</v>
      </c>
      <c r="M2135">
        <f t="shared" si="67"/>
        <v>10</v>
      </c>
      <c r="N2135" t="s">
        <v>650</v>
      </c>
    </row>
    <row r="2136" spans="1:14" hidden="1" x14ac:dyDescent="0.3">
      <c r="A2136" s="1" t="s">
        <v>1410</v>
      </c>
      <c r="B2136" s="1" t="s">
        <v>1205</v>
      </c>
      <c r="C2136" s="1" t="s">
        <v>1411</v>
      </c>
      <c r="D2136" s="1" t="s">
        <v>738</v>
      </c>
      <c r="E2136" s="1" t="s">
        <v>739</v>
      </c>
      <c r="F2136" s="1" t="s">
        <v>781</v>
      </c>
      <c r="G2136" s="1" t="s">
        <v>1401</v>
      </c>
      <c r="H2136">
        <v>2017</v>
      </c>
      <c r="I2136">
        <v>2019</v>
      </c>
      <c r="J2136">
        <f t="shared" si="66"/>
        <v>3</v>
      </c>
      <c r="K2136" s="1" t="s">
        <v>741</v>
      </c>
      <c r="L2136" s="1" t="s">
        <v>798</v>
      </c>
      <c r="M2136">
        <f t="shared" si="67"/>
        <v>7</v>
      </c>
      <c r="N2136" t="s">
        <v>650</v>
      </c>
    </row>
    <row r="2137" spans="1:14" hidden="1" x14ac:dyDescent="0.3">
      <c r="A2137" s="1" t="s">
        <v>1412</v>
      </c>
      <c r="B2137" s="1" t="s">
        <v>1205</v>
      </c>
      <c r="C2137" s="1" t="s">
        <v>1413</v>
      </c>
      <c r="D2137" s="1" t="s">
        <v>738</v>
      </c>
      <c r="E2137" s="1" t="s">
        <v>739</v>
      </c>
      <c r="F2137" s="1" t="s">
        <v>781</v>
      </c>
      <c r="G2137" s="1" t="s">
        <v>1401</v>
      </c>
      <c r="H2137">
        <v>2017</v>
      </c>
      <c r="I2137">
        <v>2019</v>
      </c>
      <c r="J2137">
        <f t="shared" si="66"/>
        <v>3</v>
      </c>
      <c r="K2137" s="1" t="s">
        <v>741</v>
      </c>
      <c r="L2137" s="1" t="s">
        <v>798</v>
      </c>
      <c r="M2137">
        <f t="shared" si="67"/>
        <v>7</v>
      </c>
      <c r="N2137" t="s">
        <v>650</v>
      </c>
    </row>
    <row r="2138" spans="1:14" hidden="1" x14ac:dyDescent="0.3">
      <c r="A2138" s="1" t="s">
        <v>1414</v>
      </c>
      <c r="B2138" s="1" t="s">
        <v>1205</v>
      </c>
      <c r="C2138" s="1" t="s">
        <v>1415</v>
      </c>
      <c r="D2138" s="1" t="s">
        <v>746</v>
      </c>
      <c r="E2138" s="1" t="s">
        <v>747</v>
      </c>
      <c r="F2138" s="1" t="s">
        <v>748</v>
      </c>
      <c r="G2138" s="1" t="s">
        <v>1401</v>
      </c>
      <c r="H2138">
        <v>2017</v>
      </c>
      <c r="I2138">
        <v>2018</v>
      </c>
      <c r="J2138">
        <f t="shared" si="66"/>
        <v>2</v>
      </c>
      <c r="K2138" s="1" t="s">
        <v>741</v>
      </c>
      <c r="L2138" s="1" t="s">
        <v>798</v>
      </c>
      <c r="M2138">
        <f t="shared" si="67"/>
        <v>8</v>
      </c>
      <c r="N2138" t="s">
        <v>650</v>
      </c>
    </row>
    <row r="2139" spans="1:14" hidden="1" x14ac:dyDescent="0.3">
      <c r="A2139" s="1" t="s">
        <v>1416</v>
      </c>
      <c r="B2139" s="1" t="s">
        <v>1205</v>
      </c>
      <c r="C2139" s="1" t="s">
        <v>1417</v>
      </c>
      <c r="D2139" s="1" t="s">
        <v>746</v>
      </c>
      <c r="E2139" s="1" t="s">
        <v>747</v>
      </c>
      <c r="F2139" s="1" t="s">
        <v>748</v>
      </c>
      <c r="G2139" s="1" t="s">
        <v>1401</v>
      </c>
      <c r="H2139">
        <v>2017</v>
      </c>
      <c r="I2139">
        <v>2022</v>
      </c>
      <c r="J2139">
        <f t="shared" si="66"/>
        <v>6</v>
      </c>
      <c r="K2139" s="1" t="s">
        <v>741</v>
      </c>
      <c r="L2139" s="1" t="s">
        <v>798</v>
      </c>
      <c r="M2139">
        <f t="shared" si="67"/>
        <v>4</v>
      </c>
      <c r="N2139" t="s">
        <v>650</v>
      </c>
    </row>
    <row r="2140" spans="1:14" hidden="1" x14ac:dyDescent="0.3">
      <c r="A2140" s="1" t="s">
        <v>1418</v>
      </c>
      <c r="B2140" s="1" t="s">
        <v>1205</v>
      </c>
      <c r="C2140" s="1" t="s">
        <v>1419</v>
      </c>
      <c r="D2140" s="1" t="s">
        <v>746</v>
      </c>
      <c r="E2140" s="1" t="s">
        <v>747</v>
      </c>
      <c r="F2140" s="1" t="s">
        <v>748</v>
      </c>
      <c r="G2140" s="1" t="s">
        <v>1401</v>
      </c>
      <c r="H2140">
        <v>2013</v>
      </c>
      <c r="I2140">
        <v>2014</v>
      </c>
      <c r="J2140">
        <f t="shared" si="66"/>
        <v>2</v>
      </c>
      <c r="K2140" s="1" t="s">
        <v>741</v>
      </c>
      <c r="L2140" s="1" t="s">
        <v>798</v>
      </c>
      <c r="M2140">
        <f t="shared" si="67"/>
        <v>12</v>
      </c>
      <c r="N2140" t="s">
        <v>650</v>
      </c>
    </row>
    <row r="2141" spans="1:14" hidden="1" x14ac:dyDescent="0.3">
      <c r="A2141" s="1" t="s">
        <v>1420</v>
      </c>
      <c r="B2141" s="1" t="s">
        <v>1205</v>
      </c>
      <c r="C2141" s="1" t="s">
        <v>1421</v>
      </c>
      <c r="D2141" s="1" t="s">
        <v>746</v>
      </c>
      <c r="E2141" s="1" t="s">
        <v>747</v>
      </c>
      <c r="F2141" s="1" t="s">
        <v>748</v>
      </c>
      <c r="G2141" s="1" t="s">
        <v>1401</v>
      </c>
      <c r="H2141">
        <v>2019</v>
      </c>
      <c r="I2141">
        <v>2022</v>
      </c>
      <c r="J2141">
        <f t="shared" si="66"/>
        <v>4</v>
      </c>
      <c r="K2141" s="1" t="s">
        <v>741</v>
      </c>
      <c r="L2141" s="1" t="s">
        <v>798</v>
      </c>
      <c r="M2141">
        <f t="shared" si="67"/>
        <v>4</v>
      </c>
      <c r="N2141" t="s">
        <v>650</v>
      </c>
    </row>
    <row r="2142" spans="1:14" hidden="1" x14ac:dyDescent="0.3">
      <c r="A2142" s="1" t="s">
        <v>1422</v>
      </c>
      <c r="B2142" s="1" t="s">
        <v>1205</v>
      </c>
      <c r="C2142" s="1" t="s">
        <v>1423</v>
      </c>
      <c r="D2142" s="1" t="s">
        <v>746</v>
      </c>
      <c r="E2142" s="1" t="s">
        <v>747</v>
      </c>
      <c r="F2142" s="1" t="s">
        <v>748</v>
      </c>
      <c r="G2142" s="1" t="s">
        <v>1401</v>
      </c>
      <c r="H2142">
        <v>2019</v>
      </c>
      <c r="I2142">
        <v>2022</v>
      </c>
      <c r="J2142">
        <f t="shared" si="66"/>
        <v>4</v>
      </c>
      <c r="K2142" s="1" t="s">
        <v>741</v>
      </c>
      <c r="L2142" s="1" t="s">
        <v>798</v>
      </c>
      <c r="M2142">
        <f t="shared" si="67"/>
        <v>4</v>
      </c>
      <c r="N2142" t="s">
        <v>650</v>
      </c>
    </row>
    <row r="2143" spans="1:14" hidden="1" x14ac:dyDescent="0.3">
      <c r="A2143" s="1" t="s">
        <v>1424</v>
      </c>
      <c r="B2143" s="1" t="s">
        <v>1205</v>
      </c>
      <c r="C2143" s="1" t="s">
        <v>1425</v>
      </c>
      <c r="D2143" s="1" t="s">
        <v>738</v>
      </c>
      <c r="E2143" s="1" t="s">
        <v>739</v>
      </c>
      <c r="F2143" s="1" t="s">
        <v>781</v>
      </c>
      <c r="G2143" s="1" t="s">
        <v>1401</v>
      </c>
      <c r="H2143">
        <v>2019</v>
      </c>
      <c r="I2143">
        <v>2022</v>
      </c>
      <c r="J2143">
        <f t="shared" si="66"/>
        <v>4</v>
      </c>
      <c r="K2143" s="1" t="s">
        <v>741</v>
      </c>
      <c r="L2143" s="1" t="s">
        <v>798</v>
      </c>
      <c r="M2143">
        <f t="shared" si="67"/>
        <v>4</v>
      </c>
      <c r="N2143" t="s">
        <v>650</v>
      </c>
    </row>
    <row r="2144" spans="1:14" hidden="1" x14ac:dyDescent="0.3">
      <c r="A2144" s="1" t="s">
        <v>1426</v>
      </c>
      <c r="B2144" s="1" t="s">
        <v>1205</v>
      </c>
      <c r="C2144" s="1" t="s">
        <v>1427</v>
      </c>
      <c r="D2144" s="1" t="s">
        <v>738</v>
      </c>
      <c r="E2144" s="1" t="s">
        <v>739</v>
      </c>
      <c r="F2144" s="1" t="s">
        <v>781</v>
      </c>
      <c r="G2144" s="1" t="s">
        <v>1401</v>
      </c>
      <c r="H2144">
        <v>2013</v>
      </c>
      <c r="I2144">
        <v>2022</v>
      </c>
      <c r="J2144">
        <f t="shared" si="66"/>
        <v>10</v>
      </c>
      <c r="K2144" s="1" t="s">
        <v>741</v>
      </c>
      <c r="L2144" s="1" t="s">
        <v>798</v>
      </c>
      <c r="M2144">
        <f t="shared" si="67"/>
        <v>4</v>
      </c>
      <c r="N2144" t="s">
        <v>650</v>
      </c>
    </row>
    <row r="2145" spans="1:14" hidden="1" x14ac:dyDescent="0.3">
      <c r="A2145" s="1" t="s">
        <v>1428</v>
      </c>
      <c r="B2145" s="1" t="s">
        <v>1205</v>
      </c>
      <c r="C2145" s="1" t="s">
        <v>1429</v>
      </c>
      <c r="D2145" s="1" t="s">
        <v>738</v>
      </c>
      <c r="E2145" s="1" t="s">
        <v>739</v>
      </c>
      <c r="F2145" s="1" t="s">
        <v>781</v>
      </c>
      <c r="G2145" s="1" t="s">
        <v>1401</v>
      </c>
      <c r="H2145">
        <v>2017</v>
      </c>
      <c r="I2145">
        <v>2022</v>
      </c>
      <c r="J2145">
        <f t="shared" si="66"/>
        <v>6</v>
      </c>
      <c r="K2145" s="1" t="s">
        <v>741</v>
      </c>
      <c r="L2145" s="1" t="s">
        <v>798</v>
      </c>
      <c r="M2145">
        <f t="shared" si="67"/>
        <v>4</v>
      </c>
      <c r="N2145" t="s">
        <v>650</v>
      </c>
    </row>
    <row r="2146" spans="1:14" hidden="1" x14ac:dyDescent="0.3">
      <c r="A2146" s="1" t="s">
        <v>1430</v>
      </c>
      <c r="B2146" s="1" t="s">
        <v>1205</v>
      </c>
      <c r="C2146" s="1" t="s">
        <v>1431</v>
      </c>
      <c r="D2146" s="1" t="s">
        <v>738</v>
      </c>
      <c r="E2146" s="1" t="s">
        <v>739</v>
      </c>
      <c r="F2146" s="1" t="s">
        <v>781</v>
      </c>
      <c r="G2146" s="1" t="s">
        <v>1401</v>
      </c>
      <c r="H2146">
        <v>2013</v>
      </c>
      <c r="I2146">
        <v>2022</v>
      </c>
      <c r="J2146">
        <f t="shared" si="66"/>
        <v>10</v>
      </c>
      <c r="K2146" s="1" t="s">
        <v>741</v>
      </c>
      <c r="L2146" s="1" t="s">
        <v>798</v>
      </c>
      <c r="M2146">
        <f t="shared" si="67"/>
        <v>4</v>
      </c>
      <c r="N2146" t="s">
        <v>650</v>
      </c>
    </row>
    <row r="2147" spans="1:14" hidden="1" x14ac:dyDescent="0.3">
      <c r="A2147" s="1" t="s">
        <v>1432</v>
      </c>
      <c r="B2147" s="1" t="s">
        <v>1205</v>
      </c>
      <c r="C2147" s="1" t="s">
        <v>1433</v>
      </c>
      <c r="D2147" s="1" t="s">
        <v>746</v>
      </c>
      <c r="E2147" s="1" t="s">
        <v>747</v>
      </c>
      <c r="F2147" s="1" t="s">
        <v>748</v>
      </c>
      <c r="G2147" s="1" t="s">
        <v>1401</v>
      </c>
      <c r="H2147">
        <v>2013</v>
      </c>
      <c r="I2147">
        <v>2017</v>
      </c>
      <c r="J2147">
        <f t="shared" si="66"/>
        <v>5</v>
      </c>
      <c r="K2147" s="1" t="s">
        <v>741</v>
      </c>
      <c r="L2147" s="1" t="s">
        <v>798</v>
      </c>
      <c r="M2147">
        <f t="shared" si="67"/>
        <v>9</v>
      </c>
      <c r="N2147" t="s">
        <v>650</v>
      </c>
    </row>
    <row r="2148" spans="1:14" hidden="1" x14ac:dyDescent="0.3">
      <c r="A2148" s="1" t="s">
        <v>1434</v>
      </c>
      <c r="B2148" s="1" t="s">
        <v>1205</v>
      </c>
      <c r="C2148" s="1" t="s">
        <v>1435</v>
      </c>
      <c r="D2148" s="1" t="s">
        <v>746</v>
      </c>
      <c r="E2148" s="1" t="s">
        <v>747</v>
      </c>
      <c r="F2148" s="1" t="s">
        <v>748</v>
      </c>
      <c r="G2148" s="1" t="s">
        <v>1401</v>
      </c>
      <c r="H2148">
        <v>2017</v>
      </c>
      <c r="I2148">
        <v>2019</v>
      </c>
      <c r="J2148">
        <f t="shared" si="66"/>
        <v>3</v>
      </c>
      <c r="K2148" s="1" t="s">
        <v>741</v>
      </c>
      <c r="L2148" s="1" t="s">
        <v>798</v>
      </c>
      <c r="M2148">
        <f t="shared" si="67"/>
        <v>7</v>
      </c>
      <c r="N2148" t="s">
        <v>650</v>
      </c>
    </row>
    <row r="2149" spans="1:14" hidden="1" x14ac:dyDescent="0.3">
      <c r="A2149" s="1" t="s">
        <v>1436</v>
      </c>
      <c r="B2149" s="1" t="s">
        <v>1205</v>
      </c>
      <c r="C2149" s="1" t="s">
        <v>1437</v>
      </c>
      <c r="D2149" s="1" t="s">
        <v>738</v>
      </c>
      <c r="E2149" s="1" t="s">
        <v>739</v>
      </c>
      <c r="F2149" s="1" t="s">
        <v>781</v>
      </c>
      <c r="G2149" s="1" t="s">
        <v>1401</v>
      </c>
      <c r="H2149">
        <v>2017</v>
      </c>
      <c r="I2149">
        <v>2019</v>
      </c>
      <c r="J2149">
        <f t="shared" si="66"/>
        <v>3</v>
      </c>
      <c r="K2149" s="1" t="s">
        <v>741</v>
      </c>
      <c r="L2149" s="1" t="s">
        <v>798</v>
      </c>
      <c r="M2149">
        <f t="shared" si="67"/>
        <v>7</v>
      </c>
      <c r="N2149" t="s">
        <v>650</v>
      </c>
    </row>
    <row r="2150" spans="1:14" hidden="1" x14ac:dyDescent="0.3">
      <c r="A2150" s="1" t="s">
        <v>1438</v>
      </c>
      <c r="B2150" s="1" t="s">
        <v>1205</v>
      </c>
      <c r="C2150" s="1" t="s">
        <v>1439</v>
      </c>
      <c r="D2150" s="1" t="s">
        <v>738</v>
      </c>
      <c r="E2150" s="1" t="s">
        <v>739</v>
      </c>
      <c r="F2150" s="1" t="s">
        <v>781</v>
      </c>
      <c r="G2150" s="1" t="s">
        <v>1401</v>
      </c>
      <c r="H2150">
        <v>2013</v>
      </c>
      <c r="I2150">
        <v>2017</v>
      </c>
      <c r="J2150">
        <f t="shared" si="66"/>
        <v>5</v>
      </c>
      <c r="K2150" s="1" t="s">
        <v>741</v>
      </c>
      <c r="L2150" s="1" t="s">
        <v>798</v>
      </c>
      <c r="M2150">
        <f t="shared" si="67"/>
        <v>9</v>
      </c>
      <c r="N2150" t="s">
        <v>650</v>
      </c>
    </row>
    <row r="2151" spans="1:14" hidden="1" x14ac:dyDescent="0.3">
      <c r="A2151" s="1" t="s">
        <v>1440</v>
      </c>
      <c r="B2151" s="1" t="s">
        <v>1205</v>
      </c>
      <c r="C2151" s="1" t="s">
        <v>1441</v>
      </c>
      <c r="D2151" s="1" t="s">
        <v>746</v>
      </c>
      <c r="E2151" s="1" t="s">
        <v>747</v>
      </c>
      <c r="F2151" s="1" t="s">
        <v>748</v>
      </c>
      <c r="G2151" s="1" t="s">
        <v>1401</v>
      </c>
      <c r="H2151">
        <v>2013</v>
      </c>
      <c r="I2151">
        <v>2014</v>
      </c>
      <c r="J2151">
        <f t="shared" si="66"/>
        <v>2</v>
      </c>
      <c r="K2151" s="1" t="s">
        <v>741</v>
      </c>
      <c r="L2151" s="1" t="s">
        <v>798</v>
      </c>
      <c r="M2151">
        <f t="shared" si="67"/>
        <v>12</v>
      </c>
      <c r="N2151" t="s">
        <v>650</v>
      </c>
    </row>
    <row r="2152" spans="1:14" hidden="1" x14ac:dyDescent="0.3">
      <c r="A2152" s="1" t="s">
        <v>1442</v>
      </c>
      <c r="B2152" s="1" t="s">
        <v>1205</v>
      </c>
      <c r="C2152" s="1" t="s">
        <v>1443</v>
      </c>
      <c r="D2152" s="1" t="s">
        <v>746</v>
      </c>
      <c r="E2152" s="1" t="s">
        <v>747</v>
      </c>
      <c r="F2152" s="1" t="s">
        <v>748</v>
      </c>
      <c r="G2152" s="1" t="s">
        <v>1401</v>
      </c>
      <c r="H2152">
        <v>2017</v>
      </c>
      <c r="I2152">
        <v>2018</v>
      </c>
      <c r="J2152">
        <f t="shared" si="66"/>
        <v>2</v>
      </c>
      <c r="K2152" s="1" t="s">
        <v>741</v>
      </c>
      <c r="L2152" s="1" t="s">
        <v>798</v>
      </c>
      <c r="M2152">
        <f t="shared" si="67"/>
        <v>8</v>
      </c>
      <c r="N2152" t="s">
        <v>650</v>
      </c>
    </row>
    <row r="2153" spans="1:14" hidden="1" x14ac:dyDescent="0.3">
      <c r="A2153" s="1" t="s">
        <v>1444</v>
      </c>
      <c r="B2153" s="1" t="s">
        <v>1205</v>
      </c>
      <c r="C2153" s="1" t="s">
        <v>1445</v>
      </c>
      <c r="D2153" s="1" t="s">
        <v>746</v>
      </c>
      <c r="E2153" s="1" t="s">
        <v>747</v>
      </c>
      <c r="F2153" s="1" t="s">
        <v>748</v>
      </c>
      <c r="G2153" s="1" t="s">
        <v>1401</v>
      </c>
      <c r="H2153">
        <v>2014</v>
      </c>
      <c r="I2153">
        <v>2018</v>
      </c>
      <c r="J2153">
        <f t="shared" si="66"/>
        <v>5</v>
      </c>
      <c r="K2153" s="1" t="s">
        <v>741</v>
      </c>
      <c r="L2153" s="1" t="s">
        <v>798</v>
      </c>
      <c r="M2153">
        <f t="shared" si="67"/>
        <v>8</v>
      </c>
      <c r="N2153" t="s">
        <v>650</v>
      </c>
    </row>
    <row r="2154" spans="1:14" hidden="1" x14ac:dyDescent="0.3">
      <c r="A2154" s="1" t="s">
        <v>1446</v>
      </c>
      <c r="B2154" s="1" t="s">
        <v>1205</v>
      </c>
      <c r="C2154" s="1" t="s">
        <v>1447</v>
      </c>
      <c r="D2154" s="1" t="s">
        <v>738</v>
      </c>
      <c r="E2154" s="1" t="s">
        <v>739</v>
      </c>
      <c r="F2154" s="1" t="s">
        <v>781</v>
      </c>
      <c r="G2154" s="1" t="s">
        <v>1401</v>
      </c>
      <c r="H2154">
        <v>2017</v>
      </c>
      <c r="I2154">
        <v>2018</v>
      </c>
      <c r="J2154">
        <f t="shared" si="66"/>
        <v>2</v>
      </c>
      <c r="K2154" s="1" t="s">
        <v>741</v>
      </c>
      <c r="L2154" s="1" t="s">
        <v>798</v>
      </c>
      <c r="M2154">
        <f t="shared" si="67"/>
        <v>8</v>
      </c>
      <c r="N2154" t="s">
        <v>650</v>
      </c>
    </row>
    <row r="2155" spans="1:14" hidden="1" x14ac:dyDescent="0.3">
      <c r="A2155" s="1" t="s">
        <v>1448</v>
      </c>
      <c r="B2155" s="1" t="s">
        <v>1205</v>
      </c>
      <c r="C2155" s="1" t="s">
        <v>1449</v>
      </c>
      <c r="D2155" s="1" t="s">
        <v>738</v>
      </c>
      <c r="E2155" s="1" t="s">
        <v>739</v>
      </c>
      <c r="F2155" s="1" t="s">
        <v>781</v>
      </c>
      <c r="G2155" s="1" t="s">
        <v>1401</v>
      </c>
      <c r="H2155">
        <v>2013</v>
      </c>
      <c r="I2155">
        <v>2018</v>
      </c>
      <c r="J2155">
        <f t="shared" si="66"/>
        <v>6</v>
      </c>
      <c r="K2155" s="1" t="s">
        <v>741</v>
      </c>
      <c r="L2155" s="1" t="s">
        <v>798</v>
      </c>
      <c r="M2155">
        <f t="shared" si="67"/>
        <v>8</v>
      </c>
      <c r="N2155" t="s">
        <v>650</v>
      </c>
    </row>
    <row r="2156" spans="1:14" hidden="1" x14ac:dyDescent="0.3">
      <c r="A2156" t="s">
        <v>11447</v>
      </c>
      <c r="B2156" t="s">
        <v>1451</v>
      </c>
      <c r="C2156" t="s">
        <v>11448</v>
      </c>
      <c r="E2156" s="1" t="e">
        <v>#N/A</v>
      </c>
      <c r="F2156" s="1" t="e">
        <v>#N/A</v>
      </c>
      <c r="G2156" s="1" t="s">
        <v>12907</v>
      </c>
      <c r="H2156">
        <v>2025</v>
      </c>
      <c r="I2156">
        <v>2026</v>
      </c>
      <c r="J2156">
        <f t="shared" si="66"/>
        <v>2</v>
      </c>
      <c r="K2156" s="1" t="s">
        <v>12912</v>
      </c>
      <c r="L2156" s="1" t="s">
        <v>12912</v>
      </c>
      <c r="M2156">
        <f t="shared" si="67"/>
        <v>0</v>
      </c>
    </row>
    <row r="2157" spans="1:14" x14ac:dyDescent="0.3">
      <c r="A2157" t="s">
        <v>377</v>
      </c>
      <c r="B2157" t="s">
        <v>5940</v>
      </c>
      <c r="C2157" t="s">
        <v>378</v>
      </c>
      <c r="E2157" s="1" t="s">
        <v>6076</v>
      </c>
      <c r="F2157" s="1" t="s">
        <v>6076</v>
      </c>
      <c r="G2157" s="1" t="s">
        <v>12757</v>
      </c>
      <c r="H2157">
        <v>2023</v>
      </c>
      <c r="I2157">
        <v>2026</v>
      </c>
      <c r="J2157">
        <f t="shared" si="66"/>
        <v>4</v>
      </c>
      <c r="K2157" s="1" t="s">
        <v>6076</v>
      </c>
      <c r="L2157" s="1" t="s">
        <v>6076</v>
      </c>
      <c r="M2157">
        <f t="shared" si="67"/>
        <v>0</v>
      </c>
    </row>
    <row r="2158" spans="1:14" x14ac:dyDescent="0.3">
      <c r="A2158" s="1" t="s">
        <v>379</v>
      </c>
      <c r="B2158" s="1" t="s">
        <v>5940</v>
      </c>
      <c r="C2158" s="1" t="s">
        <v>380</v>
      </c>
      <c r="D2158" s="1" t="s">
        <v>1395</v>
      </c>
      <c r="E2158" s="1" t="s">
        <v>6076</v>
      </c>
      <c r="F2158" s="1" t="s">
        <v>6076</v>
      </c>
      <c r="G2158" s="1" t="s">
        <v>7806</v>
      </c>
      <c r="H2158">
        <v>2020</v>
      </c>
      <c r="I2158">
        <v>2022</v>
      </c>
      <c r="J2158">
        <f t="shared" si="66"/>
        <v>3</v>
      </c>
      <c r="K2158" s="1" t="s">
        <v>6076</v>
      </c>
      <c r="L2158" s="1" t="s">
        <v>6076</v>
      </c>
      <c r="M2158">
        <f t="shared" si="67"/>
        <v>4</v>
      </c>
    </row>
    <row r="2159" spans="1:14" x14ac:dyDescent="0.3">
      <c r="A2159" s="1" t="s">
        <v>381</v>
      </c>
      <c r="B2159" s="1" t="s">
        <v>5940</v>
      </c>
      <c r="C2159" s="1" t="s">
        <v>382</v>
      </c>
      <c r="D2159" s="1" t="s">
        <v>1395</v>
      </c>
      <c r="E2159" s="1" t="s">
        <v>6076</v>
      </c>
      <c r="F2159" s="1" t="s">
        <v>6076</v>
      </c>
      <c r="G2159" s="1" t="s">
        <v>7806</v>
      </c>
      <c r="H2159">
        <v>2020</v>
      </c>
      <c r="I2159">
        <v>2022</v>
      </c>
      <c r="J2159">
        <f t="shared" si="66"/>
        <v>3</v>
      </c>
      <c r="K2159" s="1" t="s">
        <v>6076</v>
      </c>
      <c r="L2159" s="1" t="s">
        <v>6076</v>
      </c>
      <c r="M2159">
        <f t="shared" si="67"/>
        <v>4</v>
      </c>
    </row>
    <row r="2160" spans="1:14" x14ac:dyDescent="0.3">
      <c r="A2160" s="1" t="s">
        <v>383</v>
      </c>
      <c r="B2160" s="1" t="s">
        <v>5940</v>
      </c>
      <c r="C2160" s="1" t="s">
        <v>384</v>
      </c>
      <c r="D2160" s="1" t="s">
        <v>1395</v>
      </c>
      <c r="E2160" s="1" t="s">
        <v>6076</v>
      </c>
      <c r="F2160" s="1" t="s">
        <v>6076</v>
      </c>
      <c r="G2160" s="1" t="s">
        <v>7806</v>
      </c>
      <c r="H2160">
        <v>2022</v>
      </c>
      <c r="I2160">
        <v>2022</v>
      </c>
      <c r="J2160">
        <f t="shared" si="66"/>
        <v>1</v>
      </c>
      <c r="K2160" s="1" t="s">
        <v>6076</v>
      </c>
      <c r="L2160" s="1" t="s">
        <v>6076</v>
      </c>
      <c r="M2160">
        <f t="shared" si="67"/>
        <v>4</v>
      </c>
    </row>
    <row r="2161" spans="1:14" x14ac:dyDescent="0.3">
      <c r="A2161" s="1" t="s">
        <v>385</v>
      </c>
      <c r="B2161" s="1" t="s">
        <v>5940</v>
      </c>
      <c r="C2161" s="1" t="s">
        <v>386</v>
      </c>
      <c r="D2161" s="1" t="s">
        <v>1395</v>
      </c>
      <c r="E2161" s="1" t="s">
        <v>6076</v>
      </c>
      <c r="F2161" s="1" t="s">
        <v>6076</v>
      </c>
      <c r="G2161" s="1" t="s">
        <v>7806</v>
      </c>
      <c r="H2161">
        <v>2020</v>
      </c>
      <c r="I2161">
        <v>2022</v>
      </c>
      <c r="J2161">
        <f t="shared" si="66"/>
        <v>3</v>
      </c>
      <c r="K2161" s="1" t="s">
        <v>6076</v>
      </c>
      <c r="L2161" s="1" t="s">
        <v>6076</v>
      </c>
      <c r="M2161">
        <f t="shared" si="67"/>
        <v>4</v>
      </c>
    </row>
    <row r="2162" spans="1:14" x14ac:dyDescent="0.3">
      <c r="A2162" s="1" t="s">
        <v>387</v>
      </c>
      <c r="B2162" s="1" t="s">
        <v>5940</v>
      </c>
      <c r="C2162" s="1" t="s">
        <v>388</v>
      </c>
      <c r="D2162" s="1" t="s">
        <v>1395</v>
      </c>
      <c r="E2162" s="1" t="s">
        <v>6076</v>
      </c>
      <c r="F2162" s="1" t="s">
        <v>6076</v>
      </c>
      <c r="G2162" s="1" t="s">
        <v>7806</v>
      </c>
      <c r="H2162">
        <v>2020</v>
      </c>
      <c r="I2162">
        <v>2022</v>
      </c>
      <c r="J2162">
        <f t="shared" si="66"/>
        <v>3</v>
      </c>
      <c r="K2162" s="1" t="s">
        <v>6076</v>
      </c>
      <c r="L2162" s="1" t="s">
        <v>6076</v>
      </c>
      <c r="M2162">
        <f t="shared" si="67"/>
        <v>4</v>
      </c>
    </row>
    <row r="2163" spans="1:14" x14ac:dyDescent="0.3">
      <c r="A2163" s="1" t="s">
        <v>7807</v>
      </c>
      <c r="B2163" s="1" t="s">
        <v>810</v>
      </c>
      <c r="C2163" s="1" t="s">
        <v>7808</v>
      </c>
      <c r="D2163" s="1" t="s">
        <v>644</v>
      </c>
      <c r="E2163" s="1" t="s">
        <v>6076</v>
      </c>
      <c r="F2163" s="1" t="s">
        <v>6076</v>
      </c>
      <c r="G2163" s="1" t="s">
        <v>7809</v>
      </c>
      <c r="H2163">
        <v>1998</v>
      </c>
      <c r="I2163">
        <v>2000</v>
      </c>
      <c r="J2163">
        <f t="shared" si="66"/>
        <v>3</v>
      </c>
      <c r="K2163" s="1" t="s">
        <v>6076</v>
      </c>
      <c r="L2163" s="1" t="s">
        <v>6076</v>
      </c>
      <c r="M2163">
        <f t="shared" si="67"/>
        <v>26</v>
      </c>
      <c r="N2163" t="s">
        <v>640</v>
      </c>
    </row>
    <row r="2164" spans="1:14" x14ac:dyDescent="0.3">
      <c r="A2164" t="s">
        <v>11744</v>
      </c>
      <c r="B2164" t="s">
        <v>2667</v>
      </c>
      <c r="C2164" t="s">
        <v>11745</v>
      </c>
      <c r="E2164" s="1" t="s">
        <v>6076</v>
      </c>
      <c r="F2164" s="1" t="s">
        <v>6076</v>
      </c>
      <c r="G2164" s="1" t="s">
        <v>12847</v>
      </c>
      <c r="H2164">
        <v>2025</v>
      </c>
      <c r="I2164">
        <v>2026</v>
      </c>
      <c r="J2164">
        <f t="shared" si="66"/>
        <v>2</v>
      </c>
      <c r="K2164" s="1" t="s">
        <v>6076</v>
      </c>
      <c r="L2164" s="1" t="s">
        <v>6076</v>
      </c>
      <c r="M2164">
        <f t="shared" si="67"/>
        <v>0</v>
      </c>
    </row>
    <row r="2165" spans="1:14" x14ac:dyDescent="0.3">
      <c r="A2165" t="s">
        <v>11746</v>
      </c>
      <c r="B2165" t="s">
        <v>2667</v>
      </c>
      <c r="C2165" t="s">
        <v>11747</v>
      </c>
      <c r="E2165" s="1" t="s">
        <v>6076</v>
      </c>
      <c r="F2165" s="1" t="s">
        <v>6076</v>
      </c>
      <c r="G2165" s="1" t="s">
        <v>12848</v>
      </c>
      <c r="H2165">
        <v>2025</v>
      </c>
      <c r="I2165">
        <v>2026</v>
      </c>
      <c r="J2165">
        <f t="shared" si="66"/>
        <v>2</v>
      </c>
      <c r="K2165" s="1" t="s">
        <v>6076</v>
      </c>
      <c r="L2165" s="1" t="s">
        <v>6076</v>
      </c>
      <c r="M2165">
        <f t="shared" si="67"/>
        <v>0</v>
      </c>
    </row>
    <row r="2166" spans="1:14" x14ac:dyDescent="0.3">
      <c r="A2166" s="1" t="s">
        <v>7810</v>
      </c>
      <c r="B2166" s="1" t="s">
        <v>672</v>
      </c>
      <c r="C2166" s="1" t="s">
        <v>7811</v>
      </c>
      <c r="D2166" s="1" t="s">
        <v>738</v>
      </c>
      <c r="E2166" s="1" t="s">
        <v>6076</v>
      </c>
      <c r="F2166" s="1" t="s">
        <v>6076</v>
      </c>
      <c r="G2166" s="1" t="s">
        <v>6659</v>
      </c>
      <c r="H2166">
        <v>1998</v>
      </c>
      <c r="I2166">
        <v>2001</v>
      </c>
      <c r="J2166">
        <f t="shared" si="66"/>
        <v>4</v>
      </c>
      <c r="K2166" s="1" t="s">
        <v>6076</v>
      </c>
      <c r="L2166" s="1" t="s">
        <v>6076</v>
      </c>
      <c r="M2166">
        <f t="shared" si="67"/>
        <v>25</v>
      </c>
      <c r="N2166" t="s">
        <v>640</v>
      </c>
    </row>
    <row r="2167" spans="1:14" x14ac:dyDescent="0.3">
      <c r="A2167" s="1" t="s">
        <v>7812</v>
      </c>
      <c r="B2167" s="1" t="s">
        <v>672</v>
      </c>
      <c r="C2167" s="1" t="s">
        <v>7813</v>
      </c>
      <c r="D2167" s="1" t="s">
        <v>738</v>
      </c>
      <c r="E2167" s="1" t="s">
        <v>6076</v>
      </c>
      <c r="F2167" s="1" t="s">
        <v>6076</v>
      </c>
      <c r="G2167" s="1" t="s">
        <v>6659</v>
      </c>
      <c r="H2167">
        <v>1995</v>
      </c>
      <c r="I2167">
        <v>1997</v>
      </c>
      <c r="J2167">
        <f t="shared" si="66"/>
        <v>3</v>
      </c>
      <c r="K2167" s="1" t="s">
        <v>6076</v>
      </c>
      <c r="L2167" s="1" t="s">
        <v>6076</v>
      </c>
      <c r="M2167">
        <f t="shared" si="67"/>
        <v>29</v>
      </c>
      <c r="N2167" t="s">
        <v>640</v>
      </c>
    </row>
    <row r="2168" spans="1:14" hidden="1" x14ac:dyDescent="0.3">
      <c r="A2168" t="s">
        <v>11513</v>
      </c>
      <c r="B2168" t="s">
        <v>11523</v>
      </c>
      <c r="C2168" t="s">
        <v>11514</v>
      </c>
      <c r="E2168" s="1" t="e">
        <v>#N/A</v>
      </c>
      <c r="F2168" s="1" t="e">
        <v>#N/A</v>
      </c>
      <c r="G2168" s="1" t="s">
        <v>12828</v>
      </c>
      <c r="H2168">
        <v>2025</v>
      </c>
      <c r="I2168">
        <v>2026</v>
      </c>
      <c r="J2168">
        <f t="shared" si="66"/>
        <v>2</v>
      </c>
      <c r="K2168" s="1" t="s">
        <v>5909</v>
      </c>
      <c r="L2168" s="1" t="s">
        <v>3793</v>
      </c>
      <c r="M2168">
        <f t="shared" si="67"/>
        <v>0</v>
      </c>
    </row>
    <row r="2169" spans="1:14" hidden="1" x14ac:dyDescent="0.3">
      <c r="A2169" t="s">
        <v>11515</v>
      </c>
      <c r="B2169" t="s">
        <v>11523</v>
      </c>
      <c r="C2169" t="s">
        <v>11516</v>
      </c>
      <c r="E2169" s="1" t="e">
        <v>#N/A</v>
      </c>
      <c r="F2169" s="1" t="e">
        <v>#N/A</v>
      </c>
      <c r="G2169" s="1" t="s">
        <v>12828</v>
      </c>
      <c r="H2169">
        <v>2025</v>
      </c>
      <c r="I2169">
        <v>2026</v>
      </c>
      <c r="J2169">
        <f t="shared" si="66"/>
        <v>2</v>
      </c>
      <c r="K2169" s="1" t="s">
        <v>5909</v>
      </c>
      <c r="L2169" s="1" t="s">
        <v>3793</v>
      </c>
      <c r="M2169">
        <f t="shared" si="67"/>
        <v>0</v>
      </c>
    </row>
    <row r="2170" spans="1:14" x14ac:dyDescent="0.3">
      <c r="A2170" t="s">
        <v>12399</v>
      </c>
      <c r="B2170" t="s">
        <v>12697</v>
      </c>
      <c r="C2170" t="s">
        <v>12400</v>
      </c>
      <c r="E2170" s="1" t="s">
        <v>6076</v>
      </c>
      <c r="F2170" s="1" t="s">
        <v>6076</v>
      </c>
      <c r="G2170" s="1" t="s">
        <v>12469</v>
      </c>
      <c r="H2170">
        <v>2024</v>
      </c>
      <c r="I2170">
        <v>2026</v>
      </c>
      <c r="J2170">
        <f t="shared" si="66"/>
        <v>3</v>
      </c>
      <c r="K2170" s="1" t="s">
        <v>6076</v>
      </c>
      <c r="L2170" s="1" t="s">
        <v>6076</v>
      </c>
      <c r="M2170">
        <f t="shared" si="67"/>
        <v>0</v>
      </c>
    </row>
    <row r="2171" spans="1:14" x14ac:dyDescent="0.3">
      <c r="A2171" t="s">
        <v>12401</v>
      </c>
      <c r="B2171" t="s">
        <v>12697</v>
      </c>
      <c r="C2171" t="s">
        <v>12402</v>
      </c>
      <c r="E2171" s="1" t="s">
        <v>6076</v>
      </c>
      <c r="F2171" s="1" t="s">
        <v>6076</v>
      </c>
      <c r="G2171" s="1" t="s">
        <v>12469</v>
      </c>
      <c r="H2171">
        <v>2024</v>
      </c>
      <c r="I2171">
        <v>2026</v>
      </c>
      <c r="J2171">
        <f t="shared" si="66"/>
        <v>3</v>
      </c>
      <c r="K2171" s="1" t="s">
        <v>6076</v>
      </c>
      <c r="L2171" s="1" t="s">
        <v>6076</v>
      </c>
      <c r="M2171">
        <f t="shared" si="67"/>
        <v>0</v>
      </c>
    </row>
    <row r="2172" spans="1:14" x14ac:dyDescent="0.3">
      <c r="A2172" t="s">
        <v>12403</v>
      </c>
      <c r="B2172" t="s">
        <v>12697</v>
      </c>
      <c r="C2172" t="s">
        <v>12404</v>
      </c>
      <c r="E2172" s="1" t="s">
        <v>6076</v>
      </c>
      <c r="F2172" s="1" t="s">
        <v>6076</v>
      </c>
      <c r="G2172" s="1" t="s">
        <v>12469</v>
      </c>
      <c r="H2172">
        <v>2025</v>
      </c>
      <c r="I2172">
        <v>2026</v>
      </c>
      <c r="J2172">
        <f t="shared" si="66"/>
        <v>2</v>
      </c>
      <c r="K2172" s="1" t="s">
        <v>6076</v>
      </c>
      <c r="L2172" s="1" t="s">
        <v>6076</v>
      </c>
      <c r="M2172">
        <f t="shared" si="67"/>
        <v>0</v>
      </c>
    </row>
    <row r="2173" spans="1:14" x14ac:dyDescent="0.3">
      <c r="A2173" t="s">
        <v>12405</v>
      </c>
      <c r="B2173" t="s">
        <v>12697</v>
      </c>
      <c r="C2173" t="s">
        <v>12406</v>
      </c>
      <c r="E2173" s="1" t="s">
        <v>6076</v>
      </c>
      <c r="F2173" s="1" t="s">
        <v>6076</v>
      </c>
      <c r="G2173" s="1" t="s">
        <v>12469</v>
      </c>
      <c r="H2173">
        <v>2024</v>
      </c>
      <c r="I2173">
        <v>2026</v>
      </c>
      <c r="J2173">
        <f t="shared" si="66"/>
        <v>3</v>
      </c>
      <c r="K2173" s="1" t="s">
        <v>6076</v>
      </c>
      <c r="L2173" s="1" t="s">
        <v>6076</v>
      </c>
      <c r="M2173">
        <f t="shared" si="67"/>
        <v>0</v>
      </c>
    </row>
    <row r="2174" spans="1:14" x14ac:dyDescent="0.3">
      <c r="A2174" t="s">
        <v>12407</v>
      </c>
      <c r="B2174" t="s">
        <v>12697</v>
      </c>
      <c r="C2174" t="s">
        <v>12408</v>
      </c>
      <c r="E2174" s="1" t="s">
        <v>6076</v>
      </c>
      <c r="F2174" s="1" t="s">
        <v>6076</v>
      </c>
      <c r="G2174" s="1" t="s">
        <v>12469</v>
      </c>
      <c r="H2174">
        <v>2024</v>
      </c>
      <c r="I2174">
        <v>2026</v>
      </c>
      <c r="J2174">
        <f t="shared" si="66"/>
        <v>3</v>
      </c>
      <c r="K2174" s="1" t="s">
        <v>6076</v>
      </c>
      <c r="L2174" s="1" t="s">
        <v>6076</v>
      </c>
      <c r="M2174">
        <f t="shared" si="67"/>
        <v>0</v>
      </c>
    </row>
    <row r="2175" spans="1:14" x14ac:dyDescent="0.3">
      <c r="A2175" t="s">
        <v>12409</v>
      </c>
      <c r="B2175" t="s">
        <v>12697</v>
      </c>
      <c r="C2175" t="s">
        <v>12410</v>
      </c>
      <c r="E2175" s="1" t="s">
        <v>6076</v>
      </c>
      <c r="F2175" s="1" t="s">
        <v>6076</v>
      </c>
      <c r="G2175" s="1" t="s">
        <v>12892</v>
      </c>
      <c r="H2175">
        <v>2025</v>
      </c>
      <c r="I2175">
        <v>2026</v>
      </c>
      <c r="J2175">
        <f t="shared" si="66"/>
        <v>2</v>
      </c>
      <c r="K2175" s="1" t="s">
        <v>6076</v>
      </c>
      <c r="L2175" s="1" t="s">
        <v>6076</v>
      </c>
      <c r="M2175">
        <f t="shared" si="67"/>
        <v>0</v>
      </c>
    </row>
    <row r="2176" spans="1:14" x14ac:dyDescent="0.3">
      <c r="A2176" t="s">
        <v>12411</v>
      </c>
      <c r="B2176" t="s">
        <v>12697</v>
      </c>
      <c r="C2176" t="s">
        <v>12412</v>
      </c>
      <c r="E2176" s="1" t="s">
        <v>6076</v>
      </c>
      <c r="F2176" s="1" t="s">
        <v>6076</v>
      </c>
      <c r="G2176" s="1" t="s">
        <v>12892</v>
      </c>
      <c r="H2176">
        <v>2025</v>
      </c>
      <c r="I2176">
        <v>2026</v>
      </c>
      <c r="J2176">
        <f t="shared" si="66"/>
        <v>2</v>
      </c>
      <c r="K2176" s="1" t="s">
        <v>6076</v>
      </c>
      <c r="L2176" s="1" t="s">
        <v>6076</v>
      </c>
      <c r="M2176">
        <f t="shared" si="67"/>
        <v>0</v>
      </c>
    </row>
    <row r="2177" spans="1:14" x14ac:dyDescent="0.3">
      <c r="A2177" t="s">
        <v>12413</v>
      </c>
      <c r="B2177" t="s">
        <v>12697</v>
      </c>
      <c r="C2177" t="s">
        <v>12414</v>
      </c>
      <c r="E2177" s="1" t="s">
        <v>6076</v>
      </c>
      <c r="F2177" s="1" t="s">
        <v>6076</v>
      </c>
      <c r="G2177" s="1" t="s">
        <v>12892</v>
      </c>
      <c r="H2177">
        <v>2025</v>
      </c>
      <c r="I2177">
        <v>2026</v>
      </c>
      <c r="J2177">
        <f t="shared" si="66"/>
        <v>2</v>
      </c>
      <c r="K2177" s="1" t="s">
        <v>6076</v>
      </c>
      <c r="L2177" s="1" t="s">
        <v>6076</v>
      </c>
      <c r="M2177">
        <f t="shared" si="67"/>
        <v>0</v>
      </c>
    </row>
    <row r="2178" spans="1:14" hidden="1" x14ac:dyDescent="0.3">
      <c r="A2178" t="s">
        <v>11517</v>
      </c>
      <c r="B2178" t="s">
        <v>11523</v>
      </c>
      <c r="C2178" t="s">
        <v>11518</v>
      </c>
      <c r="E2178" s="1" t="e">
        <v>#N/A</v>
      </c>
      <c r="F2178" s="1" t="e">
        <v>#N/A</v>
      </c>
      <c r="G2178" s="1" t="s">
        <v>12829</v>
      </c>
      <c r="H2178">
        <v>2025</v>
      </c>
      <c r="I2178">
        <v>2026</v>
      </c>
      <c r="J2178">
        <f t="shared" si="66"/>
        <v>2</v>
      </c>
      <c r="K2178" s="1" t="s">
        <v>12912</v>
      </c>
      <c r="L2178" s="1" t="s">
        <v>12912</v>
      </c>
      <c r="M2178">
        <f t="shared" si="67"/>
        <v>0</v>
      </c>
    </row>
    <row r="2179" spans="1:14" hidden="1" x14ac:dyDescent="0.3">
      <c r="A2179" t="s">
        <v>11519</v>
      </c>
      <c r="B2179" t="s">
        <v>11523</v>
      </c>
      <c r="C2179" t="s">
        <v>11520</v>
      </c>
      <c r="E2179" s="1" t="e">
        <v>#N/A</v>
      </c>
      <c r="F2179" s="1" t="e">
        <v>#N/A</v>
      </c>
      <c r="G2179" s="1" t="s">
        <v>12829</v>
      </c>
      <c r="H2179">
        <v>2025</v>
      </c>
      <c r="I2179">
        <v>2026</v>
      </c>
      <c r="J2179">
        <f t="shared" si="66"/>
        <v>2</v>
      </c>
      <c r="K2179" s="1" t="s">
        <v>12912</v>
      </c>
      <c r="L2179" s="1" t="s">
        <v>12912</v>
      </c>
      <c r="M2179">
        <f t="shared" si="67"/>
        <v>0</v>
      </c>
    </row>
    <row r="2180" spans="1:14" x14ac:dyDescent="0.3">
      <c r="A2180" t="s">
        <v>12415</v>
      </c>
      <c r="B2180" t="s">
        <v>12697</v>
      </c>
      <c r="C2180" t="s">
        <v>12416</v>
      </c>
      <c r="E2180" s="1" t="s">
        <v>6076</v>
      </c>
      <c r="F2180" s="1" t="s">
        <v>6076</v>
      </c>
      <c r="G2180" s="1" t="s">
        <v>12893</v>
      </c>
      <c r="H2180">
        <v>2025</v>
      </c>
      <c r="I2180">
        <v>2026</v>
      </c>
      <c r="J2180">
        <f t="shared" si="66"/>
        <v>2</v>
      </c>
      <c r="K2180" s="1" t="s">
        <v>6076</v>
      </c>
      <c r="L2180" s="1" t="s">
        <v>6076</v>
      </c>
      <c r="M2180">
        <f t="shared" si="67"/>
        <v>0</v>
      </c>
    </row>
    <row r="2181" spans="1:14" x14ac:dyDescent="0.3">
      <c r="A2181" s="1" t="s">
        <v>7814</v>
      </c>
      <c r="B2181" s="1" t="s">
        <v>1849</v>
      </c>
      <c r="C2181" s="1" t="s">
        <v>7815</v>
      </c>
      <c r="D2181" s="1" t="s">
        <v>738</v>
      </c>
      <c r="E2181" s="1" t="s">
        <v>6076</v>
      </c>
      <c r="F2181" s="1" t="s">
        <v>6076</v>
      </c>
      <c r="G2181" s="1" t="s">
        <v>7816</v>
      </c>
      <c r="H2181">
        <v>1992</v>
      </c>
      <c r="I2181">
        <v>1995</v>
      </c>
      <c r="J2181">
        <f t="shared" si="66"/>
        <v>4</v>
      </c>
      <c r="K2181" s="1" t="s">
        <v>6076</v>
      </c>
      <c r="L2181" s="1" t="s">
        <v>6076</v>
      </c>
      <c r="M2181">
        <f t="shared" si="67"/>
        <v>31</v>
      </c>
      <c r="N2181" t="s">
        <v>640</v>
      </c>
    </row>
    <row r="2182" spans="1:14" x14ac:dyDescent="0.3">
      <c r="A2182" s="1" t="s">
        <v>7817</v>
      </c>
      <c r="B2182" s="1" t="s">
        <v>1849</v>
      </c>
      <c r="C2182" s="1" t="s">
        <v>7818</v>
      </c>
      <c r="D2182" s="1" t="s">
        <v>738</v>
      </c>
      <c r="E2182" s="1" t="s">
        <v>6076</v>
      </c>
      <c r="F2182" s="1" t="s">
        <v>6076</v>
      </c>
      <c r="G2182" s="1" t="s">
        <v>7816</v>
      </c>
      <c r="H2182">
        <v>1993</v>
      </c>
      <c r="I2182">
        <v>1995</v>
      </c>
      <c r="J2182">
        <f t="shared" ref="J2182:J2245" si="68">1+(I2182-H2182)</f>
        <v>3</v>
      </c>
      <c r="K2182" s="1" t="s">
        <v>6076</v>
      </c>
      <c r="L2182" s="1" t="s">
        <v>6076</v>
      </c>
      <c r="M2182">
        <f t="shared" ref="M2182:M2245" si="69">IF(I2182=0,0,$B$2-I2182)</f>
        <v>31</v>
      </c>
      <c r="N2182" t="s">
        <v>640</v>
      </c>
    </row>
    <row r="2183" spans="1:14" x14ac:dyDescent="0.3">
      <c r="A2183" s="1" t="s">
        <v>7819</v>
      </c>
      <c r="B2183" s="1" t="s">
        <v>1849</v>
      </c>
      <c r="C2183" s="1" t="s">
        <v>7820</v>
      </c>
      <c r="D2183" s="1" t="s">
        <v>738</v>
      </c>
      <c r="E2183" s="1" t="s">
        <v>6076</v>
      </c>
      <c r="F2183" s="1" t="s">
        <v>6076</v>
      </c>
      <c r="G2183" s="1" t="s">
        <v>7816</v>
      </c>
      <c r="H2183">
        <v>1991</v>
      </c>
      <c r="I2183">
        <v>1995</v>
      </c>
      <c r="J2183">
        <f t="shared" si="68"/>
        <v>5</v>
      </c>
      <c r="K2183" s="1" t="s">
        <v>6076</v>
      </c>
      <c r="L2183" s="1" t="s">
        <v>6076</v>
      </c>
      <c r="M2183">
        <f t="shared" si="69"/>
        <v>31</v>
      </c>
      <c r="N2183" t="s">
        <v>640</v>
      </c>
    </row>
    <row r="2184" spans="1:14" x14ac:dyDescent="0.3">
      <c r="A2184" s="1" t="s">
        <v>7821</v>
      </c>
      <c r="B2184" s="1" t="s">
        <v>1849</v>
      </c>
      <c r="C2184" s="1" t="s">
        <v>7822</v>
      </c>
      <c r="D2184" s="1" t="s">
        <v>738</v>
      </c>
      <c r="E2184" s="1" t="s">
        <v>6076</v>
      </c>
      <c r="F2184" s="1" t="s">
        <v>6076</v>
      </c>
      <c r="G2184" s="1" t="s">
        <v>7816</v>
      </c>
      <c r="H2184">
        <v>1992</v>
      </c>
      <c r="I2184">
        <v>1995</v>
      </c>
      <c r="J2184">
        <f t="shared" si="68"/>
        <v>4</v>
      </c>
      <c r="K2184" s="1" t="s">
        <v>6076</v>
      </c>
      <c r="L2184" s="1" t="s">
        <v>6076</v>
      </c>
      <c r="M2184">
        <f t="shared" si="69"/>
        <v>31</v>
      </c>
      <c r="N2184" t="s">
        <v>640</v>
      </c>
    </row>
    <row r="2185" spans="1:14" x14ac:dyDescent="0.3">
      <c r="A2185" s="1" t="s">
        <v>7823</v>
      </c>
      <c r="B2185" s="1" t="s">
        <v>1451</v>
      </c>
      <c r="C2185" s="1" t="s">
        <v>7824</v>
      </c>
      <c r="D2185" s="1" t="s">
        <v>1395</v>
      </c>
      <c r="E2185" s="1" t="s">
        <v>6076</v>
      </c>
      <c r="F2185" s="1" t="s">
        <v>6076</v>
      </c>
      <c r="G2185" s="1" t="s">
        <v>7825</v>
      </c>
      <c r="H2185">
        <v>1997</v>
      </c>
      <c r="I2185">
        <v>1999</v>
      </c>
      <c r="J2185">
        <f t="shared" si="68"/>
        <v>3</v>
      </c>
      <c r="K2185" s="1" t="s">
        <v>6076</v>
      </c>
      <c r="L2185" s="1" t="s">
        <v>6076</v>
      </c>
      <c r="M2185">
        <f t="shared" si="69"/>
        <v>27</v>
      </c>
      <c r="N2185" t="s">
        <v>640</v>
      </c>
    </row>
    <row r="2186" spans="1:14" hidden="1" x14ac:dyDescent="0.3">
      <c r="A2186" s="1" t="s">
        <v>5136</v>
      </c>
      <c r="B2186" s="1" t="s">
        <v>642</v>
      </c>
      <c r="C2186" s="1" t="s">
        <v>5137</v>
      </c>
      <c r="D2186" s="1" t="s">
        <v>644</v>
      </c>
      <c r="E2186" s="1" t="s">
        <v>645</v>
      </c>
      <c r="F2186" s="1" t="s">
        <v>646</v>
      </c>
      <c r="G2186" s="1" t="s">
        <v>5138</v>
      </c>
      <c r="H2186">
        <v>2018</v>
      </c>
      <c r="I2186">
        <v>2022</v>
      </c>
      <c r="J2186">
        <f t="shared" si="68"/>
        <v>5</v>
      </c>
      <c r="K2186" s="1" t="s">
        <v>4668</v>
      </c>
      <c r="L2186" s="1" t="s">
        <v>649</v>
      </c>
      <c r="M2186">
        <f t="shared" si="69"/>
        <v>4</v>
      </c>
      <c r="N2186" t="s">
        <v>650</v>
      </c>
    </row>
    <row r="2187" spans="1:14" hidden="1" x14ac:dyDescent="0.3">
      <c r="A2187" s="1" t="s">
        <v>5139</v>
      </c>
      <c r="B2187" s="1" t="s">
        <v>642</v>
      </c>
      <c r="C2187" s="1" t="s">
        <v>5140</v>
      </c>
      <c r="D2187" s="1" t="s">
        <v>644</v>
      </c>
      <c r="E2187" s="1" t="s">
        <v>645</v>
      </c>
      <c r="F2187" s="1" t="s">
        <v>646</v>
      </c>
      <c r="G2187" s="1" t="s">
        <v>5138</v>
      </c>
      <c r="H2187">
        <v>2018</v>
      </c>
      <c r="I2187">
        <v>2022</v>
      </c>
      <c r="J2187">
        <f t="shared" si="68"/>
        <v>5</v>
      </c>
      <c r="K2187" s="1" t="s">
        <v>4668</v>
      </c>
      <c r="L2187" s="1" t="s">
        <v>649</v>
      </c>
      <c r="M2187">
        <f t="shared" si="69"/>
        <v>4</v>
      </c>
      <c r="N2187" t="s">
        <v>650</v>
      </c>
    </row>
    <row r="2188" spans="1:14" hidden="1" x14ac:dyDescent="0.3">
      <c r="A2188" t="s">
        <v>12180</v>
      </c>
      <c r="B2188" t="s">
        <v>642</v>
      </c>
      <c r="C2188" t="s">
        <v>12181</v>
      </c>
      <c r="E2188" s="1" t="e">
        <v>#N/A</v>
      </c>
      <c r="F2188" s="1" t="e">
        <v>#N/A</v>
      </c>
      <c r="G2188" s="1" t="s">
        <v>12873</v>
      </c>
      <c r="H2188">
        <v>2022</v>
      </c>
      <c r="I2188">
        <v>2026</v>
      </c>
      <c r="J2188">
        <f t="shared" si="68"/>
        <v>5</v>
      </c>
      <c r="K2188" s="1" t="s">
        <v>4668</v>
      </c>
      <c r="L2188" s="1" t="s">
        <v>649</v>
      </c>
      <c r="M2188">
        <f t="shared" si="69"/>
        <v>0</v>
      </c>
    </row>
    <row r="2189" spans="1:14" hidden="1" x14ac:dyDescent="0.3">
      <c r="A2189" t="s">
        <v>12182</v>
      </c>
      <c r="B2189" t="s">
        <v>642</v>
      </c>
      <c r="C2189" t="s">
        <v>12183</v>
      </c>
      <c r="E2189" s="1" t="e">
        <v>#N/A</v>
      </c>
      <c r="F2189" s="1" t="e">
        <v>#N/A</v>
      </c>
      <c r="G2189" s="1" t="s">
        <v>12873</v>
      </c>
      <c r="H2189">
        <v>2025</v>
      </c>
      <c r="I2189">
        <v>2026</v>
      </c>
      <c r="J2189">
        <f t="shared" si="68"/>
        <v>2</v>
      </c>
      <c r="K2189" s="1" t="s">
        <v>4668</v>
      </c>
      <c r="L2189" s="1" t="s">
        <v>649</v>
      </c>
      <c r="M2189">
        <f t="shared" si="69"/>
        <v>0</v>
      </c>
    </row>
    <row r="2190" spans="1:14" hidden="1" x14ac:dyDescent="0.3">
      <c r="A2190" s="1" t="s">
        <v>5141</v>
      </c>
      <c r="B2190" s="1" t="s">
        <v>642</v>
      </c>
      <c r="C2190" s="1" t="s">
        <v>5142</v>
      </c>
      <c r="D2190" s="1" t="s">
        <v>644</v>
      </c>
      <c r="E2190" s="1" t="s">
        <v>645</v>
      </c>
      <c r="F2190" s="1" t="s">
        <v>646</v>
      </c>
      <c r="G2190" s="1" t="s">
        <v>5138</v>
      </c>
      <c r="H2190">
        <v>2019</v>
      </c>
      <c r="I2190">
        <v>2022</v>
      </c>
      <c r="J2190">
        <f t="shared" si="68"/>
        <v>4</v>
      </c>
      <c r="K2190" s="1" t="s">
        <v>4668</v>
      </c>
      <c r="L2190" s="1" t="s">
        <v>649</v>
      </c>
      <c r="M2190">
        <f t="shared" si="69"/>
        <v>4</v>
      </c>
      <c r="N2190" t="s">
        <v>650</v>
      </c>
    </row>
    <row r="2191" spans="1:14" hidden="1" x14ac:dyDescent="0.3">
      <c r="A2191" t="s">
        <v>12184</v>
      </c>
      <c r="B2191" t="s">
        <v>642</v>
      </c>
      <c r="C2191" t="s">
        <v>12185</v>
      </c>
      <c r="E2191" s="1" t="e">
        <v>#N/A</v>
      </c>
      <c r="F2191" s="1" t="e">
        <v>#N/A</v>
      </c>
      <c r="G2191" s="1" t="s">
        <v>12873</v>
      </c>
      <c r="H2191">
        <v>2022</v>
      </c>
      <c r="I2191">
        <v>2026</v>
      </c>
      <c r="J2191">
        <f t="shared" si="68"/>
        <v>5</v>
      </c>
      <c r="K2191" s="1" t="s">
        <v>4668</v>
      </c>
      <c r="L2191" s="1" t="s">
        <v>649</v>
      </c>
      <c r="M2191">
        <f t="shared" si="69"/>
        <v>0</v>
      </c>
    </row>
    <row r="2192" spans="1:14" hidden="1" x14ac:dyDescent="0.3">
      <c r="A2192" s="1" t="s">
        <v>5143</v>
      </c>
      <c r="B2192" s="1" t="s">
        <v>642</v>
      </c>
      <c r="C2192" s="1" t="s">
        <v>5144</v>
      </c>
      <c r="D2192" s="1" t="s">
        <v>644</v>
      </c>
      <c r="E2192" s="1" t="s">
        <v>645</v>
      </c>
      <c r="F2192" s="1" t="s">
        <v>646</v>
      </c>
      <c r="G2192" s="1" t="s">
        <v>5138</v>
      </c>
      <c r="H2192">
        <v>2021</v>
      </c>
      <c r="I2192">
        <v>2022</v>
      </c>
      <c r="J2192">
        <f t="shared" si="68"/>
        <v>2</v>
      </c>
      <c r="K2192" s="1" t="s">
        <v>4668</v>
      </c>
      <c r="L2192" s="1" t="s">
        <v>649</v>
      </c>
      <c r="M2192">
        <f t="shared" si="69"/>
        <v>4</v>
      </c>
      <c r="N2192" t="s">
        <v>650</v>
      </c>
    </row>
    <row r="2193" spans="1:14" hidden="1" x14ac:dyDescent="0.3">
      <c r="A2193" t="s">
        <v>12186</v>
      </c>
      <c r="B2193" t="s">
        <v>642</v>
      </c>
      <c r="C2193" t="s">
        <v>12187</v>
      </c>
      <c r="E2193" s="1" t="e">
        <v>#N/A</v>
      </c>
      <c r="F2193" s="1" t="e">
        <v>#N/A</v>
      </c>
      <c r="G2193" s="1" t="s">
        <v>12873</v>
      </c>
      <c r="H2193">
        <v>2025</v>
      </c>
      <c r="I2193">
        <v>2026</v>
      </c>
      <c r="J2193">
        <f t="shared" si="68"/>
        <v>2</v>
      </c>
      <c r="K2193" s="1" t="s">
        <v>4668</v>
      </c>
      <c r="L2193" s="1" t="s">
        <v>649</v>
      </c>
      <c r="M2193">
        <f t="shared" si="69"/>
        <v>0</v>
      </c>
    </row>
    <row r="2194" spans="1:14" x14ac:dyDescent="0.3">
      <c r="A2194" s="1" t="s">
        <v>7826</v>
      </c>
      <c r="B2194" s="1" t="s">
        <v>1451</v>
      </c>
      <c r="C2194" s="1" t="s">
        <v>7827</v>
      </c>
      <c r="D2194" s="1" t="s">
        <v>1395</v>
      </c>
      <c r="E2194" s="1" t="s">
        <v>6076</v>
      </c>
      <c r="F2194" s="1" t="s">
        <v>6076</v>
      </c>
      <c r="G2194" s="1" t="s">
        <v>7828</v>
      </c>
      <c r="H2194">
        <v>2005</v>
      </c>
      <c r="I2194">
        <v>2005</v>
      </c>
      <c r="J2194">
        <f t="shared" si="68"/>
        <v>1</v>
      </c>
      <c r="K2194" s="1" t="s">
        <v>6076</v>
      </c>
      <c r="L2194" s="1" t="s">
        <v>6076</v>
      </c>
      <c r="M2194">
        <f t="shared" si="69"/>
        <v>21</v>
      </c>
      <c r="N2194" t="s">
        <v>640</v>
      </c>
    </row>
    <row r="2195" spans="1:14" x14ac:dyDescent="0.3">
      <c r="A2195" s="1" t="s">
        <v>7829</v>
      </c>
      <c r="B2195" s="1" t="s">
        <v>1451</v>
      </c>
      <c r="C2195" s="1" t="s">
        <v>7830</v>
      </c>
      <c r="D2195" s="1" t="s">
        <v>1395</v>
      </c>
      <c r="E2195" s="1" t="s">
        <v>6076</v>
      </c>
      <c r="F2195" s="1" t="s">
        <v>6076</v>
      </c>
      <c r="G2195" s="1" t="s">
        <v>7828</v>
      </c>
      <c r="H2195">
        <v>1998</v>
      </c>
      <c r="I2195">
        <v>2001</v>
      </c>
      <c r="J2195">
        <f t="shared" si="68"/>
        <v>4</v>
      </c>
      <c r="K2195" s="1" t="s">
        <v>6076</v>
      </c>
      <c r="L2195" s="1" t="s">
        <v>6076</v>
      </c>
      <c r="M2195">
        <f t="shared" si="69"/>
        <v>25</v>
      </c>
      <c r="N2195" t="s">
        <v>640</v>
      </c>
    </row>
    <row r="2196" spans="1:14" x14ac:dyDescent="0.3">
      <c r="A2196" s="1" t="s">
        <v>7831</v>
      </c>
      <c r="B2196" s="1" t="s">
        <v>1451</v>
      </c>
      <c r="C2196" s="1" t="s">
        <v>7832</v>
      </c>
      <c r="D2196" s="1" t="s">
        <v>1395</v>
      </c>
      <c r="E2196" s="1" t="s">
        <v>6076</v>
      </c>
      <c r="F2196" s="1" t="s">
        <v>6076</v>
      </c>
      <c r="G2196" s="1" t="s">
        <v>7828</v>
      </c>
      <c r="H2196">
        <v>1994</v>
      </c>
      <c r="I2196">
        <v>1996</v>
      </c>
      <c r="J2196">
        <f t="shared" si="68"/>
        <v>3</v>
      </c>
      <c r="K2196" s="1" t="s">
        <v>6076</v>
      </c>
      <c r="L2196" s="1" t="s">
        <v>6076</v>
      </c>
      <c r="M2196">
        <f t="shared" si="69"/>
        <v>30</v>
      </c>
      <c r="N2196" t="s">
        <v>640</v>
      </c>
    </row>
    <row r="2197" spans="1:14" x14ac:dyDescent="0.3">
      <c r="A2197" s="1" t="s">
        <v>7833</v>
      </c>
      <c r="B2197" s="1" t="s">
        <v>1451</v>
      </c>
      <c r="C2197" s="1" t="s">
        <v>7834</v>
      </c>
      <c r="D2197" s="1" t="s">
        <v>1395</v>
      </c>
      <c r="E2197" s="1" t="s">
        <v>6076</v>
      </c>
      <c r="F2197" s="1" t="s">
        <v>6076</v>
      </c>
      <c r="G2197" s="1" t="s">
        <v>7828</v>
      </c>
      <c r="H2197">
        <v>1991</v>
      </c>
      <c r="I2197">
        <v>1996</v>
      </c>
      <c r="J2197">
        <f t="shared" si="68"/>
        <v>6</v>
      </c>
      <c r="K2197" s="1" t="s">
        <v>6076</v>
      </c>
      <c r="L2197" s="1" t="s">
        <v>6076</v>
      </c>
      <c r="M2197">
        <f t="shared" si="69"/>
        <v>30</v>
      </c>
      <c r="N2197" t="s">
        <v>640</v>
      </c>
    </row>
    <row r="2198" spans="1:14" x14ac:dyDescent="0.3">
      <c r="A2198" s="1" t="s">
        <v>7835</v>
      </c>
      <c r="B2198" s="1" t="s">
        <v>1451</v>
      </c>
      <c r="C2198" s="1" t="s">
        <v>7836</v>
      </c>
      <c r="D2198" s="1" t="s">
        <v>1395</v>
      </c>
      <c r="E2198" s="1" t="s">
        <v>6076</v>
      </c>
      <c r="F2198" s="1" t="s">
        <v>6076</v>
      </c>
      <c r="G2198" s="1" t="s">
        <v>7828</v>
      </c>
      <c r="H2198">
        <v>1991</v>
      </c>
      <c r="I2198">
        <v>1996</v>
      </c>
      <c r="J2198">
        <f t="shared" si="68"/>
        <v>6</v>
      </c>
      <c r="K2198" s="1" t="s">
        <v>6076</v>
      </c>
      <c r="L2198" s="1" t="s">
        <v>6076</v>
      </c>
      <c r="M2198">
        <f t="shared" si="69"/>
        <v>30</v>
      </c>
      <c r="N2198" t="s">
        <v>640</v>
      </c>
    </row>
    <row r="2199" spans="1:14" x14ac:dyDescent="0.3">
      <c r="A2199" s="1" t="s">
        <v>7837</v>
      </c>
      <c r="B2199" s="1" t="s">
        <v>1451</v>
      </c>
      <c r="C2199" s="1" t="s">
        <v>7838</v>
      </c>
      <c r="D2199" s="1" t="s">
        <v>1395</v>
      </c>
      <c r="E2199" s="1" t="s">
        <v>6076</v>
      </c>
      <c r="F2199" s="1" t="s">
        <v>6076</v>
      </c>
      <c r="G2199" s="1" t="s">
        <v>7828</v>
      </c>
      <c r="H2199">
        <v>1991</v>
      </c>
      <c r="I2199">
        <v>1997</v>
      </c>
      <c r="J2199">
        <f t="shared" si="68"/>
        <v>7</v>
      </c>
      <c r="K2199" s="1" t="s">
        <v>6076</v>
      </c>
      <c r="L2199" s="1" t="s">
        <v>6076</v>
      </c>
      <c r="M2199">
        <f t="shared" si="69"/>
        <v>29</v>
      </c>
      <c r="N2199" t="s">
        <v>640</v>
      </c>
    </row>
    <row r="2200" spans="1:14" x14ac:dyDescent="0.3">
      <c r="A2200" s="1" t="s">
        <v>7839</v>
      </c>
      <c r="B2200" s="1" t="s">
        <v>1451</v>
      </c>
      <c r="C2200" s="1" t="s">
        <v>7840</v>
      </c>
      <c r="D2200" s="1" t="s">
        <v>1395</v>
      </c>
      <c r="E2200" s="1" t="s">
        <v>6076</v>
      </c>
      <c r="F2200" s="1" t="s">
        <v>6076</v>
      </c>
      <c r="G2200" s="1" t="s">
        <v>7828</v>
      </c>
      <c r="H2200">
        <v>1993</v>
      </c>
      <c r="I2200">
        <v>1999</v>
      </c>
      <c r="J2200">
        <f t="shared" si="68"/>
        <v>7</v>
      </c>
      <c r="K2200" s="1" t="s">
        <v>6076</v>
      </c>
      <c r="L2200" s="1" t="s">
        <v>6076</v>
      </c>
      <c r="M2200">
        <f t="shared" si="69"/>
        <v>27</v>
      </c>
      <c r="N2200" t="s">
        <v>640</v>
      </c>
    </row>
    <row r="2201" spans="1:14" x14ac:dyDescent="0.3">
      <c r="A2201" s="1" t="s">
        <v>7841</v>
      </c>
      <c r="B2201" s="1" t="s">
        <v>4561</v>
      </c>
      <c r="C2201" s="1" t="s">
        <v>7842</v>
      </c>
      <c r="D2201" s="1" t="s">
        <v>644</v>
      </c>
      <c r="E2201" s="1" t="s">
        <v>6076</v>
      </c>
      <c r="F2201" s="1" t="s">
        <v>6076</v>
      </c>
      <c r="G2201" s="1" t="s">
        <v>7843</v>
      </c>
      <c r="H2201">
        <v>1992</v>
      </c>
      <c r="I2201">
        <v>1994</v>
      </c>
      <c r="J2201">
        <f t="shared" si="68"/>
        <v>3</v>
      </c>
      <c r="K2201" s="1" t="s">
        <v>6076</v>
      </c>
      <c r="L2201" s="1" t="s">
        <v>6076</v>
      </c>
      <c r="M2201">
        <f t="shared" si="69"/>
        <v>32</v>
      </c>
      <c r="N2201" t="s">
        <v>640</v>
      </c>
    </row>
    <row r="2202" spans="1:14" x14ac:dyDescent="0.3">
      <c r="A2202" s="1" t="s">
        <v>7844</v>
      </c>
      <c r="B2202" s="1" t="s">
        <v>4561</v>
      </c>
      <c r="C2202" s="1" t="s">
        <v>7845</v>
      </c>
      <c r="D2202" s="1" t="s">
        <v>644</v>
      </c>
      <c r="E2202" s="1" t="s">
        <v>6076</v>
      </c>
      <c r="F2202" s="1" t="s">
        <v>6076</v>
      </c>
      <c r="G2202" s="1" t="s">
        <v>7843</v>
      </c>
      <c r="H2202">
        <v>1992</v>
      </c>
      <c r="I2202">
        <v>1997</v>
      </c>
      <c r="J2202">
        <f t="shared" si="68"/>
        <v>6</v>
      </c>
      <c r="K2202" s="1" t="s">
        <v>6076</v>
      </c>
      <c r="L2202" s="1" t="s">
        <v>6076</v>
      </c>
      <c r="M2202">
        <f t="shared" si="69"/>
        <v>29</v>
      </c>
      <c r="N2202" t="s">
        <v>640</v>
      </c>
    </row>
    <row r="2203" spans="1:14" x14ac:dyDescent="0.3">
      <c r="A2203" s="1" t="s">
        <v>7846</v>
      </c>
      <c r="B2203" s="1" t="s">
        <v>12756</v>
      </c>
      <c r="C2203" s="1" t="s">
        <v>7847</v>
      </c>
      <c r="D2203" s="1" t="s">
        <v>644</v>
      </c>
      <c r="E2203" s="1" t="s">
        <v>6076</v>
      </c>
      <c r="F2203" s="1" t="s">
        <v>6076</v>
      </c>
      <c r="G2203" s="1" t="s">
        <v>7848</v>
      </c>
      <c r="H2203">
        <v>1998</v>
      </c>
      <c r="I2203">
        <v>2000</v>
      </c>
      <c r="J2203">
        <f t="shared" si="68"/>
        <v>3</v>
      </c>
      <c r="K2203" s="1" t="s">
        <v>6076</v>
      </c>
      <c r="L2203" s="1" t="s">
        <v>6076</v>
      </c>
      <c r="M2203">
        <f t="shared" si="69"/>
        <v>26</v>
      </c>
      <c r="N2203" t="s">
        <v>640</v>
      </c>
    </row>
    <row r="2204" spans="1:14" x14ac:dyDescent="0.3">
      <c r="A2204" s="1" t="s">
        <v>7849</v>
      </c>
      <c r="B2204" s="1" t="s">
        <v>1451</v>
      </c>
      <c r="C2204" s="1" t="s">
        <v>7850</v>
      </c>
      <c r="D2204" s="1" t="s">
        <v>1242</v>
      </c>
      <c r="E2204" s="1" t="s">
        <v>6076</v>
      </c>
      <c r="F2204" s="1" t="s">
        <v>6076</v>
      </c>
      <c r="G2204" s="1" t="s">
        <v>7851</v>
      </c>
      <c r="H2204">
        <v>1985</v>
      </c>
      <c r="I2204">
        <v>1986</v>
      </c>
      <c r="J2204">
        <f t="shared" si="68"/>
        <v>2</v>
      </c>
      <c r="K2204" s="1" t="s">
        <v>6076</v>
      </c>
      <c r="L2204" s="1" t="s">
        <v>6076</v>
      </c>
      <c r="M2204">
        <f t="shared" si="69"/>
        <v>40</v>
      </c>
      <c r="N2204" t="s">
        <v>640</v>
      </c>
    </row>
    <row r="2205" spans="1:14" x14ac:dyDescent="0.3">
      <c r="A2205" s="1" t="s">
        <v>7852</v>
      </c>
      <c r="B2205" s="1" t="s">
        <v>1451</v>
      </c>
      <c r="C2205" s="1" t="s">
        <v>7853</v>
      </c>
      <c r="D2205" s="1" t="s">
        <v>1242</v>
      </c>
      <c r="E2205" s="1" t="s">
        <v>6076</v>
      </c>
      <c r="F2205" s="1" t="s">
        <v>6076</v>
      </c>
      <c r="G2205" s="1" t="s">
        <v>7851</v>
      </c>
      <c r="H2205">
        <v>1985</v>
      </c>
      <c r="I2205">
        <v>1986</v>
      </c>
      <c r="J2205">
        <f t="shared" si="68"/>
        <v>2</v>
      </c>
      <c r="K2205" s="1" t="s">
        <v>6076</v>
      </c>
      <c r="L2205" s="1" t="s">
        <v>6076</v>
      </c>
      <c r="M2205">
        <f t="shared" si="69"/>
        <v>40</v>
      </c>
      <c r="N2205" t="s">
        <v>640</v>
      </c>
    </row>
    <row r="2206" spans="1:14" x14ac:dyDescent="0.3">
      <c r="A2206" s="1" t="s">
        <v>7854</v>
      </c>
      <c r="B2206" s="1" t="s">
        <v>1451</v>
      </c>
      <c r="C2206" s="1" t="s">
        <v>7855</v>
      </c>
      <c r="D2206" s="1" t="s">
        <v>1242</v>
      </c>
      <c r="E2206" s="1" t="s">
        <v>6076</v>
      </c>
      <c r="F2206" s="1" t="s">
        <v>6076</v>
      </c>
      <c r="G2206" s="1" t="s">
        <v>7851</v>
      </c>
      <c r="H2206">
        <v>1985</v>
      </c>
      <c r="I2206">
        <v>1986</v>
      </c>
      <c r="J2206">
        <f t="shared" si="68"/>
        <v>2</v>
      </c>
      <c r="K2206" s="1" t="s">
        <v>6076</v>
      </c>
      <c r="L2206" s="1" t="s">
        <v>6076</v>
      </c>
      <c r="M2206">
        <f t="shared" si="69"/>
        <v>40</v>
      </c>
      <c r="N2206" t="s">
        <v>640</v>
      </c>
    </row>
    <row r="2207" spans="1:14" x14ac:dyDescent="0.3">
      <c r="A2207" s="1" t="s">
        <v>7856</v>
      </c>
      <c r="B2207" s="1" t="s">
        <v>1451</v>
      </c>
      <c r="C2207" s="1" t="s">
        <v>7857</v>
      </c>
      <c r="D2207" s="1" t="s">
        <v>1242</v>
      </c>
      <c r="E2207" s="1" t="s">
        <v>6076</v>
      </c>
      <c r="F2207" s="1" t="s">
        <v>6076</v>
      </c>
      <c r="G2207" s="1" t="s">
        <v>7851</v>
      </c>
      <c r="H2207">
        <v>1985</v>
      </c>
      <c r="I2207">
        <v>1986</v>
      </c>
      <c r="J2207">
        <f t="shared" si="68"/>
        <v>2</v>
      </c>
      <c r="K2207" s="1" t="s">
        <v>6076</v>
      </c>
      <c r="L2207" s="1" t="s">
        <v>6076</v>
      </c>
      <c r="M2207">
        <f t="shared" si="69"/>
        <v>40</v>
      </c>
      <c r="N2207" t="s">
        <v>640</v>
      </c>
    </row>
    <row r="2208" spans="1:14" x14ac:dyDescent="0.3">
      <c r="A2208" s="1" t="s">
        <v>7858</v>
      </c>
      <c r="B2208" s="1" t="s">
        <v>1451</v>
      </c>
      <c r="C2208" s="1" t="s">
        <v>7859</v>
      </c>
      <c r="D2208" s="1" t="s">
        <v>1242</v>
      </c>
      <c r="E2208" s="1" t="s">
        <v>6076</v>
      </c>
      <c r="F2208" s="1" t="s">
        <v>6076</v>
      </c>
      <c r="G2208" s="1" t="s">
        <v>7851</v>
      </c>
      <c r="H2208">
        <v>1985</v>
      </c>
      <c r="I2208">
        <v>1986</v>
      </c>
      <c r="J2208">
        <f t="shared" si="68"/>
        <v>2</v>
      </c>
      <c r="K2208" s="1" t="s">
        <v>6076</v>
      </c>
      <c r="L2208" s="1" t="s">
        <v>6076</v>
      </c>
      <c r="M2208">
        <f t="shared" si="69"/>
        <v>40</v>
      </c>
      <c r="N2208" t="s">
        <v>640</v>
      </c>
    </row>
    <row r="2209" spans="1:14" x14ac:dyDescent="0.3">
      <c r="A2209" s="1" t="s">
        <v>7860</v>
      </c>
      <c r="B2209" s="1" t="s">
        <v>1451</v>
      </c>
      <c r="C2209" s="1" t="s">
        <v>7861</v>
      </c>
      <c r="D2209" s="1" t="s">
        <v>1242</v>
      </c>
      <c r="E2209" s="1" t="s">
        <v>6076</v>
      </c>
      <c r="F2209" s="1" t="s">
        <v>6076</v>
      </c>
      <c r="G2209" s="1" t="s">
        <v>7851</v>
      </c>
      <c r="H2209">
        <v>1985</v>
      </c>
      <c r="I2209">
        <v>1995</v>
      </c>
      <c r="J2209">
        <f t="shared" si="68"/>
        <v>11</v>
      </c>
      <c r="K2209" s="1" t="s">
        <v>6076</v>
      </c>
      <c r="L2209" s="1" t="s">
        <v>6076</v>
      </c>
      <c r="M2209">
        <f t="shared" si="69"/>
        <v>31</v>
      </c>
      <c r="N2209" t="s">
        <v>640</v>
      </c>
    </row>
    <row r="2210" spans="1:14" x14ac:dyDescent="0.3">
      <c r="A2210" s="1" t="s">
        <v>7862</v>
      </c>
      <c r="B2210" s="1" t="s">
        <v>1451</v>
      </c>
      <c r="C2210" s="1" t="s">
        <v>7863</v>
      </c>
      <c r="D2210" s="1" t="s">
        <v>1242</v>
      </c>
      <c r="E2210" s="1" t="s">
        <v>6076</v>
      </c>
      <c r="F2210" s="1" t="s">
        <v>6076</v>
      </c>
      <c r="G2210" s="1" t="s">
        <v>7851</v>
      </c>
      <c r="H2210">
        <v>1985</v>
      </c>
      <c r="I2210">
        <v>1995</v>
      </c>
      <c r="J2210">
        <f t="shared" si="68"/>
        <v>11</v>
      </c>
      <c r="K2210" s="1" t="s">
        <v>6076</v>
      </c>
      <c r="L2210" s="1" t="s">
        <v>6076</v>
      </c>
      <c r="M2210">
        <f t="shared" si="69"/>
        <v>31</v>
      </c>
      <c r="N2210" t="s">
        <v>640</v>
      </c>
    </row>
    <row r="2211" spans="1:14" x14ac:dyDescent="0.3">
      <c r="A2211" s="1" t="s">
        <v>7864</v>
      </c>
      <c r="B2211" s="1" t="s">
        <v>1451</v>
      </c>
      <c r="C2211" s="1" t="s">
        <v>7865</v>
      </c>
      <c r="D2211" s="1" t="s">
        <v>1242</v>
      </c>
      <c r="E2211" s="1" t="s">
        <v>6076</v>
      </c>
      <c r="F2211" s="1" t="s">
        <v>6076</v>
      </c>
      <c r="G2211" s="1" t="s">
        <v>7851</v>
      </c>
      <c r="H2211">
        <v>1995</v>
      </c>
      <c r="I2211">
        <v>1998</v>
      </c>
      <c r="J2211">
        <f t="shared" si="68"/>
        <v>4</v>
      </c>
      <c r="K2211" s="1" t="s">
        <v>6076</v>
      </c>
      <c r="L2211" s="1" t="s">
        <v>6076</v>
      </c>
      <c r="M2211">
        <f t="shared" si="69"/>
        <v>28</v>
      </c>
      <c r="N2211" t="s">
        <v>640</v>
      </c>
    </row>
    <row r="2212" spans="1:14" x14ac:dyDescent="0.3">
      <c r="A2212" s="1" t="s">
        <v>7866</v>
      </c>
      <c r="B2212" s="1" t="s">
        <v>1451</v>
      </c>
      <c r="C2212" s="1" t="s">
        <v>7867</v>
      </c>
      <c r="D2212" s="1" t="s">
        <v>1242</v>
      </c>
      <c r="E2212" s="1" t="s">
        <v>6076</v>
      </c>
      <c r="F2212" s="1" t="s">
        <v>6076</v>
      </c>
      <c r="G2212" s="1" t="s">
        <v>7851</v>
      </c>
      <c r="H2212">
        <v>1997</v>
      </c>
      <c r="I2212">
        <v>1998</v>
      </c>
      <c r="J2212">
        <f t="shared" si="68"/>
        <v>2</v>
      </c>
      <c r="K2212" s="1" t="s">
        <v>6076</v>
      </c>
      <c r="L2212" s="1" t="s">
        <v>6076</v>
      </c>
      <c r="M2212">
        <f t="shared" si="69"/>
        <v>28</v>
      </c>
      <c r="N2212" t="s">
        <v>640</v>
      </c>
    </row>
    <row r="2213" spans="1:14" x14ac:dyDescent="0.3">
      <c r="A2213" s="1" t="s">
        <v>7868</v>
      </c>
      <c r="B2213" s="1" t="s">
        <v>1451</v>
      </c>
      <c r="C2213" s="1" t="s">
        <v>7869</v>
      </c>
      <c r="D2213" s="1" t="s">
        <v>1242</v>
      </c>
      <c r="E2213" s="1" t="s">
        <v>6076</v>
      </c>
      <c r="F2213" s="1" t="s">
        <v>6076</v>
      </c>
      <c r="G2213" s="1" t="s">
        <v>7851</v>
      </c>
      <c r="H2213">
        <v>1985</v>
      </c>
      <c r="I2213">
        <v>1997</v>
      </c>
      <c r="J2213">
        <f t="shared" si="68"/>
        <v>13</v>
      </c>
      <c r="K2213" s="1" t="s">
        <v>6076</v>
      </c>
      <c r="L2213" s="1" t="s">
        <v>6076</v>
      </c>
      <c r="M2213">
        <f t="shared" si="69"/>
        <v>29</v>
      </c>
      <c r="N2213" t="s">
        <v>640</v>
      </c>
    </row>
    <row r="2214" spans="1:14" x14ac:dyDescent="0.3">
      <c r="A2214" s="1" t="s">
        <v>7870</v>
      </c>
      <c r="B2214" s="1" t="s">
        <v>1451</v>
      </c>
      <c r="C2214" s="1" t="s">
        <v>7871</v>
      </c>
      <c r="D2214" s="1" t="s">
        <v>1242</v>
      </c>
      <c r="E2214" s="1" t="s">
        <v>6076</v>
      </c>
      <c r="F2214" s="1" t="s">
        <v>6076</v>
      </c>
      <c r="G2214" s="1" t="s">
        <v>7851</v>
      </c>
      <c r="H2214">
        <v>1991</v>
      </c>
      <c r="I2214">
        <v>1995</v>
      </c>
      <c r="J2214">
        <f t="shared" si="68"/>
        <v>5</v>
      </c>
      <c r="K2214" s="1" t="s">
        <v>6076</v>
      </c>
      <c r="L2214" s="1" t="s">
        <v>6076</v>
      </c>
      <c r="M2214">
        <f t="shared" si="69"/>
        <v>31</v>
      </c>
      <c r="N2214" t="s">
        <v>640</v>
      </c>
    </row>
    <row r="2215" spans="1:14" x14ac:dyDescent="0.3">
      <c r="A2215" s="1" t="s">
        <v>7872</v>
      </c>
      <c r="B2215" s="1" t="s">
        <v>1451</v>
      </c>
      <c r="C2215" s="1" t="s">
        <v>7873</v>
      </c>
      <c r="D2215" s="1" t="s">
        <v>1242</v>
      </c>
      <c r="E2215" s="1" t="s">
        <v>6076</v>
      </c>
      <c r="F2215" s="1" t="s">
        <v>6076</v>
      </c>
      <c r="G2215" s="1" t="s">
        <v>7851</v>
      </c>
      <c r="H2215">
        <v>1987</v>
      </c>
      <c r="I2215">
        <v>1995</v>
      </c>
      <c r="J2215">
        <f t="shared" si="68"/>
        <v>9</v>
      </c>
      <c r="K2215" s="1" t="s">
        <v>6076</v>
      </c>
      <c r="L2215" s="1" t="s">
        <v>6076</v>
      </c>
      <c r="M2215">
        <f t="shared" si="69"/>
        <v>31</v>
      </c>
      <c r="N2215" t="s">
        <v>640</v>
      </c>
    </row>
    <row r="2216" spans="1:14" x14ac:dyDescent="0.3">
      <c r="A2216" s="1" t="s">
        <v>7874</v>
      </c>
      <c r="B2216" s="1" t="s">
        <v>1451</v>
      </c>
      <c r="C2216" s="1" t="s">
        <v>7875</v>
      </c>
      <c r="D2216" s="1" t="s">
        <v>1242</v>
      </c>
      <c r="E2216" s="1" t="s">
        <v>6076</v>
      </c>
      <c r="F2216" s="1" t="s">
        <v>6076</v>
      </c>
      <c r="G2216" s="1" t="s">
        <v>7851</v>
      </c>
      <c r="H2216">
        <v>1985</v>
      </c>
      <c r="I2216">
        <v>1996</v>
      </c>
      <c r="J2216">
        <f t="shared" si="68"/>
        <v>12</v>
      </c>
      <c r="K2216" s="1" t="s">
        <v>6076</v>
      </c>
      <c r="L2216" s="1" t="s">
        <v>6076</v>
      </c>
      <c r="M2216">
        <f t="shared" si="69"/>
        <v>30</v>
      </c>
      <c r="N2216" t="s">
        <v>640</v>
      </c>
    </row>
    <row r="2217" spans="1:14" x14ac:dyDescent="0.3">
      <c r="A2217" s="1" t="s">
        <v>7876</v>
      </c>
      <c r="B2217" s="1" t="s">
        <v>1451</v>
      </c>
      <c r="C2217" s="1" t="s">
        <v>7877</v>
      </c>
      <c r="D2217" s="1" t="s">
        <v>1242</v>
      </c>
      <c r="E2217" s="1" t="s">
        <v>6076</v>
      </c>
      <c r="F2217" s="1" t="s">
        <v>6076</v>
      </c>
      <c r="G2217" s="1" t="s">
        <v>7851</v>
      </c>
      <c r="H2217">
        <v>1993</v>
      </c>
      <c r="I2217">
        <v>1996</v>
      </c>
      <c r="J2217">
        <f t="shared" si="68"/>
        <v>4</v>
      </c>
      <c r="K2217" s="1" t="s">
        <v>6076</v>
      </c>
      <c r="L2217" s="1" t="s">
        <v>6076</v>
      </c>
      <c r="M2217">
        <f t="shared" si="69"/>
        <v>30</v>
      </c>
      <c r="N2217" t="s">
        <v>640</v>
      </c>
    </row>
    <row r="2218" spans="1:14" x14ac:dyDescent="0.3">
      <c r="A2218" s="1" t="s">
        <v>7878</v>
      </c>
      <c r="B2218" s="1" t="s">
        <v>1451</v>
      </c>
      <c r="C2218" s="1" t="s">
        <v>7879</v>
      </c>
      <c r="D2218" s="1" t="s">
        <v>1242</v>
      </c>
      <c r="E2218" s="1" t="s">
        <v>6076</v>
      </c>
      <c r="F2218" s="1" t="s">
        <v>6076</v>
      </c>
      <c r="G2218" s="1" t="s">
        <v>7851</v>
      </c>
      <c r="H2218">
        <v>1985</v>
      </c>
      <c r="I2218">
        <v>1997</v>
      </c>
      <c r="J2218">
        <f t="shared" si="68"/>
        <v>13</v>
      </c>
      <c r="K2218" s="1" t="s">
        <v>6076</v>
      </c>
      <c r="L2218" s="1" t="s">
        <v>6076</v>
      </c>
      <c r="M2218">
        <f t="shared" si="69"/>
        <v>29</v>
      </c>
      <c r="N2218" t="s">
        <v>640</v>
      </c>
    </row>
    <row r="2219" spans="1:14" x14ac:dyDescent="0.3">
      <c r="A2219" s="1" t="s">
        <v>7880</v>
      </c>
      <c r="B2219" s="1" t="s">
        <v>1451</v>
      </c>
      <c r="C2219" s="1" t="s">
        <v>7881</v>
      </c>
      <c r="D2219" s="1" t="s">
        <v>1242</v>
      </c>
      <c r="E2219" s="1" t="s">
        <v>6076</v>
      </c>
      <c r="F2219" s="1" t="s">
        <v>6076</v>
      </c>
      <c r="G2219" s="1" t="s">
        <v>7851</v>
      </c>
      <c r="H2219">
        <v>1993</v>
      </c>
      <c r="I2219">
        <v>1996</v>
      </c>
      <c r="J2219">
        <f t="shared" si="68"/>
        <v>4</v>
      </c>
      <c r="K2219" s="1" t="s">
        <v>6076</v>
      </c>
      <c r="L2219" s="1" t="s">
        <v>6076</v>
      </c>
      <c r="M2219">
        <f t="shared" si="69"/>
        <v>30</v>
      </c>
      <c r="N2219" t="s">
        <v>640</v>
      </c>
    </row>
    <row r="2220" spans="1:14" x14ac:dyDescent="0.3">
      <c r="A2220" s="1" t="s">
        <v>7882</v>
      </c>
      <c r="B2220" s="1" t="s">
        <v>1451</v>
      </c>
      <c r="C2220" s="1" t="s">
        <v>7883</v>
      </c>
      <c r="D2220" s="1" t="s">
        <v>1242</v>
      </c>
      <c r="E2220" s="1" t="s">
        <v>6076</v>
      </c>
      <c r="F2220" s="1" t="s">
        <v>6076</v>
      </c>
      <c r="G2220" s="1" t="s">
        <v>7851</v>
      </c>
      <c r="H2220">
        <v>1993</v>
      </c>
      <c r="I2220">
        <v>1996</v>
      </c>
      <c r="J2220">
        <f t="shared" si="68"/>
        <v>4</v>
      </c>
      <c r="K2220" s="1" t="s">
        <v>6076</v>
      </c>
      <c r="L2220" s="1" t="s">
        <v>6076</v>
      </c>
      <c r="M2220">
        <f t="shared" si="69"/>
        <v>30</v>
      </c>
      <c r="N2220" t="s">
        <v>640</v>
      </c>
    </row>
    <row r="2221" spans="1:14" x14ac:dyDescent="0.3">
      <c r="A2221" s="1" t="s">
        <v>7884</v>
      </c>
      <c r="B2221" s="1" t="s">
        <v>1451</v>
      </c>
      <c r="C2221" s="1" t="s">
        <v>7885</v>
      </c>
      <c r="D2221" s="1" t="s">
        <v>1242</v>
      </c>
      <c r="E2221" s="1" t="s">
        <v>6076</v>
      </c>
      <c r="F2221" s="1" t="s">
        <v>6076</v>
      </c>
      <c r="G2221" s="1" t="s">
        <v>7851</v>
      </c>
      <c r="H2221">
        <v>1993</v>
      </c>
      <c r="I2221">
        <v>1996</v>
      </c>
      <c r="J2221">
        <f t="shared" si="68"/>
        <v>4</v>
      </c>
      <c r="K2221" s="1" t="s">
        <v>6076</v>
      </c>
      <c r="L2221" s="1" t="s">
        <v>6076</v>
      </c>
      <c r="M2221">
        <f t="shared" si="69"/>
        <v>30</v>
      </c>
      <c r="N2221" t="s">
        <v>640</v>
      </c>
    </row>
    <row r="2222" spans="1:14" x14ac:dyDescent="0.3">
      <c r="A2222" s="1" t="s">
        <v>7886</v>
      </c>
      <c r="B2222" s="1" t="s">
        <v>1451</v>
      </c>
      <c r="C2222" s="1" t="s">
        <v>7887</v>
      </c>
      <c r="D2222" s="1" t="s">
        <v>1242</v>
      </c>
      <c r="E2222" s="1" t="s">
        <v>6076</v>
      </c>
      <c r="F2222" s="1" t="s">
        <v>6076</v>
      </c>
      <c r="G2222" s="1" t="s">
        <v>7851</v>
      </c>
      <c r="H2222">
        <v>1994</v>
      </c>
      <c r="I2222">
        <v>1995</v>
      </c>
      <c r="J2222">
        <f t="shared" si="68"/>
        <v>2</v>
      </c>
      <c r="K2222" s="1" t="s">
        <v>6076</v>
      </c>
      <c r="L2222" s="1" t="s">
        <v>6076</v>
      </c>
      <c r="M2222">
        <f t="shared" si="69"/>
        <v>31</v>
      </c>
      <c r="N2222" t="s">
        <v>640</v>
      </c>
    </row>
    <row r="2223" spans="1:14" x14ac:dyDescent="0.3">
      <c r="A2223" s="1" t="s">
        <v>7888</v>
      </c>
      <c r="B2223" s="1" t="s">
        <v>1451</v>
      </c>
      <c r="C2223" s="1" t="s">
        <v>7889</v>
      </c>
      <c r="D2223" s="1" t="s">
        <v>1242</v>
      </c>
      <c r="E2223" s="1" t="s">
        <v>6076</v>
      </c>
      <c r="F2223" s="1" t="s">
        <v>6076</v>
      </c>
      <c r="G2223" s="1" t="s">
        <v>7851</v>
      </c>
      <c r="H2223">
        <v>1996</v>
      </c>
      <c r="I2223">
        <v>1998</v>
      </c>
      <c r="J2223">
        <f t="shared" si="68"/>
        <v>3</v>
      </c>
      <c r="K2223" s="1" t="s">
        <v>6076</v>
      </c>
      <c r="L2223" s="1" t="s">
        <v>6076</v>
      </c>
      <c r="M2223">
        <f t="shared" si="69"/>
        <v>28</v>
      </c>
      <c r="N2223" t="s">
        <v>640</v>
      </c>
    </row>
    <row r="2224" spans="1:14" x14ac:dyDescent="0.3">
      <c r="A2224" s="1" t="s">
        <v>7890</v>
      </c>
      <c r="B2224" s="1" t="s">
        <v>1451</v>
      </c>
      <c r="C2224" s="1" t="s">
        <v>7891</v>
      </c>
      <c r="D2224" s="1" t="s">
        <v>1242</v>
      </c>
      <c r="E2224" s="1" t="s">
        <v>6076</v>
      </c>
      <c r="F2224" s="1" t="s">
        <v>6076</v>
      </c>
      <c r="G2224" s="1" t="s">
        <v>7851</v>
      </c>
      <c r="H2224">
        <v>1994</v>
      </c>
      <c r="I2224">
        <v>1998</v>
      </c>
      <c r="J2224">
        <f t="shared" si="68"/>
        <v>5</v>
      </c>
      <c r="K2224" s="1" t="s">
        <v>6076</v>
      </c>
      <c r="L2224" s="1" t="s">
        <v>6076</v>
      </c>
      <c r="M2224">
        <f t="shared" si="69"/>
        <v>28</v>
      </c>
      <c r="N2224" t="s">
        <v>640</v>
      </c>
    </row>
    <row r="2225" spans="1:14" x14ac:dyDescent="0.3">
      <c r="A2225" s="1" t="s">
        <v>7892</v>
      </c>
      <c r="B2225" s="1" t="s">
        <v>1451</v>
      </c>
      <c r="C2225" s="1" t="s">
        <v>7893</v>
      </c>
      <c r="D2225" s="1" t="s">
        <v>1242</v>
      </c>
      <c r="E2225" s="1" t="s">
        <v>6076</v>
      </c>
      <c r="F2225" s="1" t="s">
        <v>6076</v>
      </c>
      <c r="G2225" s="1" t="s">
        <v>7851</v>
      </c>
      <c r="H2225">
        <v>1996</v>
      </c>
      <c r="I2225">
        <v>1998</v>
      </c>
      <c r="J2225">
        <f t="shared" si="68"/>
        <v>3</v>
      </c>
      <c r="K2225" s="1" t="s">
        <v>6076</v>
      </c>
      <c r="L2225" s="1" t="s">
        <v>6076</v>
      </c>
      <c r="M2225">
        <f t="shared" si="69"/>
        <v>28</v>
      </c>
      <c r="N2225" t="s">
        <v>640</v>
      </c>
    </row>
    <row r="2226" spans="1:14" x14ac:dyDescent="0.3">
      <c r="A2226" s="1" t="s">
        <v>7894</v>
      </c>
      <c r="B2226" s="1" t="s">
        <v>1451</v>
      </c>
      <c r="C2226" s="1" t="s">
        <v>7895</v>
      </c>
      <c r="D2226" s="1" t="s">
        <v>1242</v>
      </c>
      <c r="E2226" s="1" t="s">
        <v>6076</v>
      </c>
      <c r="F2226" s="1" t="s">
        <v>6076</v>
      </c>
      <c r="G2226" s="1" t="s">
        <v>7851</v>
      </c>
      <c r="H2226">
        <v>1995</v>
      </c>
      <c r="I2226">
        <v>1998</v>
      </c>
      <c r="J2226">
        <f t="shared" si="68"/>
        <v>4</v>
      </c>
      <c r="K2226" s="1" t="s">
        <v>6076</v>
      </c>
      <c r="L2226" s="1" t="s">
        <v>6076</v>
      </c>
      <c r="M2226">
        <f t="shared" si="69"/>
        <v>28</v>
      </c>
      <c r="N2226" t="s">
        <v>640</v>
      </c>
    </row>
    <row r="2227" spans="1:14" x14ac:dyDescent="0.3">
      <c r="A2227" s="1" t="s">
        <v>7896</v>
      </c>
      <c r="B2227" s="1" t="s">
        <v>1451</v>
      </c>
      <c r="C2227" s="1" t="s">
        <v>7897</v>
      </c>
      <c r="D2227" s="1" t="s">
        <v>1242</v>
      </c>
      <c r="E2227" s="1" t="s">
        <v>6076</v>
      </c>
      <c r="F2227" s="1" t="s">
        <v>6076</v>
      </c>
      <c r="G2227" s="1" t="s">
        <v>7851</v>
      </c>
      <c r="H2227">
        <v>1996</v>
      </c>
      <c r="I2227">
        <v>1998</v>
      </c>
      <c r="J2227">
        <f t="shared" si="68"/>
        <v>3</v>
      </c>
      <c r="K2227" s="1" t="s">
        <v>6076</v>
      </c>
      <c r="L2227" s="1" t="s">
        <v>6076</v>
      </c>
      <c r="M2227">
        <f t="shared" si="69"/>
        <v>28</v>
      </c>
      <c r="N2227" t="s">
        <v>640</v>
      </c>
    </row>
    <row r="2228" spans="1:14" x14ac:dyDescent="0.3">
      <c r="A2228" s="1" t="s">
        <v>7898</v>
      </c>
      <c r="B2228" s="1" t="s">
        <v>1451</v>
      </c>
      <c r="C2228" s="1" t="s">
        <v>7899</v>
      </c>
      <c r="D2228" s="1" t="s">
        <v>1242</v>
      </c>
      <c r="E2228" s="1" t="s">
        <v>6076</v>
      </c>
      <c r="F2228" s="1" t="s">
        <v>6076</v>
      </c>
      <c r="G2228" s="1" t="s">
        <v>7851</v>
      </c>
      <c r="H2228">
        <v>1996</v>
      </c>
      <c r="I2228">
        <v>1998</v>
      </c>
      <c r="J2228">
        <f t="shared" si="68"/>
        <v>3</v>
      </c>
      <c r="K2228" s="1" t="s">
        <v>6076</v>
      </c>
      <c r="L2228" s="1" t="s">
        <v>6076</v>
      </c>
      <c r="M2228">
        <f t="shared" si="69"/>
        <v>28</v>
      </c>
      <c r="N2228" t="s">
        <v>640</v>
      </c>
    </row>
    <row r="2229" spans="1:14" x14ac:dyDescent="0.3">
      <c r="A2229" s="1" t="s">
        <v>7900</v>
      </c>
      <c r="B2229" s="1" t="s">
        <v>1451</v>
      </c>
      <c r="C2229" s="1" t="s">
        <v>7901</v>
      </c>
      <c r="D2229" s="1" t="s">
        <v>1242</v>
      </c>
      <c r="E2229" s="1" t="s">
        <v>6076</v>
      </c>
      <c r="F2229" s="1" t="s">
        <v>6076</v>
      </c>
      <c r="G2229" s="1" t="s">
        <v>7851</v>
      </c>
      <c r="H2229">
        <v>1996</v>
      </c>
      <c r="I2229">
        <v>1998</v>
      </c>
      <c r="J2229">
        <f t="shared" si="68"/>
        <v>3</v>
      </c>
      <c r="K2229" s="1" t="s">
        <v>6076</v>
      </c>
      <c r="L2229" s="1" t="s">
        <v>6076</v>
      </c>
      <c r="M2229">
        <f t="shared" si="69"/>
        <v>28</v>
      </c>
      <c r="N2229" t="s">
        <v>640</v>
      </c>
    </row>
    <row r="2230" spans="1:14" x14ac:dyDescent="0.3">
      <c r="A2230" s="1" t="s">
        <v>7902</v>
      </c>
      <c r="B2230" s="1" t="s">
        <v>1451</v>
      </c>
      <c r="C2230" s="1" t="s">
        <v>7903</v>
      </c>
      <c r="D2230" s="1" t="s">
        <v>1242</v>
      </c>
      <c r="E2230" s="1" t="s">
        <v>6076</v>
      </c>
      <c r="F2230" s="1" t="s">
        <v>6076</v>
      </c>
      <c r="G2230" s="1" t="s">
        <v>7851</v>
      </c>
      <c r="H2230">
        <v>1996</v>
      </c>
      <c r="I2230">
        <v>1998</v>
      </c>
      <c r="J2230">
        <f t="shared" si="68"/>
        <v>3</v>
      </c>
      <c r="K2230" s="1" t="s">
        <v>6076</v>
      </c>
      <c r="L2230" s="1" t="s">
        <v>6076</v>
      </c>
      <c r="M2230">
        <f t="shared" si="69"/>
        <v>28</v>
      </c>
      <c r="N2230" t="s">
        <v>640</v>
      </c>
    </row>
    <row r="2231" spans="1:14" x14ac:dyDescent="0.3">
      <c r="A2231" s="1" t="s">
        <v>7904</v>
      </c>
      <c r="B2231" s="1" t="s">
        <v>1451</v>
      </c>
      <c r="C2231" s="1" t="s">
        <v>7905</v>
      </c>
      <c r="D2231" s="1" t="s">
        <v>1242</v>
      </c>
      <c r="E2231" s="1" t="s">
        <v>6076</v>
      </c>
      <c r="F2231" s="1" t="s">
        <v>6076</v>
      </c>
      <c r="G2231" s="1" t="s">
        <v>7851</v>
      </c>
      <c r="H2231">
        <v>1997</v>
      </c>
      <c r="I2231">
        <v>1998</v>
      </c>
      <c r="J2231">
        <f t="shared" si="68"/>
        <v>2</v>
      </c>
      <c r="K2231" s="1" t="s">
        <v>6076</v>
      </c>
      <c r="L2231" s="1" t="s">
        <v>6076</v>
      </c>
      <c r="M2231">
        <f t="shared" si="69"/>
        <v>28</v>
      </c>
      <c r="N2231" t="s">
        <v>640</v>
      </c>
    </row>
    <row r="2232" spans="1:14" x14ac:dyDescent="0.3">
      <c r="A2232" s="1" t="s">
        <v>7906</v>
      </c>
      <c r="B2232" s="1" t="s">
        <v>1451</v>
      </c>
      <c r="C2232" s="1" t="s">
        <v>7907</v>
      </c>
      <c r="D2232" s="1" t="s">
        <v>1242</v>
      </c>
      <c r="E2232" s="1" t="s">
        <v>6076</v>
      </c>
      <c r="F2232" s="1" t="s">
        <v>6076</v>
      </c>
      <c r="G2232" s="1" t="s">
        <v>7851</v>
      </c>
      <c r="H2232">
        <v>1996</v>
      </c>
      <c r="I2232">
        <v>1998</v>
      </c>
      <c r="J2232">
        <f t="shared" si="68"/>
        <v>3</v>
      </c>
      <c r="K2232" s="1" t="s">
        <v>6076</v>
      </c>
      <c r="L2232" s="1" t="s">
        <v>6076</v>
      </c>
      <c r="M2232">
        <f t="shared" si="69"/>
        <v>28</v>
      </c>
      <c r="N2232" t="s">
        <v>640</v>
      </c>
    </row>
    <row r="2233" spans="1:14" x14ac:dyDescent="0.3">
      <c r="A2233" s="1" t="s">
        <v>7908</v>
      </c>
      <c r="B2233" s="1" t="s">
        <v>1451</v>
      </c>
      <c r="C2233" s="1" t="s">
        <v>7909</v>
      </c>
      <c r="D2233" s="1" t="s">
        <v>1242</v>
      </c>
      <c r="E2233" s="1" t="s">
        <v>6076</v>
      </c>
      <c r="F2233" s="1" t="s">
        <v>6076</v>
      </c>
      <c r="G2233" s="1" t="s">
        <v>7851</v>
      </c>
      <c r="H2233">
        <v>1996</v>
      </c>
      <c r="I2233">
        <v>1998</v>
      </c>
      <c r="J2233">
        <f t="shared" si="68"/>
        <v>3</v>
      </c>
      <c r="K2233" s="1" t="s">
        <v>6076</v>
      </c>
      <c r="L2233" s="1" t="s">
        <v>6076</v>
      </c>
      <c r="M2233">
        <f t="shared" si="69"/>
        <v>28</v>
      </c>
      <c r="N2233" t="s">
        <v>640</v>
      </c>
    </row>
    <row r="2234" spans="1:14" x14ac:dyDescent="0.3">
      <c r="A2234" s="1" t="s">
        <v>7910</v>
      </c>
      <c r="B2234" s="1" t="s">
        <v>1451</v>
      </c>
      <c r="C2234" s="1" t="s">
        <v>7911</v>
      </c>
      <c r="D2234" s="1" t="s">
        <v>1242</v>
      </c>
      <c r="E2234" s="1" t="s">
        <v>6076</v>
      </c>
      <c r="F2234" s="1" t="s">
        <v>6076</v>
      </c>
      <c r="G2234" s="1" t="s">
        <v>7851</v>
      </c>
      <c r="H2234">
        <v>1996</v>
      </c>
      <c r="I2234">
        <v>1998</v>
      </c>
      <c r="J2234">
        <f t="shared" si="68"/>
        <v>3</v>
      </c>
      <c r="K2234" s="1" t="s">
        <v>6076</v>
      </c>
      <c r="L2234" s="1" t="s">
        <v>6076</v>
      </c>
      <c r="M2234">
        <f t="shared" si="69"/>
        <v>28</v>
      </c>
      <c r="N2234" t="s">
        <v>640</v>
      </c>
    </row>
    <row r="2235" spans="1:14" x14ac:dyDescent="0.3">
      <c r="A2235" s="1" t="s">
        <v>7912</v>
      </c>
      <c r="B2235" s="1" t="s">
        <v>1451</v>
      </c>
      <c r="C2235" s="1" t="s">
        <v>7913</v>
      </c>
      <c r="D2235" s="1" t="s">
        <v>1242</v>
      </c>
      <c r="E2235" s="1" t="s">
        <v>6076</v>
      </c>
      <c r="F2235" s="1" t="s">
        <v>6076</v>
      </c>
      <c r="G2235" s="1" t="s">
        <v>7851</v>
      </c>
      <c r="H2235">
        <v>1997</v>
      </c>
      <c r="I2235">
        <v>1998</v>
      </c>
      <c r="J2235">
        <f t="shared" si="68"/>
        <v>2</v>
      </c>
      <c r="K2235" s="1" t="s">
        <v>6076</v>
      </c>
      <c r="L2235" s="1" t="s">
        <v>6076</v>
      </c>
      <c r="M2235">
        <f t="shared" si="69"/>
        <v>28</v>
      </c>
      <c r="N2235" t="s">
        <v>640</v>
      </c>
    </row>
    <row r="2236" spans="1:14" x14ac:dyDescent="0.3">
      <c r="A2236" s="1" t="s">
        <v>7914</v>
      </c>
      <c r="B2236" s="1" t="s">
        <v>1451</v>
      </c>
      <c r="C2236" s="1" t="s">
        <v>7915</v>
      </c>
      <c r="D2236" s="1" t="s">
        <v>1242</v>
      </c>
      <c r="E2236" s="1" t="s">
        <v>6076</v>
      </c>
      <c r="F2236" s="1" t="s">
        <v>6076</v>
      </c>
      <c r="G2236" s="1" t="s">
        <v>7851</v>
      </c>
      <c r="H2236">
        <v>1997</v>
      </c>
      <c r="I2236">
        <v>1998</v>
      </c>
      <c r="J2236">
        <f t="shared" si="68"/>
        <v>2</v>
      </c>
      <c r="K2236" s="1" t="s">
        <v>6076</v>
      </c>
      <c r="L2236" s="1" t="s">
        <v>6076</v>
      </c>
      <c r="M2236">
        <f t="shared" si="69"/>
        <v>28</v>
      </c>
      <c r="N2236" t="s">
        <v>640</v>
      </c>
    </row>
    <row r="2237" spans="1:14" x14ac:dyDescent="0.3">
      <c r="A2237" t="s">
        <v>11449</v>
      </c>
      <c r="B2237" t="s">
        <v>1451</v>
      </c>
      <c r="C2237" t="s">
        <v>11450</v>
      </c>
      <c r="E2237" s="1" t="s">
        <v>6076</v>
      </c>
      <c r="F2237" s="1" t="s">
        <v>6076</v>
      </c>
      <c r="G2237" s="1" t="s">
        <v>7918</v>
      </c>
      <c r="H2237">
        <v>2023</v>
      </c>
      <c r="I2237">
        <v>2026</v>
      </c>
      <c r="J2237">
        <f t="shared" si="68"/>
        <v>4</v>
      </c>
      <c r="K2237" s="1" t="s">
        <v>6076</v>
      </c>
      <c r="L2237" s="1" t="s">
        <v>6076</v>
      </c>
      <c r="M2237">
        <f t="shared" si="69"/>
        <v>0</v>
      </c>
    </row>
    <row r="2238" spans="1:14" x14ac:dyDescent="0.3">
      <c r="A2238" t="s">
        <v>11451</v>
      </c>
      <c r="B2238" t="s">
        <v>1451</v>
      </c>
      <c r="C2238" t="s">
        <v>11452</v>
      </c>
      <c r="E2238" s="1" t="s">
        <v>6076</v>
      </c>
      <c r="F2238" s="1" t="s">
        <v>6076</v>
      </c>
      <c r="G2238" s="1" t="s">
        <v>7918</v>
      </c>
      <c r="H2238">
        <v>2024</v>
      </c>
      <c r="I2238">
        <v>2026</v>
      </c>
      <c r="J2238">
        <f t="shared" si="68"/>
        <v>3</v>
      </c>
      <c r="K2238" s="1" t="s">
        <v>6076</v>
      </c>
      <c r="L2238" s="1" t="s">
        <v>6076</v>
      </c>
      <c r="M2238">
        <f t="shared" si="69"/>
        <v>0</v>
      </c>
    </row>
    <row r="2239" spans="1:14" x14ac:dyDescent="0.3">
      <c r="A2239" t="s">
        <v>11453</v>
      </c>
      <c r="B2239" t="s">
        <v>1451</v>
      </c>
      <c r="C2239" t="s">
        <v>11454</v>
      </c>
      <c r="E2239" s="1" t="s">
        <v>6076</v>
      </c>
      <c r="F2239" s="1" t="s">
        <v>6076</v>
      </c>
      <c r="G2239" s="1" t="s">
        <v>7918</v>
      </c>
      <c r="H2239">
        <v>2023</v>
      </c>
      <c r="I2239">
        <v>2023</v>
      </c>
      <c r="J2239">
        <f t="shared" si="68"/>
        <v>1</v>
      </c>
      <c r="K2239" s="1" t="s">
        <v>6076</v>
      </c>
      <c r="L2239" s="1" t="s">
        <v>6076</v>
      </c>
      <c r="M2239">
        <f t="shared" si="69"/>
        <v>3</v>
      </c>
    </row>
    <row r="2240" spans="1:14" x14ac:dyDescent="0.3">
      <c r="A2240" t="s">
        <v>11455</v>
      </c>
      <c r="B2240" t="s">
        <v>1451</v>
      </c>
      <c r="C2240" t="s">
        <v>11456</v>
      </c>
      <c r="E2240" s="1" t="s">
        <v>6076</v>
      </c>
      <c r="F2240" s="1" t="s">
        <v>6076</v>
      </c>
      <c r="G2240" s="1" t="s">
        <v>7918</v>
      </c>
      <c r="H2240">
        <v>2025</v>
      </c>
      <c r="I2240">
        <v>2026</v>
      </c>
      <c r="J2240">
        <f t="shared" si="68"/>
        <v>2</v>
      </c>
      <c r="K2240" s="1" t="s">
        <v>6076</v>
      </c>
      <c r="L2240" s="1" t="s">
        <v>6076</v>
      </c>
      <c r="M2240">
        <f t="shared" si="69"/>
        <v>0</v>
      </c>
    </row>
    <row r="2241" spans="1:14" x14ac:dyDescent="0.3">
      <c r="A2241" s="1" t="s">
        <v>7916</v>
      </c>
      <c r="B2241" s="1" t="s">
        <v>1451</v>
      </c>
      <c r="C2241" s="1" t="s">
        <v>7917</v>
      </c>
      <c r="D2241" s="1" t="s">
        <v>1242</v>
      </c>
      <c r="E2241" s="1" t="s">
        <v>6076</v>
      </c>
      <c r="F2241" s="1" t="s">
        <v>6076</v>
      </c>
      <c r="G2241" s="1" t="s">
        <v>7918</v>
      </c>
      <c r="H2241">
        <v>1996</v>
      </c>
      <c r="I2241">
        <v>2002</v>
      </c>
      <c r="J2241">
        <f t="shared" si="68"/>
        <v>7</v>
      </c>
      <c r="K2241" s="1" t="s">
        <v>6076</v>
      </c>
      <c r="L2241" s="1" t="s">
        <v>6076</v>
      </c>
      <c r="M2241">
        <f t="shared" si="69"/>
        <v>24</v>
      </c>
      <c r="N2241" t="s">
        <v>650</v>
      </c>
    </row>
    <row r="2242" spans="1:14" x14ac:dyDescent="0.3">
      <c r="A2242" s="1" t="s">
        <v>7919</v>
      </c>
      <c r="B2242" s="1" t="s">
        <v>1451</v>
      </c>
      <c r="C2242" s="1" t="s">
        <v>7920</v>
      </c>
      <c r="D2242" s="1" t="s">
        <v>1242</v>
      </c>
      <c r="E2242" s="1" t="s">
        <v>6076</v>
      </c>
      <c r="F2242" s="1" t="s">
        <v>6076</v>
      </c>
      <c r="G2242" s="1" t="s">
        <v>7918</v>
      </c>
      <c r="H2242">
        <v>1996</v>
      </c>
      <c r="I2242">
        <v>2022</v>
      </c>
      <c r="J2242">
        <f t="shared" si="68"/>
        <v>27</v>
      </c>
      <c r="K2242" s="1" t="s">
        <v>6076</v>
      </c>
      <c r="L2242" s="1" t="s">
        <v>6076</v>
      </c>
      <c r="M2242">
        <f t="shared" si="69"/>
        <v>4</v>
      </c>
      <c r="N2242" t="s">
        <v>650</v>
      </c>
    </row>
    <row r="2243" spans="1:14" x14ac:dyDescent="0.3">
      <c r="A2243" s="1" t="s">
        <v>7921</v>
      </c>
      <c r="B2243" s="1" t="s">
        <v>1451</v>
      </c>
      <c r="C2243" s="1" t="s">
        <v>7922</v>
      </c>
      <c r="D2243" s="1" t="s">
        <v>1242</v>
      </c>
      <c r="E2243" s="1" t="s">
        <v>6076</v>
      </c>
      <c r="F2243" s="1" t="s">
        <v>6076</v>
      </c>
      <c r="G2243" s="1" t="s">
        <v>7918</v>
      </c>
      <c r="H2243">
        <v>1997</v>
      </c>
      <c r="I2243">
        <v>1999</v>
      </c>
      <c r="J2243">
        <f t="shared" si="68"/>
        <v>3</v>
      </c>
      <c r="K2243" s="1" t="s">
        <v>6076</v>
      </c>
      <c r="L2243" s="1" t="s">
        <v>6076</v>
      </c>
      <c r="M2243">
        <f t="shared" si="69"/>
        <v>27</v>
      </c>
      <c r="N2243" t="s">
        <v>640</v>
      </c>
    </row>
    <row r="2244" spans="1:14" x14ac:dyDescent="0.3">
      <c r="A2244" s="1" t="s">
        <v>7923</v>
      </c>
      <c r="B2244" s="1" t="s">
        <v>1451</v>
      </c>
      <c r="C2244" s="1" t="s">
        <v>7924</v>
      </c>
      <c r="D2244" s="1" t="s">
        <v>1242</v>
      </c>
      <c r="E2244" s="1" t="s">
        <v>6076</v>
      </c>
      <c r="F2244" s="1" t="s">
        <v>6076</v>
      </c>
      <c r="G2244" s="1" t="s">
        <v>7918</v>
      </c>
      <c r="H2244">
        <v>1994</v>
      </c>
      <c r="I2244">
        <v>1999</v>
      </c>
      <c r="J2244">
        <f t="shared" si="68"/>
        <v>6</v>
      </c>
      <c r="K2244" s="1" t="s">
        <v>6076</v>
      </c>
      <c r="L2244" s="1" t="s">
        <v>6076</v>
      </c>
      <c r="M2244">
        <f t="shared" si="69"/>
        <v>27</v>
      </c>
      <c r="N2244" t="s">
        <v>640</v>
      </c>
    </row>
    <row r="2245" spans="1:14" x14ac:dyDescent="0.3">
      <c r="A2245" s="1" t="s">
        <v>7925</v>
      </c>
      <c r="B2245" s="1" t="s">
        <v>1451</v>
      </c>
      <c r="C2245" s="1" t="s">
        <v>7926</v>
      </c>
      <c r="D2245" s="1" t="s">
        <v>1242</v>
      </c>
      <c r="E2245" s="1" t="s">
        <v>6076</v>
      </c>
      <c r="F2245" s="1" t="s">
        <v>6076</v>
      </c>
      <c r="G2245" s="1" t="s">
        <v>6001</v>
      </c>
      <c r="H2245">
        <v>2010</v>
      </c>
      <c r="I2245">
        <v>2011</v>
      </c>
      <c r="J2245">
        <f t="shared" si="68"/>
        <v>2</v>
      </c>
      <c r="K2245" s="1" t="s">
        <v>6076</v>
      </c>
      <c r="L2245" s="1" t="s">
        <v>6076</v>
      </c>
      <c r="M2245">
        <f t="shared" si="69"/>
        <v>15</v>
      </c>
      <c r="N2245" t="s">
        <v>650</v>
      </c>
    </row>
    <row r="2246" spans="1:14" x14ac:dyDescent="0.3">
      <c r="A2246" s="1" t="s">
        <v>7927</v>
      </c>
      <c r="B2246" s="1" t="s">
        <v>1451</v>
      </c>
      <c r="C2246" s="1" t="s">
        <v>7928</v>
      </c>
      <c r="D2246" s="1" t="s">
        <v>1242</v>
      </c>
      <c r="E2246" s="1" t="s">
        <v>6076</v>
      </c>
      <c r="F2246" s="1" t="s">
        <v>6076</v>
      </c>
      <c r="G2246" s="1" t="s">
        <v>6001</v>
      </c>
      <c r="H2246">
        <v>2007</v>
      </c>
      <c r="I2246">
        <v>2012</v>
      </c>
      <c r="J2246">
        <f t="shared" ref="J2246:J2309" si="70">1+(I2246-H2246)</f>
        <v>6</v>
      </c>
      <c r="K2246" s="1" t="s">
        <v>6076</v>
      </c>
      <c r="L2246" s="1" t="s">
        <v>6076</v>
      </c>
      <c r="M2246">
        <f t="shared" ref="M2246:M2309" si="71">IF(I2246=0,0,$B$2-I2246)</f>
        <v>14</v>
      </c>
      <c r="N2246" t="s">
        <v>650</v>
      </c>
    </row>
    <row r="2247" spans="1:14" x14ac:dyDescent="0.3">
      <c r="A2247" s="1" t="s">
        <v>7929</v>
      </c>
      <c r="B2247" s="1" t="s">
        <v>1451</v>
      </c>
      <c r="C2247" s="1" t="s">
        <v>7930</v>
      </c>
      <c r="D2247" s="1" t="s">
        <v>1242</v>
      </c>
      <c r="E2247" s="1" t="s">
        <v>6076</v>
      </c>
      <c r="F2247" s="1" t="s">
        <v>6076</v>
      </c>
      <c r="G2247" s="1" t="s">
        <v>6001</v>
      </c>
      <c r="H2247">
        <v>2007</v>
      </c>
      <c r="I2247">
        <v>2012</v>
      </c>
      <c r="J2247">
        <f t="shared" si="70"/>
        <v>6</v>
      </c>
      <c r="K2247" s="1" t="s">
        <v>6076</v>
      </c>
      <c r="L2247" s="1" t="s">
        <v>6076</v>
      </c>
      <c r="M2247">
        <f t="shared" si="71"/>
        <v>14</v>
      </c>
      <c r="N2247" t="s">
        <v>650</v>
      </c>
    </row>
    <row r="2248" spans="1:14" x14ac:dyDescent="0.3">
      <c r="A2248" s="1" t="s">
        <v>7931</v>
      </c>
      <c r="B2248" s="1" t="s">
        <v>1451</v>
      </c>
      <c r="C2248" s="1" t="s">
        <v>7932</v>
      </c>
      <c r="D2248" s="1" t="s">
        <v>1242</v>
      </c>
      <c r="E2248" s="1" t="s">
        <v>6076</v>
      </c>
      <c r="F2248" s="1" t="s">
        <v>6076</v>
      </c>
      <c r="G2248" s="1" t="s">
        <v>6001</v>
      </c>
      <c r="H2248">
        <v>1998</v>
      </c>
      <c r="I2248">
        <v>1999</v>
      </c>
      <c r="J2248">
        <f t="shared" si="70"/>
        <v>2</v>
      </c>
      <c r="K2248" s="1" t="s">
        <v>6076</v>
      </c>
      <c r="L2248" s="1" t="s">
        <v>6076</v>
      </c>
      <c r="M2248">
        <f t="shared" si="71"/>
        <v>27</v>
      </c>
      <c r="N2248" t="s">
        <v>640</v>
      </c>
    </row>
    <row r="2249" spans="1:14" x14ac:dyDescent="0.3">
      <c r="A2249" s="1" t="s">
        <v>7933</v>
      </c>
      <c r="B2249" s="1" t="s">
        <v>1451</v>
      </c>
      <c r="C2249" s="1" t="s">
        <v>7934</v>
      </c>
      <c r="D2249" s="1" t="s">
        <v>1242</v>
      </c>
      <c r="E2249" s="1" t="s">
        <v>6076</v>
      </c>
      <c r="F2249" s="1" t="s">
        <v>6076</v>
      </c>
      <c r="G2249" s="1" t="s">
        <v>6001</v>
      </c>
      <c r="H2249">
        <v>1998</v>
      </c>
      <c r="I2249">
        <v>2006</v>
      </c>
      <c r="J2249">
        <f t="shared" si="70"/>
        <v>9</v>
      </c>
      <c r="K2249" s="1" t="s">
        <v>6076</v>
      </c>
      <c r="L2249" s="1" t="s">
        <v>6076</v>
      </c>
      <c r="M2249">
        <f t="shared" si="71"/>
        <v>20</v>
      </c>
      <c r="N2249" t="s">
        <v>640</v>
      </c>
    </row>
    <row r="2250" spans="1:14" x14ac:dyDescent="0.3">
      <c r="A2250" s="1" t="s">
        <v>7935</v>
      </c>
      <c r="B2250" s="1" t="s">
        <v>1451</v>
      </c>
      <c r="C2250" s="1" t="s">
        <v>7936</v>
      </c>
      <c r="D2250" s="1" t="s">
        <v>1242</v>
      </c>
      <c r="E2250" s="1" t="s">
        <v>6076</v>
      </c>
      <c r="F2250" s="1" t="s">
        <v>6076</v>
      </c>
      <c r="G2250" s="1" t="s">
        <v>6001</v>
      </c>
      <c r="H2250">
        <v>1998</v>
      </c>
      <c r="I2250">
        <v>1999</v>
      </c>
      <c r="J2250">
        <f t="shared" si="70"/>
        <v>2</v>
      </c>
      <c r="K2250" s="1" t="s">
        <v>6076</v>
      </c>
      <c r="L2250" s="1" t="s">
        <v>6076</v>
      </c>
      <c r="M2250">
        <f t="shared" si="71"/>
        <v>27</v>
      </c>
      <c r="N2250" t="s">
        <v>640</v>
      </c>
    </row>
    <row r="2251" spans="1:14" x14ac:dyDescent="0.3">
      <c r="A2251" s="1" t="s">
        <v>7937</v>
      </c>
      <c r="B2251" s="1" t="s">
        <v>1451</v>
      </c>
      <c r="C2251" s="1" t="s">
        <v>7938</v>
      </c>
      <c r="D2251" s="1" t="s">
        <v>1242</v>
      </c>
      <c r="E2251" s="1" t="s">
        <v>6076</v>
      </c>
      <c r="F2251" s="1" t="s">
        <v>6076</v>
      </c>
      <c r="G2251" s="1" t="s">
        <v>6001</v>
      </c>
      <c r="H2251">
        <v>1998</v>
      </c>
      <c r="I2251">
        <v>2006</v>
      </c>
      <c r="J2251">
        <f t="shared" si="70"/>
        <v>9</v>
      </c>
      <c r="K2251" s="1" t="s">
        <v>6076</v>
      </c>
      <c r="L2251" s="1" t="s">
        <v>6076</v>
      </c>
      <c r="M2251">
        <f t="shared" si="71"/>
        <v>20</v>
      </c>
      <c r="N2251" t="s">
        <v>640</v>
      </c>
    </row>
    <row r="2252" spans="1:14" x14ac:dyDescent="0.3">
      <c r="A2252" s="1" t="s">
        <v>7939</v>
      </c>
      <c r="B2252" s="1" t="s">
        <v>1451</v>
      </c>
      <c r="C2252" s="1" t="s">
        <v>7940</v>
      </c>
      <c r="D2252" s="1" t="s">
        <v>1242</v>
      </c>
      <c r="E2252" s="1" t="s">
        <v>6076</v>
      </c>
      <c r="F2252" s="1" t="s">
        <v>6076</v>
      </c>
      <c r="G2252" s="1" t="s">
        <v>6001</v>
      </c>
      <c r="H2252">
        <v>2007</v>
      </c>
      <c r="I2252">
        <v>2011</v>
      </c>
      <c r="J2252">
        <f t="shared" si="70"/>
        <v>5</v>
      </c>
      <c r="K2252" s="1" t="s">
        <v>6076</v>
      </c>
      <c r="L2252" s="1" t="s">
        <v>6076</v>
      </c>
      <c r="M2252">
        <f t="shared" si="71"/>
        <v>15</v>
      </c>
      <c r="N2252" t="s">
        <v>650</v>
      </c>
    </row>
    <row r="2253" spans="1:14" x14ac:dyDescent="0.3">
      <c r="A2253" s="1" t="s">
        <v>7941</v>
      </c>
      <c r="B2253" s="1" t="s">
        <v>1451</v>
      </c>
      <c r="C2253" s="1" t="s">
        <v>7942</v>
      </c>
      <c r="D2253" s="1" t="s">
        <v>1242</v>
      </c>
      <c r="E2253" s="1" t="s">
        <v>6076</v>
      </c>
      <c r="F2253" s="1" t="s">
        <v>6076</v>
      </c>
      <c r="G2253" s="1" t="s">
        <v>6001</v>
      </c>
      <c r="H2253">
        <v>2007</v>
      </c>
      <c r="I2253">
        <v>2011</v>
      </c>
      <c r="J2253">
        <f t="shared" si="70"/>
        <v>5</v>
      </c>
      <c r="K2253" s="1" t="s">
        <v>6076</v>
      </c>
      <c r="L2253" s="1" t="s">
        <v>6076</v>
      </c>
      <c r="M2253">
        <f t="shared" si="71"/>
        <v>15</v>
      </c>
      <c r="N2253" t="s">
        <v>650</v>
      </c>
    </row>
    <row r="2254" spans="1:14" x14ac:dyDescent="0.3">
      <c r="A2254" s="1" t="s">
        <v>7943</v>
      </c>
      <c r="B2254" s="1" t="s">
        <v>1451</v>
      </c>
      <c r="C2254" s="1" t="s">
        <v>7944</v>
      </c>
      <c r="D2254" s="1" t="s">
        <v>1242</v>
      </c>
      <c r="E2254" s="1" t="s">
        <v>6076</v>
      </c>
      <c r="F2254" s="1" t="s">
        <v>6076</v>
      </c>
      <c r="G2254" s="1" t="s">
        <v>6001</v>
      </c>
      <c r="H2254">
        <v>2007</v>
      </c>
      <c r="I2254">
        <v>2011</v>
      </c>
      <c r="J2254">
        <f t="shared" si="70"/>
        <v>5</v>
      </c>
      <c r="K2254" s="1" t="s">
        <v>6076</v>
      </c>
      <c r="L2254" s="1" t="s">
        <v>6076</v>
      </c>
      <c r="M2254">
        <f t="shared" si="71"/>
        <v>15</v>
      </c>
      <c r="N2254" t="s">
        <v>650</v>
      </c>
    </row>
    <row r="2255" spans="1:14" x14ac:dyDescent="0.3">
      <c r="A2255" s="1" t="s">
        <v>7945</v>
      </c>
      <c r="B2255" s="1" t="s">
        <v>1451</v>
      </c>
      <c r="C2255" s="1" t="s">
        <v>7946</v>
      </c>
      <c r="D2255" s="1" t="s">
        <v>1242</v>
      </c>
      <c r="E2255" s="1" t="s">
        <v>6076</v>
      </c>
      <c r="F2255" s="1" t="s">
        <v>6076</v>
      </c>
      <c r="G2255" s="1" t="s">
        <v>6001</v>
      </c>
      <c r="H2255">
        <v>2007</v>
      </c>
      <c r="I2255">
        <v>2011</v>
      </c>
      <c r="J2255">
        <f t="shared" si="70"/>
        <v>5</v>
      </c>
      <c r="K2255" s="1" t="s">
        <v>6076</v>
      </c>
      <c r="L2255" s="1" t="s">
        <v>6076</v>
      </c>
      <c r="M2255">
        <f t="shared" si="71"/>
        <v>15</v>
      </c>
      <c r="N2255" t="s">
        <v>650</v>
      </c>
    </row>
    <row r="2256" spans="1:14" hidden="1" x14ac:dyDescent="0.3">
      <c r="A2256" s="1" t="s">
        <v>5997</v>
      </c>
      <c r="B2256" s="1" t="s">
        <v>1451</v>
      </c>
      <c r="C2256" s="1" t="s">
        <v>5998</v>
      </c>
      <c r="D2256" s="1" t="s">
        <v>1242</v>
      </c>
      <c r="E2256" s="1" t="s">
        <v>5999</v>
      </c>
      <c r="F2256" s="1" t="s">
        <v>6000</v>
      </c>
      <c r="G2256" s="1" t="s">
        <v>6001</v>
      </c>
      <c r="H2256">
        <v>1998</v>
      </c>
      <c r="I2256">
        <v>2011</v>
      </c>
      <c r="J2256">
        <f t="shared" si="70"/>
        <v>14</v>
      </c>
      <c r="K2256" s="1" t="s">
        <v>5909</v>
      </c>
      <c r="L2256" s="1" t="s">
        <v>3793</v>
      </c>
      <c r="M2256">
        <f t="shared" si="71"/>
        <v>15</v>
      </c>
      <c r="N2256" t="s">
        <v>650</v>
      </c>
    </row>
    <row r="2257" spans="1:14" hidden="1" x14ac:dyDescent="0.3">
      <c r="A2257" s="1" t="s">
        <v>6002</v>
      </c>
      <c r="B2257" s="1" t="s">
        <v>1451</v>
      </c>
      <c r="C2257" s="1" t="s">
        <v>6003</v>
      </c>
      <c r="D2257" s="1" t="s">
        <v>1242</v>
      </c>
      <c r="E2257" s="1" t="s">
        <v>5999</v>
      </c>
      <c r="F2257" s="1" t="s">
        <v>6000</v>
      </c>
      <c r="G2257" s="1" t="s">
        <v>6001</v>
      </c>
      <c r="H2257">
        <v>2007</v>
      </c>
      <c r="I2257">
        <v>2011</v>
      </c>
      <c r="J2257">
        <f t="shared" si="70"/>
        <v>5</v>
      </c>
      <c r="K2257" s="1" t="s">
        <v>5909</v>
      </c>
      <c r="L2257" s="1" t="s">
        <v>3793</v>
      </c>
      <c r="M2257">
        <f t="shared" si="71"/>
        <v>15</v>
      </c>
      <c r="N2257" t="s">
        <v>650</v>
      </c>
    </row>
    <row r="2258" spans="1:14" hidden="1" x14ac:dyDescent="0.3">
      <c r="A2258" s="1" t="s">
        <v>6004</v>
      </c>
      <c r="B2258" s="1" t="s">
        <v>1451</v>
      </c>
      <c r="C2258" s="1" t="s">
        <v>6005</v>
      </c>
      <c r="D2258" s="1" t="s">
        <v>1242</v>
      </c>
      <c r="E2258" s="1" t="s">
        <v>5999</v>
      </c>
      <c r="F2258" s="1" t="s">
        <v>6000</v>
      </c>
      <c r="G2258" s="1" t="s">
        <v>6001</v>
      </c>
      <c r="H2258">
        <v>2007</v>
      </c>
      <c r="I2258">
        <v>2011</v>
      </c>
      <c r="J2258">
        <f t="shared" si="70"/>
        <v>5</v>
      </c>
      <c r="K2258" s="1" t="s">
        <v>5909</v>
      </c>
      <c r="L2258" s="1" t="s">
        <v>3793</v>
      </c>
      <c r="M2258">
        <f t="shared" si="71"/>
        <v>15</v>
      </c>
      <c r="N2258" t="s">
        <v>650</v>
      </c>
    </row>
    <row r="2259" spans="1:14" hidden="1" x14ac:dyDescent="0.3">
      <c r="A2259" s="1" t="s">
        <v>6006</v>
      </c>
      <c r="B2259" s="1" t="s">
        <v>1451</v>
      </c>
      <c r="C2259" s="1" t="s">
        <v>6007</v>
      </c>
      <c r="D2259" s="1" t="s">
        <v>1242</v>
      </c>
      <c r="E2259" s="1" t="s">
        <v>5999</v>
      </c>
      <c r="F2259" s="1" t="s">
        <v>6000</v>
      </c>
      <c r="G2259" s="1" t="s">
        <v>6001</v>
      </c>
      <c r="H2259">
        <v>2004</v>
      </c>
      <c r="I2259">
        <v>2006</v>
      </c>
      <c r="J2259">
        <f t="shared" si="70"/>
        <v>3</v>
      </c>
      <c r="K2259" s="1" t="s">
        <v>5909</v>
      </c>
      <c r="L2259" s="1" t="s">
        <v>3793</v>
      </c>
      <c r="M2259">
        <f t="shared" si="71"/>
        <v>20</v>
      </c>
      <c r="N2259" t="s">
        <v>640</v>
      </c>
    </row>
    <row r="2260" spans="1:14" hidden="1" x14ac:dyDescent="0.3">
      <c r="A2260" s="1" t="s">
        <v>6008</v>
      </c>
      <c r="B2260" s="1" t="s">
        <v>1451</v>
      </c>
      <c r="C2260" s="1" t="s">
        <v>6009</v>
      </c>
      <c r="D2260" s="1" t="s">
        <v>1242</v>
      </c>
      <c r="E2260" s="1" t="s">
        <v>5999</v>
      </c>
      <c r="F2260" s="1" t="s">
        <v>6000</v>
      </c>
      <c r="G2260" s="1" t="s">
        <v>6001</v>
      </c>
      <c r="H2260">
        <v>1999</v>
      </c>
      <c r="I2260">
        <v>2006</v>
      </c>
      <c r="J2260">
        <f t="shared" si="70"/>
        <v>8</v>
      </c>
      <c r="K2260" s="1" t="s">
        <v>5909</v>
      </c>
      <c r="L2260" s="1" t="s">
        <v>3793</v>
      </c>
      <c r="M2260">
        <f t="shared" si="71"/>
        <v>20</v>
      </c>
      <c r="N2260" t="s">
        <v>640</v>
      </c>
    </row>
    <row r="2261" spans="1:14" hidden="1" x14ac:dyDescent="0.3">
      <c r="A2261" s="1" t="s">
        <v>6010</v>
      </c>
      <c r="B2261" s="1" t="s">
        <v>1451</v>
      </c>
      <c r="C2261" s="1" t="s">
        <v>6011</v>
      </c>
      <c r="D2261" s="1" t="s">
        <v>1242</v>
      </c>
      <c r="E2261" s="1" t="s">
        <v>5999</v>
      </c>
      <c r="F2261" s="1" t="s">
        <v>6000</v>
      </c>
      <c r="G2261" s="1" t="s">
        <v>6001</v>
      </c>
      <c r="H2261">
        <v>1998</v>
      </c>
      <c r="I2261">
        <v>2003</v>
      </c>
      <c r="J2261">
        <f t="shared" si="70"/>
        <v>6</v>
      </c>
      <c r="K2261" s="1" t="s">
        <v>5909</v>
      </c>
      <c r="L2261" s="1" t="s">
        <v>3793</v>
      </c>
      <c r="M2261">
        <f t="shared" si="71"/>
        <v>23</v>
      </c>
      <c r="N2261" t="s">
        <v>640</v>
      </c>
    </row>
    <row r="2262" spans="1:14" hidden="1" x14ac:dyDescent="0.3">
      <c r="A2262" s="1" t="s">
        <v>6012</v>
      </c>
      <c r="B2262" s="1" t="s">
        <v>1451</v>
      </c>
      <c r="C2262" s="1" t="s">
        <v>6013</v>
      </c>
      <c r="D2262" s="1" t="s">
        <v>1242</v>
      </c>
      <c r="E2262" s="1" t="s">
        <v>5999</v>
      </c>
      <c r="F2262" s="1" t="s">
        <v>6000</v>
      </c>
      <c r="G2262" s="1" t="s">
        <v>6001</v>
      </c>
      <c r="H2262">
        <v>1998</v>
      </c>
      <c r="I2262">
        <v>2000</v>
      </c>
      <c r="J2262">
        <f t="shared" si="70"/>
        <v>3</v>
      </c>
      <c r="K2262" s="1" t="s">
        <v>5909</v>
      </c>
      <c r="L2262" s="1" t="s">
        <v>3793</v>
      </c>
      <c r="M2262">
        <f t="shared" si="71"/>
        <v>26</v>
      </c>
      <c r="N2262" t="s">
        <v>640</v>
      </c>
    </row>
    <row r="2263" spans="1:14" hidden="1" x14ac:dyDescent="0.3">
      <c r="A2263" s="1" t="s">
        <v>6014</v>
      </c>
      <c r="B2263" s="1" t="s">
        <v>1451</v>
      </c>
      <c r="C2263" s="1" t="s">
        <v>6015</v>
      </c>
      <c r="D2263" s="1" t="s">
        <v>1242</v>
      </c>
      <c r="E2263" s="1" t="s">
        <v>5999</v>
      </c>
      <c r="F2263" s="1" t="s">
        <v>6000</v>
      </c>
      <c r="G2263" s="1" t="s">
        <v>6001</v>
      </c>
      <c r="H2263">
        <v>2001</v>
      </c>
      <c r="I2263">
        <v>2002</v>
      </c>
      <c r="J2263">
        <f t="shared" si="70"/>
        <v>2</v>
      </c>
      <c r="K2263" s="1" t="s">
        <v>5909</v>
      </c>
      <c r="L2263" s="1" t="s">
        <v>3793</v>
      </c>
      <c r="M2263">
        <f t="shared" si="71"/>
        <v>24</v>
      </c>
      <c r="N2263" t="s">
        <v>640</v>
      </c>
    </row>
    <row r="2264" spans="1:14" hidden="1" x14ac:dyDescent="0.3">
      <c r="A2264" s="1" t="s">
        <v>6016</v>
      </c>
      <c r="B2264" s="1" t="s">
        <v>1451</v>
      </c>
      <c r="C2264" s="1" t="s">
        <v>6017</v>
      </c>
      <c r="D2264" s="1" t="s">
        <v>1242</v>
      </c>
      <c r="E2264" s="1" t="s">
        <v>5999</v>
      </c>
      <c r="F2264" s="1" t="s">
        <v>6000</v>
      </c>
      <c r="G2264" s="1" t="s">
        <v>6001</v>
      </c>
      <c r="H2264">
        <v>1998</v>
      </c>
      <c r="I2264">
        <v>2000</v>
      </c>
      <c r="J2264">
        <f t="shared" si="70"/>
        <v>3</v>
      </c>
      <c r="K2264" s="1" t="s">
        <v>5909</v>
      </c>
      <c r="L2264" s="1" t="s">
        <v>3793</v>
      </c>
      <c r="M2264">
        <f t="shared" si="71"/>
        <v>26</v>
      </c>
      <c r="N2264" t="s">
        <v>640</v>
      </c>
    </row>
    <row r="2265" spans="1:14" hidden="1" x14ac:dyDescent="0.3">
      <c r="A2265" s="1" t="s">
        <v>6018</v>
      </c>
      <c r="B2265" s="1" t="s">
        <v>1451</v>
      </c>
      <c r="C2265" s="1" t="s">
        <v>6019</v>
      </c>
      <c r="D2265" s="1" t="s">
        <v>1242</v>
      </c>
      <c r="E2265" s="1" t="s">
        <v>5999</v>
      </c>
      <c r="F2265" s="1" t="s">
        <v>6000</v>
      </c>
      <c r="G2265" s="1" t="s">
        <v>6001</v>
      </c>
      <c r="H2265">
        <v>2007</v>
      </c>
      <c r="I2265">
        <v>2011</v>
      </c>
      <c r="J2265">
        <f t="shared" si="70"/>
        <v>5</v>
      </c>
      <c r="K2265" s="1" t="s">
        <v>5909</v>
      </c>
      <c r="L2265" s="1" t="s">
        <v>3793</v>
      </c>
      <c r="M2265">
        <f t="shared" si="71"/>
        <v>15</v>
      </c>
      <c r="N2265" t="s">
        <v>650</v>
      </c>
    </row>
    <row r="2266" spans="1:14" hidden="1" x14ac:dyDescent="0.3">
      <c r="A2266" s="1" t="s">
        <v>6020</v>
      </c>
      <c r="B2266" s="1" t="s">
        <v>1451</v>
      </c>
      <c r="C2266" s="1" t="s">
        <v>6021</v>
      </c>
      <c r="D2266" s="1" t="s">
        <v>1242</v>
      </c>
      <c r="E2266" s="1" t="s">
        <v>5999</v>
      </c>
      <c r="F2266" s="1" t="s">
        <v>6000</v>
      </c>
      <c r="G2266" s="1" t="s">
        <v>6001</v>
      </c>
      <c r="H2266">
        <v>1998</v>
      </c>
      <c r="I2266">
        <v>2011</v>
      </c>
      <c r="J2266">
        <f t="shared" si="70"/>
        <v>14</v>
      </c>
      <c r="K2266" s="1" t="s">
        <v>5909</v>
      </c>
      <c r="L2266" s="1" t="s">
        <v>3793</v>
      </c>
      <c r="M2266">
        <f t="shared" si="71"/>
        <v>15</v>
      </c>
      <c r="N2266" t="s">
        <v>650</v>
      </c>
    </row>
    <row r="2267" spans="1:14" hidden="1" x14ac:dyDescent="0.3">
      <c r="A2267" s="1" t="s">
        <v>6022</v>
      </c>
      <c r="B2267" s="1" t="s">
        <v>1451</v>
      </c>
      <c r="C2267" s="1" t="s">
        <v>6023</v>
      </c>
      <c r="D2267" s="1" t="s">
        <v>1242</v>
      </c>
      <c r="E2267" s="1" t="s">
        <v>5999</v>
      </c>
      <c r="F2267" s="1" t="s">
        <v>6000</v>
      </c>
      <c r="G2267" s="1" t="s">
        <v>6001</v>
      </c>
      <c r="H2267">
        <v>1998</v>
      </c>
      <c r="I2267">
        <v>2011</v>
      </c>
      <c r="J2267">
        <f t="shared" si="70"/>
        <v>14</v>
      </c>
      <c r="K2267" s="1" t="s">
        <v>5909</v>
      </c>
      <c r="L2267" s="1" t="s">
        <v>3793</v>
      </c>
      <c r="M2267">
        <f t="shared" si="71"/>
        <v>15</v>
      </c>
      <c r="N2267" t="s">
        <v>650</v>
      </c>
    </row>
    <row r="2268" spans="1:14" hidden="1" x14ac:dyDescent="0.3">
      <c r="A2268" s="1" t="s">
        <v>6024</v>
      </c>
      <c r="B2268" s="1" t="s">
        <v>1451</v>
      </c>
      <c r="C2268" s="1" t="s">
        <v>6025</v>
      </c>
      <c r="D2268" s="1" t="s">
        <v>1242</v>
      </c>
      <c r="E2268" s="1" t="s">
        <v>5999</v>
      </c>
      <c r="F2268" s="1" t="s">
        <v>6000</v>
      </c>
      <c r="G2268" s="1" t="s">
        <v>6001</v>
      </c>
      <c r="H2268">
        <v>2007</v>
      </c>
      <c r="I2268">
        <v>2011</v>
      </c>
      <c r="J2268">
        <f t="shared" si="70"/>
        <v>5</v>
      </c>
      <c r="K2268" s="1" t="s">
        <v>5909</v>
      </c>
      <c r="L2268" s="1" t="s">
        <v>3793</v>
      </c>
      <c r="M2268">
        <f t="shared" si="71"/>
        <v>15</v>
      </c>
      <c r="N2268" t="s">
        <v>650</v>
      </c>
    </row>
    <row r="2269" spans="1:14" hidden="1" x14ac:dyDescent="0.3">
      <c r="A2269" s="1" t="s">
        <v>6026</v>
      </c>
      <c r="B2269" s="1" t="s">
        <v>1451</v>
      </c>
      <c r="C2269" s="1" t="s">
        <v>6027</v>
      </c>
      <c r="D2269" s="1" t="s">
        <v>1242</v>
      </c>
      <c r="E2269" s="1" t="s">
        <v>5999</v>
      </c>
      <c r="F2269" s="1" t="s">
        <v>6000</v>
      </c>
      <c r="G2269" s="1" t="s">
        <v>6001</v>
      </c>
      <c r="H2269">
        <v>2004</v>
      </c>
      <c r="I2269">
        <v>2006</v>
      </c>
      <c r="J2269">
        <f t="shared" si="70"/>
        <v>3</v>
      </c>
      <c r="K2269" s="1" t="s">
        <v>5909</v>
      </c>
      <c r="L2269" s="1" t="s">
        <v>3793</v>
      </c>
      <c r="M2269">
        <f t="shared" si="71"/>
        <v>20</v>
      </c>
      <c r="N2269" t="s">
        <v>640</v>
      </c>
    </row>
    <row r="2270" spans="1:14" hidden="1" x14ac:dyDescent="0.3">
      <c r="A2270" s="1" t="s">
        <v>6028</v>
      </c>
      <c r="B2270" s="1" t="s">
        <v>1451</v>
      </c>
      <c r="C2270" s="1" t="s">
        <v>6029</v>
      </c>
      <c r="D2270" s="1" t="s">
        <v>1242</v>
      </c>
      <c r="E2270" s="1" t="s">
        <v>5999</v>
      </c>
      <c r="F2270" s="1" t="s">
        <v>6000</v>
      </c>
      <c r="G2270" s="1" t="s">
        <v>6001</v>
      </c>
      <c r="H2270">
        <v>2007</v>
      </c>
      <c r="I2270">
        <v>2012</v>
      </c>
      <c r="J2270">
        <f t="shared" si="70"/>
        <v>6</v>
      </c>
      <c r="K2270" s="1" t="s">
        <v>5909</v>
      </c>
      <c r="L2270" s="1" t="s">
        <v>3793</v>
      </c>
      <c r="M2270">
        <f t="shared" si="71"/>
        <v>14</v>
      </c>
      <c r="N2270" t="s">
        <v>650</v>
      </c>
    </row>
    <row r="2271" spans="1:14" hidden="1" x14ac:dyDescent="0.3">
      <c r="A2271" s="1" t="s">
        <v>6030</v>
      </c>
      <c r="B2271" s="1" t="s">
        <v>1451</v>
      </c>
      <c r="C2271" s="1" t="s">
        <v>6031</v>
      </c>
      <c r="D2271" s="1" t="s">
        <v>1242</v>
      </c>
      <c r="E2271" s="1" t="s">
        <v>5999</v>
      </c>
      <c r="F2271" s="1" t="s">
        <v>6000</v>
      </c>
      <c r="G2271" s="1" t="s">
        <v>6001</v>
      </c>
      <c r="H2271">
        <v>1998</v>
      </c>
      <c r="I2271">
        <v>2003</v>
      </c>
      <c r="J2271">
        <f t="shared" si="70"/>
        <v>6</v>
      </c>
      <c r="K2271" s="1" t="s">
        <v>5909</v>
      </c>
      <c r="L2271" s="1" t="s">
        <v>3793</v>
      </c>
      <c r="M2271">
        <f t="shared" si="71"/>
        <v>23</v>
      </c>
      <c r="N2271" t="s">
        <v>640</v>
      </c>
    </row>
    <row r="2272" spans="1:14" hidden="1" x14ac:dyDescent="0.3">
      <c r="A2272" s="1" t="s">
        <v>6032</v>
      </c>
      <c r="B2272" s="1" t="s">
        <v>3790</v>
      </c>
      <c r="C2272" s="1" t="s">
        <v>6033</v>
      </c>
      <c r="D2272" s="1" t="s">
        <v>746</v>
      </c>
      <c r="E2272" s="1" t="s">
        <v>747</v>
      </c>
      <c r="F2272" s="1" t="s">
        <v>748</v>
      </c>
      <c r="G2272" s="1" t="s">
        <v>6034</v>
      </c>
      <c r="H2272">
        <v>2010</v>
      </c>
      <c r="I2272">
        <v>2015</v>
      </c>
      <c r="J2272">
        <f t="shared" si="70"/>
        <v>6</v>
      </c>
      <c r="K2272" s="1" t="s">
        <v>5909</v>
      </c>
      <c r="L2272" s="1" t="s">
        <v>798</v>
      </c>
      <c r="M2272">
        <f t="shared" si="71"/>
        <v>11</v>
      </c>
      <c r="N2272" t="s">
        <v>650</v>
      </c>
    </row>
    <row r="2273" spans="1:14" hidden="1" x14ac:dyDescent="0.3">
      <c r="A2273" t="s">
        <v>11355</v>
      </c>
      <c r="B2273" t="s">
        <v>802</v>
      </c>
      <c r="C2273" t="s">
        <v>11356</v>
      </c>
      <c r="E2273" s="1" t="e">
        <v>#N/A</v>
      </c>
      <c r="F2273" s="1" t="e">
        <v>#N/A</v>
      </c>
      <c r="G2273" s="1" t="s">
        <v>12810</v>
      </c>
      <c r="H2273">
        <v>2024</v>
      </c>
      <c r="I2273">
        <v>2026</v>
      </c>
      <c r="J2273">
        <f t="shared" si="70"/>
        <v>3</v>
      </c>
      <c r="K2273" s="1" t="s">
        <v>741</v>
      </c>
      <c r="L2273" s="1" t="s">
        <v>649</v>
      </c>
      <c r="M2273">
        <f t="shared" si="71"/>
        <v>0</v>
      </c>
    </row>
    <row r="2274" spans="1:14" hidden="1" x14ac:dyDescent="0.3">
      <c r="A2274" t="s">
        <v>11357</v>
      </c>
      <c r="B2274" t="s">
        <v>802</v>
      </c>
      <c r="C2274" t="s">
        <v>11358</v>
      </c>
      <c r="E2274" s="1" t="e">
        <v>#N/A</v>
      </c>
      <c r="F2274" s="1" t="e">
        <v>#N/A</v>
      </c>
      <c r="G2274" s="1" t="s">
        <v>12810</v>
      </c>
      <c r="H2274">
        <v>2024</v>
      </c>
      <c r="I2274">
        <v>2026</v>
      </c>
      <c r="J2274">
        <f t="shared" si="70"/>
        <v>3</v>
      </c>
      <c r="K2274" s="1" t="s">
        <v>3665</v>
      </c>
      <c r="L2274" s="1" t="s">
        <v>649</v>
      </c>
      <c r="M2274">
        <f t="shared" si="71"/>
        <v>0</v>
      </c>
    </row>
    <row r="2275" spans="1:14" hidden="1" x14ac:dyDescent="0.3">
      <c r="A2275" t="s">
        <v>11359</v>
      </c>
      <c r="B2275" t="s">
        <v>802</v>
      </c>
      <c r="C2275" t="s">
        <v>11360</v>
      </c>
      <c r="E2275" s="1" t="e">
        <v>#N/A</v>
      </c>
      <c r="F2275" s="1" t="e">
        <v>#N/A</v>
      </c>
      <c r="G2275" s="1" t="s">
        <v>12810</v>
      </c>
      <c r="H2275">
        <v>2023</v>
      </c>
      <c r="I2275">
        <v>2025</v>
      </c>
      <c r="J2275">
        <f t="shared" si="70"/>
        <v>3</v>
      </c>
      <c r="K2275" s="1" t="s">
        <v>741</v>
      </c>
      <c r="L2275" s="1" t="s">
        <v>649</v>
      </c>
      <c r="M2275">
        <f t="shared" si="71"/>
        <v>1</v>
      </c>
    </row>
    <row r="2276" spans="1:14" hidden="1" x14ac:dyDescent="0.3">
      <c r="A2276" t="s">
        <v>11361</v>
      </c>
      <c r="B2276" t="s">
        <v>802</v>
      </c>
      <c r="C2276" t="s">
        <v>11362</v>
      </c>
      <c r="E2276" s="1" t="e">
        <v>#N/A</v>
      </c>
      <c r="F2276" s="1" t="e">
        <v>#N/A</v>
      </c>
      <c r="G2276" s="1" t="s">
        <v>12810</v>
      </c>
      <c r="H2276">
        <v>2025</v>
      </c>
      <c r="I2276">
        <v>2026</v>
      </c>
      <c r="J2276">
        <f t="shared" si="70"/>
        <v>2</v>
      </c>
      <c r="K2276" s="1" t="s">
        <v>741</v>
      </c>
      <c r="L2276" s="1" t="s">
        <v>649</v>
      </c>
      <c r="M2276">
        <f t="shared" si="71"/>
        <v>0</v>
      </c>
    </row>
    <row r="2277" spans="1:14" hidden="1" x14ac:dyDescent="0.3">
      <c r="A2277" t="s">
        <v>11363</v>
      </c>
      <c r="B2277" t="s">
        <v>802</v>
      </c>
      <c r="C2277" t="s">
        <v>11364</v>
      </c>
      <c r="E2277" s="1" t="e">
        <v>#N/A</v>
      </c>
      <c r="F2277" s="1" t="e">
        <v>#N/A</v>
      </c>
      <c r="G2277" s="1" t="s">
        <v>12810</v>
      </c>
      <c r="H2277">
        <v>2023</v>
      </c>
      <c r="I2277">
        <v>2025</v>
      </c>
      <c r="J2277">
        <f t="shared" si="70"/>
        <v>3</v>
      </c>
      <c r="K2277" s="1" t="s">
        <v>741</v>
      </c>
      <c r="L2277" s="1" t="s">
        <v>649</v>
      </c>
      <c r="M2277">
        <f t="shared" si="71"/>
        <v>1</v>
      </c>
    </row>
    <row r="2278" spans="1:14" hidden="1" x14ac:dyDescent="0.3">
      <c r="A2278" t="s">
        <v>11365</v>
      </c>
      <c r="B2278" t="s">
        <v>802</v>
      </c>
      <c r="C2278" t="s">
        <v>11366</v>
      </c>
      <c r="E2278" s="1" t="e">
        <v>#N/A</v>
      </c>
      <c r="F2278" s="1" t="e">
        <v>#N/A</v>
      </c>
      <c r="G2278" s="1" t="s">
        <v>12810</v>
      </c>
      <c r="H2278">
        <v>2025</v>
      </c>
      <c r="I2278">
        <v>2026</v>
      </c>
      <c r="J2278">
        <f t="shared" si="70"/>
        <v>2</v>
      </c>
      <c r="K2278" s="1" t="s">
        <v>741</v>
      </c>
      <c r="L2278" s="1" t="s">
        <v>649</v>
      </c>
      <c r="M2278">
        <f t="shared" si="71"/>
        <v>0</v>
      </c>
    </row>
    <row r="2279" spans="1:14" hidden="1" x14ac:dyDescent="0.3">
      <c r="A2279" t="s">
        <v>11367</v>
      </c>
      <c r="B2279" t="s">
        <v>802</v>
      </c>
      <c r="C2279" t="s">
        <v>11368</v>
      </c>
      <c r="E2279" s="1" t="e">
        <v>#N/A</v>
      </c>
      <c r="F2279" s="1" t="e">
        <v>#N/A</v>
      </c>
      <c r="G2279" s="1" t="s">
        <v>12810</v>
      </c>
      <c r="H2279">
        <v>2023</v>
      </c>
      <c r="I2279">
        <v>2026</v>
      </c>
      <c r="J2279">
        <f t="shared" si="70"/>
        <v>4</v>
      </c>
      <c r="K2279" s="1" t="s">
        <v>741</v>
      </c>
      <c r="L2279" s="1" t="s">
        <v>649</v>
      </c>
      <c r="M2279">
        <f t="shared" si="71"/>
        <v>0</v>
      </c>
    </row>
    <row r="2280" spans="1:14" hidden="1" x14ac:dyDescent="0.3">
      <c r="A2280" t="s">
        <v>11369</v>
      </c>
      <c r="B2280" t="s">
        <v>802</v>
      </c>
      <c r="C2280" t="s">
        <v>11370</v>
      </c>
      <c r="E2280" s="1" t="e">
        <v>#N/A</v>
      </c>
      <c r="F2280" s="1" t="e">
        <v>#N/A</v>
      </c>
      <c r="G2280" s="1" t="s">
        <v>12810</v>
      </c>
      <c r="H2280">
        <v>2025</v>
      </c>
      <c r="I2280">
        <v>2025</v>
      </c>
      <c r="J2280">
        <f t="shared" si="70"/>
        <v>1</v>
      </c>
      <c r="K2280" s="1" t="s">
        <v>741</v>
      </c>
      <c r="L2280" s="1" t="s">
        <v>649</v>
      </c>
      <c r="M2280">
        <f t="shared" si="71"/>
        <v>1</v>
      </c>
    </row>
    <row r="2281" spans="1:14" hidden="1" x14ac:dyDescent="0.3">
      <c r="A2281" s="1" t="s">
        <v>1450</v>
      </c>
      <c r="B2281" s="1" t="s">
        <v>1451</v>
      </c>
      <c r="C2281" s="1" t="s">
        <v>1452</v>
      </c>
      <c r="D2281" s="1" t="s">
        <v>746</v>
      </c>
      <c r="E2281" s="1" t="s">
        <v>747</v>
      </c>
      <c r="F2281" s="1" t="s">
        <v>748</v>
      </c>
      <c r="G2281" s="1" t="s">
        <v>1453</v>
      </c>
      <c r="H2281">
        <v>2007</v>
      </c>
      <c r="I2281">
        <v>2013</v>
      </c>
      <c r="J2281">
        <f t="shared" si="70"/>
        <v>7</v>
      </c>
      <c r="K2281" s="1" t="s">
        <v>741</v>
      </c>
      <c r="L2281" s="1" t="s">
        <v>798</v>
      </c>
      <c r="M2281">
        <f t="shared" si="71"/>
        <v>13</v>
      </c>
      <c r="N2281" t="s">
        <v>650</v>
      </c>
    </row>
    <row r="2282" spans="1:14" x14ac:dyDescent="0.3">
      <c r="A2282" s="1" t="s">
        <v>7947</v>
      </c>
      <c r="B2282" s="1" t="s">
        <v>1451</v>
      </c>
      <c r="C2282" s="1" t="s">
        <v>7948</v>
      </c>
      <c r="D2282" s="1" t="s">
        <v>746</v>
      </c>
      <c r="E2282" s="1" t="s">
        <v>6076</v>
      </c>
      <c r="F2282" s="1" t="s">
        <v>6076</v>
      </c>
      <c r="G2282" s="1" t="s">
        <v>1453</v>
      </c>
      <c r="H2282">
        <v>1996</v>
      </c>
      <c r="I2282">
        <v>2000</v>
      </c>
      <c r="J2282">
        <f t="shared" si="70"/>
        <v>5</v>
      </c>
      <c r="K2282" s="1" t="s">
        <v>6076</v>
      </c>
      <c r="L2282" s="1" t="s">
        <v>6076</v>
      </c>
      <c r="M2282">
        <f t="shared" si="71"/>
        <v>26</v>
      </c>
      <c r="N2282" t="s">
        <v>640</v>
      </c>
    </row>
    <row r="2283" spans="1:14" x14ac:dyDescent="0.3">
      <c r="A2283" s="1" t="s">
        <v>7949</v>
      </c>
      <c r="B2283" s="1" t="s">
        <v>1451</v>
      </c>
      <c r="C2283" s="1" t="s">
        <v>7950</v>
      </c>
      <c r="D2283" s="1" t="s">
        <v>746</v>
      </c>
      <c r="E2283" s="1" t="s">
        <v>6076</v>
      </c>
      <c r="F2283" s="1" t="s">
        <v>6076</v>
      </c>
      <c r="G2283" s="1" t="s">
        <v>1453</v>
      </c>
      <c r="H2283">
        <v>1995</v>
      </c>
      <c r="I2283">
        <v>1996</v>
      </c>
      <c r="J2283">
        <f t="shared" si="70"/>
        <v>2</v>
      </c>
      <c r="K2283" s="1" t="s">
        <v>6076</v>
      </c>
      <c r="L2283" s="1" t="s">
        <v>6076</v>
      </c>
      <c r="M2283">
        <f t="shared" si="71"/>
        <v>30</v>
      </c>
      <c r="N2283" t="s">
        <v>640</v>
      </c>
    </row>
    <row r="2284" spans="1:14" hidden="1" x14ac:dyDescent="0.3">
      <c r="A2284" s="1" t="s">
        <v>1454</v>
      </c>
      <c r="B2284" s="1" t="s">
        <v>1451</v>
      </c>
      <c r="C2284" s="1" t="s">
        <v>1455</v>
      </c>
      <c r="D2284" s="1" t="s">
        <v>746</v>
      </c>
      <c r="E2284" s="1" t="s">
        <v>747</v>
      </c>
      <c r="F2284" s="1" t="s">
        <v>748</v>
      </c>
      <c r="G2284" s="1" t="s">
        <v>1453</v>
      </c>
      <c r="H2284">
        <v>2013</v>
      </c>
      <c r="I2284">
        <v>2016</v>
      </c>
      <c r="J2284">
        <f t="shared" si="70"/>
        <v>4</v>
      </c>
      <c r="K2284" s="1" t="s">
        <v>741</v>
      </c>
      <c r="L2284" s="1" t="s">
        <v>798</v>
      </c>
      <c r="M2284">
        <f t="shared" si="71"/>
        <v>10</v>
      </c>
      <c r="N2284" t="s">
        <v>650</v>
      </c>
    </row>
    <row r="2285" spans="1:14" hidden="1" x14ac:dyDescent="0.3">
      <c r="A2285" s="1" t="s">
        <v>1456</v>
      </c>
      <c r="B2285" s="1" t="s">
        <v>1451</v>
      </c>
      <c r="C2285" s="1" t="s">
        <v>1457</v>
      </c>
      <c r="D2285" s="1" t="s">
        <v>746</v>
      </c>
      <c r="E2285" s="1" t="s">
        <v>747</v>
      </c>
      <c r="F2285" s="1" t="s">
        <v>748</v>
      </c>
      <c r="G2285" s="1" t="s">
        <v>1453</v>
      </c>
      <c r="H2285">
        <v>2013</v>
      </c>
      <c r="I2285">
        <v>2016</v>
      </c>
      <c r="J2285">
        <f t="shared" si="70"/>
        <v>4</v>
      </c>
      <c r="K2285" s="1" t="s">
        <v>741</v>
      </c>
      <c r="L2285" s="1" t="s">
        <v>649</v>
      </c>
      <c r="M2285">
        <f t="shared" si="71"/>
        <v>10</v>
      </c>
      <c r="N2285" t="s">
        <v>650</v>
      </c>
    </row>
    <row r="2286" spans="1:14" hidden="1" x14ac:dyDescent="0.3">
      <c r="A2286" s="1" t="s">
        <v>1458</v>
      </c>
      <c r="B2286" s="1" t="s">
        <v>1451</v>
      </c>
      <c r="C2286" s="1" t="s">
        <v>1459</v>
      </c>
      <c r="D2286" s="1" t="s">
        <v>746</v>
      </c>
      <c r="E2286" s="1" t="s">
        <v>747</v>
      </c>
      <c r="F2286" s="1" t="s">
        <v>748</v>
      </c>
      <c r="G2286" s="1" t="s">
        <v>1453</v>
      </c>
      <c r="H2286">
        <v>2013</v>
      </c>
      <c r="I2286">
        <v>2016</v>
      </c>
      <c r="J2286">
        <f t="shared" si="70"/>
        <v>4</v>
      </c>
      <c r="K2286" s="1" t="s">
        <v>741</v>
      </c>
      <c r="L2286" s="1" t="s">
        <v>798</v>
      </c>
      <c r="M2286">
        <f t="shared" si="71"/>
        <v>10</v>
      </c>
      <c r="N2286" t="s">
        <v>650</v>
      </c>
    </row>
    <row r="2287" spans="1:14" hidden="1" x14ac:dyDescent="0.3">
      <c r="A2287" s="1" t="s">
        <v>1460</v>
      </c>
      <c r="B2287" s="1" t="s">
        <v>1451</v>
      </c>
      <c r="C2287" s="1" t="s">
        <v>1461</v>
      </c>
      <c r="D2287" s="1" t="s">
        <v>746</v>
      </c>
      <c r="E2287" s="1" t="s">
        <v>747</v>
      </c>
      <c r="F2287" s="1" t="s">
        <v>748</v>
      </c>
      <c r="G2287" s="1" t="s">
        <v>1453</v>
      </c>
      <c r="H2287">
        <v>2005</v>
      </c>
      <c r="I2287">
        <v>2013</v>
      </c>
      <c r="J2287">
        <f t="shared" si="70"/>
        <v>9</v>
      </c>
      <c r="K2287" s="1" t="s">
        <v>741</v>
      </c>
      <c r="L2287" s="1" t="s">
        <v>798</v>
      </c>
      <c r="M2287">
        <f t="shared" si="71"/>
        <v>13</v>
      </c>
      <c r="N2287" t="s">
        <v>650</v>
      </c>
    </row>
    <row r="2288" spans="1:14" x14ac:dyDescent="0.3">
      <c r="A2288" s="1" t="s">
        <v>7951</v>
      </c>
      <c r="B2288" s="1" t="s">
        <v>1451</v>
      </c>
      <c r="C2288" s="1" t="s">
        <v>7952</v>
      </c>
      <c r="D2288" s="1" t="s">
        <v>746</v>
      </c>
      <c r="E2288" s="1" t="s">
        <v>6076</v>
      </c>
      <c r="F2288" s="1" t="s">
        <v>6076</v>
      </c>
      <c r="G2288" s="1" t="s">
        <v>1453</v>
      </c>
      <c r="H2288">
        <v>1998</v>
      </c>
      <c r="I2288">
        <v>2000</v>
      </c>
      <c r="J2288">
        <f t="shared" si="70"/>
        <v>3</v>
      </c>
      <c r="K2288" s="1" t="s">
        <v>6076</v>
      </c>
      <c r="L2288" s="1" t="s">
        <v>6076</v>
      </c>
      <c r="M2288">
        <f t="shared" si="71"/>
        <v>26</v>
      </c>
      <c r="N2288" t="s">
        <v>640</v>
      </c>
    </row>
    <row r="2289" spans="1:14" x14ac:dyDescent="0.3">
      <c r="A2289" s="1" t="s">
        <v>7953</v>
      </c>
      <c r="B2289" s="1" t="s">
        <v>1451</v>
      </c>
      <c r="C2289" s="1" t="s">
        <v>7954</v>
      </c>
      <c r="D2289" s="1" t="s">
        <v>746</v>
      </c>
      <c r="E2289" s="1" t="s">
        <v>6076</v>
      </c>
      <c r="F2289" s="1" t="s">
        <v>6076</v>
      </c>
      <c r="G2289" s="1" t="s">
        <v>1453</v>
      </c>
      <c r="H2289">
        <v>1998</v>
      </c>
      <c r="I2289">
        <v>2000</v>
      </c>
      <c r="J2289">
        <f t="shared" si="70"/>
        <v>3</v>
      </c>
      <c r="K2289" s="1" t="s">
        <v>6076</v>
      </c>
      <c r="L2289" s="1" t="s">
        <v>6076</v>
      </c>
      <c r="M2289">
        <f t="shared" si="71"/>
        <v>26</v>
      </c>
      <c r="N2289" t="s">
        <v>640</v>
      </c>
    </row>
    <row r="2290" spans="1:14" hidden="1" x14ac:dyDescent="0.3">
      <c r="A2290" s="1" t="s">
        <v>1462</v>
      </c>
      <c r="B2290" s="1" t="s">
        <v>1451</v>
      </c>
      <c r="C2290" s="1" t="s">
        <v>1463</v>
      </c>
      <c r="D2290" s="1" t="s">
        <v>746</v>
      </c>
      <c r="E2290" s="1" t="s">
        <v>747</v>
      </c>
      <c r="F2290" s="1" t="s">
        <v>748</v>
      </c>
      <c r="G2290" s="1" t="s">
        <v>1453</v>
      </c>
      <c r="H2290">
        <v>2003</v>
      </c>
      <c r="I2290">
        <v>2004</v>
      </c>
      <c r="J2290">
        <f t="shared" si="70"/>
        <v>2</v>
      </c>
      <c r="K2290" s="1" t="s">
        <v>741</v>
      </c>
      <c r="L2290" s="1" t="s">
        <v>798</v>
      </c>
      <c r="M2290">
        <f t="shared" si="71"/>
        <v>22</v>
      </c>
      <c r="N2290" t="s">
        <v>650</v>
      </c>
    </row>
    <row r="2291" spans="1:14" x14ac:dyDescent="0.3">
      <c r="A2291" s="1" t="s">
        <v>7955</v>
      </c>
      <c r="B2291" s="1" t="s">
        <v>1451</v>
      </c>
      <c r="C2291" s="1" t="s">
        <v>7956</v>
      </c>
      <c r="D2291" s="1" t="s">
        <v>746</v>
      </c>
      <c r="E2291" s="1" t="s">
        <v>6076</v>
      </c>
      <c r="F2291" s="1" t="s">
        <v>6076</v>
      </c>
      <c r="G2291" s="1" t="s">
        <v>1453</v>
      </c>
      <c r="H2291">
        <v>1996</v>
      </c>
      <c r="I2291">
        <v>1999</v>
      </c>
      <c r="J2291">
        <f t="shared" si="70"/>
        <v>4</v>
      </c>
      <c r="K2291" s="1" t="s">
        <v>6076</v>
      </c>
      <c r="L2291" s="1" t="s">
        <v>6076</v>
      </c>
      <c r="M2291">
        <f t="shared" si="71"/>
        <v>27</v>
      </c>
      <c r="N2291" t="s">
        <v>640</v>
      </c>
    </row>
    <row r="2292" spans="1:14" x14ac:dyDescent="0.3">
      <c r="A2292" s="1" t="s">
        <v>7957</v>
      </c>
      <c r="B2292" s="1" t="s">
        <v>1451</v>
      </c>
      <c r="C2292" s="1" t="s">
        <v>7958</v>
      </c>
      <c r="D2292" s="1" t="s">
        <v>746</v>
      </c>
      <c r="E2292" s="1" t="s">
        <v>6076</v>
      </c>
      <c r="F2292" s="1" t="s">
        <v>6076</v>
      </c>
      <c r="G2292" s="1" t="s">
        <v>1453</v>
      </c>
      <c r="H2292">
        <v>1996</v>
      </c>
      <c r="I2292">
        <v>1999</v>
      </c>
      <c r="J2292">
        <f t="shared" si="70"/>
        <v>4</v>
      </c>
      <c r="K2292" s="1" t="s">
        <v>6076</v>
      </c>
      <c r="L2292" s="1" t="s">
        <v>6076</v>
      </c>
      <c r="M2292">
        <f t="shared" si="71"/>
        <v>27</v>
      </c>
      <c r="N2292" t="s">
        <v>640</v>
      </c>
    </row>
    <row r="2293" spans="1:14" x14ac:dyDescent="0.3">
      <c r="A2293" s="1" t="s">
        <v>7959</v>
      </c>
      <c r="B2293" s="1" t="s">
        <v>1451</v>
      </c>
      <c r="C2293" s="1" t="s">
        <v>7960</v>
      </c>
      <c r="D2293" s="1" t="s">
        <v>746</v>
      </c>
      <c r="E2293" s="1" t="s">
        <v>6076</v>
      </c>
      <c r="F2293" s="1" t="s">
        <v>6076</v>
      </c>
      <c r="G2293" s="1" t="s">
        <v>1453</v>
      </c>
      <c r="H2293">
        <v>1996</v>
      </c>
      <c r="I2293">
        <v>2000</v>
      </c>
      <c r="J2293">
        <f t="shared" si="70"/>
        <v>5</v>
      </c>
      <c r="K2293" s="1" t="s">
        <v>6076</v>
      </c>
      <c r="L2293" s="1" t="s">
        <v>6076</v>
      </c>
      <c r="M2293">
        <f t="shared" si="71"/>
        <v>26</v>
      </c>
      <c r="N2293" t="s">
        <v>640</v>
      </c>
    </row>
    <row r="2294" spans="1:14" hidden="1" x14ac:dyDescent="0.3">
      <c r="A2294" s="1" t="s">
        <v>5145</v>
      </c>
      <c r="B2294" s="1" t="s">
        <v>1451</v>
      </c>
      <c r="C2294" s="1" t="s">
        <v>5146</v>
      </c>
      <c r="D2294" s="1" t="s">
        <v>746</v>
      </c>
      <c r="E2294" s="1" t="s">
        <v>747</v>
      </c>
      <c r="F2294" s="1" t="s">
        <v>748</v>
      </c>
      <c r="G2294" s="1" t="s">
        <v>1453</v>
      </c>
      <c r="H2294">
        <v>2000</v>
      </c>
      <c r="I2294">
        <v>2001</v>
      </c>
      <c r="J2294">
        <f t="shared" si="70"/>
        <v>2</v>
      </c>
      <c r="K2294" s="1" t="s">
        <v>4668</v>
      </c>
      <c r="L2294" s="1" t="s">
        <v>659</v>
      </c>
      <c r="M2294">
        <f t="shared" si="71"/>
        <v>25</v>
      </c>
      <c r="N2294" t="s">
        <v>640</v>
      </c>
    </row>
    <row r="2295" spans="1:14" hidden="1" x14ac:dyDescent="0.3">
      <c r="A2295" s="1" t="s">
        <v>5147</v>
      </c>
      <c r="B2295" s="1" t="s">
        <v>1451</v>
      </c>
      <c r="C2295" s="1" t="s">
        <v>5148</v>
      </c>
      <c r="D2295" s="1" t="s">
        <v>746</v>
      </c>
      <c r="E2295" s="1" t="s">
        <v>747</v>
      </c>
      <c r="F2295" s="1" t="s">
        <v>748</v>
      </c>
      <c r="G2295" s="1" t="s">
        <v>1453</v>
      </c>
      <c r="H2295">
        <v>2000</v>
      </c>
      <c r="I2295">
        <v>2002</v>
      </c>
      <c r="J2295">
        <f t="shared" si="70"/>
        <v>3</v>
      </c>
      <c r="K2295" s="1" t="s">
        <v>4668</v>
      </c>
      <c r="L2295" s="1" t="s">
        <v>659</v>
      </c>
      <c r="M2295">
        <f t="shared" si="71"/>
        <v>24</v>
      </c>
      <c r="N2295" t="s">
        <v>650</v>
      </c>
    </row>
    <row r="2296" spans="1:14" hidden="1" x14ac:dyDescent="0.3">
      <c r="A2296" s="1" t="s">
        <v>5149</v>
      </c>
      <c r="B2296" s="1" t="s">
        <v>1451</v>
      </c>
      <c r="C2296" s="1" t="s">
        <v>5150</v>
      </c>
      <c r="D2296" s="1" t="s">
        <v>746</v>
      </c>
      <c r="E2296" s="1" t="s">
        <v>747</v>
      </c>
      <c r="F2296" s="1" t="s">
        <v>748</v>
      </c>
      <c r="G2296" s="1" t="s">
        <v>1453</v>
      </c>
      <c r="H2296">
        <v>2000</v>
      </c>
      <c r="I2296">
        <v>2002</v>
      </c>
      <c r="J2296">
        <f t="shared" si="70"/>
        <v>3</v>
      </c>
      <c r="K2296" s="1" t="s">
        <v>4668</v>
      </c>
      <c r="L2296" s="1" t="s">
        <v>659</v>
      </c>
      <c r="M2296">
        <f t="shared" si="71"/>
        <v>24</v>
      </c>
      <c r="N2296" t="s">
        <v>650</v>
      </c>
    </row>
    <row r="2297" spans="1:14" hidden="1" x14ac:dyDescent="0.3">
      <c r="A2297" s="1" t="s">
        <v>5151</v>
      </c>
      <c r="B2297" s="1" t="s">
        <v>1451</v>
      </c>
      <c r="C2297" s="1" t="s">
        <v>5152</v>
      </c>
      <c r="D2297" s="1" t="s">
        <v>746</v>
      </c>
      <c r="E2297" s="1" t="s">
        <v>747</v>
      </c>
      <c r="F2297" s="1" t="s">
        <v>748</v>
      </c>
      <c r="G2297" s="1" t="s">
        <v>1453</v>
      </c>
      <c r="H2297">
        <v>2000</v>
      </c>
      <c r="I2297">
        <v>2002</v>
      </c>
      <c r="J2297">
        <f t="shared" si="70"/>
        <v>3</v>
      </c>
      <c r="K2297" s="1" t="s">
        <v>4668</v>
      </c>
      <c r="L2297" s="1" t="s">
        <v>659</v>
      </c>
      <c r="M2297">
        <f t="shared" si="71"/>
        <v>24</v>
      </c>
      <c r="N2297" t="s">
        <v>650</v>
      </c>
    </row>
    <row r="2298" spans="1:14" hidden="1" x14ac:dyDescent="0.3">
      <c r="A2298" s="1" t="s">
        <v>1464</v>
      </c>
      <c r="B2298" s="1" t="s">
        <v>1451</v>
      </c>
      <c r="C2298" s="1" t="s">
        <v>1465</v>
      </c>
      <c r="D2298" s="1" t="s">
        <v>746</v>
      </c>
      <c r="E2298" s="1" t="s">
        <v>747</v>
      </c>
      <c r="F2298" s="1" t="s">
        <v>748</v>
      </c>
      <c r="G2298" s="1" t="s">
        <v>1453</v>
      </c>
      <c r="H2298">
        <v>2003</v>
      </c>
      <c r="I2298">
        <v>2007</v>
      </c>
      <c r="J2298">
        <f t="shared" si="70"/>
        <v>5</v>
      </c>
      <c r="K2298" s="1" t="s">
        <v>741</v>
      </c>
      <c r="L2298" s="1" t="s">
        <v>798</v>
      </c>
      <c r="M2298">
        <f t="shared" si="71"/>
        <v>19</v>
      </c>
      <c r="N2298" t="s">
        <v>650</v>
      </c>
    </row>
    <row r="2299" spans="1:14" hidden="1" x14ac:dyDescent="0.3">
      <c r="A2299" s="1" t="s">
        <v>1466</v>
      </c>
      <c r="B2299" s="1" t="s">
        <v>1451</v>
      </c>
      <c r="C2299" s="1" t="s">
        <v>1467</v>
      </c>
      <c r="D2299" s="1" t="s">
        <v>746</v>
      </c>
      <c r="E2299" s="1" t="s">
        <v>747</v>
      </c>
      <c r="F2299" s="1" t="s">
        <v>748</v>
      </c>
      <c r="G2299" s="1" t="s">
        <v>1453</v>
      </c>
      <c r="H2299">
        <v>2014</v>
      </c>
      <c r="I2299">
        <v>2014</v>
      </c>
      <c r="J2299">
        <f t="shared" si="70"/>
        <v>1</v>
      </c>
      <c r="K2299" s="1" t="s">
        <v>741</v>
      </c>
      <c r="L2299" s="1" t="s">
        <v>798</v>
      </c>
      <c r="M2299">
        <f t="shared" si="71"/>
        <v>12</v>
      </c>
      <c r="N2299" t="s">
        <v>650</v>
      </c>
    </row>
    <row r="2300" spans="1:14" hidden="1" x14ac:dyDescent="0.3">
      <c r="A2300" s="1" t="s">
        <v>1468</v>
      </c>
      <c r="B2300" s="1" t="s">
        <v>1451</v>
      </c>
      <c r="C2300" s="1" t="s">
        <v>1469</v>
      </c>
      <c r="D2300" s="1" t="s">
        <v>746</v>
      </c>
      <c r="E2300" s="1" t="s">
        <v>747</v>
      </c>
      <c r="F2300" s="1" t="s">
        <v>748</v>
      </c>
      <c r="G2300" s="1" t="s">
        <v>1453</v>
      </c>
      <c r="H2300">
        <v>2014</v>
      </c>
      <c r="I2300">
        <v>2014</v>
      </c>
      <c r="J2300">
        <f t="shared" si="70"/>
        <v>1</v>
      </c>
      <c r="K2300" s="1" t="s">
        <v>741</v>
      </c>
      <c r="L2300" s="1" t="s">
        <v>798</v>
      </c>
      <c r="M2300">
        <f t="shared" si="71"/>
        <v>12</v>
      </c>
      <c r="N2300" t="s">
        <v>650</v>
      </c>
    </row>
    <row r="2301" spans="1:14" hidden="1" x14ac:dyDescent="0.3">
      <c r="A2301" s="1" t="s">
        <v>1470</v>
      </c>
      <c r="B2301" s="1" t="s">
        <v>1451</v>
      </c>
      <c r="C2301" s="1" t="s">
        <v>1471</v>
      </c>
      <c r="D2301" s="1" t="s">
        <v>746</v>
      </c>
      <c r="E2301" s="1" t="s">
        <v>747</v>
      </c>
      <c r="F2301" s="1" t="s">
        <v>748</v>
      </c>
      <c r="G2301" s="1" t="s">
        <v>1453</v>
      </c>
      <c r="H2301">
        <v>2011</v>
      </c>
      <c r="I2301">
        <v>2019</v>
      </c>
      <c r="J2301">
        <f t="shared" si="70"/>
        <v>9</v>
      </c>
      <c r="K2301" s="1" t="s">
        <v>741</v>
      </c>
      <c r="L2301" s="1" t="s">
        <v>798</v>
      </c>
      <c r="M2301">
        <f t="shared" si="71"/>
        <v>7</v>
      </c>
      <c r="N2301" t="s">
        <v>650</v>
      </c>
    </row>
    <row r="2302" spans="1:14" hidden="1" x14ac:dyDescent="0.3">
      <c r="A2302" s="1" t="s">
        <v>1472</v>
      </c>
      <c r="B2302" s="1" t="s">
        <v>1451</v>
      </c>
      <c r="C2302" s="1" t="s">
        <v>1473</v>
      </c>
      <c r="D2302" s="1" t="s">
        <v>746</v>
      </c>
      <c r="E2302" s="1" t="s">
        <v>747</v>
      </c>
      <c r="F2302" s="1" t="s">
        <v>748</v>
      </c>
      <c r="G2302" s="1" t="s">
        <v>1453</v>
      </c>
      <c r="H2302">
        <v>2014</v>
      </c>
      <c r="I2302">
        <v>2014</v>
      </c>
      <c r="J2302">
        <f t="shared" si="70"/>
        <v>1</v>
      </c>
      <c r="K2302" s="1" t="s">
        <v>741</v>
      </c>
      <c r="L2302" s="1" t="s">
        <v>798</v>
      </c>
      <c r="M2302">
        <f t="shared" si="71"/>
        <v>12</v>
      </c>
      <c r="N2302" t="s">
        <v>650</v>
      </c>
    </row>
    <row r="2303" spans="1:14" hidden="1" x14ac:dyDescent="0.3">
      <c r="A2303" s="1" t="s">
        <v>1474</v>
      </c>
      <c r="B2303" s="1" t="s">
        <v>1451</v>
      </c>
      <c r="C2303" s="1" t="s">
        <v>1475</v>
      </c>
      <c r="D2303" s="1" t="s">
        <v>746</v>
      </c>
      <c r="E2303" s="1" t="s">
        <v>747</v>
      </c>
      <c r="F2303" s="1" t="s">
        <v>748</v>
      </c>
      <c r="G2303" s="1" t="s">
        <v>1453</v>
      </c>
      <c r="H2303">
        <v>2018</v>
      </c>
      <c r="I2303">
        <v>2019</v>
      </c>
      <c r="J2303">
        <f t="shared" si="70"/>
        <v>2</v>
      </c>
      <c r="K2303" s="1" t="s">
        <v>741</v>
      </c>
      <c r="L2303" s="1" t="s">
        <v>798</v>
      </c>
      <c r="M2303">
        <f t="shared" si="71"/>
        <v>7</v>
      </c>
      <c r="N2303" t="s">
        <v>650</v>
      </c>
    </row>
    <row r="2304" spans="1:14" hidden="1" x14ac:dyDescent="0.3">
      <c r="A2304" s="1" t="s">
        <v>1476</v>
      </c>
      <c r="B2304" s="1" t="s">
        <v>1451</v>
      </c>
      <c r="C2304" s="1" t="s">
        <v>1477</v>
      </c>
      <c r="D2304" s="1" t="s">
        <v>746</v>
      </c>
      <c r="E2304" s="1" t="s">
        <v>747</v>
      </c>
      <c r="F2304" s="1" t="s">
        <v>748</v>
      </c>
      <c r="G2304" s="1" t="s">
        <v>1453</v>
      </c>
      <c r="H2304">
        <v>2017</v>
      </c>
      <c r="I2304">
        <v>2017</v>
      </c>
      <c r="J2304">
        <f t="shared" si="70"/>
        <v>1</v>
      </c>
      <c r="K2304" s="1" t="s">
        <v>741</v>
      </c>
      <c r="L2304" s="1" t="s">
        <v>798</v>
      </c>
      <c r="M2304">
        <f t="shared" si="71"/>
        <v>9</v>
      </c>
      <c r="N2304" t="s">
        <v>650</v>
      </c>
    </row>
    <row r="2305" spans="1:14" hidden="1" x14ac:dyDescent="0.3">
      <c r="A2305" s="1" t="s">
        <v>1478</v>
      </c>
      <c r="B2305" s="1" t="s">
        <v>1451</v>
      </c>
      <c r="C2305" s="1" t="s">
        <v>1479</v>
      </c>
      <c r="D2305" s="1" t="s">
        <v>746</v>
      </c>
      <c r="E2305" s="1" t="s">
        <v>747</v>
      </c>
      <c r="F2305" s="1" t="s">
        <v>748</v>
      </c>
      <c r="G2305" s="1" t="s">
        <v>1453</v>
      </c>
      <c r="H2305">
        <v>2017</v>
      </c>
      <c r="I2305">
        <v>2019</v>
      </c>
      <c r="J2305">
        <f t="shared" si="70"/>
        <v>3</v>
      </c>
      <c r="K2305" s="1" t="s">
        <v>741</v>
      </c>
      <c r="L2305" s="1" t="s">
        <v>798</v>
      </c>
      <c r="M2305">
        <f t="shared" si="71"/>
        <v>7</v>
      </c>
      <c r="N2305" t="s">
        <v>650</v>
      </c>
    </row>
    <row r="2306" spans="1:14" hidden="1" x14ac:dyDescent="0.3">
      <c r="A2306" s="1" t="s">
        <v>1480</v>
      </c>
      <c r="B2306" s="1" t="s">
        <v>1451</v>
      </c>
      <c r="C2306" s="1" t="s">
        <v>1481</v>
      </c>
      <c r="D2306" s="1" t="s">
        <v>746</v>
      </c>
      <c r="E2306" s="1" t="s">
        <v>747</v>
      </c>
      <c r="F2306" s="1" t="s">
        <v>748</v>
      </c>
      <c r="G2306" s="1" t="s">
        <v>1453</v>
      </c>
      <c r="H2306">
        <v>2005</v>
      </c>
      <c r="I2306">
        <v>2013</v>
      </c>
      <c r="J2306">
        <f t="shared" si="70"/>
        <v>9</v>
      </c>
      <c r="K2306" s="1" t="s">
        <v>741</v>
      </c>
      <c r="L2306" s="1" t="s">
        <v>798</v>
      </c>
      <c r="M2306">
        <f t="shared" si="71"/>
        <v>13</v>
      </c>
      <c r="N2306" t="s">
        <v>650</v>
      </c>
    </row>
    <row r="2307" spans="1:14" hidden="1" x14ac:dyDescent="0.3">
      <c r="A2307" s="1" t="s">
        <v>1482</v>
      </c>
      <c r="B2307" s="1" t="s">
        <v>1451</v>
      </c>
      <c r="C2307" s="1" t="s">
        <v>1483</v>
      </c>
      <c r="D2307" s="1" t="s">
        <v>738</v>
      </c>
      <c r="E2307" s="1" t="s">
        <v>739</v>
      </c>
      <c r="F2307" s="1" t="s">
        <v>781</v>
      </c>
      <c r="G2307" s="1" t="s">
        <v>1453</v>
      </c>
      <c r="H2307">
        <v>2005</v>
      </c>
      <c r="I2307">
        <v>2007</v>
      </c>
      <c r="J2307">
        <f t="shared" si="70"/>
        <v>3</v>
      </c>
      <c r="K2307" s="1" t="s">
        <v>741</v>
      </c>
      <c r="L2307" s="1" t="s">
        <v>798</v>
      </c>
      <c r="M2307">
        <f t="shared" si="71"/>
        <v>19</v>
      </c>
      <c r="N2307" t="s">
        <v>650</v>
      </c>
    </row>
    <row r="2308" spans="1:14" hidden="1" x14ac:dyDescent="0.3">
      <c r="A2308" s="1" t="s">
        <v>1484</v>
      </c>
      <c r="B2308" s="1" t="s">
        <v>1451</v>
      </c>
      <c r="C2308" s="1" t="s">
        <v>1485</v>
      </c>
      <c r="D2308" s="1" t="s">
        <v>738</v>
      </c>
      <c r="E2308" s="1" t="s">
        <v>739</v>
      </c>
      <c r="F2308" s="1" t="s">
        <v>781</v>
      </c>
      <c r="G2308" s="1" t="s">
        <v>1453</v>
      </c>
      <c r="H2308">
        <v>2005</v>
      </c>
      <c r="I2308">
        <v>2006</v>
      </c>
      <c r="J2308">
        <f t="shared" si="70"/>
        <v>2</v>
      </c>
      <c r="K2308" s="1" t="s">
        <v>741</v>
      </c>
      <c r="L2308" s="1" t="s">
        <v>798</v>
      </c>
      <c r="M2308">
        <f t="shared" si="71"/>
        <v>20</v>
      </c>
      <c r="N2308" t="s">
        <v>650</v>
      </c>
    </row>
    <row r="2309" spans="1:14" hidden="1" x14ac:dyDescent="0.3">
      <c r="A2309" s="1" t="s">
        <v>1486</v>
      </c>
      <c r="B2309" s="1" t="s">
        <v>1451</v>
      </c>
      <c r="C2309" s="1" t="s">
        <v>1487</v>
      </c>
      <c r="D2309" s="1" t="s">
        <v>738</v>
      </c>
      <c r="E2309" s="1" t="s">
        <v>739</v>
      </c>
      <c r="F2309" s="1" t="s">
        <v>781</v>
      </c>
      <c r="G2309" s="1" t="s">
        <v>1453</v>
      </c>
      <c r="H2309">
        <v>2014</v>
      </c>
      <c r="I2309">
        <v>2017</v>
      </c>
      <c r="J2309">
        <f t="shared" si="70"/>
        <v>4</v>
      </c>
      <c r="K2309" s="1" t="s">
        <v>741</v>
      </c>
      <c r="L2309" s="1" t="s">
        <v>798</v>
      </c>
      <c r="M2309">
        <f t="shared" si="71"/>
        <v>9</v>
      </c>
      <c r="N2309" t="s">
        <v>650</v>
      </c>
    </row>
    <row r="2310" spans="1:14" hidden="1" x14ac:dyDescent="0.3">
      <c r="A2310" s="1" t="s">
        <v>1488</v>
      </c>
      <c r="B2310" s="1" t="s">
        <v>1451</v>
      </c>
      <c r="C2310" s="1" t="s">
        <v>1489</v>
      </c>
      <c r="D2310" s="1" t="s">
        <v>738</v>
      </c>
      <c r="E2310" s="1" t="s">
        <v>739</v>
      </c>
      <c r="F2310" s="1" t="s">
        <v>781</v>
      </c>
      <c r="G2310" s="1" t="s">
        <v>1453</v>
      </c>
      <c r="H2310">
        <v>2017</v>
      </c>
      <c r="I2310">
        <v>2017</v>
      </c>
      <c r="J2310">
        <f t="shared" ref="J2310:J2373" si="72">1+(I2310-H2310)</f>
        <v>1</v>
      </c>
      <c r="K2310" s="1" t="s">
        <v>741</v>
      </c>
      <c r="L2310" s="1" t="s">
        <v>798</v>
      </c>
      <c r="M2310">
        <f t="shared" ref="M2310:M2373" si="73">IF(I2310=0,0,$B$2-I2310)</f>
        <v>9</v>
      </c>
      <c r="N2310" t="s">
        <v>650</v>
      </c>
    </row>
    <row r="2311" spans="1:14" hidden="1" x14ac:dyDescent="0.3">
      <c r="A2311" s="1" t="s">
        <v>1490</v>
      </c>
      <c r="B2311" s="1" t="s">
        <v>1451</v>
      </c>
      <c r="C2311" s="1" t="s">
        <v>1491</v>
      </c>
      <c r="D2311" s="1" t="s">
        <v>738</v>
      </c>
      <c r="E2311" s="1" t="s">
        <v>739</v>
      </c>
      <c r="F2311" s="1" t="s">
        <v>781</v>
      </c>
      <c r="G2311" s="1" t="s">
        <v>1453</v>
      </c>
      <c r="H2311">
        <v>2007</v>
      </c>
      <c r="I2311">
        <v>2013</v>
      </c>
      <c r="J2311">
        <f t="shared" si="72"/>
        <v>7</v>
      </c>
      <c r="K2311" s="1" t="s">
        <v>741</v>
      </c>
      <c r="L2311" s="1" t="s">
        <v>798</v>
      </c>
      <c r="M2311">
        <f t="shared" si="73"/>
        <v>13</v>
      </c>
      <c r="N2311" t="s">
        <v>650</v>
      </c>
    </row>
    <row r="2312" spans="1:14" hidden="1" x14ac:dyDescent="0.3">
      <c r="A2312" s="1" t="s">
        <v>1492</v>
      </c>
      <c r="B2312" s="1" t="s">
        <v>1451</v>
      </c>
      <c r="C2312" s="1" t="s">
        <v>1493</v>
      </c>
      <c r="D2312" s="1" t="s">
        <v>738</v>
      </c>
      <c r="E2312" s="1" t="s">
        <v>739</v>
      </c>
      <c r="F2312" s="1" t="s">
        <v>781</v>
      </c>
      <c r="G2312" s="1" t="s">
        <v>1453</v>
      </c>
      <c r="H2312">
        <v>2014</v>
      </c>
      <c r="I2312">
        <v>2016</v>
      </c>
      <c r="J2312">
        <f t="shared" si="72"/>
        <v>3</v>
      </c>
      <c r="K2312" s="1" t="s">
        <v>741</v>
      </c>
      <c r="L2312" s="1" t="s">
        <v>798</v>
      </c>
      <c r="M2312">
        <f t="shared" si="73"/>
        <v>10</v>
      </c>
      <c r="N2312" t="s">
        <v>650</v>
      </c>
    </row>
    <row r="2313" spans="1:14" hidden="1" x14ac:dyDescent="0.3">
      <c r="A2313" s="1" t="s">
        <v>1494</v>
      </c>
      <c r="B2313" s="1" t="s">
        <v>1451</v>
      </c>
      <c r="C2313" s="1" t="s">
        <v>1495</v>
      </c>
      <c r="D2313" s="1" t="s">
        <v>738</v>
      </c>
      <c r="E2313" s="1" t="s">
        <v>739</v>
      </c>
      <c r="F2313" s="1" t="s">
        <v>781</v>
      </c>
      <c r="G2313" s="1" t="s">
        <v>1453</v>
      </c>
      <c r="H2313">
        <v>2014</v>
      </c>
      <c r="I2313">
        <v>2016</v>
      </c>
      <c r="J2313">
        <f t="shared" si="72"/>
        <v>3</v>
      </c>
      <c r="K2313" s="1" t="s">
        <v>741</v>
      </c>
      <c r="L2313" s="1" t="s">
        <v>798</v>
      </c>
      <c r="M2313">
        <f t="shared" si="73"/>
        <v>10</v>
      </c>
      <c r="N2313" t="s">
        <v>650</v>
      </c>
    </row>
    <row r="2314" spans="1:14" hidden="1" x14ac:dyDescent="0.3">
      <c r="A2314" s="1" t="s">
        <v>1496</v>
      </c>
      <c r="B2314" s="1" t="s">
        <v>1451</v>
      </c>
      <c r="C2314" s="1" t="s">
        <v>1497</v>
      </c>
      <c r="D2314" s="1" t="s">
        <v>738</v>
      </c>
      <c r="E2314" s="1" t="s">
        <v>739</v>
      </c>
      <c r="F2314" s="1" t="s">
        <v>781</v>
      </c>
      <c r="G2314" s="1" t="s">
        <v>1453</v>
      </c>
      <c r="H2314">
        <v>2014</v>
      </c>
      <c r="I2314">
        <v>2014</v>
      </c>
      <c r="J2314">
        <f t="shared" si="72"/>
        <v>1</v>
      </c>
      <c r="K2314" s="1" t="s">
        <v>741</v>
      </c>
      <c r="L2314" s="1" t="s">
        <v>798</v>
      </c>
      <c r="M2314">
        <f t="shared" si="73"/>
        <v>12</v>
      </c>
      <c r="N2314" t="s">
        <v>650</v>
      </c>
    </row>
    <row r="2315" spans="1:14" hidden="1" x14ac:dyDescent="0.3">
      <c r="A2315" s="1" t="s">
        <v>1498</v>
      </c>
      <c r="B2315" s="1" t="s">
        <v>1451</v>
      </c>
      <c r="C2315" s="1" t="s">
        <v>1499</v>
      </c>
      <c r="D2315" s="1" t="s">
        <v>738</v>
      </c>
      <c r="E2315" s="1" t="s">
        <v>739</v>
      </c>
      <c r="F2315" s="1" t="s">
        <v>781</v>
      </c>
      <c r="G2315" s="1" t="s">
        <v>1453</v>
      </c>
      <c r="H2315">
        <v>2014</v>
      </c>
      <c r="I2315">
        <v>2014</v>
      </c>
      <c r="J2315">
        <f t="shared" si="72"/>
        <v>1</v>
      </c>
      <c r="K2315" s="1" t="s">
        <v>741</v>
      </c>
      <c r="L2315" s="1" t="s">
        <v>798</v>
      </c>
      <c r="M2315">
        <f t="shared" si="73"/>
        <v>12</v>
      </c>
      <c r="N2315" t="s">
        <v>650</v>
      </c>
    </row>
    <row r="2316" spans="1:14" hidden="1" x14ac:dyDescent="0.3">
      <c r="A2316" s="1" t="s">
        <v>1500</v>
      </c>
      <c r="B2316" s="1" t="s">
        <v>1451</v>
      </c>
      <c r="C2316" s="1" t="s">
        <v>1501</v>
      </c>
      <c r="D2316" s="1" t="s">
        <v>738</v>
      </c>
      <c r="E2316" s="1" t="s">
        <v>739</v>
      </c>
      <c r="F2316" s="1" t="s">
        <v>781</v>
      </c>
      <c r="G2316" s="1" t="s">
        <v>1453</v>
      </c>
      <c r="H2316">
        <v>2011</v>
      </c>
      <c r="I2316">
        <v>2014</v>
      </c>
      <c r="J2316">
        <f t="shared" si="72"/>
        <v>4</v>
      </c>
      <c r="K2316" s="1" t="s">
        <v>741</v>
      </c>
      <c r="L2316" s="1" t="s">
        <v>798</v>
      </c>
      <c r="M2316">
        <f t="shared" si="73"/>
        <v>12</v>
      </c>
      <c r="N2316" t="s">
        <v>650</v>
      </c>
    </row>
    <row r="2317" spans="1:14" hidden="1" x14ac:dyDescent="0.3">
      <c r="A2317" s="1" t="s">
        <v>1502</v>
      </c>
      <c r="B2317" s="1" t="s">
        <v>1451</v>
      </c>
      <c r="C2317" s="1" t="s">
        <v>1503</v>
      </c>
      <c r="D2317" s="1" t="s">
        <v>738</v>
      </c>
      <c r="E2317" s="1" t="s">
        <v>739</v>
      </c>
      <c r="F2317" s="1" t="s">
        <v>781</v>
      </c>
      <c r="G2317" s="1" t="s">
        <v>1453</v>
      </c>
      <c r="H2317">
        <v>2014</v>
      </c>
      <c r="I2317">
        <v>2014</v>
      </c>
      <c r="J2317">
        <f t="shared" si="72"/>
        <v>1</v>
      </c>
      <c r="K2317" s="1" t="s">
        <v>741</v>
      </c>
      <c r="L2317" s="1" t="s">
        <v>798</v>
      </c>
      <c r="M2317">
        <f t="shared" si="73"/>
        <v>12</v>
      </c>
      <c r="N2317" t="s">
        <v>650</v>
      </c>
    </row>
    <row r="2318" spans="1:14" hidden="1" x14ac:dyDescent="0.3">
      <c r="A2318" s="1" t="s">
        <v>1504</v>
      </c>
      <c r="B2318" s="1" t="s">
        <v>1451</v>
      </c>
      <c r="C2318" s="1" t="s">
        <v>1505</v>
      </c>
      <c r="D2318" s="1" t="s">
        <v>738</v>
      </c>
      <c r="E2318" s="1" t="s">
        <v>739</v>
      </c>
      <c r="F2318" s="1" t="s">
        <v>781</v>
      </c>
      <c r="G2318" s="1" t="s">
        <v>1453</v>
      </c>
      <c r="H2318">
        <v>2017</v>
      </c>
      <c r="I2318">
        <v>2017</v>
      </c>
      <c r="J2318">
        <f t="shared" si="72"/>
        <v>1</v>
      </c>
      <c r="K2318" s="1" t="s">
        <v>741</v>
      </c>
      <c r="L2318" s="1" t="s">
        <v>798</v>
      </c>
      <c r="M2318">
        <f t="shared" si="73"/>
        <v>9</v>
      </c>
      <c r="N2318" t="s">
        <v>650</v>
      </c>
    </row>
    <row r="2319" spans="1:14" hidden="1" x14ac:dyDescent="0.3">
      <c r="A2319" s="1" t="s">
        <v>1506</v>
      </c>
      <c r="B2319" s="1" t="s">
        <v>1451</v>
      </c>
      <c r="C2319" s="1" t="s">
        <v>1507</v>
      </c>
      <c r="D2319" s="1" t="s">
        <v>738</v>
      </c>
      <c r="E2319" s="1" t="s">
        <v>739</v>
      </c>
      <c r="F2319" s="1" t="s">
        <v>781</v>
      </c>
      <c r="G2319" s="1" t="s">
        <v>1453</v>
      </c>
      <c r="H2319">
        <v>2017</v>
      </c>
      <c r="I2319">
        <v>2017</v>
      </c>
      <c r="J2319">
        <f t="shared" si="72"/>
        <v>1</v>
      </c>
      <c r="K2319" s="1" t="s">
        <v>741</v>
      </c>
      <c r="L2319" s="1" t="s">
        <v>798</v>
      </c>
      <c r="M2319">
        <f t="shared" si="73"/>
        <v>9</v>
      </c>
      <c r="N2319" t="s">
        <v>650</v>
      </c>
    </row>
    <row r="2320" spans="1:14" x14ac:dyDescent="0.3">
      <c r="A2320" s="1" t="s">
        <v>7961</v>
      </c>
      <c r="B2320" s="1" t="s">
        <v>1451</v>
      </c>
      <c r="C2320" s="1" t="s">
        <v>7962</v>
      </c>
      <c r="D2320" s="1" t="s">
        <v>738</v>
      </c>
      <c r="E2320" s="1" t="s">
        <v>6076</v>
      </c>
      <c r="F2320" s="1" t="s">
        <v>6076</v>
      </c>
      <c r="G2320" s="1" t="s">
        <v>1453</v>
      </c>
      <c r="H2320">
        <v>2002</v>
      </c>
      <c r="I2320">
        <v>2004</v>
      </c>
      <c r="J2320">
        <f t="shared" si="72"/>
        <v>3</v>
      </c>
      <c r="K2320" s="1" t="s">
        <v>6076</v>
      </c>
      <c r="L2320" s="1" t="s">
        <v>6076</v>
      </c>
      <c r="M2320">
        <f t="shared" si="73"/>
        <v>22</v>
      </c>
      <c r="N2320" t="s">
        <v>650</v>
      </c>
    </row>
    <row r="2321" spans="1:14" x14ac:dyDescent="0.3">
      <c r="A2321" s="1" t="s">
        <v>7963</v>
      </c>
      <c r="B2321" s="1" t="s">
        <v>1451</v>
      </c>
      <c r="C2321" s="1" t="s">
        <v>7964</v>
      </c>
      <c r="D2321" s="1" t="s">
        <v>738</v>
      </c>
      <c r="E2321" s="1" t="s">
        <v>6076</v>
      </c>
      <c r="F2321" s="1" t="s">
        <v>6076</v>
      </c>
      <c r="G2321" s="1" t="s">
        <v>1453</v>
      </c>
      <c r="H2321">
        <v>2002</v>
      </c>
      <c r="I2321">
        <v>2004</v>
      </c>
      <c r="J2321">
        <f t="shared" si="72"/>
        <v>3</v>
      </c>
      <c r="K2321" s="1" t="s">
        <v>6076</v>
      </c>
      <c r="L2321" s="1" t="s">
        <v>6076</v>
      </c>
      <c r="M2321">
        <f t="shared" si="73"/>
        <v>22</v>
      </c>
      <c r="N2321" t="s">
        <v>650</v>
      </c>
    </row>
    <row r="2322" spans="1:14" hidden="1" x14ac:dyDescent="0.3">
      <c r="A2322" s="1" t="s">
        <v>1508</v>
      </c>
      <c r="B2322" s="1" t="s">
        <v>1451</v>
      </c>
      <c r="C2322" s="1" t="s">
        <v>1509</v>
      </c>
      <c r="D2322" s="1" t="s">
        <v>738</v>
      </c>
      <c r="E2322" s="1" t="s">
        <v>739</v>
      </c>
      <c r="F2322" s="1" t="s">
        <v>781</v>
      </c>
      <c r="G2322" s="1" t="s">
        <v>1453</v>
      </c>
      <c r="H2322">
        <v>2014</v>
      </c>
      <c r="I2322">
        <v>2015</v>
      </c>
      <c r="J2322">
        <f t="shared" si="72"/>
        <v>2</v>
      </c>
      <c r="K2322" s="1" t="s">
        <v>741</v>
      </c>
      <c r="L2322" s="1" t="s">
        <v>798</v>
      </c>
      <c r="M2322">
        <f t="shared" si="73"/>
        <v>11</v>
      </c>
      <c r="N2322" t="s">
        <v>650</v>
      </c>
    </row>
    <row r="2323" spans="1:14" hidden="1" x14ac:dyDescent="0.3">
      <c r="A2323" s="1" t="s">
        <v>1510</v>
      </c>
      <c r="B2323" s="1" t="s">
        <v>1451</v>
      </c>
      <c r="C2323" s="1" t="s">
        <v>1511</v>
      </c>
      <c r="D2323" s="1" t="s">
        <v>746</v>
      </c>
      <c r="E2323" s="1" t="s">
        <v>747</v>
      </c>
      <c r="F2323" s="1" t="s">
        <v>748</v>
      </c>
      <c r="G2323" s="1" t="s">
        <v>1453</v>
      </c>
      <c r="H2323">
        <v>2017</v>
      </c>
      <c r="I2323">
        <v>2019</v>
      </c>
      <c r="J2323">
        <f t="shared" si="72"/>
        <v>3</v>
      </c>
      <c r="K2323" s="1" t="s">
        <v>741</v>
      </c>
      <c r="L2323" s="1" t="s">
        <v>798</v>
      </c>
      <c r="M2323">
        <f t="shared" si="73"/>
        <v>7</v>
      </c>
      <c r="N2323" t="s">
        <v>650</v>
      </c>
    </row>
    <row r="2324" spans="1:14" hidden="1" x14ac:dyDescent="0.3">
      <c r="A2324" s="1" t="s">
        <v>1512</v>
      </c>
      <c r="B2324" s="1" t="s">
        <v>1451</v>
      </c>
      <c r="C2324" s="1" t="s">
        <v>1513</v>
      </c>
      <c r="D2324" s="1" t="s">
        <v>746</v>
      </c>
      <c r="E2324" s="1" t="s">
        <v>747</v>
      </c>
      <c r="F2324" s="1" t="s">
        <v>748</v>
      </c>
      <c r="G2324" s="1" t="s">
        <v>1453</v>
      </c>
      <c r="H2324">
        <v>2007</v>
      </c>
      <c r="I2324">
        <v>2013</v>
      </c>
      <c r="J2324">
        <f t="shared" si="72"/>
        <v>7</v>
      </c>
      <c r="K2324" s="1" t="s">
        <v>741</v>
      </c>
      <c r="L2324" s="1" t="s">
        <v>798</v>
      </c>
      <c r="M2324">
        <f t="shared" si="73"/>
        <v>13</v>
      </c>
      <c r="N2324" t="s">
        <v>650</v>
      </c>
    </row>
    <row r="2325" spans="1:14" hidden="1" x14ac:dyDescent="0.3">
      <c r="A2325" s="1" t="s">
        <v>1514</v>
      </c>
      <c r="B2325" s="1" t="s">
        <v>1451</v>
      </c>
      <c r="C2325" s="1" t="s">
        <v>1515</v>
      </c>
      <c r="D2325" s="1" t="s">
        <v>746</v>
      </c>
      <c r="E2325" s="1" t="s">
        <v>747</v>
      </c>
      <c r="F2325" s="1" t="s">
        <v>748</v>
      </c>
      <c r="G2325" s="1" t="s">
        <v>1453</v>
      </c>
      <c r="H2325">
        <v>2014</v>
      </c>
      <c r="I2325">
        <v>2016</v>
      </c>
      <c r="J2325">
        <f t="shared" si="72"/>
        <v>3</v>
      </c>
      <c r="K2325" s="1" t="s">
        <v>741</v>
      </c>
      <c r="L2325" s="1" t="s">
        <v>798</v>
      </c>
      <c r="M2325">
        <f t="shared" si="73"/>
        <v>10</v>
      </c>
      <c r="N2325" t="s">
        <v>650</v>
      </c>
    </row>
    <row r="2326" spans="1:14" hidden="1" x14ac:dyDescent="0.3">
      <c r="A2326" s="1" t="s">
        <v>1516</v>
      </c>
      <c r="B2326" s="1" t="s">
        <v>1451</v>
      </c>
      <c r="C2326" s="1" t="s">
        <v>1517</v>
      </c>
      <c r="D2326" s="1" t="s">
        <v>746</v>
      </c>
      <c r="E2326" s="1" t="s">
        <v>747</v>
      </c>
      <c r="F2326" s="1" t="s">
        <v>748</v>
      </c>
      <c r="G2326" s="1" t="s">
        <v>1453</v>
      </c>
      <c r="H2326">
        <v>2014</v>
      </c>
      <c r="I2326">
        <v>2016</v>
      </c>
      <c r="J2326">
        <f t="shared" si="72"/>
        <v>3</v>
      </c>
      <c r="K2326" s="1" t="s">
        <v>741</v>
      </c>
      <c r="L2326" s="1" t="s">
        <v>798</v>
      </c>
      <c r="M2326">
        <f t="shared" si="73"/>
        <v>10</v>
      </c>
      <c r="N2326" t="s">
        <v>650</v>
      </c>
    </row>
    <row r="2327" spans="1:14" hidden="1" x14ac:dyDescent="0.3">
      <c r="A2327" s="1" t="s">
        <v>1518</v>
      </c>
      <c r="B2327" s="1" t="s">
        <v>1451</v>
      </c>
      <c r="C2327" s="1" t="s">
        <v>1519</v>
      </c>
      <c r="D2327" s="1" t="s">
        <v>746</v>
      </c>
      <c r="E2327" s="1" t="s">
        <v>747</v>
      </c>
      <c r="F2327" s="1" t="s">
        <v>748</v>
      </c>
      <c r="G2327" s="1" t="s">
        <v>1453</v>
      </c>
      <c r="H2327">
        <v>2014</v>
      </c>
      <c r="I2327">
        <v>2014</v>
      </c>
      <c r="J2327">
        <f t="shared" si="72"/>
        <v>1</v>
      </c>
      <c r="K2327" s="1" t="s">
        <v>741</v>
      </c>
      <c r="L2327" s="1" t="s">
        <v>798</v>
      </c>
      <c r="M2327">
        <f t="shared" si="73"/>
        <v>12</v>
      </c>
      <c r="N2327" t="s">
        <v>650</v>
      </c>
    </row>
    <row r="2328" spans="1:14" hidden="1" x14ac:dyDescent="0.3">
      <c r="A2328" s="1" t="s">
        <v>1520</v>
      </c>
      <c r="B2328" s="1" t="s">
        <v>1451</v>
      </c>
      <c r="C2328" s="1" t="s">
        <v>1521</v>
      </c>
      <c r="D2328" s="1" t="s">
        <v>746</v>
      </c>
      <c r="E2328" s="1" t="s">
        <v>747</v>
      </c>
      <c r="F2328" s="1" t="s">
        <v>748</v>
      </c>
      <c r="G2328" s="1" t="s">
        <v>1453</v>
      </c>
      <c r="H2328">
        <v>2014</v>
      </c>
      <c r="I2328">
        <v>2014</v>
      </c>
      <c r="J2328">
        <f t="shared" si="72"/>
        <v>1</v>
      </c>
      <c r="K2328" s="1" t="s">
        <v>741</v>
      </c>
      <c r="L2328" s="1" t="s">
        <v>798</v>
      </c>
      <c r="M2328">
        <f t="shared" si="73"/>
        <v>12</v>
      </c>
      <c r="N2328" t="s">
        <v>650</v>
      </c>
    </row>
    <row r="2329" spans="1:14" hidden="1" x14ac:dyDescent="0.3">
      <c r="A2329" s="1" t="s">
        <v>1522</v>
      </c>
      <c r="B2329" s="1" t="s">
        <v>1451</v>
      </c>
      <c r="C2329" s="1" t="s">
        <v>1523</v>
      </c>
      <c r="D2329" s="1" t="s">
        <v>746</v>
      </c>
      <c r="E2329" s="1" t="s">
        <v>747</v>
      </c>
      <c r="F2329" s="1" t="s">
        <v>748</v>
      </c>
      <c r="G2329" s="1" t="s">
        <v>1453</v>
      </c>
      <c r="H2329">
        <v>2011</v>
      </c>
      <c r="I2329">
        <v>2014</v>
      </c>
      <c r="J2329">
        <f t="shared" si="72"/>
        <v>4</v>
      </c>
      <c r="K2329" s="1" t="s">
        <v>741</v>
      </c>
      <c r="L2329" s="1" t="s">
        <v>798</v>
      </c>
      <c r="M2329">
        <f t="shared" si="73"/>
        <v>12</v>
      </c>
      <c r="N2329" t="s">
        <v>650</v>
      </c>
    </row>
    <row r="2330" spans="1:14" hidden="1" x14ac:dyDescent="0.3">
      <c r="A2330" s="1" t="s">
        <v>1524</v>
      </c>
      <c r="B2330" s="1" t="s">
        <v>1451</v>
      </c>
      <c r="C2330" s="1" t="s">
        <v>1525</v>
      </c>
      <c r="D2330" s="1" t="s">
        <v>746</v>
      </c>
      <c r="E2330" s="1" t="s">
        <v>747</v>
      </c>
      <c r="F2330" s="1" t="s">
        <v>748</v>
      </c>
      <c r="G2330" s="1" t="s">
        <v>1453</v>
      </c>
      <c r="H2330">
        <v>2014</v>
      </c>
      <c r="I2330">
        <v>2014</v>
      </c>
      <c r="J2330">
        <f t="shared" si="72"/>
        <v>1</v>
      </c>
      <c r="K2330" s="1" t="s">
        <v>741</v>
      </c>
      <c r="L2330" s="1" t="s">
        <v>798</v>
      </c>
      <c r="M2330">
        <f t="shared" si="73"/>
        <v>12</v>
      </c>
      <c r="N2330" t="s">
        <v>650</v>
      </c>
    </row>
    <row r="2331" spans="1:14" hidden="1" x14ac:dyDescent="0.3">
      <c r="A2331" s="1" t="s">
        <v>1526</v>
      </c>
      <c r="B2331" s="1" t="s">
        <v>1451</v>
      </c>
      <c r="C2331" s="1" t="s">
        <v>1527</v>
      </c>
      <c r="D2331" s="1" t="s">
        <v>746</v>
      </c>
      <c r="E2331" s="1" t="s">
        <v>747</v>
      </c>
      <c r="F2331" s="1" t="s">
        <v>748</v>
      </c>
      <c r="G2331" s="1" t="s">
        <v>1453</v>
      </c>
      <c r="H2331">
        <v>2017</v>
      </c>
      <c r="I2331">
        <v>2017</v>
      </c>
      <c r="J2331">
        <f t="shared" si="72"/>
        <v>1</v>
      </c>
      <c r="K2331" s="1" t="s">
        <v>741</v>
      </c>
      <c r="L2331" s="1" t="s">
        <v>798</v>
      </c>
      <c r="M2331">
        <f t="shared" si="73"/>
        <v>9</v>
      </c>
      <c r="N2331" t="s">
        <v>650</v>
      </c>
    </row>
    <row r="2332" spans="1:14" hidden="1" x14ac:dyDescent="0.3">
      <c r="A2332" s="1" t="s">
        <v>1528</v>
      </c>
      <c r="B2332" s="1" t="s">
        <v>1451</v>
      </c>
      <c r="C2332" s="1" t="s">
        <v>1529</v>
      </c>
      <c r="D2332" s="1" t="s">
        <v>746</v>
      </c>
      <c r="E2332" s="1" t="s">
        <v>747</v>
      </c>
      <c r="F2332" s="1" t="s">
        <v>748</v>
      </c>
      <c r="G2332" s="1" t="s">
        <v>1453</v>
      </c>
      <c r="H2332">
        <v>2017</v>
      </c>
      <c r="I2332">
        <v>2017</v>
      </c>
      <c r="J2332">
        <f t="shared" si="72"/>
        <v>1</v>
      </c>
      <c r="K2332" s="1" t="s">
        <v>741</v>
      </c>
      <c r="L2332" s="1" t="s">
        <v>798</v>
      </c>
      <c r="M2332">
        <f t="shared" si="73"/>
        <v>9</v>
      </c>
      <c r="N2332" t="s">
        <v>650</v>
      </c>
    </row>
    <row r="2333" spans="1:14" x14ac:dyDescent="0.3">
      <c r="A2333" s="1" t="s">
        <v>7965</v>
      </c>
      <c r="B2333" s="1" t="s">
        <v>1451</v>
      </c>
      <c r="C2333" s="1" t="s">
        <v>7966</v>
      </c>
      <c r="D2333" s="1" t="s">
        <v>746</v>
      </c>
      <c r="E2333" s="1" t="s">
        <v>6076</v>
      </c>
      <c r="F2333" s="1" t="s">
        <v>6076</v>
      </c>
      <c r="G2333" s="1" t="s">
        <v>1453</v>
      </c>
      <c r="H2333">
        <v>2002</v>
      </c>
      <c r="I2333">
        <v>2004</v>
      </c>
      <c r="J2333">
        <f t="shared" si="72"/>
        <v>3</v>
      </c>
      <c r="K2333" s="1" t="s">
        <v>6076</v>
      </c>
      <c r="L2333" s="1" t="s">
        <v>6076</v>
      </c>
      <c r="M2333">
        <f t="shared" si="73"/>
        <v>22</v>
      </c>
      <c r="N2333" t="s">
        <v>650</v>
      </c>
    </row>
    <row r="2334" spans="1:14" x14ac:dyDescent="0.3">
      <c r="A2334" s="1" t="s">
        <v>7967</v>
      </c>
      <c r="B2334" s="1" t="s">
        <v>1451</v>
      </c>
      <c r="C2334" s="1" t="s">
        <v>7968</v>
      </c>
      <c r="D2334" s="1" t="s">
        <v>746</v>
      </c>
      <c r="E2334" s="1" t="s">
        <v>6076</v>
      </c>
      <c r="F2334" s="1" t="s">
        <v>6076</v>
      </c>
      <c r="G2334" s="1" t="s">
        <v>1453</v>
      </c>
      <c r="H2334">
        <v>2002</v>
      </c>
      <c r="I2334">
        <v>2004</v>
      </c>
      <c r="J2334">
        <f t="shared" si="72"/>
        <v>3</v>
      </c>
      <c r="K2334" s="1" t="s">
        <v>6076</v>
      </c>
      <c r="L2334" s="1" t="s">
        <v>6076</v>
      </c>
      <c r="M2334">
        <f t="shared" si="73"/>
        <v>22</v>
      </c>
      <c r="N2334" t="s">
        <v>650</v>
      </c>
    </row>
    <row r="2335" spans="1:14" hidden="1" x14ac:dyDescent="0.3">
      <c r="A2335" s="1" t="s">
        <v>1530</v>
      </c>
      <c r="B2335" s="1" t="s">
        <v>1451</v>
      </c>
      <c r="C2335" s="1" t="s">
        <v>1531</v>
      </c>
      <c r="D2335" s="1" t="s">
        <v>746</v>
      </c>
      <c r="E2335" s="1" t="s">
        <v>747</v>
      </c>
      <c r="F2335" s="1" t="s">
        <v>748</v>
      </c>
      <c r="G2335" s="1" t="s">
        <v>1453</v>
      </c>
      <c r="H2335">
        <v>2013</v>
      </c>
      <c r="I2335">
        <v>2019</v>
      </c>
      <c r="J2335">
        <f t="shared" si="72"/>
        <v>7</v>
      </c>
      <c r="K2335" s="1" t="s">
        <v>741</v>
      </c>
      <c r="L2335" s="1" t="s">
        <v>798</v>
      </c>
      <c r="M2335">
        <f t="shared" si="73"/>
        <v>7</v>
      </c>
      <c r="N2335" t="s">
        <v>650</v>
      </c>
    </row>
    <row r="2336" spans="1:14" hidden="1" x14ac:dyDescent="0.3">
      <c r="A2336" s="1" t="s">
        <v>1532</v>
      </c>
      <c r="B2336" s="1" t="s">
        <v>1451</v>
      </c>
      <c r="C2336" s="1" t="s">
        <v>1533</v>
      </c>
      <c r="D2336" s="1" t="s">
        <v>746</v>
      </c>
      <c r="E2336" s="1" t="s">
        <v>747</v>
      </c>
      <c r="F2336" s="1" t="s">
        <v>748</v>
      </c>
      <c r="G2336" s="1" t="s">
        <v>1453</v>
      </c>
      <c r="H2336">
        <v>2016</v>
      </c>
      <c r="I2336">
        <v>2018</v>
      </c>
      <c r="J2336">
        <f t="shared" si="72"/>
        <v>3</v>
      </c>
      <c r="K2336" s="1" t="s">
        <v>741</v>
      </c>
      <c r="L2336" s="1" t="s">
        <v>798</v>
      </c>
      <c r="M2336">
        <f t="shared" si="73"/>
        <v>8</v>
      </c>
      <c r="N2336" t="s">
        <v>650</v>
      </c>
    </row>
    <row r="2337" spans="1:14" hidden="1" x14ac:dyDescent="0.3">
      <c r="A2337" s="1" t="s">
        <v>1534</v>
      </c>
      <c r="B2337" s="1" t="s">
        <v>1451</v>
      </c>
      <c r="C2337" s="1" t="s">
        <v>1535</v>
      </c>
      <c r="D2337" s="1" t="s">
        <v>746</v>
      </c>
      <c r="E2337" s="1" t="s">
        <v>747</v>
      </c>
      <c r="F2337" s="1" t="s">
        <v>748</v>
      </c>
      <c r="G2337" s="1" t="s">
        <v>1453</v>
      </c>
      <c r="H2337">
        <v>2013</v>
      </c>
      <c r="I2337">
        <v>2017</v>
      </c>
      <c r="J2337">
        <f t="shared" si="72"/>
        <v>5</v>
      </c>
      <c r="K2337" s="1" t="s">
        <v>741</v>
      </c>
      <c r="L2337" s="1" t="s">
        <v>798</v>
      </c>
      <c r="M2337">
        <f t="shared" si="73"/>
        <v>9</v>
      </c>
      <c r="N2337" t="s">
        <v>650</v>
      </c>
    </row>
    <row r="2338" spans="1:14" hidden="1" x14ac:dyDescent="0.3">
      <c r="A2338" s="1" t="s">
        <v>1536</v>
      </c>
      <c r="B2338" s="1" t="s">
        <v>1451</v>
      </c>
      <c r="C2338" s="1" t="s">
        <v>1537</v>
      </c>
      <c r="D2338" s="1" t="s">
        <v>746</v>
      </c>
      <c r="E2338" s="1" t="s">
        <v>747</v>
      </c>
      <c r="F2338" s="1" t="s">
        <v>748</v>
      </c>
      <c r="G2338" s="1" t="s">
        <v>1453</v>
      </c>
      <c r="H2338">
        <v>2008</v>
      </c>
      <c r="I2338">
        <v>2010</v>
      </c>
      <c r="J2338">
        <f t="shared" si="72"/>
        <v>3</v>
      </c>
      <c r="K2338" s="1" t="s">
        <v>741</v>
      </c>
      <c r="L2338" s="1" t="s">
        <v>798</v>
      </c>
      <c r="M2338">
        <f t="shared" si="73"/>
        <v>16</v>
      </c>
      <c r="N2338" t="s">
        <v>650</v>
      </c>
    </row>
    <row r="2339" spans="1:14" hidden="1" x14ac:dyDescent="0.3">
      <c r="A2339" s="1" t="s">
        <v>1538</v>
      </c>
      <c r="B2339" s="1" t="s">
        <v>1451</v>
      </c>
      <c r="C2339" s="1" t="s">
        <v>1539</v>
      </c>
      <c r="D2339" s="1" t="s">
        <v>746</v>
      </c>
      <c r="E2339" s="1" t="s">
        <v>747</v>
      </c>
      <c r="F2339" s="1" t="s">
        <v>748</v>
      </c>
      <c r="G2339" s="1" t="s">
        <v>1453</v>
      </c>
      <c r="H2339">
        <v>2008</v>
      </c>
      <c r="I2339">
        <v>2010</v>
      </c>
      <c r="J2339">
        <f t="shared" si="72"/>
        <v>3</v>
      </c>
      <c r="K2339" s="1" t="s">
        <v>741</v>
      </c>
      <c r="L2339" s="1" t="s">
        <v>798</v>
      </c>
      <c r="M2339">
        <f t="shared" si="73"/>
        <v>16</v>
      </c>
      <c r="N2339" t="s">
        <v>650</v>
      </c>
    </row>
    <row r="2340" spans="1:14" hidden="1" x14ac:dyDescent="0.3">
      <c r="A2340" t="s">
        <v>11371</v>
      </c>
      <c r="B2340" t="s">
        <v>802</v>
      </c>
      <c r="C2340" t="s">
        <v>11372</v>
      </c>
      <c r="E2340" s="1" t="e">
        <v>#N/A</v>
      </c>
      <c r="F2340" s="1" t="e">
        <v>#N/A</v>
      </c>
      <c r="G2340" s="1" t="s">
        <v>12811</v>
      </c>
      <c r="H2340">
        <v>2025</v>
      </c>
      <c r="I2340">
        <v>2026</v>
      </c>
      <c r="J2340">
        <f t="shared" si="72"/>
        <v>2</v>
      </c>
      <c r="K2340" s="1" t="s">
        <v>648</v>
      </c>
      <c r="L2340" s="1" t="s">
        <v>666</v>
      </c>
      <c r="M2340">
        <f t="shared" si="73"/>
        <v>0</v>
      </c>
    </row>
    <row r="2341" spans="1:14" hidden="1" x14ac:dyDescent="0.3">
      <c r="A2341" s="1" t="s">
        <v>4384</v>
      </c>
      <c r="B2341" s="1" t="s">
        <v>802</v>
      </c>
      <c r="C2341" s="1" t="s">
        <v>4385</v>
      </c>
      <c r="D2341" s="1" t="s">
        <v>644</v>
      </c>
      <c r="E2341" s="1" t="s">
        <v>674</v>
      </c>
      <c r="F2341" s="1" t="s">
        <v>675</v>
      </c>
      <c r="G2341" s="1" t="s">
        <v>4386</v>
      </c>
      <c r="H2341">
        <v>2021</v>
      </c>
      <c r="I2341">
        <v>2021</v>
      </c>
      <c r="J2341">
        <f t="shared" si="72"/>
        <v>1</v>
      </c>
      <c r="K2341" s="1" t="s">
        <v>648</v>
      </c>
      <c r="L2341" s="1" t="s">
        <v>666</v>
      </c>
      <c r="M2341">
        <f t="shared" si="73"/>
        <v>5</v>
      </c>
      <c r="N2341" t="s">
        <v>650</v>
      </c>
    </row>
    <row r="2342" spans="1:14" x14ac:dyDescent="0.3">
      <c r="A2342" s="1" t="s">
        <v>7969</v>
      </c>
      <c r="B2342" s="1" t="s">
        <v>802</v>
      </c>
      <c r="C2342" s="1" t="s">
        <v>7970</v>
      </c>
      <c r="D2342" s="1" t="s">
        <v>644</v>
      </c>
      <c r="E2342" s="1" t="s">
        <v>6076</v>
      </c>
      <c r="F2342" s="1" t="s">
        <v>6076</v>
      </c>
      <c r="G2342" s="1" t="s">
        <v>4386</v>
      </c>
      <c r="H2342">
        <v>1986</v>
      </c>
      <c r="I2342">
        <v>1986</v>
      </c>
      <c r="J2342">
        <f t="shared" si="72"/>
        <v>1</v>
      </c>
      <c r="K2342" s="1" t="s">
        <v>6076</v>
      </c>
      <c r="L2342" s="1" t="s">
        <v>6076</v>
      </c>
      <c r="M2342">
        <f t="shared" si="73"/>
        <v>40</v>
      </c>
      <c r="N2342" t="s">
        <v>640</v>
      </c>
    </row>
    <row r="2343" spans="1:14" x14ac:dyDescent="0.3">
      <c r="A2343" s="1" t="s">
        <v>7971</v>
      </c>
      <c r="B2343" s="1" t="s">
        <v>802</v>
      </c>
      <c r="C2343" s="1" t="s">
        <v>7972</v>
      </c>
      <c r="D2343" s="1" t="s">
        <v>644</v>
      </c>
      <c r="E2343" s="1" t="s">
        <v>6076</v>
      </c>
      <c r="F2343" s="1" t="s">
        <v>6076</v>
      </c>
      <c r="G2343" s="1" t="s">
        <v>4386</v>
      </c>
      <c r="H2343">
        <v>1993</v>
      </c>
      <c r="I2343">
        <v>1993</v>
      </c>
      <c r="J2343">
        <f t="shared" si="72"/>
        <v>1</v>
      </c>
      <c r="K2343" s="1" t="s">
        <v>6076</v>
      </c>
      <c r="L2343" s="1" t="s">
        <v>6076</v>
      </c>
      <c r="M2343">
        <f t="shared" si="73"/>
        <v>33</v>
      </c>
      <c r="N2343" t="s">
        <v>640</v>
      </c>
    </row>
    <row r="2344" spans="1:14" x14ac:dyDescent="0.3">
      <c r="A2344" s="1" t="s">
        <v>7973</v>
      </c>
      <c r="B2344" s="1" t="s">
        <v>802</v>
      </c>
      <c r="C2344" s="1" t="s">
        <v>7974</v>
      </c>
      <c r="D2344" s="1" t="s">
        <v>644</v>
      </c>
      <c r="E2344" s="1" t="s">
        <v>6076</v>
      </c>
      <c r="F2344" s="1" t="s">
        <v>6076</v>
      </c>
      <c r="G2344" s="1" t="s">
        <v>4386</v>
      </c>
      <c r="H2344">
        <v>1992</v>
      </c>
      <c r="I2344">
        <v>1992</v>
      </c>
      <c r="J2344">
        <f t="shared" si="72"/>
        <v>1</v>
      </c>
      <c r="K2344" s="1" t="s">
        <v>6076</v>
      </c>
      <c r="L2344" s="1" t="s">
        <v>6076</v>
      </c>
      <c r="M2344">
        <f t="shared" si="73"/>
        <v>34</v>
      </c>
      <c r="N2344" t="s">
        <v>640</v>
      </c>
    </row>
    <row r="2345" spans="1:14" hidden="1" x14ac:dyDescent="0.3">
      <c r="A2345" s="1" t="s">
        <v>4387</v>
      </c>
      <c r="B2345" s="1" t="s">
        <v>802</v>
      </c>
      <c r="C2345" s="1" t="s">
        <v>4388</v>
      </c>
      <c r="D2345" s="1" t="s">
        <v>644</v>
      </c>
      <c r="E2345" s="1" t="s">
        <v>674</v>
      </c>
      <c r="F2345" s="1" t="s">
        <v>675</v>
      </c>
      <c r="G2345" s="1" t="s">
        <v>4386</v>
      </c>
      <c r="H2345">
        <v>2014</v>
      </c>
      <c r="I2345">
        <v>2014</v>
      </c>
      <c r="J2345">
        <f t="shared" si="72"/>
        <v>1</v>
      </c>
      <c r="K2345" s="1" t="s">
        <v>648</v>
      </c>
      <c r="L2345" s="1" t="s">
        <v>666</v>
      </c>
      <c r="M2345">
        <f t="shared" si="73"/>
        <v>12</v>
      </c>
      <c r="N2345" t="s">
        <v>650</v>
      </c>
    </row>
    <row r="2346" spans="1:14" hidden="1" x14ac:dyDescent="0.3">
      <c r="A2346" s="1" t="s">
        <v>4389</v>
      </c>
      <c r="B2346" s="1" t="s">
        <v>802</v>
      </c>
      <c r="C2346" s="1" t="s">
        <v>4390</v>
      </c>
      <c r="D2346" s="1" t="s">
        <v>644</v>
      </c>
      <c r="E2346" s="1" t="s">
        <v>674</v>
      </c>
      <c r="F2346" s="1" t="s">
        <v>675</v>
      </c>
      <c r="G2346" s="1" t="s">
        <v>4386</v>
      </c>
      <c r="H2346">
        <v>2014</v>
      </c>
      <c r="I2346">
        <v>2014</v>
      </c>
      <c r="J2346">
        <f t="shared" si="72"/>
        <v>1</v>
      </c>
      <c r="K2346" s="1" t="s">
        <v>648</v>
      </c>
      <c r="L2346" s="1" t="s">
        <v>666</v>
      </c>
      <c r="M2346">
        <f t="shared" si="73"/>
        <v>12</v>
      </c>
      <c r="N2346" t="s">
        <v>650</v>
      </c>
    </row>
    <row r="2347" spans="1:14" hidden="1" x14ac:dyDescent="0.3">
      <c r="A2347" s="1" t="s">
        <v>4391</v>
      </c>
      <c r="B2347" s="1" t="s">
        <v>802</v>
      </c>
      <c r="C2347" s="1" t="s">
        <v>4392</v>
      </c>
      <c r="D2347" s="1" t="s">
        <v>644</v>
      </c>
      <c r="E2347" s="1" t="s">
        <v>674</v>
      </c>
      <c r="F2347" s="1" t="s">
        <v>675</v>
      </c>
      <c r="G2347" s="1" t="s">
        <v>4386</v>
      </c>
      <c r="H2347">
        <v>2017</v>
      </c>
      <c r="I2347">
        <v>2017</v>
      </c>
      <c r="J2347">
        <f t="shared" si="72"/>
        <v>1</v>
      </c>
      <c r="K2347" s="1" t="s">
        <v>648</v>
      </c>
      <c r="L2347" s="1" t="s">
        <v>666</v>
      </c>
      <c r="M2347">
        <f t="shared" si="73"/>
        <v>9</v>
      </c>
      <c r="N2347" t="s">
        <v>650</v>
      </c>
    </row>
    <row r="2348" spans="1:14" x14ac:dyDescent="0.3">
      <c r="A2348" s="1" t="s">
        <v>7975</v>
      </c>
      <c r="B2348" s="1" t="s">
        <v>802</v>
      </c>
      <c r="C2348" s="1" t="s">
        <v>7976</v>
      </c>
      <c r="D2348" s="1" t="s">
        <v>644</v>
      </c>
      <c r="E2348" s="1" t="s">
        <v>6076</v>
      </c>
      <c r="F2348" s="1" t="s">
        <v>6076</v>
      </c>
      <c r="G2348" s="1" t="s">
        <v>4386</v>
      </c>
      <c r="H2348">
        <v>1993</v>
      </c>
      <c r="I2348">
        <v>1993</v>
      </c>
      <c r="J2348">
        <f t="shared" si="72"/>
        <v>1</v>
      </c>
      <c r="K2348" s="1" t="s">
        <v>6076</v>
      </c>
      <c r="L2348" s="1" t="s">
        <v>6076</v>
      </c>
      <c r="M2348">
        <f t="shared" si="73"/>
        <v>33</v>
      </c>
      <c r="N2348" t="s">
        <v>640</v>
      </c>
    </row>
    <row r="2349" spans="1:14" x14ac:dyDescent="0.3">
      <c r="A2349" s="1" t="s">
        <v>7977</v>
      </c>
      <c r="B2349" s="1" t="s">
        <v>802</v>
      </c>
      <c r="C2349" s="1" t="s">
        <v>7978</v>
      </c>
      <c r="D2349" s="1" t="s">
        <v>644</v>
      </c>
      <c r="E2349" s="1" t="s">
        <v>6076</v>
      </c>
      <c r="F2349" s="1" t="s">
        <v>6076</v>
      </c>
      <c r="G2349" s="1" t="s">
        <v>4386</v>
      </c>
      <c r="H2349">
        <v>1988</v>
      </c>
      <c r="I2349">
        <v>1988</v>
      </c>
      <c r="J2349">
        <f t="shared" si="72"/>
        <v>1</v>
      </c>
      <c r="K2349" s="1" t="s">
        <v>6076</v>
      </c>
      <c r="L2349" s="1" t="s">
        <v>6076</v>
      </c>
      <c r="M2349">
        <f t="shared" si="73"/>
        <v>38</v>
      </c>
      <c r="N2349" t="s">
        <v>640</v>
      </c>
    </row>
    <row r="2350" spans="1:14" x14ac:dyDescent="0.3">
      <c r="A2350" s="1" t="s">
        <v>7979</v>
      </c>
      <c r="B2350" s="1" t="s">
        <v>802</v>
      </c>
      <c r="C2350" s="1" t="s">
        <v>7980</v>
      </c>
      <c r="D2350" s="1" t="s">
        <v>644</v>
      </c>
      <c r="E2350" s="1" t="s">
        <v>6076</v>
      </c>
      <c r="F2350" s="1" t="s">
        <v>6076</v>
      </c>
      <c r="G2350" s="1" t="s">
        <v>4386</v>
      </c>
      <c r="H2350">
        <v>1988</v>
      </c>
      <c r="I2350">
        <v>1988</v>
      </c>
      <c r="J2350">
        <f t="shared" si="72"/>
        <v>1</v>
      </c>
      <c r="K2350" s="1" t="s">
        <v>6076</v>
      </c>
      <c r="L2350" s="1" t="s">
        <v>6076</v>
      </c>
      <c r="M2350">
        <f t="shared" si="73"/>
        <v>38</v>
      </c>
      <c r="N2350" t="s">
        <v>640</v>
      </c>
    </row>
    <row r="2351" spans="1:14" x14ac:dyDescent="0.3">
      <c r="A2351" s="1" t="s">
        <v>7981</v>
      </c>
      <c r="B2351" s="1" t="s">
        <v>802</v>
      </c>
      <c r="C2351" s="1" t="s">
        <v>7982</v>
      </c>
      <c r="D2351" s="1" t="s">
        <v>644</v>
      </c>
      <c r="E2351" s="1" t="s">
        <v>6076</v>
      </c>
      <c r="F2351" s="1" t="s">
        <v>6076</v>
      </c>
      <c r="G2351" s="1" t="s">
        <v>4386</v>
      </c>
      <c r="H2351">
        <v>1995</v>
      </c>
      <c r="I2351">
        <v>1995</v>
      </c>
      <c r="J2351">
        <f t="shared" si="72"/>
        <v>1</v>
      </c>
      <c r="K2351" s="1" t="s">
        <v>6076</v>
      </c>
      <c r="L2351" s="1" t="s">
        <v>6076</v>
      </c>
      <c r="M2351">
        <f t="shared" si="73"/>
        <v>31</v>
      </c>
      <c r="N2351" t="s">
        <v>640</v>
      </c>
    </row>
    <row r="2352" spans="1:14" x14ac:dyDescent="0.3">
      <c r="A2352" s="1" t="s">
        <v>7983</v>
      </c>
      <c r="B2352" s="1" t="s">
        <v>802</v>
      </c>
      <c r="C2352" s="1" t="s">
        <v>7984</v>
      </c>
      <c r="D2352" s="1" t="s">
        <v>644</v>
      </c>
      <c r="E2352" s="1" t="s">
        <v>6076</v>
      </c>
      <c r="F2352" s="1" t="s">
        <v>6076</v>
      </c>
      <c r="G2352" s="1" t="s">
        <v>4386</v>
      </c>
      <c r="H2352">
        <v>1996</v>
      </c>
      <c r="I2352">
        <v>1996</v>
      </c>
      <c r="J2352">
        <f t="shared" si="72"/>
        <v>1</v>
      </c>
      <c r="K2352" s="1" t="s">
        <v>6076</v>
      </c>
      <c r="L2352" s="1" t="s">
        <v>6076</v>
      </c>
      <c r="M2352">
        <f t="shared" si="73"/>
        <v>30</v>
      </c>
      <c r="N2352" t="s">
        <v>640</v>
      </c>
    </row>
    <row r="2353" spans="1:14" hidden="1" x14ac:dyDescent="0.3">
      <c r="A2353" s="1" t="s">
        <v>4393</v>
      </c>
      <c r="B2353" s="1" t="s">
        <v>802</v>
      </c>
      <c r="C2353" s="1" t="s">
        <v>4394</v>
      </c>
      <c r="D2353" s="1" t="s">
        <v>644</v>
      </c>
      <c r="E2353" s="1" t="s">
        <v>674</v>
      </c>
      <c r="F2353" s="1" t="s">
        <v>675</v>
      </c>
      <c r="G2353" s="1" t="s">
        <v>4386</v>
      </c>
      <c r="H2353">
        <v>2021</v>
      </c>
      <c r="I2353">
        <v>2021</v>
      </c>
      <c r="J2353">
        <f t="shared" si="72"/>
        <v>1</v>
      </c>
      <c r="K2353" s="1" t="s">
        <v>648</v>
      </c>
      <c r="L2353" s="1" t="s">
        <v>666</v>
      </c>
      <c r="M2353">
        <f t="shared" si="73"/>
        <v>5</v>
      </c>
      <c r="N2353" t="s">
        <v>650</v>
      </c>
    </row>
    <row r="2354" spans="1:14" hidden="1" x14ac:dyDescent="0.3">
      <c r="A2354" s="1" t="s">
        <v>1540</v>
      </c>
      <c r="B2354" s="1" t="s">
        <v>910</v>
      </c>
      <c r="C2354" s="1" t="s">
        <v>1541</v>
      </c>
      <c r="D2354" s="1" t="s">
        <v>746</v>
      </c>
      <c r="E2354" s="1" t="s">
        <v>747</v>
      </c>
      <c r="F2354" s="1" t="s">
        <v>748</v>
      </c>
      <c r="G2354" s="1" t="s">
        <v>1542</v>
      </c>
      <c r="H2354">
        <v>2014</v>
      </c>
      <c r="I2354">
        <v>2014</v>
      </c>
      <c r="J2354">
        <f t="shared" si="72"/>
        <v>1</v>
      </c>
      <c r="K2354" s="1" t="s">
        <v>741</v>
      </c>
      <c r="L2354" s="1" t="s">
        <v>649</v>
      </c>
      <c r="M2354">
        <f t="shared" si="73"/>
        <v>12</v>
      </c>
      <c r="N2354" t="s">
        <v>650</v>
      </c>
    </row>
    <row r="2355" spans="1:14" hidden="1" x14ac:dyDescent="0.3">
      <c r="A2355" s="1" t="s">
        <v>1543</v>
      </c>
      <c r="B2355" s="1" t="s">
        <v>910</v>
      </c>
      <c r="C2355" s="1" t="s">
        <v>1544</v>
      </c>
      <c r="D2355" s="1" t="s">
        <v>746</v>
      </c>
      <c r="E2355" s="1" t="s">
        <v>747</v>
      </c>
      <c r="F2355" s="1" t="s">
        <v>748</v>
      </c>
      <c r="G2355" s="1" t="s">
        <v>1542</v>
      </c>
      <c r="H2355">
        <v>2014</v>
      </c>
      <c r="I2355">
        <v>2014</v>
      </c>
      <c r="J2355">
        <f t="shared" si="72"/>
        <v>1</v>
      </c>
      <c r="K2355" s="1" t="s">
        <v>741</v>
      </c>
      <c r="L2355" s="1" t="s">
        <v>649</v>
      </c>
      <c r="M2355">
        <f t="shared" si="73"/>
        <v>12</v>
      </c>
      <c r="N2355" t="s">
        <v>650</v>
      </c>
    </row>
    <row r="2356" spans="1:14" hidden="1" x14ac:dyDescent="0.3">
      <c r="A2356" s="1" t="s">
        <v>1545</v>
      </c>
      <c r="B2356" s="1" t="s">
        <v>910</v>
      </c>
      <c r="C2356" s="1" t="s">
        <v>1546</v>
      </c>
      <c r="D2356" s="1" t="s">
        <v>746</v>
      </c>
      <c r="E2356" s="1" t="s">
        <v>747</v>
      </c>
      <c r="F2356" s="1" t="s">
        <v>748</v>
      </c>
      <c r="G2356" s="1" t="s">
        <v>1542</v>
      </c>
      <c r="H2356">
        <v>2011</v>
      </c>
      <c r="I2356">
        <v>2012</v>
      </c>
      <c r="J2356">
        <f t="shared" si="72"/>
        <v>2</v>
      </c>
      <c r="K2356" s="1" t="s">
        <v>741</v>
      </c>
      <c r="L2356" s="1" t="s">
        <v>649</v>
      </c>
      <c r="M2356">
        <f t="shared" si="73"/>
        <v>14</v>
      </c>
      <c r="N2356" t="s">
        <v>650</v>
      </c>
    </row>
    <row r="2357" spans="1:14" hidden="1" x14ac:dyDescent="0.3">
      <c r="A2357" s="1" t="s">
        <v>1547</v>
      </c>
      <c r="B2357" s="1" t="s">
        <v>910</v>
      </c>
      <c r="C2357" s="1" t="s">
        <v>1548</v>
      </c>
      <c r="D2357" s="1" t="s">
        <v>746</v>
      </c>
      <c r="E2357" s="1" t="s">
        <v>747</v>
      </c>
      <c r="F2357" s="1" t="s">
        <v>748</v>
      </c>
      <c r="G2357" s="1" t="s">
        <v>1542</v>
      </c>
      <c r="H2357">
        <v>2011</v>
      </c>
      <c r="I2357">
        <v>2012</v>
      </c>
      <c r="J2357">
        <f t="shared" si="72"/>
        <v>2</v>
      </c>
      <c r="K2357" s="1" t="s">
        <v>741</v>
      </c>
      <c r="L2357" s="1" t="s">
        <v>649</v>
      </c>
      <c r="M2357">
        <f t="shared" si="73"/>
        <v>14</v>
      </c>
      <c r="N2357" t="s">
        <v>650</v>
      </c>
    </row>
    <row r="2358" spans="1:14" hidden="1" x14ac:dyDescent="0.3">
      <c r="A2358" s="1" t="s">
        <v>1549</v>
      </c>
      <c r="B2358" s="1" t="s">
        <v>910</v>
      </c>
      <c r="C2358" s="1" t="s">
        <v>1550</v>
      </c>
      <c r="D2358" s="1" t="s">
        <v>746</v>
      </c>
      <c r="E2358" s="1" t="s">
        <v>747</v>
      </c>
      <c r="F2358" s="1" t="s">
        <v>748</v>
      </c>
      <c r="G2358" s="1" t="s">
        <v>1542</v>
      </c>
      <c r="H2358">
        <v>2015</v>
      </c>
      <c r="I2358">
        <v>2017</v>
      </c>
      <c r="J2358">
        <f t="shared" si="72"/>
        <v>3</v>
      </c>
      <c r="K2358" s="1" t="s">
        <v>741</v>
      </c>
      <c r="L2358" s="1" t="s">
        <v>649</v>
      </c>
      <c r="M2358">
        <f t="shared" si="73"/>
        <v>9</v>
      </c>
      <c r="N2358" t="s">
        <v>650</v>
      </c>
    </row>
    <row r="2359" spans="1:14" hidden="1" x14ac:dyDescent="0.3">
      <c r="A2359" s="1" t="s">
        <v>1551</v>
      </c>
      <c r="B2359" s="1" t="s">
        <v>910</v>
      </c>
      <c r="C2359" s="1" t="s">
        <v>1552</v>
      </c>
      <c r="D2359" s="1" t="s">
        <v>746</v>
      </c>
      <c r="E2359" s="1" t="s">
        <v>747</v>
      </c>
      <c r="F2359" s="1" t="s">
        <v>748</v>
      </c>
      <c r="G2359" s="1" t="s">
        <v>1542</v>
      </c>
      <c r="H2359">
        <v>2015</v>
      </c>
      <c r="I2359">
        <v>2017</v>
      </c>
      <c r="J2359">
        <f t="shared" si="72"/>
        <v>3</v>
      </c>
      <c r="K2359" s="1" t="s">
        <v>741</v>
      </c>
      <c r="L2359" s="1" t="s">
        <v>649</v>
      </c>
      <c r="M2359">
        <f t="shared" si="73"/>
        <v>9</v>
      </c>
      <c r="N2359" t="s">
        <v>650</v>
      </c>
    </row>
    <row r="2360" spans="1:14" hidden="1" x14ac:dyDescent="0.3">
      <c r="A2360" s="1" t="s">
        <v>1553</v>
      </c>
      <c r="B2360" s="1" t="s">
        <v>910</v>
      </c>
      <c r="C2360" s="1" t="s">
        <v>1554</v>
      </c>
      <c r="D2360" s="1" t="s">
        <v>746</v>
      </c>
      <c r="E2360" s="1" t="s">
        <v>747</v>
      </c>
      <c r="F2360" s="1" t="s">
        <v>748</v>
      </c>
      <c r="G2360" s="1" t="s">
        <v>1542</v>
      </c>
      <c r="H2360">
        <v>2005</v>
      </c>
      <c r="I2360">
        <v>2014</v>
      </c>
      <c r="J2360">
        <f t="shared" si="72"/>
        <v>10</v>
      </c>
      <c r="K2360" s="1" t="s">
        <v>741</v>
      </c>
      <c r="L2360" s="1" t="s">
        <v>649</v>
      </c>
      <c r="M2360">
        <f t="shared" si="73"/>
        <v>12</v>
      </c>
      <c r="N2360" t="s">
        <v>650</v>
      </c>
    </row>
    <row r="2361" spans="1:14" hidden="1" x14ac:dyDescent="0.3">
      <c r="A2361" s="1" t="s">
        <v>1555</v>
      </c>
      <c r="B2361" s="1" t="s">
        <v>910</v>
      </c>
      <c r="C2361" s="1" t="s">
        <v>1556</v>
      </c>
      <c r="D2361" s="1" t="s">
        <v>746</v>
      </c>
      <c r="E2361" s="1" t="s">
        <v>747</v>
      </c>
      <c r="F2361" s="1" t="s">
        <v>748</v>
      </c>
      <c r="G2361" s="1" t="s">
        <v>1542</v>
      </c>
      <c r="H2361">
        <v>2005</v>
      </c>
      <c r="I2361">
        <v>2022</v>
      </c>
      <c r="J2361">
        <f t="shared" si="72"/>
        <v>18</v>
      </c>
      <c r="K2361" s="1" t="s">
        <v>741</v>
      </c>
      <c r="L2361" s="1" t="s">
        <v>649</v>
      </c>
      <c r="M2361">
        <f t="shared" si="73"/>
        <v>4</v>
      </c>
      <c r="N2361" t="s">
        <v>650</v>
      </c>
    </row>
    <row r="2362" spans="1:14" hidden="1" x14ac:dyDescent="0.3">
      <c r="A2362" s="1" t="s">
        <v>1557</v>
      </c>
      <c r="B2362" s="1" t="s">
        <v>910</v>
      </c>
      <c r="C2362" s="1" t="s">
        <v>1558</v>
      </c>
      <c r="D2362" s="1" t="s">
        <v>746</v>
      </c>
      <c r="E2362" s="1" t="s">
        <v>747</v>
      </c>
      <c r="F2362" s="1" t="s">
        <v>748</v>
      </c>
      <c r="G2362" s="1" t="s">
        <v>1542</v>
      </c>
      <c r="H2362">
        <v>2009</v>
      </c>
      <c r="I2362">
        <v>2012</v>
      </c>
      <c r="J2362">
        <f t="shared" si="72"/>
        <v>4</v>
      </c>
      <c r="K2362" s="1" t="s">
        <v>741</v>
      </c>
      <c r="L2362" s="1" t="s">
        <v>649</v>
      </c>
      <c r="M2362">
        <f t="shared" si="73"/>
        <v>14</v>
      </c>
      <c r="N2362" t="s">
        <v>650</v>
      </c>
    </row>
    <row r="2363" spans="1:14" hidden="1" x14ac:dyDescent="0.3">
      <c r="A2363" s="1" t="s">
        <v>1559</v>
      </c>
      <c r="B2363" s="1" t="s">
        <v>910</v>
      </c>
      <c r="C2363" s="1" t="s">
        <v>1560</v>
      </c>
      <c r="D2363" s="1" t="s">
        <v>746</v>
      </c>
      <c r="E2363" s="1" t="s">
        <v>747</v>
      </c>
      <c r="F2363" s="1" t="s">
        <v>748</v>
      </c>
      <c r="G2363" s="1" t="s">
        <v>1542</v>
      </c>
      <c r="H2363">
        <v>2009</v>
      </c>
      <c r="I2363">
        <v>2022</v>
      </c>
      <c r="J2363">
        <f t="shared" si="72"/>
        <v>14</v>
      </c>
      <c r="K2363" s="1" t="s">
        <v>741</v>
      </c>
      <c r="L2363" s="1" t="s">
        <v>649</v>
      </c>
      <c r="M2363">
        <f t="shared" si="73"/>
        <v>4</v>
      </c>
      <c r="N2363" t="s">
        <v>650</v>
      </c>
    </row>
    <row r="2364" spans="1:14" hidden="1" x14ac:dyDescent="0.3">
      <c r="A2364" s="1" t="s">
        <v>1561</v>
      </c>
      <c r="B2364" s="1" t="s">
        <v>910</v>
      </c>
      <c r="C2364" s="1" t="s">
        <v>1562</v>
      </c>
      <c r="D2364" s="1" t="s">
        <v>746</v>
      </c>
      <c r="E2364" s="1" t="s">
        <v>747</v>
      </c>
      <c r="F2364" s="1" t="s">
        <v>748</v>
      </c>
      <c r="G2364" s="1" t="s">
        <v>1542</v>
      </c>
      <c r="H2364">
        <v>2004</v>
      </c>
      <c r="I2364">
        <v>2014</v>
      </c>
      <c r="J2364">
        <f t="shared" si="72"/>
        <v>11</v>
      </c>
      <c r="K2364" s="1" t="s">
        <v>741</v>
      </c>
      <c r="L2364" s="1" t="s">
        <v>649</v>
      </c>
      <c r="M2364">
        <f t="shared" si="73"/>
        <v>12</v>
      </c>
      <c r="N2364" t="s">
        <v>650</v>
      </c>
    </row>
    <row r="2365" spans="1:14" hidden="1" x14ac:dyDescent="0.3">
      <c r="A2365" s="1" t="s">
        <v>1563</v>
      </c>
      <c r="B2365" s="1" t="s">
        <v>910</v>
      </c>
      <c r="C2365" s="1" t="s">
        <v>1564</v>
      </c>
      <c r="D2365" s="1" t="s">
        <v>746</v>
      </c>
      <c r="E2365" s="1" t="s">
        <v>747</v>
      </c>
      <c r="F2365" s="1" t="s">
        <v>748</v>
      </c>
      <c r="G2365" s="1" t="s">
        <v>1542</v>
      </c>
      <c r="H2365">
        <v>2004</v>
      </c>
      <c r="I2365">
        <v>2014</v>
      </c>
      <c r="J2365">
        <f t="shared" si="72"/>
        <v>11</v>
      </c>
      <c r="K2365" s="1" t="s">
        <v>741</v>
      </c>
      <c r="L2365" s="1" t="s">
        <v>649</v>
      </c>
      <c r="M2365">
        <f t="shared" si="73"/>
        <v>12</v>
      </c>
      <c r="N2365" t="s">
        <v>650</v>
      </c>
    </row>
    <row r="2366" spans="1:14" hidden="1" x14ac:dyDescent="0.3">
      <c r="A2366" s="1" t="s">
        <v>1565</v>
      </c>
      <c r="B2366" s="1" t="s">
        <v>910</v>
      </c>
      <c r="C2366" s="1" t="s">
        <v>1566</v>
      </c>
      <c r="D2366" s="1" t="s">
        <v>746</v>
      </c>
      <c r="E2366" s="1" t="s">
        <v>747</v>
      </c>
      <c r="F2366" s="1" t="s">
        <v>748</v>
      </c>
      <c r="G2366" s="1" t="s">
        <v>1542</v>
      </c>
      <c r="H2366">
        <v>2015</v>
      </c>
      <c r="I2366">
        <v>2022</v>
      </c>
      <c r="J2366">
        <f t="shared" si="72"/>
        <v>8</v>
      </c>
      <c r="K2366" s="1" t="s">
        <v>741</v>
      </c>
      <c r="L2366" s="1" t="s">
        <v>649</v>
      </c>
      <c r="M2366">
        <f t="shared" si="73"/>
        <v>4</v>
      </c>
      <c r="N2366" t="s">
        <v>650</v>
      </c>
    </row>
    <row r="2367" spans="1:14" hidden="1" x14ac:dyDescent="0.3">
      <c r="A2367" s="1" t="s">
        <v>1567</v>
      </c>
      <c r="B2367" s="1" t="s">
        <v>910</v>
      </c>
      <c r="C2367" s="1" t="s">
        <v>1568</v>
      </c>
      <c r="D2367" s="1" t="s">
        <v>746</v>
      </c>
      <c r="E2367" s="1" t="s">
        <v>747</v>
      </c>
      <c r="F2367" s="1" t="s">
        <v>748</v>
      </c>
      <c r="G2367" s="1" t="s">
        <v>1542</v>
      </c>
      <c r="H2367">
        <v>2015</v>
      </c>
      <c r="I2367">
        <v>2017</v>
      </c>
      <c r="J2367">
        <f t="shared" si="72"/>
        <v>3</v>
      </c>
      <c r="K2367" s="1" t="s">
        <v>741</v>
      </c>
      <c r="L2367" s="1" t="s">
        <v>649</v>
      </c>
      <c r="M2367">
        <f t="shared" si="73"/>
        <v>9</v>
      </c>
      <c r="N2367" t="s">
        <v>650</v>
      </c>
    </row>
    <row r="2368" spans="1:14" hidden="1" x14ac:dyDescent="0.3">
      <c r="A2368" s="1" t="s">
        <v>1569</v>
      </c>
      <c r="B2368" s="1" t="s">
        <v>910</v>
      </c>
      <c r="C2368" s="1" t="s">
        <v>1570</v>
      </c>
      <c r="D2368" s="1" t="s">
        <v>746</v>
      </c>
      <c r="E2368" s="1" t="s">
        <v>747</v>
      </c>
      <c r="F2368" s="1" t="s">
        <v>748</v>
      </c>
      <c r="G2368" s="1" t="s">
        <v>1542</v>
      </c>
      <c r="H2368">
        <v>2004</v>
      </c>
      <c r="I2368">
        <v>2012</v>
      </c>
      <c r="J2368">
        <f t="shared" si="72"/>
        <v>9</v>
      </c>
      <c r="K2368" s="1" t="s">
        <v>741</v>
      </c>
      <c r="L2368" s="1" t="s">
        <v>649</v>
      </c>
      <c r="M2368">
        <f t="shared" si="73"/>
        <v>14</v>
      </c>
      <c r="N2368" t="s">
        <v>650</v>
      </c>
    </row>
    <row r="2369" spans="1:14" hidden="1" x14ac:dyDescent="0.3">
      <c r="A2369" s="1" t="s">
        <v>1571</v>
      </c>
      <c r="B2369" s="1" t="s">
        <v>910</v>
      </c>
      <c r="C2369" s="1" t="s">
        <v>1572</v>
      </c>
      <c r="D2369" s="1" t="s">
        <v>746</v>
      </c>
      <c r="E2369" s="1" t="s">
        <v>747</v>
      </c>
      <c r="F2369" s="1" t="s">
        <v>748</v>
      </c>
      <c r="G2369" s="1" t="s">
        <v>1542</v>
      </c>
      <c r="H2369">
        <v>2004</v>
      </c>
      <c r="I2369">
        <v>2012</v>
      </c>
      <c r="J2369">
        <f t="shared" si="72"/>
        <v>9</v>
      </c>
      <c r="K2369" s="1" t="s">
        <v>741</v>
      </c>
      <c r="L2369" s="1" t="s">
        <v>649</v>
      </c>
      <c r="M2369">
        <f t="shared" si="73"/>
        <v>14</v>
      </c>
      <c r="N2369" t="s">
        <v>650</v>
      </c>
    </row>
    <row r="2370" spans="1:14" hidden="1" x14ac:dyDescent="0.3">
      <c r="A2370" s="1" t="s">
        <v>1573</v>
      </c>
      <c r="B2370" s="1" t="s">
        <v>910</v>
      </c>
      <c r="C2370" s="1" t="s">
        <v>1574</v>
      </c>
      <c r="D2370" s="1" t="s">
        <v>746</v>
      </c>
      <c r="E2370" s="1" t="s">
        <v>747</v>
      </c>
      <c r="F2370" s="1" t="s">
        <v>748</v>
      </c>
      <c r="G2370" s="1" t="s">
        <v>1542</v>
      </c>
      <c r="H2370">
        <v>2018</v>
      </c>
      <c r="I2370">
        <v>2022</v>
      </c>
      <c r="J2370">
        <f t="shared" si="72"/>
        <v>5</v>
      </c>
      <c r="K2370" s="1" t="s">
        <v>741</v>
      </c>
      <c r="L2370" s="1" t="s">
        <v>649</v>
      </c>
      <c r="M2370">
        <f t="shared" si="73"/>
        <v>4</v>
      </c>
      <c r="N2370" t="s">
        <v>650</v>
      </c>
    </row>
    <row r="2371" spans="1:14" hidden="1" x14ac:dyDescent="0.3">
      <c r="A2371" s="1" t="s">
        <v>1575</v>
      </c>
      <c r="B2371" s="1" t="s">
        <v>910</v>
      </c>
      <c r="C2371" s="1" t="s">
        <v>1576</v>
      </c>
      <c r="D2371" s="1" t="s">
        <v>746</v>
      </c>
      <c r="E2371" s="1" t="s">
        <v>747</v>
      </c>
      <c r="F2371" s="1" t="s">
        <v>748</v>
      </c>
      <c r="G2371" s="1" t="s">
        <v>1542</v>
      </c>
      <c r="H2371">
        <v>2013</v>
      </c>
      <c r="I2371">
        <v>2014</v>
      </c>
      <c r="J2371">
        <f t="shared" si="72"/>
        <v>2</v>
      </c>
      <c r="K2371" s="1" t="s">
        <v>741</v>
      </c>
      <c r="L2371" s="1" t="s">
        <v>649</v>
      </c>
      <c r="M2371">
        <f t="shared" si="73"/>
        <v>12</v>
      </c>
      <c r="N2371" t="s">
        <v>650</v>
      </c>
    </row>
    <row r="2372" spans="1:14" hidden="1" x14ac:dyDescent="0.3">
      <c r="A2372" s="1" t="s">
        <v>1577</v>
      </c>
      <c r="B2372" s="1" t="s">
        <v>910</v>
      </c>
      <c r="C2372" s="1" t="s">
        <v>1578</v>
      </c>
      <c r="D2372" s="1" t="s">
        <v>746</v>
      </c>
      <c r="E2372" s="1" t="s">
        <v>747</v>
      </c>
      <c r="F2372" s="1" t="s">
        <v>748</v>
      </c>
      <c r="G2372" s="1" t="s">
        <v>1542</v>
      </c>
      <c r="H2372">
        <v>2013</v>
      </c>
      <c r="I2372">
        <v>2014</v>
      </c>
      <c r="J2372">
        <f t="shared" si="72"/>
        <v>2</v>
      </c>
      <c r="K2372" s="1" t="s">
        <v>741</v>
      </c>
      <c r="L2372" s="1" t="s">
        <v>649</v>
      </c>
      <c r="M2372">
        <f t="shared" si="73"/>
        <v>12</v>
      </c>
      <c r="N2372" t="s">
        <v>650</v>
      </c>
    </row>
    <row r="2373" spans="1:14" hidden="1" x14ac:dyDescent="0.3">
      <c r="A2373" s="1" t="s">
        <v>1579</v>
      </c>
      <c r="B2373" s="1" t="s">
        <v>12756</v>
      </c>
      <c r="C2373" s="1" t="s">
        <v>1580</v>
      </c>
      <c r="D2373" s="1" t="s">
        <v>738</v>
      </c>
      <c r="E2373" s="1" t="s">
        <v>812</v>
      </c>
      <c r="F2373" s="1" t="s">
        <v>813</v>
      </c>
      <c r="G2373" s="1" t="s">
        <v>1581</v>
      </c>
      <c r="H2373">
        <v>2015</v>
      </c>
      <c r="I2373">
        <v>2018</v>
      </c>
      <c r="J2373">
        <f t="shared" si="72"/>
        <v>4</v>
      </c>
      <c r="K2373" s="1" t="s">
        <v>741</v>
      </c>
      <c r="L2373" s="1" t="s">
        <v>649</v>
      </c>
      <c r="M2373">
        <f t="shared" si="73"/>
        <v>8</v>
      </c>
      <c r="N2373" t="s">
        <v>650</v>
      </c>
    </row>
    <row r="2374" spans="1:14" hidden="1" x14ac:dyDescent="0.3">
      <c r="A2374" s="1" t="s">
        <v>1582</v>
      </c>
      <c r="B2374" s="1" t="s">
        <v>12756</v>
      </c>
      <c r="C2374" s="1" t="s">
        <v>1583</v>
      </c>
      <c r="D2374" s="1" t="s">
        <v>738</v>
      </c>
      <c r="E2374" s="1" t="s">
        <v>812</v>
      </c>
      <c r="F2374" s="1" t="s">
        <v>813</v>
      </c>
      <c r="G2374" s="1" t="s">
        <v>1581</v>
      </c>
      <c r="H2374">
        <v>2011</v>
      </c>
      <c r="I2374">
        <v>2018</v>
      </c>
      <c r="J2374">
        <f t="shared" ref="J2374:J2437" si="74">1+(I2374-H2374)</f>
        <v>8</v>
      </c>
      <c r="K2374" s="1" t="s">
        <v>741</v>
      </c>
      <c r="L2374" s="1" t="s">
        <v>649</v>
      </c>
      <c r="M2374">
        <f t="shared" ref="M2374:M2437" si="75">IF(I2374=0,0,$B$2-I2374)</f>
        <v>8</v>
      </c>
      <c r="N2374" t="s">
        <v>650</v>
      </c>
    </row>
    <row r="2375" spans="1:14" hidden="1" x14ac:dyDescent="0.3">
      <c r="A2375" s="1" t="s">
        <v>1584</v>
      </c>
      <c r="B2375" s="1" t="s">
        <v>12756</v>
      </c>
      <c r="C2375" s="1" t="s">
        <v>1585</v>
      </c>
      <c r="D2375" s="1" t="s">
        <v>738</v>
      </c>
      <c r="E2375" s="1" t="s">
        <v>812</v>
      </c>
      <c r="F2375" s="1" t="s">
        <v>813</v>
      </c>
      <c r="G2375" s="1" t="s">
        <v>1581</v>
      </c>
      <c r="H2375">
        <v>2011</v>
      </c>
      <c r="I2375">
        <v>2016</v>
      </c>
      <c r="J2375">
        <f t="shared" si="74"/>
        <v>6</v>
      </c>
      <c r="K2375" s="1" t="s">
        <v>741</v>
      </c>
      <c r="L2375" s="1" t="s">
        <v>649</v>
      </c>
      <c r="M2375">
        <f t="shared" si="75"/>
        <v>10</v>
      </c>
      <c r="N2375" t="s">
        <v>650</v>
      </c>
    </row>
    <row r="2376" spans="1:14" hidden="1" x14ac:dyDescent="0.3">
      <c r="A2376" s="1" t="s">
        <v>1586</v>
      </c>
      <c r="B2376" s="1" t="s">
        <v>12756</v>
      </c>
      <c r="C2376" s="1" t="s">
        <v>1587</v>
      </c>
      <c r="D2376" s="1" t="s">
        <v>738</v>
      </c>
      <c r="E2376" s="1" t="s">
        <v>812</v>
      </c>
      <c r="F2376" s="1" t="s">
        <v>813</v>
      </c>
      <c r="G2376" s="1" t="s">
        <v>1581</v>
      </c>
      <c r="H2376">
        <v>2012</v>
      </c>
      <c r="I2376">
        <v>2014</v>
      </c>
      <c r="J2376">
        <f t="shared" si="74"/>
        <v>3</v>
      </c>
      <c r="K2376" s="1" t="s">
        <v>741</v>
      </c>
      <c r="L2376" s="1" t="s">
        <v>649</v>
      </c>
      <c r="M2376">
        <f t="shared" si="75"/>
        <v>12</v>
      </c>
      <c r="N2376" t="s">
        <v>650</v>
      </c>
    </row>
    <row r="2377" spans="1:14" hidden="1" x14ac:dyDescent="0.3">
      <c r="A2377" s="1" t="s">
        <v>1588</v>
      </c>
      <c r="B2377" s="1" t="s">
        <v>12756</v>
      </c>
      <c r="C2377" s="1" t="s">
        <v>1589</v>
      </c>
      <c r="D2377" s="1" t="s">
        <v>738</v>
      </c>
      <c r="E2377" s="1" t="s">
        <v>812</v>
      </c>
      <c r="F2377" s="1" t="s">
        <v>813</v>
      </c>
      <c r="G2377" s="1" t="s">
        <v>1581</v>
      </c>
      <c r="H2377">
        <v>2014</v>
      </c>
      <c r="I2377">
        <v>2016</v>
      </c>
      <c r="J2377">
        <f t="shared" si="74"/>
        <v>3</v>
      </c>
      <c r="K2377" s="1" t="s">
        <v>741</v>
      </c>
      <c r="L2377" s="1" t="s">
        <v>649</v>
      </c>
      <c r="M2377">
        <f t="shared" si="75"/>
        <v>10</v>
      </c>
      <c r="N2377" t="s">
        <v>650</v>
      </c>
    </row>
    <row r="2378" spans="1:14" hidden="1" x14ac:dyDescent="0.3">
      <c r="A2378" s="1" t="s">
        <v>1590</v>
      </c>
      <c r="B2378" s="1" t="s">
        <v>12756</v>
      </c>
      <c r="C2378" s="1" t="s">
        <v>1591</v>
      </c>
      <c r="D2378" s="1" t="s">
        <v>738</v>
      </c>
      <c r="E2378" s="1" t="s">
        <v>812</v>
      </c>
      <c r="F2378" s="1" t="s">
        <v>813</v>
      </c>
      <c r="G2378" s="1" t="s">
        <v>1581</v>
      </c>
      <c r="H2378">
        <v>2013</v>
      </c>
      <c r="I2378">
        <v>2014</v>
      </c>
      <c r="J2378">
        <f t="shared" si="74"/>
        <v>2</v>
      </c>
      <c r="K2378" s="1" t="s">
        <v>741</v>
      </c>
      <c r="L2378" s="1" t="s">
        <v>649</v>
      </c>
      <c r="M2378">
        <f t="shared" si="75"/>
        <v>12</v>
      </c>
      <c r="N2378" t="s">
        <v>650</v>
      </c>
    </row>
    <row r="2379" spans="1:14" hidden="1" x14ac:dyDescent="0.3">
      <c r="A2379" s="1" t="s">
        <v>1592</v>
      </c>
      <c r="B2379" s="1" t="s">
        <v>12756</v>
      </c>
      <c r="C2379" s="1" t="s">
        <v>1593</v>
      </c>
      <c r="D2379" s="1" t="s">
        <v>738</v>
      </c>
      <c r="E2379" s="1" t="s">
        <v>812</v>
      </c>
      <c r="F2379" s="1" t="s">
        <v>813</v>
      </c>
      <c r="G2379" s="1" t="s">
        <v>1581</v>
      </c>
      <c r="H2379">
        <v>2011</v>
      </c>
      <c r="I2379">
        <v>2018</v>
      </c>
      <c r="J2379">
        <f t="shared" si="74"/>
        <v>8</v>
      </c>
      <c r="K2379" s="1" t="s">
        <v>741</v>
      </c>
      <c r="L2379" s="1" t="s">
        <v>649</v>
      </c>
      <c r="M2379">
        <f t="shared" si="75"/>
        <v>8</v>
      </c>
      <c r="N2379" t="s">
        <v>650</v>
      </c>
    </row>
    <row r="2380" spans="1:14" hidden="1" x14ac:dyDescent="0.3">
      <c r="A2380" s="1" t="s">
        <v>4395</v>
      </c>
      <c r="B2380" s="1" t="s">
        <v>1451</v>
      </c>
      <c r="C2380" s="1" t="s">
        <v>4396</v>
      </c>
      <c r="D2380" s="1" t="s">
        <v>746</v>
      </c>
      <c r="E2380" s="1" t="s">
        <v>1358</v>
      </c>
      <c r="F2380" s="1" t="s">
        <v>1359</v>
      </c>
      <c r="G2380" s="1" t="s">
        <v>4397</v>
      </c>
      <c r="H2380">
        <v>2014</v>
      </c>
      <c r="I2380">
        <v>2016</v>
      </c>
      <c r="J2380">
        <f t="shared" si="74"/>
        <v>3</v>
      </c>
      <c r="K2380" s="1" t="s">
        <v>3665</v>
      </c>
      <c r="L2380" s="1" t="s">
        <v>649</v>
      </c>
      <c r="M2380">
        <f t="shared" si="75"/>
        <v>10</v>
      </c>
      <c r="N2380" t="s">
        <v>650</v>
      </c>
    </row>
    <row r="2381" spans="1:14" hidden="1" x14ac:dyDescent="0.3">
      <c r="A2381" s="1" t="s">
        <v>4398</v>
      </c>
      <c r="B2381" s="1" t="s">
        <v>1451</v>
      </c>
      <c r="C2381" s="1" t="s">
        <v>4399</v>
      </c>
      <c r="D2381" s="1" t="s">
        <v>746</v>
      </c>
      <c r="E2381" s="1" t="s">
        <v>1358</v>
      </c>
      <c r="F2381" s="1" t="s">
        <v>1359</v>
      </c>
      <c r="G2381" s="1" t="s">
        <v>4397</v>
      </c>
      <c r="H2381">
        <v>2003</v>
      </c>
      <c r="I2381">
        <v>2019</v>
      </c>
      <c r="J2381">
        <f t="shared" si="74"/>
        <v>17</v>
      </c>
      <c r="K2381" s="1" t="s">
        <v>3665</v>
      </c>
      <c r="L2381" s="1" t="s">
        <v>666</v>
      </c>
      <c r="M2381">
        <f t="shared" si="75"/>
        <v>7</v>
      </c>
      <c r="N2381" t="s">
        <v>650</v>
      </c>
    </row>
    <row r="2382" spans="1:14" hidden="1" x14ac:dyDescent="0.3">
      <c r="A2382" s="1" t="s">
        <v>4400</v>
      </c>
      <c r="B2382" s="1" t="s">
        <v>1451</v>
      </c>
      <c r="C2382" s="1" t="s">
        <v>4401</v>
      </c>
      <c r="D2382" s="1" t="s">
        <v>746</v>
      </c>
      <c r="E2382" s="1" t="s">
        <v>1358</v>
      </c>
      <c r="F2382" s="1" t="s">
        <v>1359</v>
      </c>
      <c r="G2382" s="1" t="s">
        <v>4397</v>
      </c>
      <c r="H2382">
        <v>2001</v>
      </c>
      <c r="I2382">
        <v>2003</v>
      </c>
      <c r="J2382">
        <f t="shared" si="74"/>
        <v>3</v>
      </c>
      <c r="K2382" s="1" t="s">
        <v>3665</v>
      </c>
      <c r="L2382" s="1" t="s">
        <v>649</v>
      </c>
      <c r="M2382">
        <f t="shared" si="75"/>
        <v>23</v>
      </c>
      <c r="N2382" t="s">
        <v>640</v>
      </c>
    </row>
    <row r="2383" spans="1:14" hidden="1" x14ac:dyDescent="0.3">
      <c r="A2383" s="1" t="s">
        <v>4854</v>
      </c>
      <c r="B2383" s="1" t="s">
        <v>1451</v>
      </c>
      <c r="C2383" s="1" t="s">
        <v>4855</v>
      </c>
      <c r="D2383" s="1" t="s">
        <v>746</v>
      </c>
      <c r="E2383" s="1" t="s">
        <v>1358</v>
      </c>
      <c r="F2383" s="1" t="s">
        <v>1359</v>
      </c>
      <c r="G2383" s="1" t="s">
        <v>4397</v>
      </c>
      <c r="H2383">
        <v>2001</v>
      </c>
      <c r="I2383">
        <v>2013</v>
      </c>
      <c r="J2383">
        <f t="shared" si="74"/>
        <v>13</v>
      </c>
      <c r="K2383" s="1" t="s">
        <v>3665</v>
      </c>
      <c r="L2383" s="1" t="s">
        <v>649</v>
      </c>
      <c r="M2383">
        <f t="shared" si="75"/>
        <v>13</v>
      </c>
      <c r="N2383" t="s">
        <v>650</v>
      </c>
    </row>
    <row r="2384" spans="1:14" hidden="1" x14ac:dyDescent="0.3">
      <c r="A2384" s="1" t="s">
        <v>4402</v>
      </c>
      <c r="B2384" s="1" t="s">
        <v>1451</v>
      </c>
      <c r="C2384" s="1" t="s">
        <v>4403</v>
      </c>
      <c r="D2384" s="1" t="s">
        <v>746</v>
      </c>
      <c r="E2384" s="1" t="s">
        <v>1358</v>
      </c>
      <c r="F2384" s="1" t="s">
        <v>1359</v>
      </c>
      <c r="G2384" s="1" t="s">
        <v>4397</v>
      </c>
      <c r="H2384">
        <v>2001</v>
      </c>
      <c r="I2384">
        <v>2013</v>
      </c>
      <c r="J2384">
        <f t="shared" si="74"/>
        <v>13</v>
      </c>
      <c r="K2384" s="1" t="s">
        <v>3665</v>
      </c>
      <c r="L2384" s="1" t="s">
        <v>649</v>
      </c>
      <c r="M2384">
        <f t="shared" si="75"/>
        <v>13</v>
      </c>
      <c r="N2384" t="s">
        <v>650</v>
      </c>
    </row>
    <row r="2385" spans="1:14" hidden="1" x14ac:dyDescent="0.3">
      <c r="A2385" s="1" t="s">
        <v>4856</v>
      </c>
      <c r="B2385" s="1" t="s">
        <v>1451</v>
      </c>
      <c r="C2385" s="1" t="s">
        <v>4857</v>
      </c>
      <c r="D2385" s="1" t="s">
        <v>746</v>
      </c>
      <c r="E2385" s="1" t="s">
        <v>1358</v>
      </c>
      <c r="F2385" s="1" t="s">
        <v>1359</v>
      </c>
      <c r="G2385" s="1" t="s">
        <v>4397</v>
      </c>
      <c r="H2385">
        <v>2016</v>
      </c>
      <c r="I2385">
        <v>2019</v>
      </c>
      <c r="J2385">
        <f t="shared" si="74"/>
        <v>4</v>
      </c>
      <c r="K2385" s="1" t="s">
        <v>3665</v>
      </c>
      <c r="L2385" s="1" t="s">
        <v>649</v>
      </c>
      <c r="M2385">
        <f t="shared" si="75"/>
        <v>7</v>
      </c>
      <c r="N2385" t="s">
        <v>650</v>
      </c>
    </row>
    <row r="2386" spans="1:14" hidden="1" x14ac:dyDescent="0.3">
      <c r="A2386" s="1" t="s">
        <v>4404</v>
      </c>
      <c r="B2386" s="1" t="s">
        <v>1451</v>
      </c>
      <c r="C2386" s="1" t="s">
        <v>4405</v>
      </c>
      <c r="D2386" s="1" t="s">
        <v>746</v>
      </c>
      <c r="E2386" s="1" t="s">
        <v>1358</v>
      </c>
      <c r="F2386" s="1" t="s">
        <v>1359</v>
      </c>
      <c r="G2386" s="1" t="s">
        <v>4397</v>
      </c>
      <c r="H2386">
        <v>2016</v>
      </c>
      <c r="I2386">
        <v>2019</v>
      </c>
      <c r="J2386">
        <f t="shared" si="74"/>
        <v>4</v>
      </c>
      <c r="K2386" s="1" t="s">
        <v>3665</v>
      </c>
      <c r="L2386" s="1" t="s">
        <v>649</v>
      </c>
      <c r="M2386">
        <f t="shared" si="75"/>
        <v>7</v>
      </c>
      <c r="N2386" t="s">
        <v>650</v>
      </c>
    </row>
    <row r="2387" spans="1:14" hidden="1" x14ac:dyDescent="0.3">
      <c r="A2387" s="1" t="s">
        <v>4406</v>
      </c>
      <c r="B2387" s="1" t="s">
        <v>1451</v>
      </c>
      <c r="C2387" s="1" t="s">
        <v>4407</v>
      </c>
      <c r="D2387" s="1" t="s">
        <v>746</v>
      </c>
      <c r="E2387" s="1" t="s">
        <v>1358</v>
      </c>
      <c r="F2387" s="1" t="s">
        <v>1359</v>
      </c>
      <c r="G2387" s="1" t="s">
        <v>4397</v>
      </c>
      <c r="H2387">
        <v>2003</v>
      </c>
      <c r="I2387">
        <v>2011</v>
      </c>
      <c r="J2387">
        <f t="shared" si="74"/>
        <v>9</v>
      </c>
      <c r="K2387" s="1" t="s">
        <v>3665</v>
      </c>
      <c r="L2387" s="1" t="s">
        <v>649</v>
      </c>
      <c r="M2387">
        <f t="shared" si="75"/>
        <v>15</v>
      </c>
      <c r="N2387" t="s">
        <v>650</v>
      </c>
    </row>
    <row r="2388" spans="1:14" hidden="1" x14ac:dyDescent="0.3">
      <c r="A2388" s="1" t="s">
        <v>4408</v>
      </c>
      <c r="B2388" s="1" t="s">
        <v>1451</v>
      </c>
      <c r="C2388" s="1" t="s">
        <v>4409</v>
      </c>
      <c r="D2388" s="1" t="s">
        <v>746</v>
      </c>
      <c r="E2388" s="1" t="s">
        <v>1358</v>
      </c>
      <c r="F2388" s="1" t="s">
        <v>1359</v>
      </c>
      <c r="G2388" s="1" t="s">
        <v>4397</v>
      </c>
      <c r="H2388">
        <v>2001</v>
      </c>
      <c r="I2388">
        <v>2011</v>
      </c>
      <c r="J2388">
        <f t="shared" si="74"/>
        <v>11</v>
      </c>
      <c r="K2388" s="1" t="s">
        <v>3665</v>
      </c>
      <c r="L2388" s="1" t="s">
        <v>666</v>
      </c>
      <c r="M2388">
        <f t="shared" si="75"/>
        <v>15</v>
      </c>
      <c r="N2388" t="s">
        <v>650</v>
      </c>
    </row>
    <row r="2389" spans="1:14" hidden="1" x14ac:dyDescent="0.3">
      <c r="A2389" s="1" t="s">
        <v>4410</v>
      </c>
      <c r="B2389" s="1" t="s">
        <v>1451</v>
      </c>
      <c r="C2389" s="1" t="s">
        <v>4411</v>
      </c>
      <c r="D2389" s="1" t="s">
        <v>746</v>
      </c>
      <c r="E2389" s="1" t="s">
        <v>1358</v>
      </c>
      <c r="F2389" s="1" t="s">
        <v>1359</v>
      </c>
      <c r="G2389" s="1" t="s">
        <v>4397</v>
      </c>
      <c r="H2389">
        <v>2002</v>
      </c>
      <c r="I2389">
        <v>2011</v>
      </c>
      <c r="J2389">
        <f t="shared" si="74"/>
        <v>10</v>
      </c>
      <c r="K2389" s="1" t="s">
        <v>3665</v>
      </c>
      <c r="L2389" s="1" t="s">
        <v>649</v>
      </c>
      <c r="M2389">
        <f t="shared" si="75"/>
        <v>15</v>
      </c>
      <c r="N2389" t="s">
        <v>650</v>
      </c>
    </row>
    <row r="2390" spans="1:14" hidden="1" x14ac:dyDescent="0.3">
      <c r="A2390" s="1" t="s">
        <v>4858</v>
      </c>
      <c r="B2390" s="1" t="s">
        <v>1451</v>
      </c>
      <c r="C2390" s="1" t="s">
        <v>4859</v>
      </c>
      <c r="D2390" s="1" t="s">
        <v>746</v>
      </c>
      <c r="E2390" s="1" t="s">
        <v>1358</v>
      </c>
      <c r="F2390" s="1" t="s">
        <v>1359</v>
      </c>
      <c r="G2390" s="1" t="s">
        <v>4397</v>
      </c>
      <c r="H2390">
        <v>2001</v>
      </c>
      <c r="I2390">
        <v>2011</v>
      </c>
      <c r="J2390">
        <f t="shared" si="74"/>
        <v>11</v>
      </c>
      <c r="K2390" s="1" t="s">
        <v>3665</v>
      </c>
      <c r="L2390" s="1" t="s">
        <v>666</v>
      </c>
      <c r="M2390">
        <f t="shared" si="75"/>
        <v>15</v>
      </c>
      <c r="N2390" t="s">
        <v>650</v>
      </c>
    </row>
    <row r="2391" spans="1:14" hidden="1" x14ac:dyDescent="0.3">
      <c r="A2391" s="1" t="s">
        <v>4412</v>
      </c>
      <c r="B2391" s="1" t="s">
        <v>1451</v>
      </c>
      <c r="C2391" s="1" t="s">
        <v>4413</v>
      </c>
      <c r="D2391" s="1" t="s">
        <v>738</v>
      </c>
      <c r="E2391" s="1" t="s">
        <v>812</v>
      </c>
      <c r="F2391" s="1" t="s">
        <v>813</v>
      </c>
      <c r="G2391" s="1" t="s">
        <v>4397</v>
      </c>
      <c r="H2391">
        <v>2011</v>
      </c>
      <c r="I2391">
        <v>2015</v>
      </c>
      <c r="J2391">
        <f t="shared" si="74"/>
        <v>5</v>
      </c>
      <c r="K2391" s="1" t="s">
        <v>3665</v>
      </c>
      <c r="L2391" s="1" t="s">
        <v>649</v>
      </c>
      <c r="M2391">
        <f t="shared" si="75"/>
        <v>11</v>
      </c>
      <c r="N2391" t="s">
        <v>650</v>
      </c>
    </row>
    <row r="2392" spans="1:14" hidden="1" x14ac:dyDescent="0.3">
      <c r="A2392" s="1" t="s">
        <v>4860</v>
      </c>
      <c r="B2392" s="1" t="s">
        <v>1451</v>
      </c>
      <c r="C2392" s="1" t="s">
        <v>4861</v>
      </c>
      <c r="D2392" s="1" t="s">
        <v>738</v>
      </c>
      <c r="E2392" s="1" t="s">
        <v>812</v>
      </c>
      <c r="F2392" s="1" t="s">
        <v>813</v>
      </c>
      <c r="G2392" s="1" t="s">
        <v>4397</v>
      </c>
      <c r="H2392">
        <v>2014</v>
      </c>
      <c r="I2392">
        <v>2015</v>
      </c>
      <c r="J2392">
        <f t="shared" si="74"/>
        <v>2</v>
      </c>
      <c r="K2392" s="1" t="s">
        <v>3665</v>
      </c>
      <c r="L2392" s="1" t="s">
        <v>649</v>
      </c>
      <c r="M2392">
        <f t="shared" si="75"/>
        <v>11</v>
      </c>
      <c r="N2392" t="s">
        <v>650</v>
      </c>
    </row>
    <row r="2393" spans="1:14" hidden="1" x14ac:dyDescent="0.3">
      <c r="A2393" s="1" t="s">
        <v>4862</v>
      </c>
      <c r="B2393" s="1" t="s">
        <v>1451</v>
      </c>
      <c r="C2393" s="1" t="s">
        <v>4863</v>
      </c>
      <c r="D2393" s="1" t="s">
        <v>738</v>
      </c>
      <c r="E2393" s="1" t="s">
        <v>812</v>
      </c>
      <c r="F2393" s="1" t="s">
        <v>813</v>
      </c>
      <c r="G2393" s="1" t="s">
        <v>4397</v>
      </c>
      <c r="H2393">
        <v>2004</v>
      </c>
      <c r="I2393">
        <v>2014</v>
      </c>
      <c r="J2393">
        <f t="shared" si="74"/>
        <v>11</v>
      </c>
      <c r="K2393" s="1" t="s">
        <v>3665</v>
      </c>
      <c r="L2393" s="1" t="s">
        <v>649</v>
      </c>
      <c r="M2393">
        <f t="shared" si="75"/>
        <v>12</v>
      </c>
      <c r="N2393" t="s">
        <v>650</v>
      </c>
    </row>
    <row r="2394" spans="1:14" hidden="1" x14ac:dyDescent="0.3">
      <c r="A2394" s="1" t="s">
        <v>4414</v>
      </c>
      <c r="B2394" s="1" t="s">
        <v>1451</v>
      </c>
      <c r="C2394" s="1" t="s">
        <v>4415</v>
      </c>
      <c r="D2394" s="1" t="s">
        <v>738</v>
      </c>
      <c r="E2394" s="1" t="s">
        <v>812</v>
      </c>
      <c r="F2394" s="1" t="s">
        <v>813</v>
      </c>
      <c r="G2394" s="1" t="s">
        <v>4397</v>
      </c>
      <c r="H2394">
        <v>2003</v>
      </c>
      <c r="I2394">
        <v>2004</v>
      </c>
      <c r="J2394">
        <f t="shared" si="74"/>
        <v>2</v>
      </c>
      <c r="K2394" s="1" t="s">
        <v>3665</v>
      </c>
      <c r="L2394" s="1" t="s">
        <v>649</v>
      </c>
      <c r="M2394">
        <f t="shared" si="75"/>
        <v>22</v>
      </c>
      <c r="N2394" t="s">
        <v>640</v>
      </c>
    </row>
    <row r="2395" spans="1:14" hidden="1" x14ac:dyDescent="0.3">
      <c r="A2395" s="1" t="s">
        <v>4864</v>
      </c>
      <c r="B2395" s="1" t="s">
        <v>1451</v>
      </c>
      <c r="C2395" s="1" t="s">
        <v>4865</v>
      </c>
      <c r="D2395" s="1" t="s">
        <v>738</v>
      </c>
      <c r="E2395" s="1" t="s">
        <v>812</v>
      </c>
      <c r="F2395" s="1" t="s">
        <v>813</v>
      </c>
      <c r="G2395" s="1" t="s">
        <v>4397</v>
      </c>
      <c r="H2395">
        <v>2001</v>
      </c>
      <c r="I2395">
        <v>2013</v>
      </c>
      <c r="J2395">
        <f t="shared" si="74"/>
        <v>13</v>
      </c>
      <c r="K2395" s="1" t="s">
        <v>3665</v>
      </c>
      <c r="L2395" s="1" t="s">
        <v>666</v>
      </c>
      <c r="M2395">
        <f t="shared" si="75"/>
        <v>13</v>
      </c>
      <c r="N2395" t="s">
        <v>650</v>
      </c>
    </row>
    <row r="2396" spans="1:14" hidden="1" x14ac:dyDescent="0.3">
      <c r="A2396" s="1" t="s">
        <v>4416</v>
      </c>
      <c r="B2396" s="1" t="s">
        <v>1451</v>
      </c>
      <c r="C2396" s="1" t="s">
        <v>4417</v>
      </c>
      <c r="D2396" s="1" t="s">
        <v>738</v>
      </c>
      <c r="E2396" s="1" t="s">
        <v>812</v>
      </c>
      <c r="F2396" s="1" t="s">
        <v>813</v>
      </c>
      <c r="G2396" s="1" t="s">
        <v>4397</v>
      </c>
      <c r="H2396">
        <v>2001</v>
      </c>
      <c r="I2396">
        <v>2013</v>
      </c>
      <c r="J2396">
        <f t="shared" si="74"/>
        <v>13</v>
      </c>
      <c r="K2396" s="1" t="s">
        <v>3665</v>
      </c>
      <c r="L2396" s="1" t="s">
        <v>649</v>
      </c>
      <c r="M2396">
        <f t="shared" si="75"/>
        <v>13</v>
      </c>
      <c r="N2396" t="s">
        <v>650</v>
      </c>
    </row>
    <row r="2397" spans="1:14" hidden="1" x14ac:dyDescent="0.3">
      <c r="A2397" s="1" t="s">
        <v>4866</v>
      </c>
      <c r="B2397" s="1" t="s">
        <v>1451</v>
      </c>
      <c r="C2397" s="1" t="s">
        <v>4867</v>
      </c>
      <c r="D2397" s="1" t="s">
        <v>746</v>
      </c>
      <c r="E2397" s="1" t="s">
        <v>1358</v>
      </c>
      <c r="F2397" s="1" t="s">
        <v>1359</v>
      </c>
      <c r="G2397" s="1" t="s">
        <v>4397</v>
      </c>
      <c r="H2397">
        <v>2010</v>
      </c>
      <c r="I2397">
        <v>2019</v>
      </c>
      <c r="J2397">
        <f t="shared" si="74"/>
        <v>10</v>
      </c>
      <c r="K2397" s="1" t="s">
        <v>3665</v>
      </c>
      <c r="L2397" s="1" t="s">
        <v>649</v>
      </c>
      <c r="M2397">
        <f t="shared" si="75"/>
        <v>7</v>
      </c>
      <c r="N2397" t="s">
        <v>650</v>
      </c>
    </row>
    <row r="2398" spans="1:14" hidden="1" x14ac:dyDescent="0.3">
      <c r="A2398" s="1" t="s">
        <v>4418</v>
      </c>
      <c r="B2398" s="1" t="s">
        <v>1451</v>
      </c>
      <c r="C2398" s="1" t="s">
        <v>4419</v>
      </c>
      <c r="D2398" s="1" t="s">
        <v>746</v>
      </c>
      <c r="E2398" s="1" t="s">
        <v>1358</v>
      </c>
      <c r="F2398" s="1" t="s">
        <v>1359</v>
      </c>
      <c r="G2398" s="1" t="s">
        <v>4397</v>
      </c>
      <c r="H2398">
        <v>2010</v>
      </c>
      <c r="I2398">
        <v>2013</v>
      </c>
      <c r="J2398">
        <f t="shared" si="74"/>
        <v>4</v>
      </c>
      <c r="K2398" s="1" t="s">
        <v>3665</v>
      </c>
      <c r="L2398" s="1" t="s">
        <v>666</v>
      </c>
      <c r="M2398">
        <f t="shared" si="75"/>
        <v>13</v>
      </c>
      <c r="N2398" t="s">
        <v>650</v>
      </c>
    </row>
    <row r="2399" spans="1:14" x14ac:dyDescent="0.3">
      <c r="A2399" s="1" t="s">
        <v>10709</v>
      </c>
      <c r="B2399" s="1" t="s">
        <v>7121</v>
      </c>
      <c r="C2399" s="1" t="s">
        <v>10710</v>
      </c>
      <c r="D2399" s="1" t="s">
        <v>644</v>
      </c>
      <c r="E2399" s="1" t="s">
        <v>6076</v>
      </c>
      <c r="F2399" s="1" t="s">
        <v>6076</v>
      </c>
      <c r="G2399" s="1" t="s">
        <v>10711</v>
      </c>
      <c r="H2399">
        <v>2014</v>
      </c>
      <c r="I2399">
        <v>2016</v>
      </c>
      <c r="J2399">
        <f t="shared" si="74"/>
        <v>3</v>
      </c>
      <c r="K2399" s="1" t="s">
        <v>6076</v>
      </c>
      <c r="L2399" s="1" t="s">
        <v>6076</v>
      </c>
      <c r="M2399">
        <f t="shared" si="75"/>
        <v>10</v>
      </c>
      <c r="N2399" t="s">
        <v>650</v>
      </c>
    </row>
    <row r="2400" spans="1:14" x14ac:dyDescent="0.3">
      <c r="A2400" s="1" t="s">
        <v>7985</v>
      </c>
      <c r="B2400" s="1" t="s">
        <v>7986</v>
      </c>
      <c r="C2400" s="1" t="s">
        <v>7987</v>
      </c>
      <c r="D2400" s="1" t="s">
        <v>1395</v>
      </c>
      <c r="E2400" s="1" t="s">
        <v>6076</v>
      </c>
      <c r="F2400" s="1" t="s">
        <v>6076</v>
      </c>
      <c r="G2400" s="1" t="s">
        <v>7988</v>
      </c>
      <c r="H2400">
        <v>2001</v>
      </c>
      <c r="I2400">
        <v>2005</v>
      </c>
      <c r="J2400">
        <f t="shared" si="74"/>
        <v>5</v>
      </c>
      <c r="K2400" s="1" t="s">
        <v>6076</v>
      </c>
      <c r="L2400" s="1" t="s">
        <v>6076</v>
      </c>
      <c r="M2400">
        <f t="shared" si="75"/>
        <v>21</v>
      </c>
    </row>
    <row r="2401" spans="1:14" x14ac:dyDescent="0.3">
      <c r="A2401" s="1" t="s">
        <v>7989</v>
      </c>
      <c r="B2401" s="1" t="s">
        <v>7986</v>
      </c>
      <c r="C2401" s="1" t="s">
        <v>7990</v>
      </c>
      <c r="D2401" s="1" t="s">
        <v>1395</v>
      </c>
      <c r="E2401" s="1" t="s">
        <v>6076</v>
      </c>
      <c r="F2401" s="1" t="s">
        <v>6076</v>
      </c>
      <c r="G2401" s="1" t="s">
        <v>7988</v>
      </c>
      <c r="H2401">
        <v>1997</v>
      </c>
      <c r="I2401">
        <v>2002</v>
      </c>
      <c r="J2401">
        <f t="shared" si="74"/>
        <v>6</v>
      </c>
      <c r="K2401" s="1" t="s">
        <v>6076</v>
      </c>
      <c r="L2401" s="1" t="s">
        <v>6076</v>
      </c>
      <c r="M2401">
        <f t="shared" si="75"/>
        <v>24</v>
      </c>
    </row>
    <row r="2402" spans="1:14" x14ac:dyDescent="0.3">
      <c r="A2402" s="1" t="s">
        <v>7991</v>
      </c>
      <c r="B2402" s="1" t="s">
        <v>7986</v>
      </c>
      <c r="C2402" s="1" t="s">
        <v>7992</v>
      </c>
      <c r="D2402" s="1" t="s">
        <v>1395</v>
      </c>
      <c r="E2402" s="1" t="s">
        <v>6076</v>
      </c>
      <c r="F2402" s="1" t="s">
        <v>6076</v>
      </c>
      <c r="G2402" s="1" t="s">
        <v>7988</v>
      </c>
      <c r="H2402">
        <v>1999</v>
      </c>
      <c r="I2402">
        <v>2001</v>
      </c>
      <c r="J2402">
        <f t="shared" si="74"/>
        <v>3</v>
      </c>
      <c r="K2402" s="1" t="s">
        <v>6076</v>
      </c>
      <c r="L2402" s="1" t="s">
        <v>6076</v>
      </c>
      <c r="M2402">
        <f t="shared" si="75"/>
        <v>25</v>
      </c>
    </row>
    <row r="2403" spans="1:14" x14ac:dyDescent="0.3">
      <c r="A2403" s="1" t="s">
        <v>10712</v>
      </c>
      <c r="B2403" s="1" t="s">
        <v>7986</v>
      </c>
      <c r="C2403" s="1" t="s">
        <v>10713</v>
      </c>
      <c r="D2403" s="1" t="s">
        <v>1395</v>
      </c>
      <c r="E2403" s="1" t="s">
        <v>6076</v>
      </c>
      <c r="F2403" s="1" t="s">
        <v>6076</v>
      </c>
      <c r="G2403" s="1" t="s">
        <v>7988</v>
      </c>
      <c r="H2403">
        <v>2017</v>
      </c>
      <c r="I2403">
        <v>2018</v>
      </c>
      <c r="J2403">
        <f t="shared" si="74"/>
        <v>2</v>
      </c>
      <c r="K2403" s="1" t="s">
        <v>6076</v>
      </c>
      <c r="L2403" s="1" t="s">
        <v>6076</v>
      </c>
      <c r="M2403">
        <f t="shared" si="75"/>
        <v>8</v>
      </c>
    </row>
    <row r="2404" spans="1:14" x14ac:dyDescent="0.3">
      <c r="A2404" t="s">
        <v>12307</v>
      </c>
      <c r="B2404" t="s">
        <v>7986</v>
      </c>
      <c r="C2404" t="s">
        <v>12308</v>
      </c>
      <c r="E2404" s="1" t="s">
        <v>6076</v>
      </c>
      <c r="F2404" s="1" t="s">
        <v>6076</v>
      </c>
      <c r="G2404" s="1" t="s">
        <v>12881</v>
      </c>
      <c r="H2404">
        <v>2021</v>
      </c>
      <c r="I2404">
        <v>2026</v>
      </c>
      <c r="J2404">
        <f t="shared" si="74"/>
        <v>6</v>
      </c>
      <c r="K2404" s="1" t="s">
        <v>6076</v>
      </c>
      <c r="L2404" s="1" t="s">
        <v>6076</v>
      </c>
      <c r="M2404">
        <f t="shared" si="75"/>
        <v>0</v>
      </c>
    </row>
    <row r="2405" spans="1:14" x14ac:dyDescent="0.3">
      <c r="A2405" s="1" t="s">
        <v>10714</v>
      </c>
      <c r="B2405" s="1" t="s">
        <v>7986</v>
      </c>
      <c r="C2405" s="1" t="s">
        <v>10715</v>
      </c>
      <c r="D2405" s="1" t="s">
        <v>1395</v>
      </c>
      <c r="E2405" s="1" t="s">
        <v>6076</v>
      </c>
      <c r="F2405" s="1" t="s">
        <v>6076</v>
      </c>
      <c r="G2405" s="1" t="s">
        <v>7988</v>
      </c>
      <c r="H2405">
        <v>1997</v>
      </c>
      <c r="I2405">
        <v>2022</v>
      </c>
      <c r="J2405">
        <f t="shared" si="74"/>
        <v>26</v>
      </c>
      <c r="K2405" s="1" t="s">
        <v>6076</v>
      </c>
      <c r="L2405" s="1" t="s">
        <v>6076</v>
      </c>
      <c r="M2405">
        <f t="shared" si="75"/>
        <v>4</v>
      </c>
    </row>
    <row r="2406" spans="1:14" x14ac:dyDescent="0.3">
      <c r="A2406" s="1" t="s">
        <v>7993</v>
      </c>
      <c r="B2406" s="1" t="s">
        <v>7986</v>
      </c>
      <c r="C2406" s="1" t="s">
        <v>7994</v>
      </c>
      <c r="D2406" s="1" t="s">
        <v>1395</v>
      </c>
      <c r="E2406" s="1" t="s">
        <v>6076</v>
      </c>
      <c r="F2406" s="1" t="s">
        <v>6076</v>
      </c>
      <c r="G2406" s="1" t="s">
        <v>7988</v>
      </c>
      <c r="H2406">
        <v>2001</v>
      </c>
      <c r="I2406">
        <v>2005</v>
      </c>
      <c r="J2406">
        <f t="shared" si="74"/>
        <v>5</v>
      </c>
      <c r="K2406" s="1" t="s">
        <v>6076</v>
      </c>
      <c r="L2406" s="1" t="s">
        <v>6076</v>
      </c>
      <c r="M2406">
        <f t="shared" si="75"/>
        <v>21</v>
      </c>
    </row>
    <row r="2407" spans="1:14" x14ac:dyDescent="0.3">
      <c r="A2407" s="1" t="s">
        <v>10716</v>
      </c>
      <c r="B2407" s="1" t="s">
        <v>7986</v>
      </c>
      <c r="C2407" s="1" t="s">
        <v>10717</v>
      </c>
      <c r="D2407" s="1" t="s">
        <v>1395</v>
      </c>
      <c r="E2407" s="1" t="s">
        <v>6076</v>
      </c>
      <c r="F2407" s="1" t="s">
        <v>6076</v>
      </c>
      <c r="G2407" s="1" t="s">
        <v>7988</v>
      </c>
      <c r="H2407">
        <v>2006</v>
      </c>
      <c r="I2407">
        <v>2012</v>
      </c>
      <c r="J2407">
        <f t="shared" si="74"/>
        <v>7</v>
      </c>
      <c r="K2407" s="1" t="s">
        <v>6076</v>
      </c>
      <c r="L2407" s="1" t="s">
        <v>6076</v>
      </c>
      <c r="M2407">
        <f t="shared" si="75"/>
        <v>14</v>
      </c>
    </row>
    <row r="2408" spans="1:14" x14ac:dyDescent="0.3">
      <c r="A2408" s="1" t="s">
        <v>10718</v>
      </c>
      <c r="B2408" s="1" t="s">
        <v>7986</v>
      </c>
      <c r="C2408" s="1" t="s">
        <v>10719</v>
      </c>
      <c r="D2408" s="1" t="s">
        <v>1395</v>
      </c>
      <c r="E2408" s="1" t="s">
        <v>6076</v>
      </c>
      <c r="F2408" s="1" t="s">
        <v>6076</v>
      </c>
      <c r="G2408" s="1" t="s">
        <v>7988</v>
      </c>
      <c r="H2408">
        <v>2011</v>
      </c>
      <c r="I2408">
        <v>2012</v>
      </c>
      <c r="J2408">
        <f t="shared" si="74"/>
        <v>2</v>
      </c>
      <c r="K2408" s="1" t="s">
        <v>6076</v>
      </c>
      <c r="L2408" s="1" t="s">
        <v>6076</v>
      </c>
      <c r="M2408">
        <f t="shared" si="75"/>
        <v>14</v>
      </c>
    </row>
    <row r="2409" spans="1:14" hidden="1" x14ac:dyDescent="0.3">
      <c r="A2409" s="1" t="s">
        <v>1594</v>
      </c>
      <c r="B2409" s="1" t="s">
        <v>810</v>
      </c>
      <c r="C2409" s="1" t="s">
        <v>1595</v>
      </c>
      <c r="D2409" s="1" t="s">
        <v>746</v>
      </c>
      <c r="E2409" s="1" t="s">
        <v>747</v>
      </c>
      <c r="F2409" s="1" t="s">
        <v>748</v>
      </c>
      <c r="G2409" s="1" t="s">
        <v>1596</v>
      </c>
      <c r="H2409">
        <v>2010</v>
      </c>
      <c r="I2409">
        <v>2014</v>
      </c>
      <c r="J2409">
        <f t="shared" si="74"/>
        <v>5</v>
      </c>
      <c r="K2409" s="1" t="s">
        <v>741</v>
      </c>
      <c r="L2409" s="1" t="s">
        <v>798</v>
      </c>
      <c r="M2409">
        <f t="shared" si="75"/>
        <v>12</v>
      </c>
      <c r="N2409" t="s">
        <v>650</v>
      </c>
    </row>
    <row r="2410" spans="1:14" hidden="1" x14ac:dyDescent="0.3">
      <c r="A2410" s="1" t="s">
        <v>1597</v>
      </c>
      <c r="B2410" s="1" t="s">
        <v>810</v>
      </c>
      <c r="C2410" s="1" t="s">
        <v>1598</v>
      </c>
      <c r="D2410" s="1" t="s">
        <v>746</v>
      </c>
      <c r="E2410" s="1" t="s">
        <v>747</v>
      </c>
      <c r="F2410" s="1" t="s">
        <v>748</v>
      </c>
      <c r="G2410" s="1" t="s">
        <v>1596</v>
      </c>
      <c r="H2410">
        <v>2010</v>
      </c>
      <c r="I2410">
        <v>2014</v>
      </c>
      <c r="J2410">
        <f t="shared" si="74"/>
        <v>5</v>
      </c>
      <c r="K2410" s="1" t="s">
        <v>741</v>
      </c>
      <c r="L2410" s="1" t="s">
        <v>798</v>
      </c>
      <c r="M2410">
        <f t="shared" si="75"/>
        <v>12</v>
      </c>
      <c r="N2410" t="s">
        <v>650</v>
      </c>
    </row>
    <row r="2411" spans="1:14" hidden="1" x14ac:dyDescent="0.3">
      <c r="A2411" s="1" t="s">
        <v>1599</v>
      </c>
      <c r="B2411" s="1" t="s">
        <v>810</v>
      </c>
      <c r="C2411" s="1" t="s">
        <v>1600</v>
      </c>
      <c r="D2411" s="1" t="s">
        <v>746</v>
      </c>
      <c r="E2411" s="1" t="s">
        <v>747</v>
      </c>
      <c r="F2411" s="1" t="s">
        <v>748</v>
      </c>
      <c r="G2411" s="1" t="s">
        <v>1596</v>
      </c>
      <c r="H2411">
        <v>2010</v>
      </c>
      <c r="I2411">
        <v>2014</v>
      </c>
      <c r="J2411">
        <f t="shared" si="74"/>
        <v>5</v>
      </c>
      <c r="K2411" s="1" t="s">
        <v>741</v>
      </c>
      <c r="L2411" s="1" t="s">
        <v>798</v>
      </c>
      <c r="M2411">
        <f t="shared" si="75"/>
        <v>12</v>
      </c>
      <c r="N2411" t="s">
        <v>650</v>
      </c>
    </row>
    <row r="2412" spans="1:14" hidden="1" x14ac:dyDescent="0.3">
      <c r="A2412" s="1" t="s">
        <v>1601</v>
      </c>
      <c r="B2412" s="1" t="s">
        <v>810</v>
      </c>
      <c r="C2412" s="1" t="s">
        <v>1602</v>
      </c>
      <c r="D2412" s="1" t="s">
        <v>746</v>
      </c>
      <c r="E2412" s="1" t="s">
        <v>747</v>
      </c>
      <c r="F2412" s="1" t="s">
        <v>748</v>
      </c>
      <c r="G2412" s="1" t="s">
        <v>1596</v>
      </c>
      <c r="H2412">
        <v>2010</v>
      </c>
      <c r="I2412">
        <v>2014</v>
      </c>
      <c r="J2412">
        <f t="shared" si="74"/>
        <v>5</v>
      </c>
      <c r="K2412" s="1" t="s">
        <v>741</v>
      </c>
      <c r="L2412" s="1" t="s">
        <v>798</v>
      </c>
      <c r="M2412">
        <f t="shared" si="75"/>
        <v>12</v>
      </c>
      <c r="N2412" t="s">
        <v>650</v>
      </c>
    </row>
    <row r="2413" spans="1:14" hidden="1" x14ac:dyDescent="0.3">
      <c r="A2413" s="1" t="s">
        <v>1603</v>
      </c>
      <c r="B2413" s="1" t="s">
        <v>810</v>
      </c>
      <c r="C2413" s="1" t="s">
        <v>1604</v>
      </c>
      <c r="D2413" s="1" t="s">
        <v>746</v>
      </c>
      <c r="E2413" s="1" t="s">
        <v>747</v>
      </c>
      <c r="F2413" s="1" t="s">
        <v>748</v>
      </c>
      <c r="G2413" s="1" t="s">
        <v>1596</v>
      </c>
      <c r="H2413">
        <v>2014</v>
      </c>
      <c r="I2413">
        <v>2014</v>
      </c>
      <c r="J2413">
        <f t="shared" si="74"/>
        <v>1</v>
      </c>
      <c r="K2413" s="1" t="s">
        <v>741</v>
      </c>
      <c r="L2413" s="1" t="s">
        <v>798</v>
      </c>
      <c r="M2413">
        <f t="shared" si="75"/>
        <v>12</v>
      </c>
      <c r="N2413" t="s">
        <v>650</v>
      </c>
    </row>
    <row r="2414" spans="1:14" hidden="1" x14ac:dyDescent="0.3">
      <c r="A2414" s="1" t="s">
        <v>1605</v>
      </c>
      <c r="B2414" s="1" t="s">
        <v>810</v>
      </c>
      <c r="C2414" s="1" t="s">
        <v>1606</v>
      </c>
      <c r="D2414" s="1" t="s">
        <v>746</v>
      </c>
      <c r="E2414" s="1" t="s">
        <v>747</v>
      </c>
      <c r="F2414" s="1" t="s">
        <v>748</v>
      </c>
      <c r="G2414" s="1" t="s">
        <v>1596</v>
      </c>
      <c r="H2414">
        <v>2014</v>
      </c>
      <c r="I2414">
        <v>2017</v>
      </c>
      <c r="J2414">
        <f t="shared" si="74"/>
        <v>4</v>
      </c>
      <c r="K2414" s="1" t="s">
        <v>741</v>
      </c>
      <c r="L2414" s="1" t="s">
        <v>798</v>
      </c>
      <c r="M2414">
        <f t="shared" si="75"/>
        <v>9</v>
      </c>
      <c r="N2414" t="s">
        <v>650</v>
      </c>
    </row>
    <row r="2415" spans="1:14" hidden="1" x14ac:dyDescent="0.3">
      <c r="A2415" s="1" t="s">
        <v>3613</v>
      </c>
      <c r="B2415" s="1" t="s">
        <v>810</v>
      </c>
      <c r="C2415" s="1" t="s">
        <v>3614</v>
      </c>
      <c r="D2415" s="1" t="s">
        <v>746</v>
      </c>
      <c r="E2415" s="1" t="s">
        <v>747</v>
      </c>
      <c r="F2415" s="1" t="s">
        <v>748</v>
      </c>
      <c r="G2415" s="1" t="s">
        <v>1596</v>
      </c>
      <c r="H2415">
        <v>2013</v>
      </c>
      <c r="I2415">
        <v>2013</v>
      </c>
      <c r="J2415">
        <f t="shared" si="74"/>
        <v>1</v>
      </c>
      <c r="K2415" s="1" t="s">
        <v>741</v>
      </c>
      <c r="L2415" s="1" t="s">
        <v>798</v>
      </c>
      <c r="M2415">
        <f t="shared" si="75"/>
        <v>13</v>
      </c>
      <c r="N2415" t="s">
        <v>650</v>
      </c>
    </row>
    <row r="2416" spans="1:14" hidden="1" x14ac:dyDescent="0.3">
      <c r="A2416" s="1" t="s">
        <v>3615</v>
      </c>
      <c r="B2416" s="1" t="s">
        <v>810</v>
      </c>
      <c r="C2416" s="1" t="s">
        <v>3616</v>
      </c>
      <c r="D2416" s="1" t="s">
        <v>746</v>
      </c>
      <c r="E2416" s="1" t="s">
        <v>747</v>
      </c>
      <c r="F2416" s="1" t="s">
        <v>748</v>
      </c>
      <c r="G2416" s="1" t="s">
        <v>1596</v>
      </c>
      <c r="H2416">
        <v>2013</v>
      </c>
      <c r="I2416">
        <v>2013</v>
      </c>
      <c r="J2416">
        <f t="shared" si="74"/>
        <v>1</v>
      </c>
      <c r="K2416" s="1" t="s">
        <v>741</v>
      </c>
      <c r="L2416" s="1" t="s">
        <v>798</v>
      </c>
      <c r="M2416">
        <f t="shared" si="75"/>
        <v>13</v>
      </c>
      <c r="N2416" t="s">
        <v>650</v>
      </c>
    </row>
    <row r="2417" spans="1:14" hidden="1" x14ac:dyDescent="0.3">
      <c r="A2417" s="1" t="s">
        <v>1607</v>
      </c>
      <c r="B2417" s="1" t="s">
        <v>810</v>
      </c>
      <c r="C2417" s="1" t="s">
        <v>1608</v>
      </c>
      <c r="D2417" s="1" t="s">
        <v>746</v>
      </c>
      <c r="E2417" s="1" t="s">
        <v>747</v>
      </c>
      <c r="F2417" s="1" t="s">
        <v>748</v>
      </c>
      <c r="G2417" s="1" t="s">
        <v>1596</v>
      </c>
      <c r="H2417">
        <v>2004</v>
      </c>
      <c r="I2417">
        <v>2010</v>
      </c>
      <c r="J2417">
        <f t="shared" si="74"/>
        <v>7</v>
      </c>
      <c r="K2417" s="1" t="s">
        <v>741</v>
      </c>
      <c r="L2417" s="1" t="s">
        <v>798</v>
      </c>
      <c r="M2417">
        <f t="shared" si="75"/>
        <v>16</v>
      </c>
      <c r="N2417" t="s">
        <v>650</v>
      </c>
    </row>
    <row r="2418" spans="1:14" hidden="1" x14ac:dyDescent="0.3">
      <c r="A2418" s="1" t="s">
        <v>1609</v>
      </c>
      <c r="B2418" s="1" t="s">
        <v>810</v>
      </c>
      <c r="C2418" s="1" t="s">
        <v>1610</v>
      </c>
      <c r="D2418" s="1" t="s">
        <v>746</v>
      </c>
      <c r="E2418" s="1" t="s">
        <v>747</v>
      </c>
      <c r="F2418" s="1" t="s">
        <v>748</v>
      </c>
      <c r="G2418" s="1" t="s">
        <v>1596</v>
      </c>
      <c r="H2418">
        <v>2004</v>
      </c>
      <c r="I2418">
        <v>2010</v>
      </c>
      <c r="J2418">
        <f t="shared" si="74"/>
        <v>7</v>
      </c>
      <c r="K2418" s="1" t="s">
        <v>741</v>
      </c>
      <c r="L2418" s="1" t="s">
        <v>798</v>
      </c>
      <c r="M2418">
        <f t="shared" si="75"/>
        <v>16</v>
      </c>
      <c r="N2418" t="s">
        <v>650</v>
      </c>
    </row>
    <row r="2419" spans="1:14" hidden="1" x14ac:dyDescent="0.3">
      <c r="A2419" s="1" t="s">
        <v>3617</v>
      </c>
      <c r="B2419" s="1" t="s">
        <v>810</v>
      </c>
      <c r="C2419" s="1" t="s">
        <v>3618</v>
      </c>
      <c r="D2419" s="1" t="s">
        <v>746</v>
      </c>
      <c r="E2419" s="1" t="s">
        <v>747</v>
      </c>
      <c r="F2419" s="1" t="s">
        <v>748</v>
      </c>
      <c r="G2419" s="1" t="s">
        <v>1596</v>
      </c>
      <c r="H2419">
        <v>2016</v>
      </c>
      <c r="I2419">
        <v>2017</v>
      </c>
      <c r="J2419">
        <f t="shared" si="74"/>
        <v>2</v>
      </c>
      <c r="K2419" s="1" t="s">
        <v>741</v>
      </c>
      <c r="L2419" s="1" t="s">
        <v>798</v>
      </c>
      <c r="M2419">
        <f t="shared" si="75"/>
        <v>9</v>
      </c>
      <c r="N2419" t="s">
        <v>650</v>
      </c>
    </row>
    <row r="2420" spans="1:14" hidden="1" x14ac:dyDescent="0.3">
      <c r="A2420" s="1" t="s">
        <v>3619</v>
      </c>
      <c r="B2420" s="1" t="s">
        <v>810</v>
      </c>
      <c r="C2420" s="1" t="s">
        <v>3620</v>
      </c>
      <c r="D2420" s="1" t="s">
        <v>746</v>
      </c>
      <c r="E2420" s="1" t="s">
        <v>747</v>
      </c>
      <c r="F2420" s="1" t="s">
        <v>748</v>
      </c>
      <c r="G2420" s="1" t="s">
        <v>1596</v>
      </c>
      <c r="H2420">
        <v>2015</v>
      </c>
      <c r="I2420">
        <v>2015</v>
      </c>
      <c r="J2420">
        <f t="shared" si="74"/>
        <v>1</v>
      </c>
      <c r="K2420" s="1" t="s">
        <v>741</v>
      </c>
      <c r="L2420" s="1" t="s">
        <v>798</v>
      </c>
      <c r="M2420">
        <f t="shared" si="75"/>
        <v>11</v>
      </c>
      <c r="N2420" t="s">
        <v>650</v>
      </c>
    </row>
    <row r="2421" spans="1:14" hidden="1" x14ac:dyDescent="0.3">
      <c r="A2421" s="1" t="s">
        <v>1611</v>
      </c>
      <c r="B2421" s="1" t="s">
        <v>810</v>
      </c>
      <c r="C2421" s="1" t="s">
        <v>1612</v>
      </c>
      <c r="D2421" s="1" t="s">
        <v>746</v>
      </c>
      <c r="E2421" s="1" t="s">
        <v>747</v>
      </c>
      <c r="F2421" s="1" t="s">
        <v>748</v>
      </c>
      <c r="G2421" s="1" t="s">
        <v>1596</v>
      </c>
      <c r="H2421">
        <v>2015</v>
      </c>
      <c r="I2421">
        <v>2018</v>
      </c>
      <c r="J2421">
        <f t="shared" si="74"/>
        <v>4</v>
      </c>
      <c r="K2421" s="1" t="s">
        <v>741</v>
      </c>
      <c r="L2421" s="1" t="s">
        <v>798</v>
      </c>
      <c r="M2421">
        <f t="shared" si="75"/>
        <v>8</v>
      </c>
      <c r="N2421" t="s">
        <v>650</v>
      </c>
    </row>
    <row r="2422" spans="1:14" hidden="1" x14ac:dyDescent="0.3">
      <c r="A2422" s="1" t="s">
        <v>1613</v>
      </c>
      <c r="B2422" s="1" t="s">
        <v>810</v>
      </c>
      <c r="C2422" s="1" t="s">
        <v>1614</v>
      </c>
      <c r="D2422" s="1" t="s">
        <v>746</v>
      </c>
      <c r="E2422" s="1" t="s">
        <v>747</v>
      </c>
      <c r="F2422" s="1" t="s">
        <v>748</v>
      </c>
      <c r="G2422" s="1" t="s">
        <v>1596</v>
      </c>
      <c r="H2422">
        <v>2015</v>
      </c>
      <c r="I2422">
        <v>2018</v>
      </c>
      <c r="J2422">
        <f t="shared" si="74"/>
        <v>4</v>
      </c>
      <c r="K2422" s="1" t="s">
        <v>741</v>
      </c>
      <c r="L2422" s="1" t="s">
        <v>798</v>
      </c>
      <c r="M2422">
        <f t="shared" si="75"/>
        <v>8</v>
      </c>
      <c r="N2422" t="s">
        <v>650</v>
      </c>
    </row>
    <row r="2423" spans="1:14" hidden="1" x14ac:dyDescent="0.3">
      <c r="A2423" s="1" t="s">
        <v>1615</v>
      </c>
      <c r="B2423" s="1" t="s">
        <v>810</v>
      </c>
      <c r="C2423" s="1" t="s">
        <v>1616</v>
      </c>
      <c r="D2423" s="1" t="s">
        <v>746</v>
      </c>
      <c r="E2423" s="1" t="s">
        <v>747</v>
      </c>
      <c r="F2423" s="1" t="s">
        <v>748</v>
      </c>
      <c r="G2423" s="1" t="s">
        <v>1596</v>
      </c>
      <c r="H2423">
        <v>2018</v>
      </c>
      <c r="I2423">
        <v>2022</v>
      </c>
      <c r="J2423">
        <f t="shared" si="74"/>
        <v>5</v>
      </c>
      <c r="K2423" s="1" t="s">
        <v>741</v>
      </c>
      <c r="L2423" s="1" t="s">
        <v>798</v>
      </c>
      <c r="M2423">
        <f t="shared" si="75"/>
        <v>4</v>
      </c>
      <c r="N2423" t="s">
        <v>650</v>
      </c>
    </row>
    <row r="2424" spans="1:14" hidden="1" x14ac:dyDescent="0.3">
      <c r="A2424" s="1" t="s">
        <v>3621</v>
      </c>
      <c r="B2424" s="1" t="s">
        <v>810</v>
      </c>
      <c r="C2424" s="1" t="s">
        <v>3622</v>
      </c>
      <c r="D2424" s="1" t="s">
        <v>746</v>
      </c>
      <c r="E2424" s="1" t="s">
        <v>747</v>
      </c>
      <c r="F2424" s="1" t="s">
        <v>748</v>
      </c>
      <c r="G2424" s="1" t="s">
        <v>1596</v>
      </c>
      <c r="H2424">
        <v>2018</v>
      </c>
      <c r="I2424">
        <v>2019</v>
      </c>
      <c r="J2424">
        <f t="shared" si="74"/>
        <v>2</v>
      </c>
      <c r="K2424" s="1" t="s">
        <v>741</v>
      </c>
      <c r="L2424" s="1" t="s">
        <v>798</v>
      </c>
      <c r="M2424">
        <f t="shared" si="75"/>
        <v>7</v>
      </c>
      <c r="N2424" t="s">
        <v>650</v>
      </c>
    </row>
    <row r="2425" spans="1:14" hidden="1" x14ac:dyDescent="0.3">
      <c r="A2425" s="1" t="s">
        <v>3623</v>
      </c>
      <c r="B2425" s="1" t="s">
        <v>810</v>
      </c>
      <c r="C2425" s="1" t="s">
        <v>3624</v>
      </c>
      <c r="D2425" s="1" t="s">
        <v>746</v>
      </c>
      <c r="E2425" s="1" t="s">
        <v>747</v>
      </c>
      <c r="F2425" s="1" t="s">
        <v>748</v>
      </c>
      <c r="G2425" s="1" t="s">
        <v>1596</v>
      </c>
      <c r="H2425">
        <v>2009</v>
      </c>
      <c r="I2425">
        <v>2010</v>
      </c>
      <c r="J2425">
        <f t="shared" si="74"/>
        <v>2</v>
      </c>
      <c r="K2425" s="1" t="s">
        <v>741</v>
      </c>
      <c r="L2425" s="1" t="s">
        <v>798</v>
      </c>
      <c r="M2425">
        <f t="shared" si="75"/>
        <v>16</v>
      </c>
      <c r="N2425" t="s">
        <v>650</v>
      </c>
    </row>
    <row r="2426" spans="1:14" hidden="1" x14ac:dyDescent="0.3">
      <c r="A2426" s="1" t="s">
        <v>3625</v>
      </c>
      <c r="B2426" s="1" t="s">
        <v>810</v>
      </c>
      <c r="C2426" s="1" t="s">
        <v>3626</v>
      </c>
      <c r="D2426" s="1" t="s">
        <v>746</v>
      </c>
      <c r="E2426" s="1" t="s">
        <v>747</v>
      </c>
      <c r="F2426" s="1" t="s">
        <v>748</v>
      </c>
      <c r="G2426" s="1" t="s">
        <v>1596</v>
      </c>
      <c r="H2426">
        <v>2015</v>
      </c>
      <c r="I2426">
        <v>2018</v>
      </c>
      <c r="J2426">
        <f t="shared" si="74"/>
        <v>4</v>
      </c>
      <c r="K2426" s="1" t="s">
        <v>741</v>
      </c>
      <c r="L2426" s="1" t="s">
        <v>798</v>
      </c>
      <c r="M2426">
        <f t="shared" si="75"/>
        <v>8</v>
      </c>
      <c r="N2426" t="s">
        <v>650</v>
      </c>
    </row>
    <row r="2427" spans="1:14" hidden="1" x14ac:dyDescent="0.3">
      <c r="A2427" s="1" t="s">
        <v>3627</v>
      </c>
      <c r="B2427" s="1" t="s">
        <v>810</v>
      </c>
      <c r="C2427" s="1" t="s">
        <v>3628</v>
      </c>
      <c r="D2427" s="1" t="s">
        <v>746</v>
      </c>
      <c r="E2427" s="1" t="s">
        <v>747</v>
      </c>
      <c r="F2427" s="1" t="s">
        <v>748</v>
      </c>
      <c r="G2427" s="1" t="s">
        <v>1596</v>
      </c>
      <c r="H2427">
        <v>2015</v>
      </c>
      <c r="I2427">
        <v>2018</v>
      </c>
      <c r="J2427">
        <f t="shared" si="74"/>
        <v>4</v>
      </c>
      <c r="K2427" s="1" t="s">
        <v>741</v>
      </c>
      <c r="L2427" s="1" t="s">
        <v>798</v>
      </c>
      <c r="M2427">
        <f t="shared" si="75"/>
        <v>8</v>
      </c>
      <c r="N2427" t="s">
        <v>650</v>
      </c>
    </row>
    <row r="2428" spans="1:14" hidden="1" x14ac:dyDescent="0.3">
      <c r="A2428" s="1" t="s">
        <v>1617</v>
      </c>
      <c r="B2428" s="1" t="s">
        <v>810</v>
      </c>
      <c r="C2428" s="1" t="s">
        <v>1618</v>
      </c>
      <c r="D2428" s="1" t="s">
        <v>746</v>
      </c>
      <c r="E2428" s="1" t="s">
        <v>747</v>
      </c>
      <c r="F2428" s="1" t="s">
        <v>748</v>
      </c>
      <c r="G2428" s="1" t="s">
        <v>1596</v>
      </c>
      <c r="H2428">
        <v>2015</v>
      </c>
      <c r="I2428">
        <v>2018</v>
      </c>
      <c r="J2428">
        <f t="shared" si="74"/>
        <v>4</v>
      </c>
      <c r="K2428" s="1" t="s">
        <v>741</v>
      </c>
      <c r="L2428" s="1" t="s">
        <v>798</v>
      </c>
      <c r="M2428">
        <f t="shared" si="75"/>
        <v>8</v>
      </c>
      <c r="N2428" t="s">
        <v>650</v>
      </c>
    </row>
    <row r="2429" spans="1:14" hidden="1" x14ac:dyDescent="0.3">
      <c r="A2429" s="1" t="s">
        <v>3629</v>
      </c>
      <c r="B2429" s="1" t="s">
        <v>810</v>
      </c>
      <c r="C2429" s="1" t="s">
        <v>3630</v>
      </c>
      <c r="D2429" s="1" t="s">
        <v>746</v>
      </c>
      <c r="E2429" s="1" t="s">
        <v>747</v>
      </c>
      <c r="F2429" s="1" t="s">
        <v>748</v>
      </c>
      <c r="G2429" s="1" t="s">
        <v>1596</v>
      </c>
      <c r="H2429">
        <v>2015</v>
      </c>
      <c r="I2429">
        <v>2018</v>
      </c>
      <c r="J2429">
        <f t="shared" si="74"/>
        <v>4</v>
      </c>
      <c r="K2429" s="1" t="s">
        <v>741</v>
      </c>
      <c r="L2429" s="1" t="s">
        <v>798</v>
      </c>
      <c r="M2429">
        <f t="shared" si="75"/>
        <v>8</v>
      </c>
      <c r="N2429" t="s">
        <v>650</v>
      </c>
    </row>
    <row r="2430" spans="1:14" hidden="1" x14ac:dyDescent="0.3">
      <c r="A2430" s="1" t="s">
        <v>1619</v>
      </c>
      <c r="B2430" s="1" t="s">
        <v>810</v>
      </c>
      <c r="C2430" s="1" t="s">
        <v>1620</v>
      </c>
      <c r="D2430" s="1" t="s">
        <v>746</v>
      </c>
      <c r="E2430" s="1" t="s">
        <v>747</v>
      </c>
      <c r="F2430" s="1" t="s">
        <v>748</v>
      </c>
      <c r="G2430" s="1" t="s">
        <v>1596</v>
      </c>
      <c r="H2430">
        <v>2004</v>
      </c>
      <c r="I2430">
        <v>2010</v>
      </c>
      <c r="J2430">
        <f t="shared" si="74"/>
        <v>7</v>
      </c>
      <c r="K2430" s="1" t="s">
        <v>741</v>
      </c>
      <c r="L2430" s="1" t="s">
        <v>798</v>
      </c>
      <c r="M2430">
        <f t="shared" si="75"/>
        <v>16</v>
      </c>
      <c r="N2430" t="s">
        <v>650</v>
      </c>
    </row>
    <row r="2431" spans="1:14" hidden="1" x14ac:dyDescent="0.3">
      <c r="A2431" s="1" t="s">
        <v>1621</v>
      </c>
      <c r="B2431" s="1" t="s">
        <v>810</v>
      </c>
      <c r="C2431" s="1" t="s">
        <v>1622</v>
      </c>
      <c r="D2431" s="1" t="s">
        <v>746</v>
      </c>
      <c r="E2431" s="1" t="s">
        <v>747</v>
      </c>
      <c r="F2431" s="1" t="s">
        <v>748</v>
      </c>
      <c r="G2431" s="1" t="s">
        <v>1596</v>
      </c>
      <c r="H2431">
        <v>2004</v>
      </c>
      <c r="I2431">
        <v>2010</v>
      </c>
      <c r="J2431">
        <f t="shared" si="74"/>
        <v>7</v>
      </c>
      <c r="K2431" s="1" t="s">
        <v>741</v>
      </c>
      <c r="L2431" s="1" t="s">
        <v>798</v>
      </c>
      <c r="M2431">
        <f t="shared" si="75"/>
        <v>16</v>
      </c>
      <c r="N2431" t="s">
        <v>650</v>
      </c>
    </row>
    <row r="2432" spans="1:14" hidden="1" x14ac:dyDescent="0.3">
      <c r="A2432" s="1" t="s">
        <v>1623</v>
      </c>
      <c r="B2432" s="1" t="s">
        <v>810</v>
      </c>
      <c r="C2432" s="1" t="s">
        <v>1624</v>
      </c>
      <c r="D2432" s="1" t="s">
        <v>746</v>
      </c>
      <c r="E2432" s="1" t="s">
        <v>747</v>
      </c>
      <c r="F2432" s="1" t="s">
        <v>748</v>
      </c>
      <c r="G2432" s="1" t="s">
        <v>1596</v>
      </c>
      <c r="H2432">
        <v>2004</v>
      </c>
      <c r="I2432">
        <v>2010</v>
      </c>
      <c r="J2432">
        <f t="shared" si="74"/>
        <v>7</v>
      </c>
      <c r="K2432" s="1" t="s">
        <v>741</v>
      </c>
      <c r="L2432" s="1" t="s">
        <v>798</v>
      </c>
      <c r="M2432">
        <f t="shared" si="75"/>
        <v>16</v>
      </c>
      <c r="N2432" t="s">
        <v>650</v>
      </c>
    </row>
    <row r="2433" spans="1:14" hidden="1" x14ac:dyDescent="0.3">
      <c r="A2433" s="1" t="s">
        <v>1625</v>
      </c>
      <c r="B2433" s="1" t="s">
        <v>810</v>
      </c>
      <c r="C2433" s="1" t="s">
        <v>1626</v>
      </c>
      <c r="D2433" s="1" t="s">
        <v>746</v>
      </c>
      <c r="E2433" s="1" t="s">
        <v>747</v>
      </c>
      <c r="F2433" s="1" t="s">
        <v>748</v>
      </c>
      <c r="G2433" s="1" t="s">
        <v>1596</v>
      </c>
      <c r="H2433">
        <v>2004</v>
      </c>
      <c r="I2433">
        <v>2010</v>
      </c>
      <c r="J2433">
        <f t="shared" si="74"/>
        <v>7</v>
      </c>
      <c r="K2433" s="1" t="s">
        <v>741</v>
      </c>
      <c r="L2433" s="1" t="s">
        <v>798</v>
      </c>
      <c r="M2433">
        <f t="shared" si="75"/>
        <v>16</v>
      </c>
      <c r="N2433" t="s">
        <v>650</v>
      </c>
    </row>
    <row r="2434" spans="1:14" hidden="1" x14ac:dyDescent="0.3">
      <c r="A2434" s="1" t="s">
        <v>1627</v>
      </c>
      <c r="B2434" s="1" t="s">
        <v>810</v>
      </c>
      <c r="C2434" s="1" t="s">
        <v>1628</v>
      </c>
      <c r="D2434" s="1" t="s">
        <v>746</v>
      </c>
      <c r="E2434" s="1" t="s">
        <v>747</v>
      </c>
      <c r="F2434" s="1" t="s">
        <v>748</v>
      </c>
      <c r="G2434" s="1" t="s">
        <v>1596</v>
      </c>
      <c r="H2434">
        <v>2010</v>
      </c>
      <c r="I2434">
        <v>2014</v>
      </c>
      <c r="J2434">
        <f t="shared" si="74"/>
        <v>5</v>
      </c>
      <c r="K2434" s="1" t="s">
        <v>741</v>
      </c>
      <c r="L2434" s="1" t="s">
        <v>798</v>
      </c>
      <c r="M2434">
        <f t="shared" si="75"/>
        <v>12</v>
      </c>
      <c r="N2434" t="s">
        <v>650</v>
      </c>
    </row>
    <row r="2435" spans="1:14" hidden="1" x14ac:dyDescent="0.3">
      <c r="A2435" s="1" t="s">
        <v>1629</v>
      </c>
      <c r="B2435" s="1" t="s">
        <v>810</v>
      </c>
      <c r="C2435" s="1" t="s">
        <v>1630</v>
      </c>
      <c r="D2435" s="1" t="s">
        <v>746</v>
      </c>
      <c r="E2435" s="1" t="s">
        <v>747</v>
      </c>
      <c r="F2435" s="1" t="s">
        <v>748</v>
      </c>
      <c r="G2435" s="1" t="s">
        <v>1596</v>
      </c>
      <c r="H2435">
        <v>2010</v>
      </c>
      <c r="I2435">
        <v>2014</v>
      </c>
      <c r="J2435">
        <f t="shared" si="74"/>
        <v>5</v>
      </c>
      <c r="K2435" s="1" t="s">
        <v>741</v>
      </c>
      <c r="L2435" s="1" t="s">
        <v>798</v>
      </c>
      <c r="M2435">
        <f t="shared" si="75"/>
        <v>12</v>
      </c>
      <c r="N2435" t="s">
        <v>650</v>
      </c>
    </row>
    <row r="2436" spans="1:14" hidden="1" x14ac:dyDescent="0.3">
      <c r="A2436" s="1" t="s">
        <v>1631</v>
      </c>
      <c r="B2436" s="1" t="s">
        <v>810</v>
      </c>
      <c r="C2436" s="1" t="s">
        <v>1632</v>
      </c>
      <c r="D2436" s="1" t="s">
        <v>746</v>
      </c>
      <c r="E2436" s="1" t="s">
        <v>747</v>
      </c>
      <c r="F2436" s="1" t="s">
        <v>748</v>
      </c>
      <c r="G2436" s="1" t="s">
        <v>1596</v>
      </c>
      <c r="H2436">
        <v>2012</v>
      </c>
      <c r="I2436">
        <v>2016</v>
      </c>
      <c r="J2436">
        <f t="shared" si="74"/>
        <v>5</v>
      </c>
      <c r="K2436" s="1" t="s">
        <v>741</v>
      </c>
      <c r="L2436" s="1" t="s">
        <v>798</v>
      </c>
      <c r="M2436">
        <f t="shared" si="75"/>
        <v>10</v>
      </c>
      <c r="N2436" t="s">
        <v>650</v>
      </c>
    </row>
    <row r="2437" spans="1:14" hidden="1" x14ac:dyDescent="0.3">
      <c r="A2437" s="1" t="s">
        <v>3631</v>
      </c>
      <c r="B2437" s="1" t="s">
        <v>810</v>
      </c>
      <c r="C2437" s="1" t="s">
        <v>3632</v>
      </c>
      <c r="D2437" s="1" t="s">
        <v>746</v>
      </c>
      <c r="E2437" s="1" t="s">
        <v>747</v>
      </c>
      <c r="F2437" s="1" t="s">
        <v>748</v>
      </c>
      <c r="G2437" s="1" t="s">
        <v>1596</v>
      </c>
      <c r="H2437">
        <v>2008</v>
      </c>
      <c r="I2437">
        <v>2010</v>
      </c>
      <c r="J2437">
        <f t="shared" si="74"/>
        <v>3</v>
      </c>
      <c r="K2437" s="1" t="s">
        <v>741</v>
      </c>
      <c r="L2437" s="1" t="s">
        <v>798</v>
      </c>
      <c r="M2437">
        <f t="shared" si="75"/>
        <v>16</v>
      </c>
      <c r="N2437" t="s">
        <v>650</v>
      </c>
    </row>
    <row r="2438" spans="1:14" hidden="1" x14ac:dyDescent="0.3">
      <c r="A2438" s="1" t="s">
        <v>3633</v>
      </c>
      <c r="B2438" s="1" t="s">
        <v>810</v>
      </c>
      <c r="C2438" s="1" t="s">
        <v>3634</v>
      </c>
      <c r="D2438" s="1" t="s">
        <v>746</v>
      </c>
      <c r="E2438" s="1" t="s">
        <v>747</v>
      </c>
      <c r="F2438" s="1" t="s">
        <v>748</v>
      </c>
      <c r="G2438" s="1" t="s">
        <v>1596</v>
      </c>
      <c r="H2438">
        <v>2008</v>
      </c>
      <c r="I2438">
        <v>2010</v>
      </c>
      <c r="J2438">
        <f t="shared" ref="J2438:J2501" si="76">1+(I2438-H2438)</f>
        <v>3</v>
      </c>
      <c r="K2438" s="1" t="s">
        <v>741</v>
      </c>
      <c r="L2438" s="1" t="s">
        <v>798</v>
      </c>
      <c r="M2438">
        <f t="shared" ref="M2438:M2501" si="77">IF(I2438=0,0,$B$2-I2438)</f>
        <v>16</v>
      </c>
      <c r="N2438" t="s">
        <v>650</v>
      </c>
    </row>
    <row r="2439" spans="1:14" hidden="1" x14ac:dyDescent="0.3">
      <c r="A2439" s="1" t="s">
        <v>3635</v>
      </c>
      <c r="B2439" s="1" t="s">
        <v>810</v>
      </c>
      <c r="C2439" s="1" t="s">
        <v>3636</v>
      </c>
      <c r="D2439" s="1" t="s">
        <v>746</v>
      </c>
      <c r="E2439" s="1" t="s">
        <v>747</v>
      </c>
      <c r="F2439" s="1" t="s">
        <v>748</v>
      </c>
      <c r="G2439" s="1" t="s">
        <v>1596</v>
      </c>
      <c r="H2439">
        <v>2008</v>
      </c>
      <c r="I2439">
        <v>2010</v>
      </c>
      <c r="J2439">
        <f t="shared" si="76"/>
        <v>3</v>
      </c>
      <c r="K2439" s="1" t="s">
        <v>741</v>
      </c>
      <c r="L2439" s="1" t="s">
        <v>798</v>
      </c>
      <c r="M2439">
        <f t="shared" si="77"/>
        <v>16</v>
      </c>
      <c r="N2439" t="s">
        <v>650</v>
      </c>
    </row>
    <row r="2440" spans="1:14" hidden="1" x14ac:dyDescent="0.3">
      <c r="A2440" s="1" t="s">
        <v>3637</v>
      </c>
      <c r="B2440" s="1" t="s">
        <v>810</v>
      </c>
      <c r="C2440" s="1" t="s">
        <v>3638</v>
      </c>
      <c r="D2440" s="1" t="s">
        <v>746</v>
      </c>
      <c r="E2440" s="1" t="s">
        <v>747</v>
      </c>
      <c r="F2440" s="1" t="s">
        <v>748</v>
      </c>
      <c r="G2440" s="1" t="s">
        <v>1596</v>
      </c>
      <c r="H2440">
        <v>2008</v>
      </c>
      <c r="I2440">
        <v>2010</v>
      </c>
      <c r="J2440">
        <f t="shared" si="76"/>
        <v>3</v>
      </c>
      <c r="K2440" s="1" t="s">
        <v>741</v>
      </c>
      <c r="L2440" s="1" t="s">
        <v>798</v>
      </c>
      <c r="M2440">
        <f t="shared" si="77"/>
        <v>16</v>
      </c>
      <c r="N2440" t="s">
        <v>650</v>
      </c>
    </row>
    <row r="2441" spans="1:14" hidden="1" x14ac:dyDescent="0.3">
      <c r="A2441" s="1" t="s">
        <v>3639</v>
      </c>
      <c r="B2441" s="1" t="s">
        <v>810</v>
      </c>
      <c r="C2441" s="1" t="s">
        <v>3640</v>
      </c>
      <c r="D2441" s="1" t="s">
        <v>746</v>
      </c>
      <c r="E2441" s="1" t="s">
        <v>747</v>
      </c>
      <c r="F2441" s="1" t="s">
        <v>748</v>
      </c>
      <c r="G2441" s="1" t="s">
        <v>1596</v>
      </c>
      <c r="H2441">
        <v>2015</v>
      </c>
      <c r="I2441">
        <v>2017</v>
      </c>
      <c r="J2441">
        <f t="shared" si="76"/>
        <v>3</v>
      </c>
      <c r="K2441" s="1" t="s">
        <v>741</v>
      </c>
      <c r="L2441" s="1" t="s">
        <v>798</v>
      </c>
      <c r="M2441">
        <f t="shared" si="77"/>
        <v>9</v>
      </c>
      <c r="N2441" t="s">
        <v>650</v>
      </c>
    </row>
    <row r="2442" spans="1:14" hidden="1" x14ac:dyDescent="0.3">
      <c r="A2442" s="1" t="s">
        <v>3641</v>
      </c>
      <c r="B2442" s="1" t="s">
        <v>810</v>
      </c>
      <c r="C2442" s="1" t="s">
        <v>3642</v>
      </c>
      <c r="D2442" s="1" t="s">
        <v>746</v>
      </c>
      <c r="E2442" s="1" t="s">
        <v>747</v>
      </c>
      <c r="F2442" s="1" t="s">
        <v>748</v>
      </c>
      <c r="G2442" s="1" t="s">
        <v>1596</v>
      </c>
      <c r="H2442">
        <v>2014</v>
      </c>
      <c r="I2442">
        <v>2014</v>
      </c>
      <c r="J2442">
        <f t="shared" si="76"/>
        <v>1</v>
      </c>
      <c r="K2442" s="1" t="s">
        <v>741</v>
      </c>
      <c r="L2442" s="1" t="s">
        <v>798</v>
      </c>
      <c r="M2442">
        <f t="shared" si="77"/>
        <v>12</v>
      </c>
      <c r="N2442" t="s">
        <v>650</v>
      </c>
    </row>
    <row r="2443" spans="1:14" hidden="1" x14ac:dyDescent="0.3">
      <c r="A2443" s="1" t="s">
        <v>3643</v>
      </c>
      <c r="B2443" s="1" t="s">
        <v>810</v>
      </c>
      <c r="C2443" s="1" t="s">
        <v>3644</v>
      </c>
      <c r="D2443" s="1" t="s">
        <v>746</v>
      </c>
      <c r="E2443" s="1" t="s">
        <v>747</v>
      </c>
      <c r="F2443" s="1" t="s">
        <v>748</v>
      </c>
      <c r="G2443" s="1" t="s">
        <v>1596</v>
      </c>
      <c r="H2443">
        <v>2014</v>
      </c>
      <c r="I2443">
        <v>2014</v>
      </c>
      <c r="J2443">
        <f t="shared" si="76"/>
        <v>1</v>
      </c>
      <c r="K2443" s="1" t="s">
        <v>741</v>
      </c>
      <c r="L2443" s="1" t="s">
        <v>798</v>
      </c>
      <c r="M2443">
        <f t="shared" si="77"/>
        <v>12</v>
      </c>
      <c r="N2443" t="s">
        <v>650</v>
      </c>
    </row>
    <row r="2444" spans="1:14" hidden="1" x14ac:dyDescent="0.3">
      <c r="A2444" s="1" t="s">
        <v>3645</v>
      </c>
      <c r="B2444" s="1" t="s">
        <v>810</v>
      </c>
      <c r="C2444" s="1" t="s">
        <v>3646</v>
      </c>
      <c r="D2444" s="1" t="s">
        <v>746</v>
      </c>
      <c r="E2444" s="1" t="s">
        <v>747</v>
      </c>
      <c r="F2444" s="1" t="s">
        <v>748</v>
      </c>
      <c r="G2444" s="1" t="s">
        <v>1596</v>
      </c>
      <c r="H2444">
        <v>2014</v>
      </c>
      <c r="I2444">
        <v>2014</v>
      </c>
      <c r="J2444">
        <f t="shared" si="76"/>
        <v>1</v>
      </c>
      <c r="K2444" s="1" t="s">
        <v>741</v>
      </c>
      <c r="L2444" s="1" t="s">
        <v>798</v>
      </c>
      <c r="M2444">
        <f t="shared" si="77"/>
        <v>12</v>
      </c>
      <c r="N2444" t="s">
        <v>650</v>
      </c>
    </row>
    <row r="2445" spans="1:14" hidden="1" x14ac:dyDescent="0.3">
      <c r="A2445" s="1" t="s">
        <v>3647</v>
      </c>
      <c r="B2445" s="1" t="s">
        <v>810</v>
      </c>
      <c r="C2445" s="1" t="s">
        <v>3648</v>
      </c>
      <c r="D2445" s="1" t="s">
        <v>746</v>
      </c>
      <c r="E2445" s="1" t="s">
        <v>747</v>
      </c>
      <c r="F2445" s="1" t="s">
        <v>748</v>
      </c>
      <c r="G2445" s="1" t="s">
        <v>1596</v>
      </c>
      <c r="H2445">
        <v>2004</v>
      </c>
      <c r="I2445">
        <v>2007</v>
      </c>
      <c r="J2445">
        <f t="shared" si="76"/>
        <v>4</v>
      </c>
      <c r="K2445" s="1" t="s">
        <v>741</v>
      </c>
      <c r="L2445" s="1" t="s">
        <v>798</v>
      </c>
      <c r="M2445">
        <f t="shared" si="77"/>
        <v>19</v>
      </c>
      <c r="N2445" t="s">
        <v>650</v>
      </c>
    </row>
    <row r="2446" spans="1:14" hidden="1" x14ac:dyDescent="0.3">
      <c r="A2446" s="1" t="s">
        <v>3649</v>
      </c>
      <c r="B2446" s="1" t="s">
        <v>810</v>
      </c>
      <c r="C2446" s="1" t="s">
        <v>3650</v>
      </c>
      <c r="D2446" s="1" t="s">
        <v>746</v>
      </c>
      <c r="E2446" s="1" t="s">
        <v>747</v>
      </c>
      <c r="F2446" s="1" t="s">
        <v>748</v>
      </c>
      <c r="G2446" s="1" t="s">
        <v>1596</v>
      </c>
      <c r="H2446">
        <v>2004</v>
      </c>
      <c r="I2446">
        <v>2007</v>
      </c>
      <c r="J2446">
        <f t="shared" si="76"/>
        <v>4</v>
      </c>
      <c r="K2446" s="1" t="s">
        <v>741</v>
      </c>
      <c r="L2446" s="1" t="s">
        <v>798</v>
      </c>
      <c r="M2446">
        <f t="shared" si="77"/>
        <v>19</v>
      </c>
      <c r="N2446" t="s">
        <v>650</v>
      </c>
    </row>
    <row r="2447" spans="1:14" hidden="1" x14ac:dyDescent="0.3">
      <c r="A2447" s="1" t="s">
        <v>3651</v>
      </c>
      <c r="B2447" s="1" t="s">
        <v>810</v>
      </c>
      <c r="C2447" s="1" t="s">
        <v>3652</v>
      </c>
      <c r="D2447" s="1" t="s">
        <v>746</v>
      </c>
      <c r="E2447" s="1" t="s">
        <v>747</v>
      </c>
      <c r="F2447" s="1" t="s">
        <v>748</v>
      </c>
      <c r="G2447" s="1" t="s">
        <v>1596</v>
      </c>
      <c r="H2447">
        <v>2004</v>
      </c>
      <c r="I2447">
        <v>2007</v>
      </c>
      <c r="J2447">
        <f t="shared" si="76"/>
        <v>4</v>
      </c>
      <c r="K2447" s="1" t="s">
        <v>741</v>
      </c>
      <c r="L2447" s="1" t="s">
        <v>798</v>
      </c>
      <c r="M2447">
        <f t="shared" si="77"/>
        <v>19</v>
      </c>
      <c r="N2447" t="s">
        <v>650</v>
      </c>
    </row>
    <row r="2448" spans="1:14" hidden="1" x14ac:dyDescent="0.3">
      <c r="A2448" s="1" t="s">
        <v>1633</v>
      </c>
      <c r="B2448" s="1" t="s">
        <v>810</v>
      </c>
      <c r="C2448" s="1" t="s">
        <v>1634</v>
      </c>
      <c r="D2448" s="1" t="s">
        <v>746</v>
      </c>
      <c r="E2448" s="1" t="s">
        <v>747</v>
      </c>
      <c r="F2448" s="1" t="s">
        <v>748</v>
      </c>
      <c r="G2448" s="1" t="s">
        <v>1596</v>
      </c>
      <c r="H2448">
        <v>2004</v>
      </c>
      <c r="I2448">
        <v>2007</v>
      </c>
      <c r="J2448">
        <f t="shared" si="76"/>
        <v>4</v>
      </c>
      <c r="K2448" s="1" t="s">
        <v>741</v>
      </c>
      <c r="L2448" s="1" t="s">
        <v>798</v>
      </c>
      <c r="M2448">
        <f t="shared" si="77"/>
        <v>19</v>
      </c>
      <c r="N2448" t="s">
        <v>650</v>
      </c>
    </row>
    <row r="2449" spans="1:14" hidden="1" x14ac:dyDescent="0.3">
      <c r="A2449" s="1" t="s">
        <v>3653</v>
      </c>
      <c r="B2449" s="1" t="s">
        <v>810</v>
      </c>
      <c r="C2449" s="1" t="s">
        <v>3654</v>
      </c>
      <c r="D2449" s="1" t="s">
        <v>746</v>
      </c>
      <c r="E2449" s="1" t="s">
        <v>747</v>
      </c>
      <c r="F2449" s="1" t="s">
        <v>748</v>
      </c>
      <c r="G2449" s="1" t="s">
        <v>1596</v>
      </c>
      <c r="H2449">
        <v>2010</v>
      </c>
      <c r="I2449">
        <v>2010</v>
      </c>
      <c r="J2449">
        <f t="shared" si="76"/>
        <v>1</v>
      </c>
      <c r="K2449" s="1" t="s">
        <v>741</v>
      </c>
      <c r="L2449" s="1" t="s">
        <v>798</v>
      </c>
      <c r="M2449">
        <f t="shared" si="77"/>
        <v>16</v>
      </c>
      <c r="N2449" t="s">
        <v>650</v>
      </c>
    </row>
    <row r="2450" spans="1:14" hidden="1" x14ac:dyDescent="0.3">
      <c r="A2450" s="1" t="s">
        <v>3655</v>
      </c>
      <c r="B2450" s="1" t="s">
        <v>810</v>
      </c>
      <c r="C2450" s="1" t="s">
        <v>3656</v>
      </c>
      <c r="D2450" s="1" t="s">
        <v>746</v>
      </c>
      <c r="E2450" s="1" t="s">
        <v>747</v>
      </c>
      <c r="F2450" s="1" t="s">
        <v>748</v>
      </c>
      <c r="G2450" s="1" t="s">
        <v>1596</v>
      </c>
      <c r="H2450">
        <v>2016</v>
      </c>
      <c r="I2450">
        <v>2018</v>
      </c>
      <c r="J2450">
        <f t="shared" si="76"/>
        <v>3</v>
      </c>
      <c r="K2450" s="1" t="s">
        <v>741</v>
      </c>
      <c r="L2450" s="1" t="s">
        <v>798</v>
      </c>
      <c r="M2450">
        <f t="shared" si="77"/>
        <v>8</v>
      </c>
      <c r="N2450" t="s">
        <v>650</v>
      </c>
    </row>
    <row r="2451" spans="1:14" hidden="1" x14ac:dyDescent="0.3">
      <c r="A2451" s="1" t="s">
        <v>3657</v>
      </c>
      <c r="B2451" s="1" t="s">
        <v>810</v>
      </c>
      <c r="C2451" s="1" t="s">
        <v>3658</v>
      </c>
      <c r="D2451" s="1" t="s">
        <v>746</v>
      </c>
      <c r="E2451" s="1" t="s">
        <v>747</v>
      </c>
      <c r="F2451" s="1" t="s">
        <v>748</v>
      </c>
      <c r="G2451" s="1" t="s">
        <v>1596</v>
      </c>
      <c r="H2451">
        <v>2016</v>
      </c>
      <c r="I2451">
        <v>2018</v>
      </c>
      <c r="J2451">
        <f t="shared" si="76"/>
        <v>3</v>
      </c>
      <c r="K2451" s="1" t="s">
        <v>741</v>
      </c>
      <c r="L2451" s="1" t="s">
        <v>798</v>
      </c>
      <c r="M2451">
        <f t="shared" si="77"/>
        <v>8</v>
      </c>
      <c r="N2451" t="s">
        <v>650</v>
      </c>
    </row>
    <row r="2452" spans="1:14" hidden="1" x14ac:dyDescent="0.3">
      <c r="A2452" s="1" t="s">
        <v>3659</v>
      </c>
      <c r="B2452" s="1" t="s">
        <v>810</v>
      </c>
      <c r="C2452" s="1" t="s">
        <v>3660</v>
      </c>
      <c r="D2452" s="1" t="s">
        <v>746</v>
      </c>
      <c r="E2452" s="1" t="s">
        <v>747</v>
      </c>
      <c r="F2452" s="1" t="s">
        <v>748</v>
      </c>
      <c r="G2452" s="1" t="s">
        <v>1596</v>
      </c>
      <c r="H2452">
        <v>2015</v>
      </c>
      <c r="I2452">
        <v>2015</v>
      </c>
      <c r="J2452">
        <f t="shared" si="76"/>
        <v>1</v>
      </c>
      <c r="K2452" s="1" t="s">
        <v>741</v>
      </c>
      <c r="L2452" s="1" t="s">
        <v>798</v>
      </c>
      <c r="M2452">
        <f t="shared" si="77"/>
        <v>11</v>
      </c>
      <c r="N2452" t="s">
        <v>650</v>
      </c>
    </row>
    <row r="2453" spans="1:14" hidden="1" x14ac:dyDescent="0.3">
      <c r="A2453" s="1" t="s">
        <v>3661</v>
      </c>
      <c r="B2453" s="1" t="s">
        <v>810</v>
      </c>
      <c r="C2453" s="1" t="s">
        <v>3662</v>
      </c>
      <c r="D2453" s="1" t="s">
        <v>746</v>
      </c>
      <c r="E2453" s="1" t="s">
        <v>747</v>
      </c>
      <c r="F2453" s="1" t="s">
        <v>748</v>
      </c>
      <c r="G2453" s="1" t="s">
        <v>1596</v>
      </c>
      <c r="H2453">
        <v>2015</v>
      </c>
      <c r="I2453">
        <v>2018</v>
      </c>
      <c r="J2453">
        <f t="shared" si="76"/>
        <v>4</v>
      </c>
      <c r="K2453" s="1" t="s">
        <v>741</v>
      </c>
      <c r="L2453" s="1" t="s">
        <v>798</v>
      </c>
      <c r="M2453">
        <f t="shared" si="77"/>
        <v>8</v>
      </c>
      <c r="N2453" t="s">
        <v>650</v>
      </c>
    </row>
    <row r="2454" spans="1:14" hidden="1" x14ac:dyDescent="0.3">
      <c r="A2454" s="1" t="s">
        <v>1635</v>
      </c>
      <c r="B2454" s="1" t="s">
        <v>810</v>
      </c>
      <c r="C2454" s="1" t="s">
        <v>1636</v>
      </c>
      <c r="D2454" s="1" t="s">
        <v>746</v>
      </c>
      <c r="E2454" s="1" t="s">
        <v>747</v>
      </c>
      <c r="F2454" s="1" t="s">
        <v>748</v>
      </c>
      <c r="G2454" s="1" t="s">
        <v>1596</v>
      </c>
      <c r="H2454">
        <v>2018</v>
      </c>
      <c r="I2454">
        <v>2022</v>
      </c>
      <c r="J2454">
        <f t="shared" si="76"/>
        <v>5</v>
      </c>
      <c r="K2454" s="1" t="s">
        <v>741</v>
      </c>
      <c r="L2454" s="1" t="s">
        <v>798</v>
      </c>
      <c r="M2454">
        <f t="shared" si="77"/>
        <v>4</v>
      </c>
      <c r="N2454" t="s">
        <v>650</v>
      </c>
    </row>
    <row r="2455" spans="1:14" hidden="1" x14ac:dyDescent="0.3">
      <c r="A2455" s="1" t="s">
        <v>5153</v>
      </c>
      <c r="B2455" s="1" t="s">
        <v>802</v>
      </c>
      <c r="C2455" s="1" t="s">
        <v>5154</v>
      </c>
      <c r="D2455" s="1" t="s">
        <v>1395</v>
      </c>
      <c r="E2455" s="1" t="s">
        <v>3905</v>
      </c>
      <c r="F2455" s="1" t="s">
        <v>3906</v>
      </c>
      <c r="G2455" s="1" t="s">
        <v>5155</v>
      </c>
      <c r="H2455">
        <v>2012</v>
      </c>
      <c r="I2455">
        <v>2012</v>
      </c>
      <c r="J2455">
        <f t="shared" si="76"/>
        <v>1</v>
      </c>
      <c r="K2455" s="1" t="s">
        <v>4668</v>
      </c>
      <c r="L2455" s="1" t="s">
        <v>3793</v>
      </c>
      <c r="M2455">
        <f t="shared" si="77"/>
        <v>14</v>
      </c>
      <c r="N2455" t="s">
        <v>650</v>
      </c>
    </row>
    <row r="2456" spans="1:14" hidden="1" x14ac:dyDescent="0.3">
      <c r="A2456" s="1" t="s">
        <v>5153</v>
      </c>
      <c r="B2456" s="1" t="s">
        <v>802</v>
      </c>
      <c r="C2456" s="1" t="s">
        <v>5154</v>
      </c>
      <c r="D2456" s="1" t="s">
        <v>1395</v>
      </c>
      <c r="E2456" s="1" t="s">
        <v>3905</v>
      </c>
      <c r="F2456" s="1" t="s">
        <v>3906</v>
      </c>
      <c r="G2456" s="1" t="s">
        <v>5155</v>
      </c>
      <c r="H2456">
        <v>2012</v>
      </c>
      <c r="I2456">
        <v>2012</v>
      </c>
      <c r="J2456">
        <f t="shared" si="76"/>
        <v>1</v>
      </c>
      <c r="K2456" s="1" t="s">
        <v>4668</v>
      </c>
      <c r="L2456" s="1" t="s">
        <v>3793</v>
      </c>
      <c r="M2456">
        <f t="shared" si="77"/>
        <v>14</v>
      </c>
      <c r="N2456" t="s">
        <v>650</v>
      </c>
    </row>
    <row r="2457" spans="1:14" hidden="1" x14ac:dyDescent="0.3">
      <c r="A2457" s="1" t="s">
        <v>5853</v>
      </c>
      <c r="B2457" s="1" t="s">
        <v>2154</v>
      </c>
      <c r="C2457" s="1" t="s">
        <v>5854</v>
      </c>
      <c r="D2457" s="1" t="s">
        <v>1242</v>
      </c>
      <c r="E2457" s="1" t="s">
        <v>4250</v>
      </c>
      <c r="F2457" s="1" t="s">
        <v>4251</v>
      </c>
      <c r="G2457" s="1" t="s">
        <v>5158</v>
      </c>
      <c r="H2457">
        <v>2019</v>
      </c>
      <c r="I2457">
        <v>2022</v>
      </c>
      <c r="J2457">
        <f t="shared" si="76"/>
        <v>4</v>
      </c>
      <c r="K2457" s="1" t="s">
        <v>4668</v>
      </c>
      <c r="L2457" s="1" t="s">
        <v>666</v>
      </c>
      <c r="M2457">
        <f t="shared" si="77"/>
        <v>4</v>
      </c>
      <c r="N2457" t="s">
        <v>650</v>
      </c>
    </row>
    <row r="2458" spans="1:14" x14ac:dyDescent="0.3">
      <c r="A2458" s="1" t="s">
        <v>7995</v>
      </c>
      <c r="B2458" s="1" t="s">
        <v>2154</v>
      </c>
      <c r="C2458" s="1" t="s">
        <v>7996</v>
      </c>
      <c r="D2458" s="1" t="s">
        <v>1242</v>
      </c>
      <c r="E2458" s="1" t="s">
        <v>6076</v>
      </c>
      <c r="F2458" s="1" t="s">
        <v>6076</v>
      </c>
      <c r="G2458" s="1" t="s">
        <v>5158</v>
      </c>
      <c r="H2458">
        <v>1998</v>
      </c>
      <c r="I2458">
        <v>2000</v>
      </c>
      <c r="J2458">
        <f t="shared" si="76"/>
        <v>3</v>
      </c>
      <c r="K2458" s="1" t="s">
        <v>6076</v>
      </c>
      <c r="L2458" s="1" t="s">
        <v>6076</v>
      </c>
      <c r="M2458">
        <f t="shared" si="77"/>
        <v>26</v>
      </c>
      <c r="N2458" t="s">
        <v>640</v>
      </c>
    </row>
    <row r="2459" spans="1:14" x14ac:dyDescent="0.3">
      <c r="A2459" s="1" t="s">
        <v>7997</v>
      </c>
      <c r="B2459" s="1" t="s">
        <v>2154</v>
      </c>
      <c r="C2459" s="1" t="s">
        <v>7998</v>
      </c>
      <c r="D2459" s="1" t="s">
        <v>1242</v>
      </c>
      <c r="E2459" s="1" t="s">
        <v>6076</v>
      </c>
      <c r="F2459" s="1" t="s">
        <v>6076</v>
      </c>
      <c r="G2459" s="1" t="s">
        <v>5158</v>
      </c>
      <c r="H2459">
        <v>2001</v>
      </c>
      <c r="I2459">
        <v>2002</v>
      </c>
      <c r="J2459">
        <f t="shared" si="76"/>
        <v>2</v>
      </c>
      <c r="K2459" s="1" t="s">
        <v>6076</v>
      </c>
      <c r="L2459" s="1" t="s">
        <v>6076</v>
      </c>
      <c r="M2459">
        <f t="shared" si="77"/>
        <v>24</v>
      </c>
      <c r="N2459" t="s">
        <v>640</v>
      </c>
    </row>
    <row r="2460" spans="1:14" x14ac:dyDescent="0.3">
      <c r="A2460" s="1" t="s">
        <v>7999</v>
      </c>
      <c r="B2460" s="1" t="s">
        <v>2154</v>
      </c>
      <c r="C2460" s="1" t="s">
        <v>8000</v>
      </c>
      <c r="D2460" s="1" t="s">
        <v>1242</v>
      </c>
      <c r="E2460" s="1" t="s">
        <v>6076</v>
      </c>
      <c r="F2460" s="1" t="s">
        <v>6076</v>
      </c>
      <c r="G2460" s="1" t="s">
        <v>5158</v>
      </c>
      <c r="H2460">
        <v>1998</v>
      </c>
      <c r="I2460">
        <v>1999</v>
      </c>
      <c r="J2460">
        <f t="shared" si="76"/>
        <v>2</v>
      </c>
      <c r="K2460" s="1" t="s">
        <v>6076</v>
      </c>
      <c r="L2460" s="1" t="s">
        <v>6076</v>
      </c>
      <c r="M2460">
        <f t="shared" si="77"/>
        <v>27</v>
      </c>
      <c r="N2460" t="s">
        <v>640</v>
      </c>
    </row>
    <row r="2461" spans="1:14" hidden="1" x14ac:dyDescent="0.3">
      <c r="A2461" s="1" t="s">
        <v>5855</v>
      </c>
      <c r="B2461" s="1" t="s">
        <v>2154</v>
      </c>
      <c r="C2461" s="1" t="s">
        <v>5856</v>
      </c>
      <c r="D2461" s="1" t="s">
        <v>1242</v>
      </c>
      <c r="E2461" s="1" t="s">
        <v>4250</v>
      </c>
      <c r="F2461" s="1" t="s">
        <v>4251</v>
      </c>
      <c r="G2461" s="1" t="s">
        <v>5158</v>
      </c>
      <c r="H2461">
        <v>2012</v>
      </c>
      <c r="I2461">
        <v>2013</v>
      </c>
      <c r="J2461">
        <f t="shared" si="76"/>
        <v>2</v>
      </c>
      <c r="K2461" s="1" t="s">
        <v>4668</v>
      </c>
      <c r="L2461" s="1" t="s">
        <v>666</v>
      </c>
      <c r="M2461">
        <f t="shared" si="77"/>
        <v>13</v>
      </c>
      <c r="N2461" t="s">
        <v>650</v>
      </c>
    </row>
    <row r="2462" spans="1:14" hidden="1" x14ac:dyDescent="0.3">
      <c r="A2462" s="1" t="s">
        <v>5156</v>
      </c>
      <c r="B2462" s="1" t="s">
        <v>2154</v>
      </c>
      <c r="C2462" s="1" t="s">
        <v>5157</v>
      </c>
      <c r="D2462" s="1" t="s">
        <v>1242</v>
      </c>
      <c r="E2462" s="1" t="s">
        <v>4250</v>
      </c>
      <c r="F2462" s="1" t="s">
        <v>4251</v>
      </c>
      <c r="G2462" s="1" t="s">
        <v>5158</v>
      </c>
      <c r="H2462">
        <v>2017</v>
      </c>
      <c r="I2462">
        <v>2022</v>
      </c>
      <c r="J2462">
        <f t="shared" si="76"/>
        <v>6</v>
      </c>
      <c r="K2462" s="1" t="s">
        <v>4668</v>
      </c>
      <c r="L2462" s="1" t="s">
        <v>666</v>
      </c>
      <c r="M2462">
        <f t="shared" si="77"/>
        <v>4</v>
      </c>
      <c r="N2462" t="s">
        <v>650</v>
      </c>
    </row>
    <row r="2463" spans="1:14" hidden="1" x14ac:dyDescent="0.3">
      <c r="A2463" s="1" t="s">
        <v>5857</v>
      </c>
      <c r="B2463" s="1" t="s">
        <v>2154</v>
      </c>
      <c r="C2463" s="1" t="s">
        <v>5858</v>
      </c>
      <c r="D2463" s="1" t="s">
        <v>1242</v>
      </c>
      <c r="E2463" s="1" t="s">
        <v>4250</v>
      </c>
      <c r="F2463" s="1" t="s">
        <v>4251</v>
      </c>
      <c r="G2463" s="1" t="s">
        <v>5158</v>
      </c>
      <c r="H2463">
        <v>2007</v>
      </c>
      <c r="I2463">
        <v>2007</v>
      </c>
      <c r="J2463">
        <f t="shared" si="76"/>
        <v>1</v>
      </c>
      <c r="K2463" s="1" t="s">
        <v>4668</v>
      </c>
      <c r="L2463" s="1" t="s">
        <v>666</v>
      </c>
      <c r="M2463">
        <f t="shared" si="77"/>
        <v>19</v>
      </c>
      <c r="N2463" t="s">
        <v>650</v>
      </c>
    </row>
    <row r="2464" spans="1:14" hidden="1" x14ac:dyDescent="0.3">
      <c r="A2464" s="1" t="s">
        <v>5159</v>
      </c>
      <c r="B2464" s="1" t="s">
        <v>2154</v>
      </c>
      <c r="C2464" s="1" t="s">
        <v>5160</v>
      </c>
      <c r="D2464" s="1" t="s">
        <v>1242</v>
      </c>
      <c r="E2464" s="1" t="s">
        <v>4250</v>
      </c>
      <c r="F2464" s="1" t="s">
        <v>4251</v>
      </c>
      <c r="G2464" s="1" t="s">
        <v>5158</v>
      </c>
      <c r="H2464">
        <v>2009</v>
      </c>
      <c r="I2464">
        <v>2013</v>
      </c>
      <c r="J2464">
        <f t="shared" si="76"/>
        <v>5</v>
      </c>
      <c r="K2464" s="1" t="s">
        <v>4668</v>
      </c>
      <c r="L2464" s="1" t="s">
        <v>666</v>
      </c>
      <c r="M2464">
        <f t="shared" si="77"/>
        <v>13</v>
      </c>
      <c r="N2464" t="s">
        <v>650</v>
      </c>
    </row>
    <row r="2465" spans="1:14" hidden="1" x14ac:dyDescent="0.3">
      <c r="A2465" s="1" t="s">
        <v>5859</v>
      </c>
      <c r="B2465" s="1" t="s">
        <v>2154</v>
      </c>
      <c r="C2465" s="1" t="s">
        <v>5860</v>
      </c>
      <c r="D2465" s="1" t="s">
        <v>1242</v>
      </c>
      <c r="E2465" s="1" t="s">
        <v>4250</v>
      </c>
      <c r="F2465" s="1" t="s">
        <v>4251</v>
      </c>
      <c r="G2465" s="1" t="s">
        <v>5158</v>
      </c>
      <c r="H2465">
        <v>2009</v>
      </c>
      <c r="I2465">
        <v>2013</v>
      </c>
      <c r="J2465">
        <f t="shared" si="76"/>
        <v>5</v>
      </c>
      <c r="K2465" s="1" t="s">
        <v>4668</v>
      </c>
      <c r="L2465" s="1" t="s">
        <v>666</v>
      </c>
      <c r="M2465">
        <f t="shared" si="77"/>
        <v>13</v>
      </c>
      <c r="N2465" t="s">
        <v>650</v>
      </c>
    </row>
    <row r="2466" spans="1:14" hidden="1" x14ac:dyDescent="0.3">
      <c r="A2466" t="s">
        <v>12104</v>
      </c>
      <c r="B2466" t="s">
        <v>2154</v>
      </c>
      <c r="C2466" t="s">
        <v>12105</v>
      </c>
      <c r="E2466" s="1" t="e">
        <v>#N/A</v>
      </c>
      <c r="F2466" s="1" t="e">
        <v>#N/A</v>
      </c>
      <c r="G2466" s="1" t="s">
        <v>12870</v>
      </c>
      <c r="H2466">
        <v>2023</v>
      </c>
      <c r="I2466">
        <v>2026</v>
      </c>
      <c r="J2466">
        <f t="shared" si="76"/>
        <v>4</v>
      </c>
      <c r="K2466" s="1" t="s">
        <v>5909</v>
      </c>
      <c r="L2466" s="1" t="s">
        <v>659</v>
      </c>
      <c r="M2466">
        <f t="shared" si="77"/>
        <v>0</v>
      </c>
    </row>
    <row r="2467" spans="1:14" hidden="1" x14ac:dyDescent="0.3">
      <c r="A2467" s="1" t="s">
        <v>5861</v>
      </c>
      <c r="B2467" s="1" t="s">
        <v>2154</v>
      </c>
      <c r="C2467" s="1" t="s">
        <v>5862</v>
      </c>
      <c r="D2467" s="1" t="s">
        <v>1242</v>
      </c>
      <c r="E2467" s="1" t="s">
        <v>4250</v>
      </c>
      <c r="F2467" s="1" t="s">
        <v>4251</v>
      </c>
      <c r="G2467" s="1" t="s">
        <v>5158</v>
      </c>
      <c r="H2467">
        <v>2014</v>
      </c>
      <c r="I2467">
        <v>2014</v>
      </c>
      <c r="J2467">
        <f t="shared" si="76"/>
        <v>1</v>
      </c>
      <c r="K2467" s="1" t="s">
        <v>4668</v>
      </c>
      <c r="L2467" s="1" t="s">
        <v>666</v>
      </c>
      <c r="M2467">
        <f t="shared" si="77"/>
        <v>12</v>
      </c>
      <c r="N2467" t="s">
        <v>650</v>
      </c>
    </row>
    <row r="2468" spans="1:14" hidden="1" x14ac:dyDescent="0.3">
      <c r="A2468" t="s">
        <v>12106</v>
      </c>
      <c r="B2468" t="s">
        <v>2154</v>
      </c>
      <c r="C2468" t="s">
        <v>12107</v>
      </c>
      <c r="E2468" s="1" t="e">
        <v>#N/A</v>
      </c>
      <c r="F2468" s="1" t="e">
        <v>#N/A</v>
      </c>
      <c r="G2468" s="1" t="s">
        <v>12870</v>
      </c>
      <c r="H2468">
        <v>2023</v>
      </c>
      <c r="I2468">
        <v>2026</v>
      </c>
      <c r="J2468">
        <f t="shared" si="76"/>
        <v>4</v>
      </c>
      <c r="K2468" s="1" t="s">
        <v>5909</v>
      </c>
      <c r="L2468" s="1" t="s">
        <v>659</v>
      </c>
      <c r="M2468">
        <f t="shared" si="77"/>
        <v>0</v>
      </c>
    </row>
    <row r="2469" spans="1:14" hidden="1" x14ac:dyDescent="0.3">
      <c r="A2469" s="1" t="s">
        <v>5161</v>
      </c>
      <c r="B2469" s="1" t="s">
        <v>2154</v>
      </c>
      <c r="C2469" s="1" t="s">
        <v>5162</v>
      </c>
      <c r="D2469" s="1" t="s">
        <v>1242</v>
      </c>
      <c r="E2469" s="1" t="s">
        <v>4250</v>
      </c>
      <c r="F2469" s="1" t="s">
        <v>4251</v>
      </c>
      <c r="G2469" s="1" t="s">
        <v>5158</v>
      </c>
      <c r="H2469">
        <v>2014</v>
      </c>
      <c r="I2469">
        <v>2015</v>
      </c>
      <c r="J2469">
        <f t="shared" si="76"/>
        <v>2</v>
      </c>
      <c r="K2469" s="1" t="s">
        <v>4668</v>
      </c>
      <c r="L2469" s="1" t="s">
        <v>666</v>
      </c>
      <c r="M2469">
        <f t="shared" si="77"/>
        <v>11</v>
      </c>
      <c r="N2469" t="s">
        <v>650</v>
      </c>
    </row>
    <row r="2470" spans="1:14" hidden="1" x14ac:dyDescent="0.3">
      <c r="A2470" s="1" t="s">
        <v>5863</v>
      </c>
      <c r="B2470" s="1" t="s">
        <v>2154</v>
      </c>
      <c r="C2470" s="1" t="s">
        <v>5864</v>
      </c>
      <c r="D2470" s="1" t="s">
        <v>1242</v>
      </c>
      <c r="E2470" s="1" t="s">
        <v>4250</v>
      </c>
      <c r="F2470" s="1" t="s">
        <v>4251</v>
      </c>
      <c r="G2470" s="1" t="s">
        <v>5158</v>
      </c>
      <c r="H2470">
        <v>2019</v>
      </c>
      <c r="I2470">
        <v>2022</v>
      </c>
      <c r="J2470">
        <f t="shared" si="76"/>
        <v>4</v>
      </c>
      <c r="K2470" s="1" t="s">
        <v>4668</v>
      </c>
      <c r="L2470" s="1" t="s">
        <v>666</v>
      </c>
      <c r="M2470">
        <f t="shared" si="77"/>
        <v>4</v>
      </c>
      <c r="N2470" t="s">
        <v>650</v>
      </c>
    </row>
    <row r="2471" spans="1:14" hidden="1" x14ac:dyDescent="0.3">
      <c r="A2471" s="1" t="s">
        <v>5865</v>
      </c>
      <c r="B2471" s="1" t="s">
        <v>2154</v>
      </c>
      <c r="C2471" s="1" t="s">
        <v>5866</v>
      </c>
      <c r="D2471" s="1" t="s">
        <v>1242</v>
      </c>
      <c r="E2471" s="1" t="s">
        <v>4250</v>
      </c>
      <c r="F2471" s="1" t="s">
        <v>4251</v>
      </c>
      <c r="G2471" s="1" t="s">
        <v>5158</v>
      </c>
      <c r="H2471">
        <v>2014</v>
      </c>
      <c r="I2471">
        <v>2016</v>
      </c>
      <c r="J2471">
        <f t="shared" si="76"/>
        <v>3</v>
      </c>
      <c r="K2471" s="1" t="s">
        <v>4668</v>
      </c>
      <c r="L2471" s="1" t="s">
        <v>666</v>
      </c>
      <c r="M2471">
        <f t="shared" si="77"/>
        <v>10</v>
      </c>
      <c r="N2471" t="s">
        <v>650</v>
      </c>
    </row>
    <row r="2472" spans="1:14" hidden="1" x14ac:dyDescent="0.3">
      <c r="A2472" s="1" t="s">
        <v>5163</v>
      </c>
      <c r="B2472" s="1" t="s">
        <v>2154</v>
      </c>
      <c r="C2472" s="1" t="s">
        <v>5164</v>
      </c>
      <c r="D2472" s="1" t="s">
        <v>1242</v>
      </c>
      <c r="E2472" s="1" t="s">
        <v>4250</v>
      </c>
      <c r="F2472" s="1" t="s">
        <v>4251</v>
      </c>
      <c r="G2472" s="1" t="s">
        <v>5158</v>
      </c>
      <c r="H2472">
        <v>2012</v>
      </c>
      <c r="I2472">
        <v>2013</v>
      </c>
      <c r="J2472">
        <f t="shared" si="76"/>
        <v>2</v>
      </c>
      <c r="K2472" s="1" t="s">
        <v>4668</v>
      </c>
      <c r="L2472" s="1" t="s">
        <v>666</v>
      </c>
      <c r="M2472">
        <f t="shared" si="77"/>
        <v>13</v>
      </c>
      <c r="N2472" t="s">
        <v>650</v>
      </c>
    </row>
    <row r="2473" spans="1:14" hidden="1" x14ac:dyDescent="0.3">
      <c r="A2473" s="1" t="s">
        <v>5867</v>
      </c>
      <c r="B2473" s="1" t="s">
        <v>2154</v>
      </c>
      <c r="C2473" s="1" t="s">
        <v>5868</v>
      </c>
      <c r="D2473" s="1" t="s">
        <v>1242</v>
      </c>
      <c r="E2473" s="1" t="s">
        <v>4250</v>
      </c>
      <c r="F2473" s="1" t="s">
        <v>4251</v>
      </c>
      <c r="G2473" s="1" t="s">
        <v>5158</v>
      </c>
      <c r="H2473">
        <v>2012</v>
      </c>
      <c r="I2473">
        <v>2013</v>
      </c>
      <c r="J2473">
        <f t="shared" si="76"/>
        <v>2</v>
      </c>
      <c r="K2473" s="1" t="s">
        <v>4668</v>
      </c>
      <c r="L2473" s="1" t="s">
        <v>666</v>
      </c>
      <c r="M2473">
        <f t="shared" si="77"/>
        <v>13</v>
      </c>
      <c r="N2473" t="s">
        <v>650</v>
      </c>
    </row>
    <row r="2474" spans="1:14" hidden="1" x14ac:dyDescent="0.3">
      <c r="A2474" s="1" t="s">
        <v>5869</v>
      </c>
      <c r="B2474" s="1" t="s">
        <v>2154</v>
      </c>
      <c r="C2474" s="1" t="s">
        <v>5870</v>
      </c>
      <c r="D2474" s="1" t="s">
        <v>1242</v>
      </c>
      <c r="E2474" s="1" t="s">
        <v>4250</v>
      </c>
      <c r="F2474" s="1" t="s">
        <v>4251</v>
      </c>
      <c r="G2474" s="1" t="s">
        <v>5158</v>
      </c>
      <c r="H2474">
        <v>2018</v>
      </c>
      <c r="I2474">
        <v>2019</v>
      </c>
      <c r="J2474">
        <f t="shared" si="76"/>
        <v>2</v>
      </c>
      <c r="K2474" s="1" t="s">
        <v>4668</v>
      </c>
      <c r="L2474" s="1" t="s">
        <v>666</v>
      </c>
      <c r="M2474">
        <f t="shared" si="77"/>
        <v>7</v>
      </c>
      <c r="N2474" t="s">
        <v>650</v>
      </c>
    </row>
    <row r="2475" spans="1:14" hidden="1" x14ac:dyDescent="0.3">
      <c r="A2475" s="1" t="s">
        <v>5165</v>
      </c>
      <c r="B2475" s="1" t="s">
        <v>2154</v>
      </c>
      <c r="C2475" s="1" t="s">
        <v>5166</v>
      </c>
      <c r="D2475" s="1" t="s">
        <v>1242</v>
      </c>
      <c r="E2475" s="1" t="s">
        <v>4250</v>
      </c>
      <c r="F2475" s="1" t="s">
        <v>4251</v>
      </c>
      <c r="G2475" s="1" t="s">
        <v>5158</v>
      </c>
      <c r="H2475">
        <v>2004</v>
      </c>
      <c r="I2475">
        <v>2007</v>
      </c>
      <c r="J2475">
        <f t="shared" si="76"/>
        <v>4</v>
      </c>
      <c r="K2475" s="1" t="s">
        <v>4668</v>
      </c>
      <c r="L2475" s="1" t="s">
        <v>666</v>
      </c>
      <c r="M2475">
        <f t="shared" si="77"/>
        <v>19</v>
      </c>
      <c r="N2475" t="s">
        <v>650</v>
      </c>
    </row>
    <row r="2476" spans="1:14" hidden="1" x14ac:dyDescent="0.3">
      <c r="A2476" s="1" t="s">
        <v>5871</v>
      </c>
      <c r="B2476" s="1" t="s">
        <v>2154</v>
      </c>
      <c r="C2476" s="1" t="s">
        <v>5872</v>
      </c>
      <c r="D2476" s="1" t="s">
        <v>1242</v>
      </c>
      <c r="E2476" s="1" t="s">
        <v>4250</v>
      </c>
      <c r="F2476" s="1" t="s">
        <v>4251</v>
      </c>
      <c r="G2476" s="1" t="s">
        <v>5158</v>
      </c>
      <c r="H2476">
        <v>2007</v>
      </c>
      <c r="I2476">
        <v>2007</v>
      </c>
      <c r="J2476">
        <f t="shared" si="76"/>
        <v>1</v>
      </c>
      <c r="K2476" s="1" t="s">
        <v>4668</v>
      </c>
      <c r="L2476" s="1" t="s">
        <v>666</v>
      </c>
      <c r="M2476">
        <f t="shared" si="77"/>
        <v>19</v>
      </c>
      <c r="N2476" t="s">
        <v>650</v>
      </c>
    </row>
    <row r="2477" spans="1:14" hidden="1" x14ac:dyDescent="0.3">
      <c r="A2477" s="1" t="s">
        <v>5167</v>
      </c>
      <c r="B2477" s="1" t="s">
        <v>2154</v>
      </c>
      <c r="C2477" s="1" t="s">
        <v>5168</v>
      </c>
      <c r="D2477" s="1" t="s">
        <v>1242</v>
      </c>
      <c r="E2477" s="1" t="s">
        <v>4250</v>
      </c>
      <c r="F2477" s="1" t="s">
        <v>4251</v>
      </c>
      <c r="G2477" s="1" t="s">
        <v>5158</v>
      </c>
      <c r="H2477">
        <v>2002</v>
      </c>
      <c r="I2477">
        <v>2007</v>
      </c>
      <c r="J2477">
        <f t="shared" si="76"/>
        <v>6</v>
      </c>
      <c r="K2477" s="1" t="s">
        <v>4668</v>
      </c>
      <c r="L2477" s="1" t="s">
        <v>666</v>
      </c>
      <c r="M2477">
        <f t="shared" si="77"/>
        <v>19</v>
      </c>
      <c r="N2477" t="s">
        <v>650</v>
      </c>
    </row>
    <row r="2478" spans="1:14" hidden="1" x14ac:dyDescent="0.3">
      <c r="A2478" s="1" t="s">
        <v>5873</v>
      </c>
      <c r="B2478" s="1" t="s">
        <v>2154</v>
      </c>
      <c r="C2478" s="1" t="s">
        <v>5874</v>
      </c>
      <c r="D2478" s="1" t="s">
        <v>1242</v>
      </c>
      <c r="E2478" s="1" t="s">
        <v>4250</v>
      </c>
      <c r="F2478" s="1" t="s">
        <v>4251</v>
      </c>
      <c r="G2478" s="1" t="s">
        <v>5158</v>
      </c>
      <c r="H2478">
        <v>2009</v>
      </c>
      <c r="I2478">
        <v>2012</v>
      </c>
      <c r="J2478">
        <f t="shared" si="76"/>
        <v>4</v>
      </c>
      <c r="K2478" s="1" t="s">
        <v>4668</v>
      </c>
      <c r="L2478" s="1" t="s">
        <v>666</v>
      </c>
      <c r="M2478">
        <f t="shared" si="77"/>
        <v>14</v>
      </c>
      <c r="N2478" t="s">
        <v>650</v>
      </c>
    </row>
    <row r="2479" spans="1:14" hidden="1" x14ac:dyDescent="0.3">
      <c r="A2479" s="1" t="s">
        <v>5875</v>
      </c>
      <c r="B2479" s="1" t="s">
        <v>2154</v>
      </c>
      <c r="C2479" s="1" t="s">
        <v>5876</v>
      </c>
      <c r="D2479" s="1" t="s">
        <v>1242</v>
      </c>
      <c r="E2479" s="1" t="s">
        <v>4250</v>
      </c>
      <c r="F2479" s="1" t="s">
        <v>4251</v>
      </c>
      <c r="G2479" s="1" t="s">
        <v>5158</v>
      </c>
      <c r="H2479">
        <v>2009</v>
      </c>
      <c r="I2479">
        <v>2012</v>
      </c>
      <c r="J2479">
        <f t="shared" si="76"/>
        <v>4</v>
      </c>
      <c r="K2479" s="1" t="s">
        <v>4668</v>
      </c>
      <c r="L2479" s="1" t="s">
        <v>666</v>
      </c>
      <c r="M2479">
        <f t="shared" si="77"/>
        <v>14</v>
      </c>
      <c r="N2479" t="s">
        <v>650</v>
      </c>
    </row>
    <row r="2480" spans="1:14" hidden="1" x14ac:dyDescent="0.3">
      <c r="A2480" s="1" t="s">
        <v>5877</v>
      </c>
      <c r="B2480" s="1" t="s">
        <v>2154</v>
      </c>
      <c r="C2480" s="1" t="s">
        <v>5878</v>
      </c>
      <c r="D2480" s="1" t="s">
        <v>1242</v>
      </c>
      <c r="E2480" s="1" t="s">
        <v>4250</v>
      </c>
      <c r="F2480" s="1" t="s">
        <v>4251</v>
      </c>
      <c r="G2480" s="1" t="s">
        <v>5158</v>
      </c>
      <c r="H2480">
        <v>2009</v>
      </c>
      <c r="I2480">
        <v>2012</v>
      </c>
      <c r="J2480">
        <f t="shared" si="76"/>
        <v>4</v>
      </c>
      <c r="K2480" s="1" t="s">
        <v>4668</v>
      </c>
      <c r="L2480" s="1" t="s">
        <v>666</v>
      </c>
      <c r="M2480">
        <f t="shared" si="77"/>
        <v>14</v>
      </c>
      <c r="N2480" t="s">
        <v>650</v>
      </c>
    </row>
    <row r="2481" spans="1:14" hidden="1" x14ac:dyDescent="0.3">
      <c r="A2481" s="1" t="s">
        <v>5879</v>
      </c>
      <c r="B2481" s="1" t="s">
        <v>2154</v>
      </c>
      <c r="C2481" s="1" t="s">
        <v>5880</v>
      </c>
      <c r="D2481" s="1" t="s">
        <v>1242</v>
      </c>
      <c r="E2481" s="1" t="s">
        <v>4250</v>
      </c>
      <c r="F2481" s="1" t="s">
        <v>4251</v>
      </c>
      <c r="G2481" s="1" t="s">
        <v>5158</v>
      </c>
      <c r="H2481">
        <v>2008</v>
      </c>
      <c r="I2481">
        <v>2008</v>
      </c>
      <c r="J2481">
        <f t="shared" si="76"/>
        <v>1</v>
      </c>
      <c r="K2481" s="1" t="s">
        <v>4668</v>
      </c>
      <c r="L2481" s="1" t="s">
        <v>666</v>
      </c>
      <c r="M2481">
        <f t="shared" si="77"/>
        <v>18</v>
      </c>
      <c r="N2481" t="s">
        <v>650</v>
      </c>
    </row>
    <row r="2482" spans="1:14" hidden="1" x14ac:dyDescent="0.3">
      <c r="A2482" s="1" t="s">
        <v>5881</v>
      </c>
      <c r="B2482" s="1" t="s">
        <v>2154</v>
      </c>
      <c r="C2482" s="1" t="s">
        <v>5882</v>
      </c>
      <c r="D2482" s="1" t="s">
        <v>1242</v>
      </c>
      <c r="E2482" s="1" t="s">
        <v>4250</v>
      </c>
      <c r="F2482" s="1" t="s">
        <v>4251</v>
      </c>
      <c r="G2482" s="1" t="s">
        <v>5158</v>
      </c>
      <c r="H2482">
        <v>2008</v>
      </c>
      <c r="I2482">
        <v>2008</v>
      </c>
      <c r="J2482">
        <f t="shared" si="76"/>
        <v>1</v>
      </c>
      <c r="K2482" s="1" t="s">
        <v>4668</v>
      </c>
      <c r="L2482" s="1" t="s">
        <v>666</v>
      </c>
      <c r="M2482">
        <f t="shared" si="77"/>
        <v>18</v>
      </c>
      <c r="N2482" t="s">
        <v>650</v>
      </c>
    </row>
    <row r="2483" spans="1:14" hidden="1" x14ac:dyDescent="0.3">
      <c r="A2483" s="1" t="s">
        <v>5883</v>
      </c>
      <c r="B2483" s="1" t="s">
        <v>2154</v>
      </c>
      <c r="C2483" s="1" t="s">
        <v>5884</v>
      </c>
      <c r="D2483" s="1" t="s">
        <v>1242</v>
      </c>
      <c r="E2483" s="1" t="s">
        <v>4250</v>
      </c>
      <c r="F2483" s="1" t="s">
        <v>4251</v>
      </c>
      <c r="G2483" s="1" t="s">
        <v>5158</v>
      </c>
      <c r="H2483">
        <v>2013</v>
      </c>
      <c r="I2483">
        <v>2016</v>
      </c>
      <c r="J2483">
        <f t="shared" si="76"/>
        <v>4</v>
      </c>
      <c r="K2483" s="1" t="s">
        <v>4668</v>
      </c>
      <c r="L2483" s="1" t="s">
        <v>666</v>
      </c>
      <c r="M2483">
        <f t="shared" si="77"/>
        <v>10</v>
      </c>
      <c r="N2483" t="s">
        <v>650</v>
      </c>
    </row>
    <row r="2484" spans="1:14" hidden="1" x14ac:dyDescent="0.3">
      <c r="A2484" s="1" t="s">
        <v>5885</v>
      </c>
      <c r="B2484" s="1" t="s">
        <v>2154</v>
      </c>
      <c r="C2484" s="1" t="s">
        <v>5886</v>
      </c>
      <c r="D2484" s="1" t="s">
        <v>1242</v>
      </c>
      <c r="E2484" s="1" t="s">
        <v>4250</v>
      </c>
      <c r="F2484" s="1" t="s">
        <v>4251</v>
      </c>
      <c r="G2484" s="1" t="s">
        <v>5158</v>
      </c>
      <c r="H2484">
        <v>2015</v>
      </c>
      <c r="I2484">
        <v>2016</v>
      </c>
      <c r="J2484">
        <f t="shared" si="76"/>
        <v>2</v>
      </c>
      <c r="K2484" s="1" t="s">
        <v>4668</v>
      </c>
      <c r="L2484" s="1" t="s">
        <v>666</v>
      </c>
      <c r="M2484">
        <f t="shared" si="77"/>
        <v>10</v>
      </c>
      <c r="N2484" t="s">
        <v>650</v>
      </c>
    </row>
    <row r="2485" spans="1:14" hidden="1" x14ac:dyDescent="0.3">
      <c r="A2485" s="1" t="s">
        <v>5169</v>
      </c>
      <c r="B2485" s="1" t="s">
        <v>2154</v>
      </c>
      <c r="C2485" s="1" t="s">
        <v>5170</v>
      </c>
      <c r="D2485" s="1" t="s">
        <v>1242</v>
      </c>
      <c r="E2485" s="1" t="s">
        <v>4250</v>
      </c>
      <c r="F2485" s="1" t="s">
        <v>4251</v>
      </c>
      <c r="G2485" s="1" t="s">
        <v>5158</v>
      </c>
      <c r="H2485">
        <v>2015</v>
      </c>
      <c r="I2485">
        <v>2016</v>
      </c>
      <c r="J2485">
        <f t="shared" si="76"/>
        <v>2</v>
      </c>
      <c r="K2485" s="1" t="s">
        <v>4668</v>
      </c>
      <c r="L2485" s="1" t="s">
        <v>666</v>
      </c>
      <c r="M2485">
        <f t="shared" si="77"/>
        <v>10</v>
      </c>
      <c r="N2485" t="s">
        <v>650</v>
      </c>
    </row>
    <row r="2486" spans="1:14" hidden="1" x14ac:dyDescent="0.3">
      <c r="A2486" s="1" t="s">
        <v>5887</v>
      </c>
      <c r="B2486" s="1" t="s">
        <v>2154</v>
      </c>
      <c r="C2486" s="1" t="s">
        <v>5888</v>
      </c>
      <c r="D2486" s="1" t="s">
        <v>1242</v>
      </c>
      <c r="E2486" s="1" t="s">
        <v>4250</v>
      </c>
      <c r="F2486" s="1" t="s">
        <v>4251</v>
      </c>
      <c r="G2486" s="1" t="s">
        <v>5158</v>
      </c>
      <c r="H2486">
        <v>2013</v>
      </c>
      <c r="I2486">
        <v>2015</v>
      </c>
      <c r="J2486">
        <f t="shared" si="76"/>
        <v>3</v>
      </c>
      <c r="K2486" s="1" t="s">
        <v>4668</v>
      </c>
      <c r="L2486" s="1" t="s">
        <v>666</v>
      </c>
      <c r="M2486">
        <f t="shared" si="77"/>
        <v>11</v>
      </c>
      <c r="N2486" t="s">
        <v>650</v>
      </c>
    </row>
    <row r="2487" spans="1:14" hidden="1" x14ac:dyDescent="0.3">
      <c r="A2487" s="1" t="s">
        <v>5889</v>
      </c>
      <c r="B2487" s="1" t="s">
        <v>2154</v>
      </c>
      <c r="C2487" s="1" t="s">
        <v>5890</v>
      </c>
      <c r="D2487" s="1" t="s">
        <v>1242</v>
      </c>
      <c r="E2487" s="1" t="s">
        <v>4250</v>
      </c>
      <c r="F2487" s="1" t="s">
        <v>4251</v>
      </c>
      <c r="G2487" s="1" t="s">
        <v>5158</v>
      </c>
      <c r="H2487">
        <v>2006</v>
      </c>
      <c r="I2487">
        <v>2008</v>
      </c>
      <c r="J2487">
        <f t="shared" si="76"/>
        <v>3</v>
      </c>
      <c r="K2487" s="1" t="s">
        <v>4668</v>
      </c>
      <c r="L2487" s="1" t="s">
        <v>666</v>
      </c>
      <c r="M2487">
        <f t="shared" si="77"/>
        <v>18</v>
      </c>
      <c r="N2487" t="s">
        <v>650</v>
      </c>
    </row>
    <row r="2488" spans="1:14" hidden="1" x14ac:dyDescent="0.3">
      <c r="A2488" s="1" t="s">
        <v>5171</v>
      </c>
      <c r="B2488" s="1" t="s">
        <v>2154</v>
      </c>
      <c r="C2488" s="1" t="s">
        <v>5172</v>
      </c>
      <c r="D2488" s="1" t="s">
        <v>1242</v>
      </c>
      <c r="E2488" s="1" t="s">
        <v>4250</v>
      </c>
      <c r="F2488" s="1" t="s">
        <v>4251</v>
      </c>
      <c r="G2488" s="1" t="s">
        <v>5158</v>
      </c>
      <c r="H2488">
        <v>2009</v>
      </c>
      <c r="I2488">
        <v>2013</v>
      </c>
      <c r="J2488">
        <f t="shared" si="76"/>
        <v>5</v>
      </c>
      <c r="K2488" s="1" t="s">
        <v>4668</v>
      </c>
      <c r="L2488" s="1" t="s">
        <v>666</v>
      </c>
      <c r="M2488">
        <f t="shared" si="77"/>
        <v>13</v>
      </c>
      <c r="N2488" t="s">
        <v>650</v>
      </c>
    </row>
    <row r="2489" spans="1:14" hidden="1" x14ac:dyDescent="0.3">
      <c r="A2489" s="1" t="s">
        <v>5891</v>
      </c>
      <c r="B2489" s="1" t="s">
        <v>2154</v>
      </c>
      <c r="C2489" s="1" t="s">
        <v>5892</v>
      </c>
      <c r="D2489" s="1" t="s">
        <v>1242</v>
      </c>
      <c r="E2489" s="1" t="s">
        <v>4250</v>
      </c>
      <c r="F2489" s="1" t="s">
        <v>4251</v>
      </c>
      <c r="G2489" s="1" t="s">
        <v>5158</v>
      </c>
      <c r="H2489">
        <v>2019</v>
      </c>
      <c r="I2489">
        <v>2022</v>
      </c>
      <c r="J2489">
        <f t="shared" si="76"/>
        <v>4</v>
      </c>
      <c r="K2489" s="1" t="s">
        <v>4668</v>
      </c>
      <c r="L2489" s="1" t="s">
        <v>666</v>
      </c>
      <c r="M2489">
        <f t="shared" si="77"/>
        <v>4</v>
      </c>
      <c r="N2489" t="s">
        <v>650</v>
      </c>
    </row>
    <row r="2490" spans="1:14" hidden="1" x14ac:dyDescent="0.3">
      <c r="A2490" s="1" t="s">
        <v>5173</v>
      </c>
      <c r="B2490" s="1" t="s">
        <v>2154</v>
      </c>
      <c r="C2490" s="1" t="s">
        <v>5174</v>
      </c>
      <c r="D2490" s="1" t="s">
        <v>1242</v>
      </c>
      <c r="E2490" s="1" t="s">
        <v>4250</v>
      </c>
      <c r="F2490" s="1" t="s">
        <v>4251</v>
      </c>
      <c r="G2490" s="1" t="s">
        <v>5158</v>
      </c>
      <c r="H2490">
        <v>2009</v>
      </c>
      <c r="I2490">
        <v>2013</v>
      </c>
      <c r="J2490">
        <f t="shared" si="76"/>
        <v>5</v>
      </c>
      <c r="K2490" s="1" t="s">
        <v>4668</v>
      </c>
      <c r="L2490" s="1" t="s">
        <v>666</v>
      </c>
      <c r="M2490">
        <f t="shared" si="77"/>
        <v>13</v>
      </c>
      <c r="N2490" t="s">
        <v>650</v>
      </c>
    </row>
    <row r="2491" spans="1:14" hidden="1" x14ac:dyDescent="0.3">
      <c r="A2491" s="1" t="s">
        <v>5893</v>
      </c>
      <c r="B2491" s="1" t="s">
        <v>2154</v>
      </c>
      <c r="C2491" s="1" t="s">
        <v>5894</v>
      </c>
      <c r="D2491" s="1" t="s">
        <v>1242</v>
      </c>
      <c r="E2491" s="1" t="s">
        <v>4250</v>
      </c>
      <c r="F2491" s="1" t="s">
        <v>4251</v>
      </c>
      <c r="G2491" s="1" t="s">
        <v>5158</v>
      </c>
      <c r="H2491">
        <v>2003</v>
      </c>
      <c r="I2491">
        <v>2007</v>
      </c>
      <c r="J2491">
        <f t="shared" si="76"/>
        <v>5</v>
      </c>
      <c r="K2491" s="1" t="s">
        <v>4668</v>
      </c>
      <c r="L2491" s="1" t="s">
        <v>666</v>
      </c>
      <c r="M2491">
        <f t="shared" si="77"/>
        <v>19</v>
      </c>
      <c r="N2491" t="s">
        <v>650</v>
      </c>
    </row>
    <row r="2492" spans="1:14" hidden="1" x14ac:dyDescent="0.3">
      <c r="A2492" s="1" t="s">
        <v>5895</v>
      </c>
      <c r="B2492" s="1" t="s">
        <v>2154</v>
      </c>
      <c r="C2492" s="1" t="s">
        <v>5896</v>
      </c>
      <c r="D2492" s="1" t="s">
        <v>1242</v>
      </c>
      <c r="E2492" s="1" t="s">
        <v>4250</v>
      </c>
      <c r="F2492" s="1" t="s">
        <v>4251</v>
      </c>
      <c r="G2492" s="1" t="s">
        <v>5158</v>
      </c>
      <c r="H2492">
        <v>2002</v>
      </c>
      <c r="I2492">
        <v>2007</v>
      </c>
      <c r="J2492">
        <f t="shared" si="76"/>
        <v>6</v>
      </c>
      <c r="K2492" s="1" t="s">
        <v>4668</v>
      </c>
      <c r="L2492" s="1" t="s">
        <v>666</v>
      </c>
      <c r="M2492">
        <f t="shared" si="77"/>
        <v>19</v>
      </c>
      <c r="N2492" t="s">
        <v>650</v>
      </c>
    </row>
    <row r="2493" spans="1:14" hidden="1" x14ac:dyDescent="0.3">
      <c r="A2493" s="1" t="s">
        <v>5897</v>
      </c>
      <c r="B2493" s="1" t="s">
        <v>2154</v>
      </c>
      <c r="C2493" s="1" t="s">
        <v>5898</v>
      </c>
      <c r="D2493" s="1" t="s">
        <v>1242</v>
      </c>
      <c r="E2493" s="1" t="s">
        <v>4250</v>
      </c>
      <c r="F2493" s="1" t="s">
        <v>4251</v>
      </c>
      <c r="G2493" s="1" t="s">
        <v>5158</v>
      </c>
      <c r="H2493">
        <v>2002</v>
      </c>
      <c r="I2493">
        <v>2008</v>
      </c>
      <c r="J2493">
        <f t="shared" si="76"/>
        <v>7</v>
      </c>
      <c r="K2493" s="1" t="s">
        <v>4668</v>
      </c>
      <c r="L2493" s="1" t="s">
        <v>666</v>
      </c>
      <c r="M2493">
        <f t="shared" si="77"/>
        <v>18</v>
      </c>
      <c r="N2493" t="s">
        <v>650</v>
      </c>
    </row>
    <row r="2494" spans="1:14" hidden="1" x14ac:dyDescent="0.3">
      <c r="A2494" s="1" t="s">
        <v>5899</v>
      </c>
      <c r="B2494" s="1" t="s">
        <v>2154</v>
      </c>
      <c r="C2494" s="1" t="s">
        <v>5900</v>
      </c>
      <c r="D2494" s="1" t="s">
        <v>1242</v>
      </c>
      <c r="E2494" s="1" t="s">
        <v>4250</v>
      </c>
      <c r="F2494" s="1" t="s">
        <v>4251</v>
      </c>
      <c r="G2494" s="1" t="s">
        <v>5158</v>
      </c>
      <c r="H2494">
        <v>2022</v>
      </c>
      <c r="I2494">
        <v>2022</v>
      </c>
      <c r="J2494">
        <f t="shared" si="76"/>
        <v>1</v>
      </c>
      <c r="K2494" s="1" t="s">
        <v>4668</v>
      </c>
      <c r="L2494" s="1" t="s">
        <v>666</v>
      </c>
      <c r="M2494">
        <f t="shared" si="77"/>
        <v>4</v>
      </c>
      <c r="N2494" t="s">
        <v>650</v>
      </c>
    </row>
    <row r="2495" spans="1:14" x14ac:dyDescent="0.3">
      <c r="A2495" s="1" t="s">
        <v>8001</v>
      </c>
      <c r="B2495" s="1" t="s">
        <v>1451</v>
      </c>
      <c r="C2495" s="1" t="s">
        <v>8002</v>
      </c>
      <c r="D2495" s="1" t="s">
        <v>644</v>
      </c>
      <c r="E2495" s="1" t="s">
        <v>6076</v>
      </c>
      <c r="F2495" s="1" t="s">
        <v>6076</v>
      </c>
      <c r="G2495" s="1" t="s">
        <v>5085</v>
      </c>
      <c r="H2495">
        <v>1985</v>
      </c>
      <c r="I2495">
        <v>1986</v>
      </c>
      <c r="J2495">
        <f t="shared" si="76"/>
        <v>2</v>
      </c>
      <c r="K2495" s="1" t="s">
        <v>6076</v>
      </c>
      <c r="L2495" s="1" t="s">
        <v>6076</v>
      </c>
      <c r="M2495">
        <f t="shared" si="77"/>
        <v>40</v>
      </c>
      <c r="N2495" t="s">
        <v>640</v>
      </c>
    </row>
    <row r="2496" spans="1:14" x14ac:dyDescent="0.3">
      <c r="A2496" s="1" t="s">
        <v>8003</v>
      </c>
      <c r="B2496" s="1" t="s">
        <v>1451</v>
      </c>
      <c r="C2496" s="1" t="s">
        <v>8004</v>
      </c>
      <c r="D2496" s="1" t="s">
        <v>644</v>
      </c>
      <c r="E2496" s="1" t="s">
        <v>6076</v>
      </c>
      <c r="F2496" s="1" t="s">
        <v>6076</v>
      </c>
      <c r="G2496" s="1" t="s">
        <v>5085</v>
      </c>
      <c r="H2496">
        <v>1985</v>
      </c>
      <c r="I2496">
        <v>1991</v>
      </c>
      <c r="J2496">
        <f t="shared" si="76"/>
        <v>7</v>
      </c>
      <c r="K2496" s="1" t="s">
        <v>6076</v>
      </c>
      <c r="L2496" s="1" t="s">
        <v>6076</v>
      </c>
      <c r="M2496">
        <f t="shared" si="77"/>
        <v>35</v>
      </c>
      <c r="N2496" t="s">
        <v>640</v>
      </c>
    </row>
    <row r="2497" spans="1:14" x14ac:dyDescent="0.3">
      <c r="A2497" s="1" t="s">
        <v>8005</v>
      </c>
      <c r="B2497" s="1" t="s">
        <v>1451</v>
      </c>
      <c r="C2497" s="1" t="s">
        <v>8006</v>
      </c>
      <c r="D2497" s="1" t="s">
        <v>644</v>
      </c>
      <c r="E2497" s="1" t="s">
        <v>6076</v>
      </c>
      <c r="F2497" s="1" t="s">
        <v>6076</v>
      </c>
      <c r="G2497" s="1" t="s">
        <v>5085</v>
      </c>
      <c r="H2497">
        <v>1985</v>
      </c>
      <c r="I2497">
        <v>1991</v>
      </c>
      <c r="J2497">
        <f t="shared" si="76"/>
        <v>7</v>
      </c>
      <c r="K2497" s="1" t="s">
        <v>6076</v>
      </c>
      <c r="L2497" s="1" t="s">
        <v>6076</v>
      </c>
      <c r="M2497">
        <f t="shared" si="77"/>
        <v>35</v>
      </c>
      <c r="N2497" t="s">
        <v>640</v>
      </c>
    </row>
    <row r="2498" spans="1:14" x14ac:dyDescent="0.3">
      <c r="A2498" s="1" t="s">
        <v>8007</v>
      </c>
      <c r="B2498" s="1" t="s">
        <v>810</v>
      </c>
      <c r="C2498" s="1" t="s">
        <v>8008</v>
      </c>
      <c r="D2498" s="1" t="s">
        <v>746</v>
      </c>
      <c r="E2498" s="1" t="s">
        <v>6076</v>
      </c>
      <c r="F2498" s="1" t="s">
        <v>6076</v>
      </c>
      <c r="G2498" s="1" t="s">
        <v>8009</v>
      </c>
      <c r="H2498">
        <v>1985</v>
      </c>
      <c r="I2498">
        <v>1996</v>
      </c>
      <c r="J2498">
        <f t="shared" si="76"/>
        <v>12</v>
      </c>
      <c r="K2498" s="1" t="s">
        <v>6076</v>
      </c>
      <c r="L2498" s="1" t="s">
        <v>6076</v>
      </c>
      <c r="M2498">
        <f t="shared" si="77"/>
        <v>30</v>
      </c>
      <c r="N2498" t="s">
        <v>640</v>
      </c>
    </row>
    <row r="2499" spans="1:14" x14ac:dyDescent="0.3">
      <c r="A2499" s="1" t="s">
        <v>10720</v>
      </c>
      <c r="B2499" s="1" t="s">
        <v>810</v>
      </c>
      <c r="C2499" s="1" t="s">
        <v>10721</v>
      </c>
      <c r="D2499" s="1" t="s">
        <v>746</v>
      </c>
      <c r="E2499" s="1" t="s">
        <v>6076</v>
      </c>
      <c r="F2499" s="1" t="s">
        <v>6076</v>
      </c>
      <c r="G2499" s="1" t="s">
        <v>8009</v>
      </c>
      <c r="H2499">
        <v>2013</v>
      </c>
      <c r="I2499">
        <v>2016</v>
      </c>
      <c r="J2499">
        <f t="shared" si="76"/>
        <v>4</v>
      </c>
      <c r="K2499" s="1" t="s">
        <v>6076</v>
      </c>
      <c r="L2499" s="1" t="s">
        <v>6076</v>
      </c>
      <c r="M2499">
        <f t="shared" si="77"/>
        <v>10</v>
      </c>
      <c r="N2499" t="s">
        <v>650</v>
      </c>
    </row>
    <row r="2500" spans="1:14" x14ac:dyDescent="0.3">
      <c r="A2500" s="1" t="s">
        <v>10722</v>
      </c>
      <c r="B2500" s="1" t="s">
        <v>810</v>
      </c>
      <c r="C2500" s="1" t="s">
        <v>10723</v>
      </c>
      <c r="D2500" s="1" t="s">
        <v>746</v>
      </c>
      <c r="E2500" s="1" t="s">
        <v>6076</v>
      </c>
      <c r="F2500" s="1" t="s">
        <v>6076</v>
      </c>
      <c r="G2500" s="1" t="s">
        <v>8009</v>
      </c>
      <c r="H2500">
        <v>2013</v>
      </c>
      <c r="I2500">
        <v>2016</v>
      </c>
      <c r="J2500">
        <f t="shared" si="76"/>
        <v>4</v>
      </c>
      <c r="K2500" s="1" t="s">
        <v>6076</v>
      </c>
      <c r="L2500" s="1" t="s">
        <v>6076</v>
      </c>
      <c r="M2500">
        <f t="shared" si="77"/>
        <v>10</v>
      </c>
      <c r="N2500" t="s">
        <v>650</v>
      </c>
    </row>
    <row r="2501" spans="1:14" x14ac:dyDescent="0.3">
      <c r="A2501" s="1" t="s">
        <v>10724</v>
      </c>
      <c r="B2501" s="1" t="s">
        <v>810</v>
      </c>
      <c r="C2501" s="1" t="s">
        <v>10725</v>
      </c>
      <c r="D2501" s="1" t="s">
        <v>746</v>
      </c>
      <c r="E2501" s="1" t="s">
        <v>6076</v>
      </c>
      <c r="F2501" s="1" t="s">
        <v>6076</v>
      </c>
      <c r="G2501" s="1" t="s">
        <v>8009</v>
      </c>
      <c r="H2501">
        <v>2013</v>
      </c>
      <c r="I2501">
        <v>2014</v>
      </c>
      <c r="J2501">
        <f t="shared" si="76"/>
        <v>2</v>
      </c>
      <c r="K2501" s="1" t="s">
        <v>6076</v>
      </c>
      <c r="L2501" s="1" t="s">
        <v>6076</v>
      </c>
      <c r="M2501">
        <f t="shared" si="77"/>
        <v>12</v>
      </c>
      <c r="N2501" t="s">
        <v>650</v>
      </c>
    </row>
    <row r="2502" spans="1:14" hidden="1" x14ac:dyDescent="0.3">
      <c r="A2502" s="1" t="s">
        <v>5175</v>
      </c>
      <c r="B2502" s="1" t="s">
        <v>1451</v>
      </c>
      <c r="C2502" s="1" t="s">
        <v>5176</v>
      </c>
      <c r="D2502" s="1" t="s">
        <v>738</v>
      </c>
      <c r="E2502" s="1" t="s">
        <v>4892</v>
      </c>
      <c r="F2502" s="1" t="s">
        <v>4893</v>
      </c>
      <c r="G2502" s="1" t="s">
        <v>5177</v>
      </c>
      <c r="H2502">
        <v>2013</v>
      </c>
      <c r="I2502">
        <v>2016</v>
      </c>
      <c r="J2502">
        <f t="shared" ref="J2502:J2565" si="78">1+(I2502-H2502)</f>
        <v>4</v>
      </c>
      <c r="K2502" s="1" t="s">
        <v>4668</v>
      </c>
      <c r="L2502" s="1" t="s">
        <v>649</v>
      </c>
      <c r="M2502">
        <f t="shared" ref="M2502:M2565" si="79">IF(I2502=0,0,$B$2-I2502)</f>
        <v>10</v>
      </c>
      <c r="N2502" t="s">
        <v>650</v>
      </c>
    </row>
    <row r="2503" spans="1:14" hidden="1" x14ac:dyDescent="0.3">
      <c r="A2503" s="1" t="s">
        <v>6065</v>
      </c>
      <c r="B2503" s="1" t="s">
        <v>1451</v>
      </c>
      <c r="C2503" s="1" t="s">
        <v>6066</v>
      </c>
      <c r="D2503" s="1" t="s">
        <v>738</v>
      </c>
      <c r="E2503" s="1" t="s">
        <v>4892</v>
      </c>
      <c r="F2503" s="1" t="s">
        <v>4893</v>
      </c>
      <c r="G2503" s="1" t="s">
        <v>5177</v>
      </c>
      <c r="H2503">
        <v>2010</v>
      </c>
      <c r="I2503">
        <v>2012</v>
      </c>
      <c r="J2503">
        <f t="shared" si="78"/>
        <v>3</v>
      </c>
      <c r="K2503" s="1" t="s">
        <v>5909</v>
      </c>
      <c r="L2503" s="1" t="s">
        <v>3793</v>
      </c>
      <c r="M2503">
        <f t="shared" si="79"/>
        <v>14</v>
      </c>
      <c r="N2503" t="s">
        <v>650</v>
      </c>
    </row>
    <row r="2504" spans="1:14" hidden="1" x14ac:dyDescent="0.3">
      <c r="A2504" s="1" t="s">
        <v>5901</v>
      </c>
      <c r="B2504" s="1" t="s">
        <v>1451</v>
      </c>
      <c r="C2504" s="1" t="s">
        <v>5902</v>
      </c>
      <c r="D2504" s="1" t="s">
        <v>738</v>
      </c>
      <c r="E2504" s="1" t="s">
        <v>4892</v>
      </c>
      <c r="F2504" s="1" t="s">
        <v>4893</v>
      </c>
      <c r="G2504" s="1" t="s">
        <v>5177</v>
      </c>
      <c r="H2504">
        <v>2017</v>
      </c>
      <c r="I2504">
        <v>2018</v>
      </c>
      <c r="J2504">
        <f t="shared" si="78"/>
        <v>2</v>
      </c>
      <c r="K2504" s="1" t="s">
        <v>4668</v>
      </c>
      <c r="L2504" s="1" t="s">
        <v>649</v>
      </c>
      <c r="M2504">
        <f t="shared" si="79"/>
        <v>8</v>
      </c>
      <c r="N2504" t="s">
        <v>650</v>
      </c>
    </row>
    <row r="2505" spans="1:14" hidden="1" x14ac:dyDescent="0.3">
      <c r="A2505" s="1" t="s">
        <v>5903</v>
      </c>
      <c r="B2505" s="1" t="s">
        <v>1451</v>
      </c>
      <c r="C2505" s="1" t="s">
        <v>5904</v>
      </c>
      <c r="D2505" s="1" t="s">
        <v>738</v>
      </c>
      <c r="E2505" s="1" t="s">
        <v>4892</v>
      </c>
      <c r="F2505" s="1" t="s">
        <v>4893</v>
      </c>
      <c r="G2505" s="1" t="s">
        <v>5177</v>
      </c>
      <c r="H2505">
        <v>2017</v>
      </c>
      <c r="I2505">
        <v>2019</v>
      </c>
      <c r="J2505">
        <f t="shared" si="78"/>
        <v>3</v>
      </c>
      <c r="K2505" s="1" t="s">
        <v>4668</v>
      </c>
      <c r="L2505" s="1" t="s">
        <v>649</v>
      </c>
      <c r="M2505">
        <f t="shared" si="79"/>
        <v>7</v>
      </c>
      <c r="N2505" t="s">
        <v>650</v>
      </c>
    </row>
    <row r="2506" spans="1:14" hidden="1" x14ac:dyDescent="0.3">
      <c r="A2506" s="1" t="s">
        <v>6067</v>
      </c>
      <c r="B2506" s="1" t="s">
        <v>1451</v>
      </c>
      <c r="C2506" s="1" t="s">
        <v>6068</v>
      </c>
      <c r="D2506" s="1" t="s">
        <v>738</v>
      </c>
      <c r="E2506" s="1" t="s">
        <v>4892</v>
      </c>
      <c r="F2506" s="1" t="s">
        <v>4893</v>
      </c>
      <c r="G2506" s="1" t="s">
        <v>5177</v>
      </c>
      <c r="H2506">
        <v>2006</v>
      </c>
      <c r="I2506">
        <v>2009</v>
      </c>
      <c r="J2506">
        <f t="shared" si="78"/>
        <v>4</v>
      </c>
      <c r="K2506" s="1" t="s">
        <v>5909</v>
      </c>
      <c r="L2506" s="1" t="s">
        <v>5182</v>
      </c>
      <c r="M2506">
        <f t="shared" si="79"/>
        <v>17</v>
      </c>
      <c r="N2506" t="s">
        <v>650</v>
      </c>
    </row>
    <row r="2507" spans="1:14" hidden="1" x14ac:dyDescent="0.3">
      <c r="A2507" s="1" t="s">
        <v>5907</v>
      </c>
      <c r="B2507" s="1" t="s">
        <v>1451</v>
      </c>
      <c r="C2507" s="1" t="s">
        <v>5908</v>
      </c>
      <c r="D2507" s="1" t="s">
        <v>738</v>
      </c>
      <c r="E2507" s="1" t="s">
        <v>4892</v>
      </c>
      <c r="F2507" s="1" t="s">
        <v>4893</v>
      </c>
      <c r="G2507" s="1" t="s">
        <v>5177</v>
      </c>
      <c r="H2507">
        <v>2010</v>
      </c>
      <c r="I2507">
        <v>2012</v>
      </c>
      <c r="J2507">
        <f t="shared" si="78"/>
        <v>3</v>
      </c>
      <c r="K2507" s="1" t="s">
        <v>5909</v>
      </c>
      <c r="L2507" s="1" t="s">
        <v>659</v>
      </c>
      <c r="M2507">
        <f t="shared" si="79"/>
        <v>14</v>
      </c>
      <c r="N2507" t="s">
        <v>650</v>
      </c>
    </row>
    <row r="2508" spans="1:14" hidden="1" x14ac:dyDescent="0.3">
      <c r="A2508" s="1" t="s">
        <v>6069</v>
      </c>
      <c r="B2508" s="1" t="s">
        <v>1451</v>
      </c>
      <c r="C2508" s="1" t="s">
        <v>6070</v>
      </c>
      <c r="D2508" s="1" t="s">
        <v>738</v>
      </c>
      <c r="E2508" s="1" t="s">
        <v>4892</v>
      </c>
      <c r="F2508" s="1" t="s">
        <v>4893</v>
      </c>
      <c r="G2508" s="1" t="s">
        <v>5177</v>
      </c>
      <c r="H2508">
        <v>2011</v>
      </c>
      <c r="I2508">
        <v>2012</v>
      </c>
      <c r="J2508">
        <f t="shared" si="78"/>
        <v>2</v>
      </c>
      <c r="K2508" s="1" t="s">
        <v>5909</v>
      </c>
      <c r="L2508" s="1" t="s">
        <v>659</v>
      </c>
      <c r="M2508">
        <f t="shared" si="79"/>
        <v>14</v>
      </c>
      <c r="N2508" t="s">
        <v>650</v>
      </c>
    </row>
    <row r="2509" spans="1:14" hidden="1" x14ac:dyDescent="0.3">
      <c r="A2509" s="1" t="s">
        <v>5910</v>
      </c>
      <c r="B2509" s="1" t="s">
        <v>1451</v>
      </c>
      <c r="C2509" s="1" t="s">
        <v>5911</v>
      </c>
      <c r="D2509" s="1" t="s">
        <v>738</v>
      </c>
      <c r="E2509" s="1" t="s">
        <v>4892</v>
      </c>
      <c r="F2509" s="1" t="s">
        <v>4893</v>
      </c>
      <c r="G2509" s="1" t="s">
        <v>5177</v>
      </c>
      <c r="H2509">
        <v>2011</v>
      </c>
      <c r="I2509">
        <v>2012</v>
      </c>
      <c r="J2509">
        <f t="shared" si="78"/>
        <v>2</v>
      </c>
      <c r="K2509" s="1" t="s">
        <v>5909</v>
      </c>
      <c r="L2509" s="1" t="s">
        <v>659</v>
      </c>
      <c r="M2509">
        <f t="shared" si="79"/>
        <v>14</v>
      </c>
      <c r="N2509" t="s">
        <v>650</v>
      </c>
    </row>
    <row r="2510" spans="1:14" hidden="1" x14ac:dyDescent="0.3">
      <c r="A2510" s="1" t="s">
        <v>5178</v>
      </c>
      <c r="B2510" s="1" t="s">
        <v>1451</v>
      </c>
      <c r="C2510" s="1" t="s">
        <v>5179</v>
      </c>
      <c r="D2510" s="1" t="s">
        <v>738</v>
      </c>
      <c r="E2510" s="1" t="s">
        <v>4892</v>
      </c>
      <c r="F2510" s="1" t="s">
        <v>4893</v>
      </c>
      <c r="G2510" s="1" t="s">
        <v>5177</v>
      </c>
      <c r="H2510">
        <v>2013</v>
      </c>
      <c r="I2510">
        <v>2019</v>
      </c>
      <c r="J2510">
        <f t="shared" si="78"/>
        <v>7</v>
      </c>
      <c r="K2510" s="1" t="s">
        <v>4668</v>
      </c>
      <c r="L2510" s="1" t="s">
        <v>649</v>
      </c>
      <c r="M2510">
        <f t="shared" si="79"/>
        <v>7</v>
      </c>
      <c r="N2510" t="s">
        <v>650</v>
      </c>
    </row>
    <row r="2511" spans="1:14" hidden="1" x14ac:dyDescent="0.3">
      <c r="A2511" s="1" t="s">
        <v>5180</v>
      </c>
      <c r="B2511" s="1" t="s">
        <v>1451</v>
      </c>
      <c r="C2511" s="1" t="s">
        <v>5181</v>
      </c>
      <c r="D2511" s="1" t="s">
        <v>738</v>
      </c>
      <c r="E2511" s="1" t="s">
        <v>4892</v>
      </c>
      <c r="F2511" s="1" t="s">
        <v>4893</v>
      </c>
      <c r="G2511" s="1" t="s">
        <v>5177</v>
      </c>
      <c r="H2511">
        <v>2013</v>
      </c>
      <c r="I2511">
        <v>2018</v>
      </c>
      <c r="J2511">
        <f t="shared" si="78"/>
        <v>6</v>
      </c>
      <c r="K2511" s="1" t="s">
        <v>4668</v>
      </c>
      <c r="L2511" s="1" t="s">
        <v>5182</v>
      </c>
      <c r="M2511">
        <f t="shared" si="79"/>
        <v>8</v>
      </c>
      <c r="N2511" t="s">
        <v>650</v>
      </c>
    </row>
    <row r="2512" spans="1:14" hidden="1" x14ac:dyDescent="0.3">
      <c r="A2512" s="1" t="s">
        <v>5905</v>
      </c>
      <c r="B2512" s="1" t="s">
        <v>1451</v>
      </c>
      <c r="C2512" s="1" t="s">
        <v>5906</v>
      </c>
      <c r="D2512" s="1" t="s">
        <v>738</v>
      </c>
      <c r="E2512" s="1" t="s">
        <v>4892</v>
      </c>
      <c r="F2512" s="1" t="s">
        <v>4893</v>
      </c>
      <c r="G2512" s="1" t="s">
        <v>5177</v>
      </c>
      <c r="H2512">
        <v>2013</v>
      </c>
      <c r="I2512">
        <v>2019</v>
      </c>
      <c r="J2512">
        <f t="shared" si="78"/>
        <v>7</v>
      </c>
      <c r="K2512" s="1" t="s">
        <v>4668</v>
      </c>
      <c r="L2512" s="1" t="s">
        <v>649</v>
      </c>
      <c r="M2512">
        <f t="shared" si="79"/>
        <v>7</v>
      </c>
      <c r="N2512" t="s">
        <v>650</v>
      </c>
    </row>
    <row r="2513" spans="1:14" x14ac:dyDescent="0.3">
      <c r="A2513" s="1" t="s">
        <v>8010</v>
      </c>
      <c r="B2513" s="1" t="s">
        <v>5931</v>
      </c>
      <c r="C2513" s="1" t="s">
        <v>8011</v>
      </c>
      <c r="D2513" s="1" t="s">
        <v>1395</v>
      </c>
      <c r="E2513" s="1" t="s">
        <v>6076</v>
      </c>
      <c r="F2513" s="1" t="s">
        <v>6076</v>
      </c>
      <c r="G2513" s="1" t="s">
        <v>8012</v>
      </c>
      <c r="H2513">
        <v>2009</v>
      </c>
      <c r="I2513">
        <v>2012</v>
      </c>
      <c r="J2513">
        <f t="shared" si="78"/>
        <v>4</v>
      </c>
      <c r="K2513" s="1" t="s">
        <v>6076</v>
      </c>
      <c r="L2513" s="1" t="s">
        <v>6076</v>
      </c>
      <c r="M2513">
        <f t="shared" si="79"/>
        <v>14</v>
      </c>
    </row>
    <row r="2514" spans="1:14" x14ac:dyDescent="0.3">
      <c r="A2514" s="1" t="s">
        <v>8013</v>
      </c>
      <c r="B2514" s="1" t="s">
        <v>5931</v>
      </c>
      <c r="C2514" s="1" t="s">
        <v>8014</v>
      </c>
      <c r="D2514" s="1" t="s">
        <v>1395</v>
      </c>
      <c r="E2514" s="1" t="s">
        <v>6076</v>
      </c>
      <c r="F2514" s="1" t="s">
        <v>6076</v>
      </c>
      <c r="G2514" s="1" t="s">
        <v>8015</v>
      </c>
      <c r="H2514">
        <v>2021</v>
      </c>
      <c r="I2514">
        <v>2022</v>
      </c>
      <c r="J2514">
        <f t="shared" si="78"/>
        <v>2</v>
      </c>
      <c r="K2514" s="1" t="s">
        <v>6076</v>
      </c>
      <c r="L2514" s="1" t="s">
        <v>6076</v>
      </c>
      <c r="M2514">
        <f t="shared" si="79"/>
        <v>4</v>
      </c>
    </row>
    <row r="2515" spans="1:14" x14ac:dyDescent="0.3">
      <c r="A2515" t="s">
        <v>11819</v>
      </c>
      <c r="B2515" t="s">
        <v>5931</v>
      </c>
      <c r="C2515" t="s">
        <v>11820</v>
      </c>
      <c r="E2515" s="1" t="s">
        <v>6076</v>
      </c>
      <c r="F2515" s="1" t="s">
        <v>6076</v>
      </c>
      <c r="G2515" s="1" t="s">
        <v>12857</v>
      </c>
      <c r="H2515">
        <v>2025</v>
      </c>
      <c r="I2515">
        <v>2026</v>
      </c>
      <c r="J2515">
        <f t="shared" si="78"/>
        <v>2</v>
      </c>
      <c r="K2515" s="1" t="s">
        <v>6076</v>
      </c>
      <c r="L2515" s="1" t="s">
        <v>6076</v>
      </c>
      <c r="M2515">
        <f t="shared" si="79"/>
        <v>0</v>
      </c>
    </row>
    <row r="2516" spans="1:14" x14ac:dyDescent="0.3">
      <c r="A2516" t="s">
        <v>11821</v>
      </c>
      <c r="B2516" t="s">
        <v>5931</v>
      </c>
      <c r="C2516" t="s">
        <v>11822</v>
      </c>
      <c r="E2516" s="1" t="s">
        <v>6076</v>
      </c>
      <c r="F2516" s="1" t="s">
        <v>6076</v>
      </c>
      <c r="G2516" s="1" t="s">
        <v>12857</v>
      </c>
      <c r="H2516">
        <v>2025</v>
      </c>
      <c r="I2516">
        <v>2026</v>
      </c>
      <c r="J2516">
        <f t="shared" si="78"/>
        <v>2</v>
      </c>
      <c r="K2516" s="1" t="s">
        <v>6076</v>
      </c>
      <c r="L2516" s="1" t="s">
        <v>6076</v>
      </c>
      <c r="M2516">
        <f t="shared" si="79"/>
        <v>0</v>
      </c>
    </row>
    <row r="2517" spans="1:14" x14ac:dyDescent="0.3">
      <c r="A2517" s="1" t="s">
        <v>8016</v>
      </c>
      <c r="B2517" s="1" t="s">
        <v>5931</v>
      </c>
      <c r="C2517" s="1" t="s">
        <v>8017</v>
      </c>
      <c r="D2517" s="1" t="s">
        <v>1395</v>
      </c>
      <c r="E2517" s="1" t="s">
        <v>6076</v>
      </c>
      <c r="F2517" s="1" t="s">
        <v>6076</v>
      </c>
      <c r="G2517" s="1" t="s">
        <v>8015</v>
      </c>
      <c r="H2517">
        <v>2019</v>
      </c>
      <c r="I2517">
        <v>2022</v>
      </c>
      <c r="J2517">
        <f t="shared" si="78"/>
        <v>4</v>
      </c>
      <c r="K2517" s="1" t="s">
        <v>6076</v>
      </c>
      <c r="L2517" s="1" t="s">
        <v>6076</v>
      </c>
      <c r="M2517">
        <f t="shared" si="79"/>
        <v>4</v>
      </c>
    </row>
    <row r="2518" spans="1:14" x14ac:dyDescent="0.3">
      <c r="A2518" s="1" t="s">
        <v>8018</v>
      </c>
      <c r="B2518" s="1" t="s">
        <v>5931</v>
      </c>
      <c r="C2518" s="1" t="s">
        <v>8019</v>
      </c>
      <c r="D2518" s="1" t="s">
        <v>1395</v>
      </c>
      <c r="E2518" s="1" t="s">
        <v>6076</v>
      </c>
      <c r="F2518" s="1" t="s">
        <v>6076</v>
      </c>
      <c r="G2518" s="1" t="s">
        <v>8015</v>
      </c>
      <c r="H2518">
        <v>2013</v>
      </c>
      <c r="I2518">
        <v>2017</v>
      </c>
      <c r="J2518">
        <f t="shared" si="78"/>
        <v>5</v>
      </c>
      <c r="K2518" s="1" t="s">
        <v>6076</v>
      </c>
      <c r="L2518" s="1" t="s">
        <v>6076</v>
      </c>
      <c r="M2518">
        <f t="shared" si="79"/>
        <v>9</v>
      </c>
    </row>
    <row r="2519" spans="1:14" x14ac:dyDescent="0.3">
      <c r="A2519" s="1" t="s">
        <v>8020</v>
      </c>
      <c r="B2519" s="1" t="s">
        <v>5931</v>
      </c>
      <c r="C2519" s="1" t="s">
        <v>8021</v>
      </c>
      <c r="D2519" s="1" t="s">
        <v>1395</v>
      </c>
      <c r="E2519" s="1" t="s">
        <v>6076</v>
      </c>
      <c r="F2519" s="1" t="s">
        <v>6076</v>
      </c>
      <c r="G2519" s="1" t="s">
        <v>8015</v>
      </c>
      <c r="H2519">
        <v>2019</v>
      </c>
      <c r="I2519">
        <v>2019</v>
      </c>
      <c r="J2519">
        <f t="shared" si="78"/>
        <v>1</v>
      </c>
      <c r="K2519" s="1" t="s">
        <v>6076</v>
      </c>
      <c r="L2519" s="1" t="s">
        <v>6076</v>
      </c>
      <c r="M2519">
        <f t="shared" si="79"/>
        <v>7</v>
      </c>
    </row>
    <row r="2520" spans="1:14" x14ac:dyDescent="0.3">
      <c r="A2520" s="1" t="s">
        <v>8022</v>
      </c>
      <c r="B2520" s="1" t="s">
        <v>4561</v>
      </c>
      <c r="C2520" s="1" t="s">
        <v>8023</v>
      </c>
      <c r="D2520" s="1" t="s">
        <v>738</v>
      </c>
      <c r="E2520" s="1" t="s">
        <v>6076</v>
      </c>
      <c r="F2520" s="1" t="s">
        <v>6076</v>
      </c>
      <c r="G2520" s="1" t="s">
        <v>8024</v>
      </c>
      <c r="H2520">
        <v>1997</v>
      </c>
      <c r="I2520">
        <v>2000</v>
      </c>
      <c r="J2520">
        <f t="shared" si="78"/>
        <v>4</v>
      </c>
      <c r="K2520" s="1" t="s">
        <v>6076</v>
      </c>
      <c r="L2520" s="1" t="s">
        <v>6076</v>
      </c>
      <c r="M2520">
        <f t="shared" si="79"/>
        <v>26</v>
      </c>
      <c r="N2520" t="s">
        <v>640</v>
      </c>
    </row>
    <row r="2521" spans="1:14" x14ac:dyDescent="0.3">
      <c r="A2521" s="1" t="s">
        <v>8025</v>
      </c>
      <c r="B2521" s="1" t="s">
        <v>4561</v>
      </c>
      <c r="C2521" s="1" t="s">
        <v>8026</v>
      </c>
      <c r="D2521" s="1" t="s">
        <v>738</v>
      </c>
      <c r="E2521" s="1" t="s">
        <v>6076</v>
      </c>
      <c r="F2521" s="1" t="s">
        <v>6076</v>
      </c>
      <c r="G2521" s="1" t="s">
        <v>8024</v>
      </c>
      <c r="H2521">
        <v>1997</v>
      </c>
      <c r="I2521">
        <v>2005</v>
      </c>
      <c r="J2521">
        <f t="shared" si="78"/>
        <v>9</v>
      </c>
      <c r="K2521" s="1" t="s">
        <v>6076</v>
      </c>
      <c r="L2521" s="1" t="s">
        <v>6076</v>
      </c>
      <c r="M2521">
        <f t="shared" si="79"/>
        <v>21</v>
      </c>
      <c r="N2521" t="s">
        <v>640</v>
      </c>
    </row>
    <row r="2522" spans="1:14" x14ac:dyDescent="0.3">
      <c r="A2522" s="1" t="s">
        <v>8027</v>
      </c>
      <c r="B2522" s="1" t="s">
        <v>4561</v>
      </c>
      <c r="C2522" s="1" t="s">
        <v>8028</v>
      </c>
      <c r="D2522" s="1" t="s">
        <v>738</v>
      </c>
      <c r="E2522" s="1" t="s">
        <v>6076</v>
      </c>
      <c r="F2522" s="1" t="s">
        <v>6076</v>
      </c>
      <c r="G2522" s="1" t="s">
        <v>8024</v>
      </c>
      <c r="H2522">
        <v>1992</v>
      </c>
      <c r="I2522">
        <v>1996</v>
      </c>
      <c r="J2522">
        <f t="shared" si="78"/>
        <v>5</v>
      </c>
      <c r="K2522" s="1" t="s">
        <v>6076</v>
      </c>
      <c r="L2522" s="1" t="s">
        <v>6076</v>
      </c>
      <c r="M2522">
        <f t="shared" si="79"/>
        <v>30</v>
      </c>
      <c r="N2522" t="s">
        <v>640</v>
      </c>
    </row>
    <row r="2523" spans="1:14" x14ac:dyDescent="0.3">
      <c r="A2523" s="1" t="s">
        <v>8029</v>
      </c>
      <c r="B2523" s="1" t="s">
        <v>4561</v>
      </c>
      <c r="C2523" s="1" t="s">
        <v>8030</v>
      </c>
      <c r="D2523" s="1" t="s">
        <v>738</v>
      </c>
      <c r="E2523" s="1" t="s">
        <v>6076</v>
      </c>
      <c r="F2523" s="1" t="s">
        <v>6076</v>
      </c>
      <c r="G2523" s="1" t="s">
        <v>8024</v>
      </c>
      <c r="H2523">
        <v>1992</v>
      </c>
      <c r="I2523">
        <v>1996</v>
      </c>
      <c r="J2523">
        <f t="shared" si="78"/>
        <v>5</v>
      </c>
      <c r="K2523" s="1" t="s">
        <v>6076</v>
      </c>
      <c r="L2523" s="1" t="s">
        <v>6076</v>
      </c>
      <c r="M2523">
        <f t="shared" si="79"/>
        <v>30</v>
      </c>
      <c r="N2523" t="s">
        <v>640</v>
      </c>
    </row>
    <row r="2524" spans="1:14" x14ac:dyDescent="0.3">
      <c r="A2524" s="1" t="s">
        <v>8031</v>
      </c>
      <c r="B2524" s="1" t="s">
        <v>1849</v>
      </c>
      <c r="C2524" s="1" t="s">
        <v>8032</v>
      </c>
      <c r="D2524" s="1" t="s">
        <v>1395</v>
      </c>
      <c r="E2524" s="1" t="s">
        <v>6076</v>
      </c>
      <c r="F2524" s="1" t="s">
        <v>6076</v>
      </c>
      <c r="G2524" s="1" t="s">
        <v>8033</v>
      </c>
      <c r="H2524">
        <v>1998</v>
      </c>
      <c r="I2524">
        <v>1999</v>
      </c>
      <c r="J2524">
        <f t="shared" si="78"/>
        <v>2</v>
      </c>
      <c r="K2524" s="1" t="s">
        <v>6076</v>
      </c>
      <c r="L2524" s="1" t="s">
        <v>6076</v>
      </c>
      <c r="M2524">
        <f t="shared" si="79"/>
        <v>27</v>
      </c>
      <c r="N2524" t="s">
        <v>640</v>
      </c>
    </row>
    <row r="2525" spans="1:14" x14ac:dyDescent="0.3">
      <c r="A2525" s="1" t="s">
        <v>8034</v>
      </c>
      <c r="B2525" s="1" t="s">
        <v>1849</v>
      </c>
      <c r="C2525" s="1" t="s">
        <v>8035</v>
      </c>
      <c r="D2525" s="1" t="s">
        <v>1395</v>
      </c>
      <c r="E2525" s="1" t="s">
        <v>6076</v>
      </c>
      <c r="F2525" s="1" t="s">
        <v>6076</v>
      </c>
      <c r="G2525" s="1" t="s">
        <v>8033</v>
      </c>
      <c r="H2525">
        <v>1998</v>
      </c>
      <c r="I2525">
        <v>1999</v>
      </c>
      <c r="J2525">
        <f t="shared" si="78"/>
        <v>2</v>
      </c>
      <c r="K2525" s="1" t="s">
        <v>6076</v>
      </c>
      <c r="L2525" s="1" t="s">
        <v>6076</v>
      </c>
      <c r="M2525">
        <f t="shared" si="79"/>
        <v>27</v>
      </c>
      <c r="N2525" t="s">
        <v>640</v>
      </c>
    </row>
    <row r="2526" spans="1:14" x14ac:dyDescent="0.3">
      <c r="A2526" s="1" t="s">
        <v>8036</v>
      </c>
      <c r="B2526" s="1" t="s">
        <v>1849</v>
      </c>
      <c r="C2526" s="1" t="s">
        <v>8037</v>
      </c>
      <c r="D2526" s="1" t="s">
        <v>1395</v>
      </c>
      <c r="E2526" s="1" t="s">
        <v>6076</v>
      </c>
      <c r="F2526" s="1" t="s">
        <v>6076</v>
      </c>
      <c r="G2526" s="1" t="s">
        <v>8033</v>
      </c>
      <c r="H2526">
        <v>1998</v>
      </c>
      <c r="I2526">
        <v>1999</v>
      </c>
      <c r="J2526">
        <f t="shared" si="78"/>
        <v>2</v>
      </c>
      <c r="K2526" s="1" t="s">
        <v>6076</v>
      </c>
      <c r="L2526" s="1" t="s">
        <v>6076</v>
      </c>
      <c r="M2526">
        <f t="shared" si="79"/>
        <v>27</v>
      </c>
      <c r="N2526" t="s">
        <v>640</v>
      </c>
    </row>
    <row r="2527" spans="1:14" x14ac:dyDescent="0.3">
      <c r="A2527" s="1" t="s">
        <v>8038</v>
      </c>
      <c r="B2527" s="1" t="s">
        <v>1849</v>
      </c>
      <c r="C2527" s="1" t="s">
        <v>8039</v>
      </c>
      <c r="D2527" s="1" t="s">
        <v>1395</v>
      </c>
      <c r="E2527" s="1" t="s">
        <v>6076</v>
      </c>
      <c r="F2527" s="1" t="s">
        <v>6076</v>
      </c>
      <c r="G2527" s="1" t="s">
        <v>8033</v>
      </c>
      <c r="H2527">
        <v>1998</v>
      </c>
      <c r="I2527">
        <v>1999</v>
      </c>
      <c r="J2527">
        <f t="shared" si="78"/>
        <v>2</v>
      </c>
      <c r="K2527" s="1" t="s">
        <v>6076</v>
      </c>
      <c r="L2527" s="1" t="s">
        <v>6076</v>
      </c>
      <c r="M2527">
        <f t="shared" si="79"/>
        <v>27</v>
      </c>
      <c r="N2527" t="s">
        <v>640</v>
      </c>
    </row>
    <row r="2528" spans="1:14" x14ac:dyDescent="0.3">
      <c r="A2528" s="1" t="s">
        <v>8040</v>
      </c>
      <c r="B2528" s="1" t="s">
        <v>1849</v>
      </c>
      <c r="C2528" s="1" t="s">
        <v>8041</v>
      </c>
      <c r="D2528" s="1" t="s">
        <v>1395</v>
      </c>
      <c r="E2528" s="1" t="s">
        <v>6076</v>
      </c>
      <c r="F2528" s="1" t="s">
        <v>6076</v>
      </c>
      <c r="G2528" s="1" t="s">
        <v>8033</v>
      </c>
      <c r="H2528">
        <v>1998</v>
      </c>
      <c r="I2528">
        <v>1999</v>
      </c>
      <c r="J2528">
        <f t="shared" si="78"/>
        <v>2</v>
      </c>
      <c r="K2528" s="1" t="s">
        <v>6076</v>
      </c>
      <c r="L2528" s="1" t="s">
        <v>6076</v>
      </c>
      <c r="M2528">
        <f t="shared" si="79"/>
        <v>27</v>
      </c>
      <c r="N2528" t="s">
        <v>640</v>
      </c>
    </row>
    <row r="2529" spans="1:14" x14ac:dyDescent="0.3">
      <c r="A2529" t="s">
        <v>11521</v>
      </c>
      <c r="B2529" t="s">
        <v>11523</v>
      </c>
      <c r="C2529" t="s">
        <v>11522</v>
      </c>
      <c r="E2529" s="1" t="s">
        <v>6076</v>
      </c>
      <c r="F2529" s="1" t="s">
        <v>6076</v>
      </c>
      <c r="G2529" s="1" t="s">
        <v>12830</v>
      </c>
      <c r="H2529">
        <v>2015</v>
      </c>
      <c r="I2529">
        <v>2015</v>
      </c>
      <c r="J2529">
        <f t="shared" si="78"/>
        <v>1</v>
      </c>
      <c r="K2529" s="1" t="s">
        <v>6076</v>
      </c>
      <c r="L2529" s="1" t="s">
        <v>6076</v>
      </c>
      <c r="M2529">
        <f t="shared" si="79"/>
        <v>11</v>
      </c>
    </row>
    <row r="2530" spans="1:14" x14ac:dyDescent="0.3">
      <c r="A2530" s="1" t="s">
        <v>10726</v>
      </c>
      <c r="B2530" s="1" t="s">
        <v>1849</v>
      </c>
      <c r="C2530" s="1" t="s">
        <v>10727</v>
      </c>
      <c r="D2530" s="1" t="s">
        <v>738</v>
      </c>
      <c r="E2530" s="1" t="s">
        <v>6076</v>
      </c>
      <c r="F2530" s="1" t="s">
        <v>6076</v>
      </c>
      <c r="G2530" s="1" t="s">
        <v>10728</v>
      </c>
      <c r="H2530">
        <v>2012</v>
      </c>
      <c r="I2530">
        <v>2013</v>
      </c>
      <c r="J2530">
        <f t="shared" si="78"/>
        <v>2</v>
      </c>
      <c r="K2530" s="1" t="s">
        <v>6076</v>
      </c>
      <c r="L2530" s="1" t="s">
        <v>6076</v>
      </c>
      <c r="M2530">
        <f t="shared" si="79"/>
        <v>13</v>
      </c>
      <c r="N2530" t="s">
        <v>650</v>
      </c>
    </row>
    <row r="2531" spans="1:14" x14ac:dyDescent="0.3">
      <c r="A2531" s="1" t="s">
        <v>8042</v>
      </c>
      <c r="B2531" s="1" t="s">
        <v>5931</v>
      </c>
      <c r="C2531" s="1" t="s">
        <v>8043</v>
      </c>
      <c r="D2531" s="1" t="s">
        <v>1395</v>
      </c>
      <c r="E2531" s="1" t="s">
        <v>6076</v>
      </c>
      <c r="F2531" s="1" t="s">
        <v>6076</v>
      </c>
      <c r="G2531" s="1" t="s">
        <v>8044</v>
      </c>
      <c r="H2531">
        <v>2014</v>
      </c>
      <c r="I2531">
        <v>2016</v>
      </c>
      <c r="J2531">
        <f t="shared" si="78"/>
        <v>3</v>
      </c>
      <c r="K2531" s="1" t="s">
        <v>6076</v>
      </c>
      <c r="L2531" s="1" t="s">
        <v>6076</v>
      </c>
      <c r="M2531">
        <f t="shared" si="79"/>
        <v>10</v>
      </c>
    </row>
    <row r="2532" spans="1:14" x14ac:dyDescent="0.3">
      <c r="A2532" s="1" t="s">
        <v>8045</v>
      </c>
      <c r="B2532" s="1" t="s">
        <v>5931</v>
      </c>
      <c r="C2532" s="1" t="s">
        <v>8046</v>
      </c>
      <c r="D2532" s="1" t="s">
        <v>1395</v>
      </c>
      <c r="E2532" s="1" t="s">
        <v>6076</v>
      </c>
      <c r="F2532" s="1" t="s">
        <v>6076</v>
      </c>
      <c r="G2532" s="1" t="s">
        <v>8047</v>
      </c>
      <c r="H2532">
        <v>2013</v>
      </c>
      <c r="I2532">
        <v>2016</v>
      </c>
      <c r="J2532">
        <f t="shared" si="78"/>
        <v>4</v>
      </c>
      <c r="K2532" s="1" t="s">
        <v>6076</v>
      </c>
      <c r="L2532" s="1" t="s">
        <v>6076</v>
      </c>
      <c r="M2532">
        <f t="shared" si="79"/>
        <v>10</v>
      </c>
    </row>
    <row r="2533" spans="1:14" x14ac:dyDescent="0.3">
      <c r="A2533" s="1" t="s">
        <v>8048</v>
      </c>
      <c r="B2533" s="1" t="s">
        <v>5931</v>
      </c>
      <c r="C2533" s="1" t="s">
        <v>8049</v>
      </c>
      <c r="D2533" s="1" t="s">
        <v>1395</v>
      </c>
      <c r="E2533" s="1" t="s">
        <v>6076</v>
      </c>
      <c r="F2533" s="1" t="s">
        <v>6076</v>
      </c>
      <c r="G2533" s="1" t="s">
        <v>8047</v>
      </c>
      <c r="H2533">
        <v>2007</v>
      </c>
      <c r="I2533">
        <v>2013</v>
      </c>
      <c r="J2533">
        <f t="shared" si="78"/>
        <v>7</v>
      </c>
      <c r="K2533" s="1" t="s">
        <v>6076</v>
      </c>
      <c r="L2533" s="1" t="s">
        <v>6076</v>
      </c>
      <c r="M2533">
        <f t="shared" si="79"/>
        <v>13</v>
      </c>
    </row>
    <row r="2534" spans="1:14" x14ac:dyDescent="0.3">
      <c r="A2534" s="1" t="s">
        <v>8050</v>
      </c>
      <c r="B2534" s="1" t="s">
        <v>5931</v>
      </c>
      <c r="C2534" s="1" t="s">
        <v>8051</v>
      </c>
      <c r="D2534" s="1" t="s">
        <v>1395</v>
      </c>
      <c r="E2534" s="1" t="s">
        <v>6076</v>
      </c>
      <c r="F2534" s="1" t="s">
        <v>6076</v>
      </c>
      <c r="G2534" s="1" t="s">
        <v>8052</v>
      </c>
      <c r="H2534">
        <v>2013</v>
      </c>
      <c r="I2534">
        <v>2016</v>
      </c>
      <c r="J2534">
        <f t="shared" si="78"/>
        <v>4</v>
      </c>
      <c r="K2534" s="1" t="s">
        <v>6076</v>
      </c>
      <c r="L2534" s="1" t="s">
        <v>6076</v>
      </c>
      <c r="M2534">
        <f t="shared" si="79"/>
        <v>10</v>
      </c>
    </row>
    <row r="2535" spans="1:14" x14ac:dyDescent="0.3">
      <c r="A2535" s="1" t="s">
        <v>8053</v>
      </c>
      <c r="B2535" s="1" t="s">
        <v>5931</v>
      </c>
      <c r="C2535" s="1" t="s">
        <v>8054</v>
      </c>
      <c r="D2535" s="1" t="s">
        <v>1395</v>
      </c>
      <c r="E2535" s="1" t="s">
        <v>6076</v>
      </c>
      <c r="F2535" s="1" t="s">
        <v>6076</v>
      </c>
      <c r="G2535" s="1" t="s">
        <v>8055</v>
      </c>
      <c r="H2535">
        <v>2015</v>
      </c>
      <c r="I2535">
        <v>2022</v>
      </c>
      <c r="J2535">
        <f t="shared" si="78"/>
        <v>8</v>
      </c>
      <c r="K2535" s="1" t="s">
        <v>6076</v>
      </c>
      <c r="L2535" s="1" t="s">
        <v>6076</v>
      </c>
      <c r="M2535">
        <f t="shared" si="79"/>
        <v>4</v>
      </c>
    </row>
    <row r="2536" spans="1:14" x14ac:dyDescent="0.3">
      <c r="A2536" s="1" t="s">
        <v>8056</v>
      </c>
      <c r="B2536" s="1" t="s">
        <v>5931</v>
      </c>
      <c r="C2536" s="1" t="s">
        <v>8057</v>
      </c>
      <c r="D2536" s="1" t="s">
        <v>1395</v>
      </c>
      <c r="E2536" s="1" t="s">
        <v>6076</v>
      </c>
      <c r="F2536" s="1" t="s">
        <v>6076</v>
      </c>
      <c r="G2536" s="1" t="s">
        <v>8055</v>
      </c>
      <c r="H2536">
        <v>2021</v>
      </c>
      <c r="I2536">
        <v>2022</v>
      </c>
      <c r="J2536">
        <f t="shared" si="78"/>
        <v>2</v>
      </c>
      <c r="K2536" s="1" t="s">
        <v>6076</v>
      </c>
      <c r="L2536" s="1" t="s">
        <v>6076</v>
      </c>
      <c r="M2536">
        <f t="shared" si="79"/>
        <v>4</v>
      </c>
    </row>
    <row r="2537" spans="1:14" x14ac:dyDescent="0.3">
      <c r="A2537" t="s">
        <v>11823</v>
      </c>
      <c r="B2537" t="s">
        <v>5931</v>
      </c>
      <c r="C2537" t="s">
        <v>11824</v>
      </c>
      <c r="E2537" s="1" t="s">
        <v>6076</v>
      </c>
      <c r="F2537" s="1" t="s">
        <v>6076</v>
      </c>
      <c r="G2537" s="1" t="s">
        <v>11774</v>
      </c>
      <c r="H2537">
        <v>2024</v>
      </c>
      <c r="I2537">
        <v>2026</v>
      </c>
      <c r="J2537">
        <f t="shared" si="78"/>
        <v>3</v>
      </c>
      <c r="K2537" s="1" t="s">
        <v>6076</v>
      </c>
      <c r="L2537" s="1" t="s">
        <v>6076</v>
      </c>
      <c r="M2537">
        <f t="shared" si="79"/>
        <v>0</v>
      </c>
    </row>
    <row r="2538" spans="1:14" x14ac:dyDescent="0.3">
      <c r="A2538" s="1" t="s">
        <v>8058</v>
      </c>
      <c r="B2538" s="1" t="s">
        <v>5931</v>
      </c>
      <c r="C2538" s="1" t="s">
        <v>8059</v>
      </c>
      <c r="D2538" s="1" t="s">
        <v>1395</v>
      </c>
      <c r="E2538" s="1" t="s">
        <v>6076</v>
      </c>
      <c r="F2538" s="1" t="s">
        <v>6076</v>
      </c>
      <c r="G2538" s="1" t="s">
        <v>8055</v>
      </c>
      <c r="H2538">
        <v>2016</v>
      </c>
      <c r="I2538">
        <v>2019</v>
      </c>
      <c r="J2538">
        <f t="shared" si="78"/>
        <v>4</v>
      </c>
      <c r="K2538" s="1" t="s">
        <v>6076</v>
      </c>
      <c r="L2538" s="1" t="s">
        <v>6076</v>
      </c>
      <c r="M2538">
        <f t="shared" si="79"/>
        <v>7</v>
      </c>
    </row>
    <row r="2539" spans="1:14" x14ac:dyDescent="0.3">
      <c r="A2539" s="1" t="s">
        <v>8060</v>
      </c>
      <c r="B2539" s="1" t="s">
        <v>5931</v>
      </c>
      <c r="C2539" s="1" t="s">
        <v>8061</v>
      </c>
      <c r="D2539" s="1" t="s">
        <v>1395</v>
      </c>
      <c r="E2539" s="1" t="s">
        <v>6076</v>
      </c>
      <c r="F2539" s="1" t="s">
        <v>6076</v>
      </c>
      <c r="G2539" s="1" t="s">
        <v>8055</v>
      </c>
      <c r="H2539">
        <v>2019</v>
      </c>
      <c r="I2539">
        <v>2019</v>
      </c>
      <c r="J2539">
        <f t="shared" si="78"/>
        <v>1</v>
      </c>
      <c r="K2539" s="1" t="s">
        <v>6076</v>
      </c>
      <c r="L2539" s="1" t="s">
        <v>6076</v>
      </c>
      <c r="M2539">
        <f t="shared" si="79"/>
        <v>7</v>
      </c>
    </row>
    <row r="2540" spans="1:14" x14ac:dyDescent="0.3">
      <c r="A2540" t="s">
        <v>11825</v>
      </c>
      <c r="B2540" t="s">
        <v>5931</v>
      </c>
      <c r="C2540" t="s">
        <v>11826</v>
      </c>
      <c r="E2540" s="1" t="s">
        <v>6076</v>
      </c>
      <c r="F2540" s="1" t="s">
        <v>6076</v>
      </c>
      <c r="G2540" s="1" t="s">
        <v>11774</v>
      </c>
      <c r="H2540">
        <v>2025</v>
      </c>
      <c r="I2540">
        <v>2026</v>
      </c>
      <c r="J2540">
        <f t="shared" si="78"/>
        <v>2</v>
      </c>
      <c r="K2540" s="1" t="s">
        <v>6076</v>
      </c>
      <c r="L2540" s="1" t="s">
        <v>6076</v>
      </c>
      <c r="M2540">
        <f t="shared" si="79"/>
        <v>0</v>
      </c>
    </row>
    <row r="2541" spans="1:14" x14ac:dyDescent="0.3">
      <c r="A2541" s="1" t="s">
        <v>8062</v>
      </c>
      <c r="B2541" s="1" t="s">
        <v>5931</v>
      </c>
      <c r="C2541" s="1" t="s">
        <v>8063</v>
      </c>
      <c r="D2541" s="1" t="s">
        <v>1395</v>
      </c>
      <c r="E2541" s="1" t="s">
        <v>6076</v>
      </c>
      <c r="F2541" s="1" t="s">
        <v>6076</v>
      </c>
      <c r="G2541" s="1" t="s">
        <v>8055</v>
      </c>
      <c r="H2541">
        <v>2015</v>
      </c>
      <c r="I2541">
        <v>2022</v>
      </c>
      <c r="J2541">
        <f t="shared" si="78"/>
        <v>8</v>
      </c>
      <c r="K2541" s="1" t="s">
        <v>6076</v>
      </c>
      <c r="L2541" s="1" t="s">
        <v>6076</v>
      </c>
      <c r="M2541">
        <f t="shared" si="79"/>
        <v>4</v>
      </c>
    </row>
    <row r="2542" spans="1:14" x14ac:dyDescent="0.3">
      <c r="A2542" s="1" t="s">
        <v>8064</v>
      </c>
      <c r="B2542" s="1" t="s">
        <v>5931</v>
      </c>
      <c r="C2542" s="1" t="s">
        <v>8065</v>
      </c>
      <c r="D2542" s="1" t="s">
        <v>1395</v>
      </c>
      <c r="E2542" s="1" t="s">
        <v>6076</v>
      </c>
      <c r="F2542" s="1" t="s">
        <v>6076</v>
      </c>
      <c r="G2542" s="1" t="s">
        <v>8055</v>
      </c>
      <c r="H2542">
        <v>2015</v>
      </c>
      <c r="I2542">
        <v>2015</v>
      </c>
      <c r="J2542">
        <f t="shared" si="78"/>
        <v>1</v>
      </c>
      <c r="K2542" s="1" t="s">
        <v>6076</v>
      </c>
      <c r="L2542" s="1" t="s">
        <v>6076</v>
      </c>
      <c r="M2542">
        <f t="shared" si="79"/>
        <v>11</v>
      </c>
    </row>
    <row r="2543" spans="1:14" x14ac:dyDescent="0.3">
      <c r="A2543" s="1" t="s">
        <v>8066</v>
      </c>
      <c r="B2543" s="1" t="s">
        <v>5931</v>
      </c>
      <c r="C2543" s="1" t="s">
        <v>8067</v>
      </c>
      <c r="D2543" s="1" t="s">
        <v>1395</v>
      </c>
      <c r="E2543" s="1" t="s">
        <v>6076</v>
      </c>
      <c r="F2543" s="1" t="s">
        <v>6076</v>
      </c>
      <c r="G2543" s="1" t="s">
        <v>8055</v>
      </c>
      <c r="H2543">
        <v>2015</v>
      </c>
      <c r="I2543">
        <v>2015</v>
      </c>
      <c r="J2543">
        <f t="shared" si="78"/>
        <v>1</v>
      </c>
      <c r="K2543" s="1" t="s">
        <v>6076</v>
      </c>
      <c r="L2543" s="1" t="s">
        <v>6076</v>
      </c>
      <c r="M2543">
        <f t="shared" si="79"/>
        <v>11</v>
      </c>
    </row>
    <row r="2544" spans="1:14" x14ac:dyDescent="0.3">
      <c r="A2544" s="1" t="s">
        <v>8068</v>
      </c>
      <c r="B2544" s="1" t="s">
        <v>5931</v>
      </c>
      <c r="C2544" s="1" t="s">
        <v>8069</v>
      </c>
      <c r="D2544" s="1" t="s">
        <v>1395</v>
      </c>
      <c r="E2544" s="1" t="s">
        <v>6076</v>
      </c>
      <c r="F2544" s="1" t="s">
        <v>6076</v>
      </c>
      <c r="G2544" s="1" t="s">
        <v>8070</v>
      </c>
      <c r="H2544">
        <v>2016</v>
      </c>
      <c r="I2544">
        <v>2017</v>
      </c>
      <c r="J2544">
        <f t="shared" si="78"/>
        <v>2</v>
      </c>
      <c r="K2544" s="1" t="s">
        <v>6076</v>
      </c>
      <c r="L2544" s="1" t="s">
        <v>6076</v>
      </c>
      <c r="M2544">
        <f t="shared" si="79"/>
        <v>9</v>
      </c>
    </row>
    <row r="2545" spans="1:13" x14ac:dyDescent="0.3">
      <c r="A2545" s="1" t="s">
        <v>8071</v>
      </c>
      <c r="B2545" s="1" t="s">
        <v>5931</v>
      </c>
      <c r="C2545" s="1" t="s">
        <v>8072</v>
      </c>
      <c r="D2545" s="1" t="s">
        <v>1395</v>
      </c>
      <c r="E2545" s="1" t="s">
        <v>6076</v>
      </c>
      <c r="F2545" s="1" t="s">
        <v>6076</v>
      </c>
      <c r="G2545" s="1" t="s">
        <v>8070</v>
      </c>
      <c r="H2545">
        <v>2015</v>
      </c>
      <c r="I2545">
        <v>2022</v>
      </c>
      <c r="J2545">
        <f t="shared" si="78"/>
        <v>8</v>
      </c>
      <c r="K2545" s="1" t="s">
        <v>6076</v>
      </c>
      <c r="L2545" s="1" t="s">
        <v>6076</v>
      </c>
      <c r="M2545">
        <f t="shared" si="79"/>
        <v>4</v>
      </c>
    </row>
    <row r="2546" spans="1:13" x14ac:dyDescent="0.3">
      <c r="A2546" s="1" t="s">
        <v>8073</v>
      </c>
      <c r="B2546" s="1" t="s">
        <v>5931</v>
      </c>
      <c r="C2546" s="1" t="s">
        <v>8074</v>
      </c>
      <c r="D2546" s="1" t="s">
        <v>1395</v>
      </c>
      <c r="E2546" s="1" t="s">
        <v>6076</v>
      </c>
      <c r="F2546" s="1" t="s">
        <v>6076</v>
      </c>
      <c r="G2546" s="1" t="s">
        <v>8070</v>
      </c>
      <c r="H2546">
        <v>2016</v>
      </c>
      <c r="I2546">
        <v>2017</v>
      </c>
      <c r="J2546">
        <f t="shared" si="78"/>
        <v>2</v>
      </c>
      <c r="K2546" s="1" t="s">
        <v>6076</v>
      </c>
      <c r="L2546" s="1" t="s">
        <v>6076</v>
      </c>
      <c r="M2546">
        <f t="shared" si="79"/>
        <v>9</v>
      </c>
    </row>
    <row r="2547" spans="1:13" x14ac:dyDescent="0.3">
      <c r="A2547" s="1" t="s">
        <v>8075</v>
      </c>
      <c r="B2547" s="1" t="s">
        <v>5931</v>
      </c>
      <c r="C2547" s="1" t="s">
        <v>8076</v>
      </c>
      <c r="D2547" s="1" t="s">
        <v>1395</v>
      </c>
      <c r="E2547" s="1" t="s">
        <v>6076</v>
      </c>
      <c r="F2547" s="1" t="s">
        <v>6076</v>
      </c>
      <c r="G2547" s="1" t="s">
        <v>8070</v>
      </c>
      <c r="H2547">
        <v>2015</v>
      </c>
      <c r="I2547">
        <v>2015</v>
      </c>
      <c r="J2547">
        <f t="shared" si="78"/>
        <v>1</v>
      </c>
      <c r="K2547" s="1" t="s">
        <v>6076</v>
      </c>
      <c r="L2547" s="1" t="s">
        <v>6076</v>
      </c>
      <c r="M2547">
        <f t="shared" si="79"/>
        <v>11</v>
      </c>
    </row>
    <row r="2548" spans="1:13" x14ac:dyDescent="0.3">
      <c r="A2548" s="1" t="s">
        <v>8077</v>
      </c>
      <c r="B2548" s="1" t="s">
        <v>5931</v>
      </c>
      <c r="C2548" s="1" t="s">
        <v>8078</v>
      </c>
      <c r="D2548" s="1" t="s">
        <v>1395</v>
      </c>
      <c r="E2548" s="1" t="s">
        <v>6076</v>
      </c>
      <c r="F2548" s="1" t="s">
        <v>6076</v>
      </c>
      <c r="G2548" s="1" t="s">
        <v>8079</v>
      </c>
      <c r="H2548">
        <v>2022</v>
      </c>
      <c r="I2548">
        <v>2022</v>
      </c>
      <c r="J2548">
        <f t="shared" si="78"/>
        <v>1</v>
      </c>
      <c r="K2548" s="1" t="s">
        <v>6076</v>
      </c>
      <c r="L2548" s="1" t="s">
        <v>6076</v>
      </c>
      <c r="M2548">
        <f t="shared" si="79"/>
        <v>4</v>
      </c>
    </row>
    <row r="2549" spans="1:13" x14ac:dyDescent="0.3">
      <c r="A2549" t="s">
        <v>11827</v>
      </c>
      <c r="B2549" t="s">
        <v>5931</v>
      </c>
      <c r="C2549" t="s">
        <v>11828</v>
      </c>
      <c r="E2549" s="1" t="s">
        <v>6076</v>
      </c>
      <c r="F2549" s="1" t="s">
        <v>6076</v>
      </c>
      <c r="G2549" s="1" t="s">
        <v>11774</v>
      </c>
      <c r="H2549">
        <v>2024</v>
      </c>
      <c r="I2549">
        <v>2026</v>
      </c>
      <c r="J2549">
        <f t="shared" si="78"/>
        <v>3</v>
      </c>
      <c r="K2549" s="1" t="s">
        <v>6076</v>
      </c>
      <c r="L2549" s="1" t="s">
        <v>6076</v>
      </c>
      <c r="M2549">
        <f t="shared" si="79"/>
        <v>0</v>
      </c>
    </row>
    <row r="2550" spans="1:13" x14ac:dyDescent="0.3">
      <c r="A2550" s="1" t="s">
        <v>8080</v>
      </c>
      <c r="B2550" s="1" t="s">
        <v>5931</v>
      </c>
      <c r="C2550" s="1" t="s">
        <v>8081</v>
      </c>
      <c r="D2550" s="1" t="s">
        <v>746</v>
      </c>
      <c r="E2550" s="1" t="s">
        <v>6076</v>
      </c>
      <c r="F2550" s="1" t="s">
        <v>6076</v>
      </c>
      <c r="G2550" s="1" t="s">
        <v>8082</v>
      </c>
      <c r="H2550">
        <v>2015</v>
      </c>
      <c r="I2550">
        <v>2019</v>
      </c>
      <c r="J2550">
        <f t="shared" si="78"/>
        <v>5</v>
      </c>
      <c r="K2550" s="1" t="s">
        <v>6076</v>
      </c>
      <c r="L2550" s="1" t="s">
        <v>6076</v>
      </c>
      <c r="M2550">
        <f t="shared" si="79"/>
        <v>7</v>
      </c>
    </row>
    <row r="2551" spans="1:13" x14ac:dyDescent="0.3">
      <c r="A2551" t="s">
        <v>11700</v>
      </c>
      <c r="B2551" t="s">
        <v>2783</v>
      </c>
      <c r="C2551" t="s">
        <v>11701</v>
      </c>
      <c r="E2551" s="1" t="s">
        <v>6076</v>
      </c>
      <c r="F2551" s="1" t="s">
        <v>6076</v>
      </c>
      <c r="G2551" s="1" t="s">
        <v>12843</v>
      </c>
      <c r="H2551">
        <v>2022</v>
      </c>
      <c r="I2551">
        <v>2026</v>
      </c>
      <c r="J2551">
        <f t="shared" si="78"/>
        <v>5</v>
      </c>
      <c r="K2551" s="1" t="s">
        <v>6076</v>
      </c>
      <c r="L2551" s="1" t="s">
        <v>6076</v>
      </c>
      <c r="M2551">
        <f t="shared" si="79"/>
        <v>0</v>
      </c>
    </row>
    <row r="2552" spans="1:13" x14ac:dyDescent="0.3">
      <c r="A2552" s="1" t="s">
        <v>8083</v>
      </c>
      <c r="B2552" s="1" t="s">
        <v>5931</v>
      </c>
      <c r="C2552" s="1" t="s">
        <v>8084</v>
      </c>
      <c r="D2552" s="1" t="s">
        <v>1395</v>
      </c>
      <c r="E2552" s="1" t="s">
        <v>6076</v>
      </c>
      <c r="F2552" s="1" t="s">
        <v>6076</v>
      </c>
      <c r="G2552" s="1" t="s">
        <v>8085</v>
      </c>
      <c r="H2552">
        <v>2021</v>
      </c>
      <c r="I2552">
        <v>2022</v>
      </c>
      <c r="J2552">
        <f t="shared" si="78"/>
        <v>2</v>
      </c>
      <c r="K2552" s="1" t="s">
        <v>6076</v>
      </c>
      <c r="L2552" s="1" t="s">
        <v>6076</v>
      </c>
      <c r="M2552">
        <f t="shared" si="79"/>
        <v>4</v>
      </c>
    </row>
    <row r="2553" spans="1:13" x14ac:dyDescent="0.3">
      <c r="A2553" s="1" t="s">
        <v>8086</v>
      </c>
      <c r="B2553" s="1" t="s">
        <v>5931</v>
      </c>
      <c r="C2553" s="1" t="s">
        <v>8087</v>
      </c>
      <c r="D2553" s="1" t="s">
        <v>1395</v>
      </c>
      <c r="E2553" s="1" t="s">
        <v>6076</v>
      </c>
      <c r="F2553" s="1" t="s">
        <v>6076</v>
      </c>
      <c r="G2553" s="1" t="s">
        <v>8085</v>
      </c>
      <c r="H2553">
        <v>2020</v>
      </c>
      <c r="I2553">
        <v>2022</v>
      </c>
      <c r="J2553">
        <f t="shared" si="78"/>
        <v>3</v>
      </c>
      <c r="K2553" s="1" t="s">
        <v>6076</v>
      </c>
      <c r="L2553" s="1" t="s">
        <v>6076</v>
      </c>
      <c r="M2553">
        <f t="shared" si="79"/>
        <v>4</v>
      </c>
    </row>
    <row r="2554" spans="1:13" x14ac:dyDescent="0.3">
      <c r="A2554" s="1" t="s">
        <v>8088</v>
      </c>
      <c r="B2554" s="1" t="s">
        <v>5931</v>
      </c>
      <c r="C2554" s="1" t="s">
        <v>8089</v>
      </c>
      <c r="D2554" s="1" t="s">
        <v>1395</v>
      </c>
      <c r="E2554" s="1" t="s">
        <v>6076</v>
      </c>
      <c r="F2554" s="1" t="s">
        <v>6076</v>
      </c>
      <c r="G2554" s="1" t="s">
        <v>8085</v>
      </c>
      <c r="H2554">
        <v>2021</v>
      </c>
      <c r="I2554">
        <v>2022</v>
      </c>
      <c r="J2554">
        <f t="shared" si="78"/>
        <v>2</v>
      </c>
      <c r="K2554" s="1" t="s">
        <v>6076</v>
      </c>
      <c r="L2554" s="1" t="s">
        <v>6076</v>
      </c>
      <c r="M2554">
        <f t="shared" si="79"/>
        <v>4</v>
      </c>
    </row>
    <row r="2555" spans="1:13" x14ac:dyDescent="0.3">
      <c r="A2555" t="s">
        <v>11829</v>
      </c>
      <c r="B2555" t="s">
        <v>5931</v>
      </c>
      <c r="C2555" t="s">
        <v>11830</v>
      </c>
      <c r="E2555" s="1" t="s">
        <v>6076</v>
      </c>
      <c r="F2555" s="1" t="s">
        <v>6076</v>
      </c>
      <c r="G2555" s="1" t="s">
        <v>12858</v>
      </c>
      <c r="H2555">
        <v>2024</v>
      </c>
      <c r="I2555">
        <v>2024</v>
      </c>
      <c r="J2555">
        <f t="shared" si="78"/>
        <v>1</v>
      </c>
      <c r="K2555" s="1" t="s">
        <v>6076</v>
      </c>
      <c r="L2555" s="1" t="s">
        <v>6076</v>
      </c>
      <c r="M2555">
        <f t="shared" si="79"/>
        <v>2</v>
      </c>
    </row>
    <row r="2556" spans="1:13" x14ac:dyDescent="0.3">
      <c r="A2556" t="s">
        <v>11831</v>
      </c>
      <c r="B2556" t="s">
        <v>5931</v>
      </c>
      <c r="C2556" t="s">
        <v>11832</v>
      </c>
      <c r="E2556" s="1" t="s">
        <v>6076</v>
      </c>
      <c r="F2556" s="1" t="s">
        <v>6076</v>
      </c>
      <c r="G2556" s="1" t="s">
        <v>12858</v>
      </c>
      <c r="H2556">
        <v>2025</v>
      </c>
      <c r="I2556">
        <v>2026</v>
      </c>
      <c r="J2556">
        <f t="shared" si="78"/>
        <v>2</v>
      </c>
      <c r="K2556" s="1" t="s">
        <v>6076</v>
      </c>
      <c r="L2556" s="1" t="s">
        <v>6076</v>
      </c>
      <c r="M2556">
        <f t="shared" si="79"/>
        <v>0</v>
      </c>
    </row>
    <row r="2557" spans="1:13" x14ac:dyDescent="0.3">
      <c r="A2557" t="s">
        <v>11833</v>
      </c>
      <c r="B2557" t="s">
        <v>5931</v>
      </c>
      <c r="C2557" t="s">
        <v>11834</v>
      </c>
      <c r="E2557" s="1" t="s">
        <v>6076</v>
      </c>
      <c r="F2557" s="1" t="s">
        <v>6076</v>
      </c>
      <c r="G2557" s="1" t="s">
        <v>12858</v>
      </c>
      <c r="H2557">
        <v>2024</v>
      </c>
      <c r="I2557">
        <v>2026</v>
      </c>
      <c r="J2557">
        <f t="shared" si="78"/>
        <v>3</v>
      </c>
      <c r="K2557" s="1" t="s">
        <v>6076</v>
      </c>
      <c r="L2557" s="1" t="s">
        <v>6076</v>
      </c>
      <c r="M2557">
        <f t="shared" si="79"/>
        <v>0</v>
      </c>
    </row>
    <row r="2558" spans="1:13" x14ac:dyDescent="0.3">
      <c r="A2558" t="s">
        <v>11835</v>
      </c>
      <c r="B2558" t="s">
        <v>5931</v>
      </c>
      <c r="C2558" t="s">
        <v>11836</v>
      </c>
      <c r="E2558" s="1" t="s">
        <v>6076</v>
      </c>
      <c r="F2558" s="1" t="s">
        <v>6076</v>
      </c>
      <c r="G2558" s="1" t="s">
        <v>12858</v>
      </c>
      <c r="H2558">
        <v>2022</v>
      </c>
      <c r="I2558">
        <v>2023</v>
      </c>
      <c r="J2558">
        <f t="shared" si="78"/>
        <v>2</v>
      </c>
      <c r="K2558" s="1" t="s">
        <v>6076</v>
      </c>
      <c r="L2558" s="1" t="s">
        <v>6076</v>
      </c>
      <c r="M2558">
        <f t="shared" si="79"/>
        <v>3</v>
      </c>
    </row>
    <row r="2559" spans="1:13" x14ac:dyDescent="0.3">
      <c r="A2559" t="s">
        <v>11837</v>
      </c>
      <c r="B2559" t="s">
        <v>5931</v>
      </c>
      <c r="C2559" t="s">
        <v>11838</v>
      </c>
      <c r="E2559" s="1" t="s">
        <v>6076</v>
      </c>
      <c r="F2559" s="1" t="s">
        <v>6076</v>
      </c>
      <c r="G2559" s="1" t="s">
        <v>12858</v>
      </c>
      <c r="H2559">
        <v>2024</v>
      </c>
      <c r="I2559">
        <v>2025</v>
      </c>
      <c r="J2559">
        <f t="shared" si="78"/>
        <v>2</v>
      </c>
      <c r="K2559" s="1" t="s">
        <v>6076</v>
      </c>
      <c r="L2559" s="1" t="s">
        <v>6076</v>
      </c>
      <c r="M2559">
        <f t="shared" si="79"/>
        <v>1</v>
      </c>
    </row>
    <row r="2560" spans="1:13" x14ac:dyDescent="0.3">
      <c r="A2560" s="1" t="s">
        <v>8090</v>
      </c>
      <c r="B2560" s="1" t="s">
        <v>5931</v>
      </c>
      <c r="C2560" s="1" t="s">
        <v>8091</v>
      </c>
      <c r="D2560" s="1" t="s">
        <v>1395</v>
      </c>
      <c r="E2560" s="1" t="s">
        <v>6076</v>
      </c>
      <c r="F2560" s="1" t="s">
        <v>6076</v>
      </c>
      <c r="G2560" s="1" t="s">
        <v>8092</v>
      </c>
      <c r="H2560">
        <v>2019</v>
      </c>
      <c r="I2560">
        <v>2022</v>
      </c>
      <c r="J2560">
        <f t="shared" si="78"/>
        <v>4</v>
      </c>
      <c r="K2560" s="1" t="s">
        <v>6076</v>
      </c>
      <c r="L2560" s="1" t="s">
        <v>6076</v>
      </c>
      <c r="M2560">
        <f t="shared" si="79"/>
        <v>4</v>
      </c>
    </row>
    <row r="2561" spans="1:13" x14ac:dyDescent="0.3">
      <c r="A2561" s="1" t="s">
        <v>8093</v>
      </c>
      <c r="B2561" s="1" t="s">
        <v>5931</v>
      </c>
      <c r="C2561" s="1" t="s">
        <v>8094</v>
      </c>
      <c r="D2561" s="1" t="s">
        <v>1395</v>
      </c>
      <c r="E2561" s="1" t="s">
        <v>6076</v>
      </c>
      <c r="F2561" s="1" t="s">
        <v>6076</v>
      </c>
      <c r="G2561" s="1" t="s">
        <v>8092</v>
      </c>
      <c r="H2561">
        <v>2020</v>
      </c>
      <c r="I2561">
        <v>2022</v>
      </c>
      <c r="J2561">
        <f t="shared" si="78"/>
        <v>3</v>
      </c>
      <c r="K2561" s="1" t="s">
        <v>6076</v>
      </c>
      <c r="L2561" s="1" t="s">
        <v>6076</v>
      </c>
      <c r="M2561">
        <f t="shared" si="79"/>
        <v>4</v>
      </c>
    </row>
    <row r="2562" spans="1:13" x14ac:dyDescent="0.3">
      <c r="A2562" s="1" t="s">
        <v>8095</v>
      </c>
      <c r="B2562" s="1" t="s">
        <v>5931</v>
      </c>
      <c r="C2562" s="1" t="s">
        <v>8096</v>
      </c>
      <c r="D2562" s="1" t="s">
        <v>1395</v>
      </c>
      <c r="E2562" s="1" t="s">
        <v>6076</v>
      </c>
      <c r="F2562" s="1" t="s">
        <v>6076</v>
      </c>
      <c r="G2562" s="1" t="s">
        <v>8097</v>
      </c>
      <c r="H2562">
        <v>2016</v>
      </c>
      <c r="I2562">
        <v>2017</v>
      </c>
      <c r="J2562">
        <f t="shared" si="78"/>
        <v>2</v>
      </c>
      <c r="K2562" s="1" t="s">
        <v>6076</v>
      </c>
      <c r="L2562" s="1" t="s">
        <v>6076</v>
      </c>
      <c r="M2562">
        <f t="shared" si="79"/>
        <v>9</v>
      </c>
    </row>
    <row r="2563" spans="1:13" x14ac:dyDescent="0.3">
      <c r="A2563" s="1" t="s">
        <v>8098</v>
      </c>
      <c r="B2563" s="1" t="s">
        <v>5931</v>
      </c>
      <c r="C2563" s="1" t="s">
        <v>8099</v>
      </c>
      <c r="D2563" s="1" t="s">
        <v>3850</v>
      </c>
      <c r="E2563" s="1" t="s">
        <v>6076</v>
      </c>
      <c r="F2563" s="1" t="s">
        <v>6076</v>
      </c>
      <c r="G2563" s="1" t="s">
        <v>8097</v>
      </c>
      <c r="H2563">
        <v>2017</v>
      </c>
      <c r="I2563">
        <v>2019</v>
      </c>
      <c r="J2563">
        <f t="shared" si="78"/>
        <v>3</v>
      </c>
      <c r="K2563" s="1" t="s">
        <v>6076</v>
      </c>
      <c r="L2563" s="1" t="s">
        <v>6076</v>
      </c>
      <c r="M2563">
        <f t="shared" si="79"/>
        <v>7</v>
      </c>
    </row>
    <row r="2564" spans="1:13" x14ac:dyDescent="0.3">
      <c r="A2564" s="1" t="s">
        <v>8100</v>
      </c>
      <c r="B2564" s="1" t="s">
        <v>5931</v>
      </c>
      <c r="C2564" s="1" t="s">
        <v>8101</v>
      </c>
      <c r="D2564" s="1" t="s">
        <v>3850</v>
      </c>
      <c r="E2564" s="1" t="s">
        <v>6076</v>
      </c>
      <c r="F2564" s="1" t="s">
        <v>6076</v>
      </c>
      <c r="G2564" s="1" t="s">
        <v>8097</v>
      </c>
      <c r="H2564">
        <v>2017</v>
      </c>
      <c r="I2564">
        <v>2018</v>
      </c>
      <c r="J2564">
        <f t="shared" si="78"/>
        <v>2</v>
      </c>
      <c r="K2564" s="1" t="s">
        <v>6076</v>
      </c>
      <c r="L2564" s="1" t="s">
        <v>6076</v>
      </c>
      <c r="M2564">
        <f t="shared" si="79"/>
        <v>8</v>
      </c>
    </row>
    <row r="2565" spans="1:13" x14ac:dyDescent="0.3">
      <c r="A2565" s="1" t="s">
        <v>8102</v>
      </c>
      <c r="B2565" s="1" t="s">
        <v>5931</v>
      </c>
      <c r="C2565" s="1" t="s">
        <v>8103</v>
      </c>
      <c r="D2565" s="1" t="s">
        <v>1395</v>
      </c>
      <c r="E2565" s="1" t="s">
        <v>6076</v>
      </c>
      <c r="F2565" s="1" t="s">
        <v>6076</v>
      </c>
      <c r="G2565" s="1" t="s">
        <v>8097</v>
      </c>
      <c r="H2565">
        <v>2017</v>
      </c>
      <c r="I2565">
        <v>2019</v>
      </c>
      <c r="J2565">
        <f t="shared" si="78"/>
        <v>3</v>
      </c>
      <c r="K2565" s="1" t="s">
        <v>6076</v>
      </c>
      <c r="L2565" s="1" t="s">
        <v>6076</v>
      </c>
      <c r="M2565">
        <f t="shared" si="79"/>
        <v>7</v>
      </c>
    </row>
    <row r="2566" spans="1:13" x14ac:dyDescent="0.3">
      <c r="A2566" s="1" t="s">
        <v>8104</v>
      </c>
      <c r="B2566" s="1" t="s">
        <v>5931</v>
      </c>
      <c r="C2566" s="1" t="s">
        <v>8105</v>
      </c>
      <c r="D2566" s="1" t="s">
        <v>1395</v>
      </c>
      <c r="E2566" s="1" t="s">
        <v>6076</v>
      </c>
      <c r="F2566" s="1" t="s">
        <v>6076</v>
      </c>
      <c r="G2566" s="1" t="s">
        <v>8097</v>
      </c>
      <c r="H2566">
        <v>2016</v>
      </c>
      <c r="I2566">
        <v>2019</v>
      </c>
      <c r="J2566">
        <f t="shared" ref="J2566:J2629" si="80">1+(I2566-H2566)</f>
        <v>4</v>
      </c>
      <c r="K2566" s="1" t="s">
        <v>6076</v>
      </c>
      <c r="L2566" s="1" t="s">
        <v>6076</v>
      </c>
      <c r="M2566">
        <f t="shared" ref="M2566:M2629" si="81">IF(I2566=0,0,$B$2-I2566)</f>
        <v>7</v>
      </c>
    </row>
    <row r="2567" spans="1:13" x14ac:dyDescent="0.3">
      <c r="A2567" s="1" t="s">
        <v>8106</v>
      </c>
      <c r="B2567" s="1" t="s">
        <v>5931</v>
      </c>
      <c r="C2567" s="1" t="s">
        <v>8107</v>
      </c>
      <c r="D2567" s="1" t="s">
        <v>3850</v>
      </c>
      <c r="E2567" s="1" t="s">
        <v>6076</v>
      </c>
      <c r="F2567" s="1" t="s">
        <v>6076</v>
      </c>
      <c r="G2567" s="1" t="s">
        <v>8108</v>
      </c>
      <c r="H2567">
        <v>2020</v>
      </c>
      <c r="I2567">
        <v>2022</v>
      </c>
      <c r="J2567">
        <f t="shared" si="80"/>
        <v>3</v>
      </c>
      <c r="K2567" s="1" t="s">
        <v>6076</v>
      </c>
      <c r="L2567" s="1" t="s">
        <v>6076</v>
      </c>
      <c r="M2567">
        <f t="shared" si="81"/>
        <v>4</v>
      </c>
    </row>
    <row r="2568" spans="1:13" x14ac:dyDescent="0.3">
      <c r="A2568" t="s">
        <v>11839</v>
      </c>
      <c r="B2568" t="s">
        <v>5931</v>
      </c>
      <c r="C2568" t="s">
        <v>11840</v>
      </c>
      <c r="E2568" s="1" t="s">
        <v>6076</v>
      </c>
      <c r="F2568" s="1" t="s">
        <v>6076</v>
      </c>
      <c r="G2568" s="1" t="s">
        <v>12859</v>
      </c>
      <c r="H2568">
        <v>2024</v>
      </c>
      <c r="I2568">
        <v>2025</v>
      </c>
      <c r="J2568">
        <f t="shared" si="80"/>
        <v>2</v>
      </c>
      <c r="K2568" s="1" t="s">
        <v>6076</v>
      </c>
      <c r="L2568" s="1" t="s">
        <v>6076</v>
      </c>
      <c r="M2568">
        <f t="shared" si="81"/>
        <v>1</v>
      </c>
    </row>
    <row r="2569" spans="1:13" x14ac:dyDescent="0.3">
      <c r="A2569" t="s">
        <v>11841</v>
      </c>
      <c r="B2569" t="s">
        <v>5931</v>
      </c>
      <c r="C2569" t="s">
        <v>11842</v>
      </c>
      <c r="E2569" s="1" t="s">
        <v>6076</v>
      </c>
      <c r="F2569" s="1" t="s">
        <v>6076</v>
      </c>
      <c r="G2569" s="1" t="s">
        <v>12859</v>
      </c>
      <c r="H2569">
        <v>2024</v>
      </c>
      <c r="I2569">
        <v>2026</v>
      </c>
      <c r="J2569">
        <f t="shared" si="80"/>
        <v>3</v>
      </c>
      <c r="K2569" s="1" t="s">
        <v>6076</v>
      </c>
      <c r="L2569" s="1" t="s">
        <v>6076</v>
      </c>
      <c r="M2569">
        <f t="shared" si="81"/>
        <v>0</v>
      </c>
    </row>
    <row r="2570" spans="1:13" x14ac:dyDescent="0.3">
      <c r="A2570" t="s">
        <v>11843</v>
      </c>
      <c r="B2570" t="s">
        <v>5931</v>
      </c>
      <c r="C2570" t="s">
        <v>11844</v>
      </c>
      <c r="E2570" s="1" t="s">
        <v>6076</v>
      </c>
      <c r="F2570" s="1" t="s">
        <v>6076</v>
      </c>
      <c r="G2570" s="1" t="s">
        <v>12859</v>
      </c>
      <c r="H2570">
        <v>2025</v>
      </c>
      <c r="I2570">
        <v>2026</v>
      </c>
      <c r="J2570">
        <f t="shared" si="80"/>
        <v>2</v>
      </c>
      <c r="K2570" s="1" t="s">
        <v>6076</v>
      </c>
      <c r="L2570" s="1" t="s">
        <v>6076</v>
      </c>
      <c r="M2570">
        <f t="shared" si="81"/>
        <v>0</v>
      </c>
    </row>
    <row r="2571" spans="1:13" x14ac:dyDescent="0.3">
      <c r="A2571" s="1" t="s">
        <v>8109</v>
      </c>
      <c r="B2571" s="1" t="s">
        <v>5931</v>
      </c>
      <c r="C2571" s="1" t="s">
        <v>8110</v>
      </c>
      <c r="D2571" s="1" t="s">
        <v>3850</v>
      </c>
      <c r="E2571" s="1" t="s">
        <v>6076</v>
      </c>
      <c r="F2571" s="1" t="s">
        <v>6076</v>
      </c>
      <c r="G2571" s="1" t="s">
        <v>8108</v>
      </c>
      <c r="H2571">
        <v>2022</v>
      </c>
      <c r="I2571">
        <v>2022</v>
      </c>
      <c r="J2571">
        <f t="shared" si="80"/>
        <v>1</v>
      </c>
      <c r="K2571" s="1" t="s">
        <v>6076</v>
      </c>
      <c r="L2571" s="1" t="s">
        <v>6076</v>
      </c>
      <c r="M2571">
        <f t="shared" si="81"/>
        <v>4</v>
      </c>
    </row>
    <row r="2572" spans="1:13" x14ac:dyDescent="0.3">
      <c r="A2572" t="s">
        <v>11845</v>
      </c>
      <c r="B2572" t="s">
        <v>5931</v>
      </c>
      <c r="C2572" t="s">
        <v>11846</v>
      </c>
      <c r="E2572" s="1" t="s">
        <v>6076</v>
      </c>
      <c r="F2572" s="1" t="s">
        <v>6076</v>
      </c>
      <c r="G2572" s="1" t="s">
        <v>12859</v>
      </c>
      <c r="H2572">
        <v>2024</v>
      </c>
      <c r="I2572">
        <v>2026</v>
      </c>
      <c r="J2572">
        <f t="shared" si="80"/>
        <v>3</v>
      </c>
      <c r="K2572" s="1" t="s">
        <v>6076</v>
      </c>
      <c r="L2572" s="1" t="s">
        <v>6076</v>
      </c>
      <c r="M2572">
        <f t="shared" si="81"/>
        <v>0</v>
      </c>
    </row>
    <row r="2573" spans="1:13" x14ac:dyDescent="0.3">
      <c r="A2573" t="s">
        <v>11847</v>
      </c>
      <c r="B2573" t="s">
        <v>5931</v>
      </c>
      <c r="C2573" t="s">
        <v>11848</v>
      </c>
      <c r="E2573" s="1" t="s">
        <v>6076</v>
      </c>
      <c r="F2573" s="1" t="s">
        <v>6076</v>
      </c>
      <c r="G2573" s="1" t="s">
        <v>12859</v>
      </c>
      <c r="H2573">
        <v>2024</v>
      </c>
      <c r="I2573">
        <v>2026</v>
      </c>
      <c r="J2573">
        <f t="shared" si="80"/>
        <v>3</v>
      </c>
      <c r="K2573" s="1" t="s">
        <v>6076</v>
      </c>
      <c r="L2573" s="1" t="s">
        <v>6076</v>
      </c>
      <c r="M2573">
        <f t="shared" si="81"/>
        <v>0</v>
      </c>
    </row>
    <row r="2574" spans="1:13" x14ac:dyDescent="0.3">
      <c r="A2574" s="1" t="s">
        <v>8111</v>
      </c>
      <c r="B2574" s="1" t="s">
        <v>5931</v>
      </c>
      <c r="C2574" s="1" t="s">
        <v>8112</v>
      </c>
      <c r="D2574" s="1" t="s">
        <v>1395</v>
      </c>
      <c r="E2574" s="1" t="s">
        <v>6076</v>
      </c>
      <c r="F2574" s="1" t="s">
        <v>6076</v>
      </c>
      <c r="G2574" s="1" t="s">
        <v>8113</v>
      </c>
      <c r="H2574">
        <v>2017</v>
      </c>
      <c r="I2574">
        <v>2022</v>
      </c>
      <c r="J2574">
        <f t="shared" si="80"/>
        <v>6</v>
      </c>
      <c r="K2574" s="1" t="s">
        <v>6076</v>
      </c>
      <c r="L2574" s="1" t="s">
        <v>6076</v>
      </c>
      <c r="M2574">
        <f t="shared" si="81"/>
        <v>4</v>
      </c>
    </row>
    <row r="2575" spans="1:13" x14ac:dyDescent="0.3">
      <c r="A2575" s="1" t="s">
        <v>8114</v>
      </c>
      <c r="B2575" s="1" t="s">
        <v>5931</v>
      </c>
      <c r="C2575" s="1" t="s">
        <v>8115</v>
      </c>
      <c r="D2575" s="1" t="s">
        <v>3850</v>
      </c>
      <c r="E2575" s="1" t="s">
        <v>6076</v>
      </c>
      <c r="F2575" s="1" t="s">
        <v>6076</v>
      </c>
      <c r="G2575" s="1" t="s">
        <v>8113</v>
      </c>
      <c r="H2575">
        <v>2017</v>
      </c>
      <c r="I2575">
        <v>2022</v>
      </c>
      <c r="J2575">
        <f t="shared" si="80"/>
        <v>6</v>
      </c>
      <c r="K2575" s="1" t="s">
        <v>6076</v>
      </c>
      <c r="L2575" s="1" t="s">
        <v>6076</v>
      </c>
      <c r="M2575">
        <f t="shared" si="81"/>
        <v>4</v>
      </c>
    </row>
    <row r="2576" spans="1:13" x14ac:dyDescent="0.3">
      <c r="A2576" s="1" t="s">
        <v>8116</v>
      </c>
      <c r="B2576" s="1" t="s">
        <v>5931</v>
      </c>
      <c r="C2576" s="1" t="s">
        <v>8117</v>
      </c>
      <c r="D2576" s="1" t="s">
        <v>1395</v>
      </c>
      <c r="E2576" s="1" t="s">
        <v>6076</v>
      </c>
      <c r="F2576" s="1" t="s">
        <v>6076</v>
      </c>
      <c r="G2576" s="1" t="s">
        <v>8118</v>
      </c>
      <c r="H2576">
        <v>2019</v>
      </c>
      <c r="I2576">
        <v>2022</v>
      </c>
      <c r="J2576">
        <f t="shared" si="80"/>
        <v>4</v>
      </c>
      <c r="K2576" s="1" t="s">
        <v>6076</v>
      </c>
      <c r="L2576" s="1" t="s">
        <v>6076</v>
      </c>
      <c r="M2576">
        <f t="shared" si="81"/>
        <v>4</v>
      </c>
    </row>
    <row r="2577" spans="1:13" x14ac:dyDescent="0.3">
      <c r="A2577" s="1" t="s">
        <v>8119</v>
      </c>
      <c r="B2577" s="1" t="s">
        <v>5931</v>
      </c>
      <c r="C2577" s="1" t="s">
        <v>8120</v>
      </c>
      <c r="D2577" s="1" t="s">
        <v>3850</v>
      </c>
      <c r="E2577" s="1" t="s">
        <v>6076</v>
      </c>
      <c r="F2577" s="1" t="s">
        <v>6076</v>
      </c>
      <c r="G2577" s="1" t="s">
        <v>8118</v>
      </c>
      <c r="H2577">
        <v>2018</v>
      </c>
      <c r="I2577">
        <v>2022</v>
      </c>
      <c r="J2577">
        <f t="shared" si="80"/>
        <v>5</v>
      </c>
      <c r="K2577" s="1" t="s">
        <v>6076</v>
      </c>
      <c r="L2577" s="1" t="s">
        <v>6076</v>
      </c>
      <c r="M2577">
        <f t="shared" si="81"/>
        <v>4</v>
      </c>
    </row>
    <row r="2578" spans="1:13" x14ac:dyDescent="0.3">
      <c r="A2578" t="s">
        <v>11849</v>
      </c>
      <c r="B2578" t="s">
        <v>5931</v>
      </c>
      <c r="C2578" t="s">
        <v>11850</v>
      </c>
      <c r="E2578" s="1" t="s">
        <v>6076</v>
      </c>
      <c r="F2578" s="1" t="s">
        <v>6076</v>
      </c>
      <c r="G2578" s="1" t="s">
        <v>12859</v>
      </c>
      <c r="H2578">
        <v>2025</v>
      </c>
      <c r="I2578">
        <v>2026</v>
      </c>
      <c r="J2578">
        <f t="shared" si="80"/>
        <v>2</v>
      </c>
      <c r="K2578" s="1" t="s">
        <v>6076</v>
      </c>
      <c r="L2578" s="1" t="s">
        <v>6076</v>
      </c>
      <c r="M2578">
        <f t="shared" si="81"/>
        <v>0</v>
      </c>
    </row>
    <row r="2579" spans="1:13" x14ac:dyDescent="0.3">
      <c r="A2579" s="1" t="s">
        <v>8121</v>
      </c>
      <c r="B2579" s="1" t="s">
        <v>5931</v>
      </c>
      <c r="C2579" s="1" t="s">
        <v>8122</v>
      </c>
      <c r="D2579" s="1" t="s">
        <v>1395</v>
      </c>
      <c r="E2579" s="1" t="s">
        <v>6076</v>
      </c>
      <c r="F2579" s="1" t="s">
        <v>6076</v>
      </c>
      <c r="G2579" s="1" t="s">
        <v>8123</v>
      </c>
      <c r="H2579">
        <v>2016</v>
      </c>
      <c r="I2579">
        <v>2016</v>
      </c>
      <c r="J2579">
        <f t="shared" si="80"/>
        <v>1</v>
      </c>
      <c r="K2579" s="1" t="s">
        <v>6076</v>
      </c>
      <c r="L2579" s="1" t="s">
        <v>6076</v>
      </c>
      <c r="M2579">
        <f t="shared" si="81"/>
        <v>10</v>
      </c>
    </row>
    <row r="2580" spans="1:13" x14ac:dyDescent="0.3">
      <c r="A2580" s="1" t="s">
        <v>8124</v>
      </c>
      <c r="B2580" s="1" t="s">
        <v>5931</v>
      </c>
      <c r="C2580" s="1" t="s">
        <v>8125</v>
      </c>
      <c r="D2580" s="1" t="s">
        <v>1395</v>
      </c>
      <c r="E2580" s="1" t="s">
        <v>6076</v>
      </c>
      <c r="F2580" s="1" t="s">
        <v>6076</v>
      </c>
      <c r="G2580" s="1" t="s">
        <v>8123</v>
      </c>
      <c r="H2580">
        <v>2016</v>
      </c>
      <c r="I2580">
        <v>2016</v>
      </c>
      <c r="J2580">
        <f t="shared" si="80"/>
        <v>1</v>
      </c>
      <c r="K2580" s="1" t="s">
        <v>6076</v>
      </c>
      <c r="L2580" s="1" t="s">
        <v>6076</v>
      </c>
      <c r="M2580">
        <f t="shared" si="81"/>
        <v>10</v>
      </c>
    </row>
    <row r="2581" spans="1:13" x14ac:dyDescent="0.3">
      <c r="A2581" s="1" t="s">
        <v>8126</v>
      </c>
      <c r="B2581" s="1" t="s">
        <v>5931</v>
      </c>
      <c r="C2581" s="1" t="s">
        <v>8127</v>
      </c>
      <c r="D2581" s="1" t="s">
        <v>1395</v>
      </c>
      <c r="E2581" s="1" t="s">
        <v>6076</v>
      </c>
      <c r="F2581" s="1" t="s">
        <v>6076</v>
      </c>
      <c r="G2581" s="1" t="s">
        <v>8123</v>
      </c>
      <c r="H2581">
        <v>2017</v>
      </c>
      <c r="I2581">
        <v>2019</v>
      </c>
      <c r="J2581">
        <f t="shared" si="80"/>
        <v>3</v>
      </c>
      <c r="K2581" s="1" t="s">
        <v>6076</v>
      </c>
      <c r="L2581" s="1" t="s">
        <v>6076</v>
      </c>
      <c r="M2581">
        <f t="shared" si="81"/>
        <v>7</v>
      </c>
    </row>
    <row r="2582" spans="1:13" x14ac:dyDescent="0.3">
      <c r="A2582" s="1" t="s">
        <v>8128</v>
      </c>
      <c r="B2582" s="1" t="s">
        <v>5931</v>
      </c>
      <c r="C2582" s="1" t="s">
        <v>8129</v>
      </c>
      <c r="D2582" s="1" t="s">
        <v>1395</v>
      </c>
      <c r="E2582" s="1" t="s">
        <v>6076</v>
      </c>
      <c r="F2582" s="1" t="s">
        <v>6076</v>
      </c>
      <c r="G2582" s="1" t="s">
        <v>8123</v>
      </c>
      <c r="H2582">
        <v>2016</v>
      </c>
      <c r="I2582">
        <v>2019</v>
      </c>
      <c r="J2582">
        <f t="shared" si="80"/>
        <v>4</v>
      </c>
      <c r="K2582" s="1" t="s">
        <v>6076</v>
      </c>
      <c r="L2582" s="1" t="s">
        <v>6076</v>
      </c>
      <c r="M2582">
        <f t="shared" si="81"/>
        <v>7</v>
      </c>
    </row>
    <row r="2583" spans="1:13" x14ac:dyDescent="0.3">
      <c r="A2583" s="1" t="s">
        <v>8130</v>
      </c>
      <c r="B2583" s="1" t="s">
        <v>5931</v>
      </c>
      <c r="C2583" s="1" t="s">
        <v>8131</v>
      </c>
      <c r="D2583" s="1" t="s">
        <v>3850</v>
      </c>
      <c r="E2583" s="1" t="s">
        <v>6076</v>
      </c>
      <c r="F2583" s="1" t="s">
        <v>6076</v>
      </c>
      <c r="G2583" s="1" t="s">
        <v>8132</v>
      </c>
      <c r="H2583">
        <v>2021</v>
      </c>
      <c r="I2583">
        <v>2022</v>
      </c>
      <c r="J2583">
        <f t="shared" si="80"/>
        <v>2</v>
      </c>
      <c r="K2583" s="1" t="s">
        <v>6076</v>
      </c>
      <c r="L2583" s="1" t="s">
        <v>6076</v>
      </c>
      <c r="M2583">
        <f t="shared" si="81"/>
        <v>4</v>
      </c>
    </row>
    <row r="2584" spans="1:13" x14ac:dyDescent="0.3">
      <c r="A2584" s="1" t="s">
        <v>8133</v>
      </c>
      <c r="B2584" s="1" t="s">
        <v>5931</v>
      </c>
      <c r="C2584" s="1" t="s">
        <v>8134</v>
      </c>
      <c r="D2584" s="1" t="s">
        <v>1395</v>
      </c>
      <c r="E2584" s="1" t="s">
        <v>6076</v>
      </c>
      <c r="F2584" s="1" t="s">
        <v>6076</v>
      </c>
      <c r="G2584" s="1" t="s">
        <v>8132</v>
      </c>
      <c r="H2584">
        <v>2020</v>
      </c>
      <c r="I2584">
        <v>2022</v>
      </c>
      <c r="J2584">
        <f t="shared" si="80"/>
        <v>3</v>
      </c>
      <c r="K2584" s="1" t="s">
        <v>6076</v>
      </c>
      <c r="L2584" s="1" t="s">
        <v>6076</v>
      </c>
      <c r="M2584">
        <f t="shared" si="81"/>
        <v>4</v>
      </c>
    </row>
    <row r="2585" spans="1:13" x14ac:dyDescent="0.3">
      <c r="A2585" s="1" t="s">
        <v>8135</v>
      </c>
      <c r="B2585" s="1" t="s">
        <v>5931</v>
      </c>
      <c r="C2585" s="1" t="s">
        <v>8136</v>
      </c>
      <c r="D2585" s="1" t="s">
        <v>3850</v>
      </c>
      <c r="E2585" s="1" t="s">
        <v>6076</v>
      </c>
      <c r="F2585" s="1" t="s">
        <v>6076</v>
      </c>
      <c r="G2585" s="1" t="s">
        <v>8132</v>
      </c>
      <c r="H2585">
        <v>2016</v>
      </c>
      <c r="I2585">
        <v>2016</v>
      </c>
      <c r="J2585">
        <f t="shared" si="80"/>
        <v>1</v>
      </c>
      <c r="K2585" s="1" t="s">
        <v>6076</v>
      </c>
      <c r="L2585" s="1" t="s">
        <v>6076</v>
      </c>
      <c r="M2585">
        <f t="shared" si="81"/>
        <v>10</v>
      </c>
    </row>
    <row r="2586" spans="1:13" x14ac:dyDescent="0.3">
      <c r="A2586" s="1" t="s">
        <v>8137</v>
      </c>
      <c r="B2586" s="1" t="s">
        <v>5931</v>
      </c>
      <c r="C2586" s="1" t="s">
        <v>8138</v>
      </c>
      <c r="D2586" s="1" t="s">
        <v>3850</v>
      </c>
      <c r="E2586" s="1" t="s">
        <v>6076</v>
      </c>
      <c r="F2586" s="1" t="s">
        <v>6076</v>
      </c>
      <c r="G2586" s="1" t="s">
        <v>8132</v>
      </c>
      <c r="H2586">
        <v>2017</v>
      </c>
      <c r="I2586">
        <v>2022</v>
      </c>
      <c r="J2586">
        <f t="shared" si="80"/>
        <v>6</v>
      </c>
      <c r="K2586" s="1" t="s">
        <v>6076</v>
      </c>
      <c r="L2586" s="1" t="s">
        <v>6076</v>
      </c>
      <c r="M2586">
        <f t="shared" si="81"/>
        <v>4</v>
      </c>
    </row>
    <row r="2587" spans="1:13" x14ac:dyDescent="0.3">
      <c r="A2587" s="1" t="s">
        <v>8139</v>
      </c>
      <c r="B2587" s="1" t="s">
        <v>5931</v>
      </c>
      <c r="C2587" s="1" t="s">
        <v>8140</v>
      </c>
      <c r="D2587" s="1" t="s">
        <v>3850</v>
      </c>
      <c r="E2587" s="1" t="s">
        <v>6076</v>
      </c>
      <c r="F2587" s="1" t="s">
        <v>6076</v>
      </c>
      <c r="G2587" s="1" t="s">
        <v>8132</v>
      </c>
      <c r="H2587">
        <v>2016</v>
      </c>
      <c r="I2587">
        <v>2017</v>
      </c>
      <c r="J2587">
        <f t="shared" si="80"/>
        <v>2</v>
      </c>
      <c r="K2587" s="1" t="s">
        <v>6076</v>
      </c>
      <c r="L2587" s="1" t="s">
        <v>6076</v>
      </c>
      <c r="M2587">
        <f t="shared" si="81"/>
        <v>9</v>
      </c>
    </row>
    <row r="2588" spans="1:13" x14ac:dyDescent="0.3">
      <c r="A2588" s="1" t="s">
        <v>8141</v>
      </c>
      <c r="B2588" s="1" t="s">
        <v>5931</v>
      </c>
      <c r="C2588" s="1" t="s">
        <v>8142</v>
      </c>
      <c r="D2588" s="1" t="s">
        <v>1395</v>
      </c>
      <c r="E2588" s="1" t="s">
        <v>6076</v>
      </c>
      <c r="F2588" s="1" t="s">
        <v>6076</v>
      </c>
      <c r="G2588" s="1" t="s">
        <v>8143</v>
      </c>
      <c r="H2588">
        <v>2017</v>
      </c>
      <c r="I2588">
        <v>2017</v>
      </c>
      <c r="J2588">
        <f t="shared" si="80"/>
        <v>1</v>
      </c>
      <c r="K2588" s="1" t="s">
        <v>6076</v>
      </c>
      <c r="L2588" s="1" t="s">
        <v>6076</v>
      </c>
      <c r="M2588">
        <f t="shared" si="81"/>
        <v>9</v>
      </c>
    </row>
    <row r="2589" spans="1:13" x14ac:dyDescent="0.3">
      <c r="A2589" s="1" t="s">
        <v>8144</v>
      </c>
      <c r="B2589" s="1" t="s">
        <v>5931</v>
      </c>
      <c r="C2589" s="1" t="s">
        <v>8145</v>
      </c>
      <c r="D2589" s="1" t="s">
        <v>3850</v>
      </c>
      <c r="E2589" s="1" t="s">
        <v>6076</v>
      </c>
      <c r="F2589" s="1" t="s">
        <v>6076</v>
      </c>
      <c r="G2589" s="1" t="s">
        <v>8143</v>
      </c>
      <c r="H2589">
        <v>2016</v>
      </c>
      <c r="I2589">
        <v>2019</v>
      </c>
      <c r="J2589">
        <f t="shared" si="80"/>
        <v>4</v>
      </c>
      <c r="K2589" s="1" t="s">
        <v>6076</v>
      </c>
      <c r="L2589" s="1" t="s">
        <v>6076</v>
      </c>
      <c r="M2589">
        <f t="shared" si="81"/>
        <v>7</v>
      </c>
    </row>
    <row r="2590" spans="1:13" x14ac:dyDescent="0.3">
      <c r="A2590" t="s">
        <v>11851</v>
      </c>
      <c r="B2590" t="s">
        <v>5931</v>
      </c>
      <c r="C2590" t="s">
        <v>11852</v>
      </c>
      <c r="E2590" s="1" t="s">
        <v>6076</v>
      </c>
      <c r="F2590" s="1" t="s">
        <v>6076</v>
      </c>
      <c r="G2590" s="1" t="s">
        <v>12860</v>
      </c>
      <c r="H2590">
        <v>2023</v>
      </c>
      <c r="I2590">
        <v>2026</v>
      </c>
      <c r="J2590">
        <f t="shared" si="80"/>
        <v>4</v>
      </c>
      <c r="K2590" s="1" t="s">
        <v>6076</v>
      </c>
      <c r="L2590" s="1" t="s">
        <v>6076</v>
      </c>
      <c r="M2590">
        <f t="shared" si="81"/>
        <v>0</v>
      </c>
    </row>
    <row r="2591" spans="1:13" x14ac:dyDescent="0.3">
      <c r="A2591" s="1" t="s">
        <v>8146</v>
      </c>
      <c r="B2591" s="1" t="s">
        <v>5931</v>
      </c>
      <c r="C2591" s="1" t="s">
        <v>8147</v>
      </c>
      <c r="D2591" s="1" t="s">
        <v>1395</v>
      </c>
      <c r="E2591" s="1" t="s">
        <v>6076</v>
      </c>
      <c r="F2591" s="1" t="s">
        <v>6076</v>
      </c>
      <c r="G2591" s="1" t="s">
        <v>8148</v>
      </c>
      <c r="H2591">
        <v>2016</v>
      </c>
      <c r="I2591">
        <v>2016</v>
      </c>
      <c r="J2591">
        <f t="shared" si="80"/>
        <v>1</v>
      </c>
      <c r="K2591" s="1" t="s">
        <v>6076</v>
      </c>
      <c r="L2591" s="1" t="s">
        <v>6076</v>
      </c>
      <c r="M2591">
        <f t="shared" si="81"/>
        <v>10</v>
      </c>
    </row>
    <row r="2592" spans="1:13" x14ac:dyDescent="0.3">
      <c r="A2592" t="s">
        <v>11853</v>
      </c>
      <c r="B2592" t="s">
        <v>5931</v>
      </c>
      <c r="C2592" t="s">
        <v>11854</v>
      </c>
      <c r="E2592" s="1" t="s">
        <v>6076</v>
      </c>
      <c r="F2592" s="1" t="s">
        <v>6076</v>
      </c>
      <c r="G2592" s="1" t="s">
        <v>12860</v>
      </c>
      <c r="H2592">
        <v>2023</v>
      </c>
      <c r="I2592">
        <v>2026</v>
      </c>
      <c r="J2592">
        <f t="shared" si="80"/>
        <v>4</v>
      </c>
      <c r="K2592" s="1" t="s">
        <v>6076</v>
      </c>
      <c r="L2592" s="1" t="s">
        <v>6076</v>
      </c>
      <c r="M2592">
        <f t="shared" si="81"/>
        <v>0</v>
      </c>
    </row>
    <row r="2593" spans="1:14" x14ac:dyDescent="0.3">
      <c r="A2593" s="1" t="s">
        <v>8149</v>
      </c>
      <c r="B2593" s="1" t="s">
        <v>5931</v>
      </c>
      <c r="C2593" s="1" t="s">
        <v>8150</v>
      </c>
      <c r="D2593" s="1" t="s">
        <v>1395</v>
      </c>
      <c r="E2593" s="1" t="s">
        <v>6076</v>
      </c>
      <c r="F2593" s="1" t="s">
        <v>6076</v>
      </c>
      <c r="G2593" s="1" t="s">
        <v>8151</v>
      </c>
      <c r="H2593">
        <v>2020</v>
      </c>
      <c r="I2593">
        <v>2022</v>
      </c>
      <c r="J2593">
        <f t="shared" si="80"/>
        <v>3</v>
      </c>
      <c r="K2593" s="1" t="s">
        <v>6076</v>
      </c>
      <c r="L2593" s="1" t="s">
        <v>6076</v>
      </c>
      <c r="M2593">
        <f t="shared" si="81"/>
        <v>4</v>
      </c>
    </row>
    <row r="2594" spans="1:14" x14ac:dyDescent="0.3">
      <c r="A2594" s="1" t="s">
        <v>8152</v>
      </c>
      <c r="B2594" s="1" t="s">
        <v>5931</v>
      </c>
      <c r="C2594" s="1" t="s">
        <v>8153</v>
      </c>
      <c r="D2594" s="1" t="s">
        <v>3850</v>
      </c>
      <c r="E2594" s="1" t="s">
        <v>6076</v>
      </c>
      <c r="F2594" s="1" t="s">
        <v>6076</v>
      </c>
      <c r="G2594" s="1" t="s">
        <v>8154</v>
      </c>
      <c r="H2594">
        <v>2016</v>
      </c>
      <c r="I2594">
        <v>2019</v>
      </c>
      <c r="J2594">
        <f t="shared" si="80"/>
        <v>4</v>
      </c>
      <c r="K2594" s="1" t="s">
        <v>6076</v>
      </c>
      <c r="L2594" s="1" t="s">
        <v>6076</v>
      </c>
      <c r="M2594">
        <f t="shared" si="81"/>
        <v>7</v>
      </c>
    </row>
    <row r="2595" spans="1:14" x14ac:dyDescent="0.3">
      <c r="A2595" s="1" t="s">
        <v>8155</v>
      </c>
      <c r="B2595" s="1" t="s">
        <v>5931</v>
      </c>
      <c r="C2595" s="1" t="s">
        <v>8156</v>
      </c>
      <c r="D2595" s="1" t="s">
        <v>1395</v>
      </c>
      <c r="E2595" s="1" t="s">
        <v>6076</v>
      </c>
      <c r="F2595" s="1" t="s">
        <v>6076</v>
      </c>
      <c r="G2595" s="1" t="s">
        <v>8154</v>
      </c>
      <c r="H2595">
        <v>2016</v>
      </c>
      <c r="I2595">
        <v>2018</v>
      </c>
      <c r="J2595">
        <f t="shared" si="80"/>
        <v>3</v>
      </c>
      <c r="K2595" s="1" t="s">
        <v>6076</v>
      </c>
      <c r="L2595" s="1" t="s">
        <v>6076</v>
      </c>
      <c r="M2595">
        <f t="shared" si="81"/>
        <v>8</v>
      </c>
    </row>
    <row r="2596" spans="1:14" x14ac:dyDescent="0.3">
      <c r="A2596" s="1" t="s">
        <v>8157</v>
      </c>
      <c r="B2596" s="1" t="s">
        <v>5931</v>
      </c>
      <c r="C2596" s="1" t="s">
        <v>8158</v>
      </c>
      <c r="D2596" s="1" t="s">
        <v>1395</v>
      </c>
      <c r="E2596" s="1" t="s">
        <v>6076</v>
      </c>
      <c r="F2596" s="1" t="s">
        <v>6076</v>
      </c>
      <c r="G2596" s="1" t="s">
        <v>8154</v>
      </c>
      <c r="H2596">
        <v>2021</v>
      </c>
      <c r="I2596">
        <v>2022</v>
      </c>
      <c r="J2596">
        <f t="shared" si="80"/>
        <v>2</v>
      </c>
      <c r="K2596" s="1" t="s">
        <v>6076</v>
      </c>
      <c r="L2596" s="1" t="s">
        <v>6076</v>
      </c>
      <c r="M2596">
        <f t="shared" si="81"/>
        <v>4</v>
      </c>
    </row>
    <row r="2597" spans="1:14" x14ac:dyDescent="0.3">
      <c r="A2597" s="1" t="s">
        <v>8159</v>
      </c>
      <c r="B2597" s="1" t="s">
        <v>5931</v>
      </c>
      <c r="C2597" s="1" t="s">
        <v>8160</v>
      </c>
      <c r="D2597" s="1" t="s">
        <v>1395</v>
      </c>
      <c r="E2597" s="1" t="s">
        <v>6076</v>
      </c>
      <c r="F2597" s="1" t="s">
        <v>6076</v>
      </c>
      <c r="G2597" s="1" t="s">
        <v>8161</v>
      </c>
      <c r="H2597">
        <v>2013</v>
      </c>
      <c r="I2597">
        <v>2015</v>
      </c>
      <c r="J2597">
        <f t="shared" si="80"/>
        <v>3</v>
      </c>
      <c r="K2597" s="1" t="s">
        <v>6076</v>
      </c>
      <c r="L2597" s="1" t="s">
        <v>6076</v>
      </c>
      <c r="M2597">
        <f t="shared" si="81"/>
        <v>11</v>
      </c>
    </row>
    <row r="2598" spans="1:14" x14ac:dyDescent="0.3">
      <c r="A2598" s="1" t="s">
        <v>8162</v>
      </c>
      <c r="B2598" s="1" t="s">
        <v>5931</v>
      </c>
      <c r="C2598" s="1" t="s">
        <v>8163</v>
      </c>
      <c r="D2598" s="1" t="s">
        <v>1395</v>
      </c>
      <c r="E2598" s="1" t="s">
        <v>6076</v>
      </c>
      <c r="F2598" s="1" t="s">
        <v>6076</v>
      </c>
      <c r="G2598" s="1" t="s">
        <v>8161</v>
      </c>
      <c r="H2598">
        <v>2013</v>
      </c>
      <c r="I2598">
        <v>2015</v>
      </c>
      <c r="J2598">
        <f t="shared" si="80"/>
        <v>3</v>
      </c>
      <c r="K2598" s="1" t="s">
        <v>6076</v>
      </c>
      <c r="L2598" s="1" t="s">
        <v>6076</v>
      </c>
      <c r="M2598">
        <f t="shared" si="81"/>
        <v>11</v>
      </c>
    </row>
    <row r="2599" spans="1:14" x14ac:dyDescent="0.3">
      <c r="A2599" s="1" t="s">
        <v>8164</v>
      </c>
      <c r="B2599" s="1" t="s">
        <v>5931</v>
      </c>
      <c r="C2599" s="1" t="s">
        <v>8165</v>
      </c>
      <c r="D2599" s="1" t="s">
        <v>1395</v>
      </c>
      <c r="E2599" s="1" t="s">
        <v>6076</v>
      </c>
      <c r="F2599" s="1" t="s">
        <v>6076</v>
      </c>
      <c r="G2599" s="1" t="s">
        <v>8166</v>
      </c>
      <c r="H2599">
        <v>2009</v>
      </c>
      <c r="I2599">
        <v>2009</v>
      </c>
      <c r="J2599">
        <f t="shared" si="80"/>
        <v>1</v>
      </c>
      <c r="K2599" s="1" t="s">
        <v>6076</v>
      </c>
      <c r="L2599" s="1" t="s">
        <v>6076</v>
      </c>
      <c r="M2599">
        <f t="shared" si="81"/>
        <v>17</v>
      </c>
    </row>
    <row r="2600" spans="1:14" x14ac:dyDescent="0.3">
      <c r="A2600" s="1" t="s">
        <v>8167</v>
      </c>
      <c r="B2600" s="1" t="s">
        <v>5931</v>
      </c>
      <c r="C2600" s="1" t="s">
        <v>8168</v>
      </c>
      <c r="D2600" s="1" t="s">
        <v>1395</v>
      </c>
      <c r="E2600" s="1" t="s">
        <v>6076</v>
      </c>
      <c r="F2600" s="1" t="s">
        <v>6076</v>
      </c>
      <c r="G2600" s="1" t="s">
        <v>8169</v>
      </c>
      <c r="H2600">
        <v>2009</v>
      </c>
      <c r="I2600">
        <v>2009</v>
      </c>
      <c r="J2600">
        <f t="shared" si="80"/>
        <v>1</v>
      </c>
      <c r="K2600" s="1" t="s">
        <v>6076</v>
      </c>
      <c r="L2600" s="1" t="s">
        <v>6076</v>
      </c>
      <c r="M2600">
        <f t="shared" si="81"/>
        <v>17</v>
      </c>
    </row>
    <row r="2601" spans="1:14" x14ac:dyDescent="0.3">
      <c r="A2601" s="1" t="s">
        <v>8170</v>
      </c>
      <c r="B2601" s="1" t="s">
        <v>5931</v>
      </c>
      <c r="C2601" s="1" t="s">
        <v>8171</v>
      </c>
      <c r="D2601" s="1" t="s">
        <v>1395</v>
      </c>
      <c r="E2601" s="1" t="s">
        <v>6076</v>
      </c>
      <c r="F2601" s="1" t="s">
        <v>6076</v>
      </c>
      <c r="G2601" s="1" t="s">
        <v>8169</v>
      </c>
      <c r="H2601">
        <v>2013</v>
      </c>
      <c r="I2601">
        <v>2013</v>
      </c>
      <c r="J2601">
        <f t="shared" si="80"/>
        <v>1</v>
      </c>
      <c r="K2601" s="1" t="s">
        <v>6076</v>
      </c>
      <c r="L2601" s="1" t="s">
        <v>6076</v>
      </c>
      <c r="M2601">
        <f t="shared" si="81"/>
        <v>13</v>
      </c>
    </row>
    <row r="2602" spans="1:14" x14ac:dyDescent="0.3">
      <c r="A2602" s="1" t="s">
        <v>8172</v>
      </c>
      <c r="B2602" s="1" t="s">
        <v>5931</v>
      </c>
      <c r="C2602" s="1" t="s">
        <v>8173</v>
      </c>
      <c r="D2602" s="1" t="s">
        <v>1395</v>
      </c>
      <c r="E2602" s="1" t="s">
        <v>6076</v>
      </c>
      <c r="F2602" s="1" t="s">
        <v>6076</v>
      </c>
      <c r="G2602" s="1" t="s">
        <v>8174</v>
      </c>
      <c r="H2602">
        <v>2021</v>
      </c>
      <c r="I2602">
        <v>2022</v>
      </c>
      <c r="J2602">
        <f t="shared" si="80"/>
        <v>2</v>
      </c>
      <c r="K2602" s="1" t="s">
        <v>6076</v>
      </c>
      <c r="L2602" s="1" t="s">
        <v>6076</v>
      </c>
      <c r="M2602">
        <f t="shared" si="81"/>
        <v>4</v>
      </c>
    </row>
    <row r="2603" spans="1:14" x14ac:dyDescent="0.3">
      <c r="A2603" s="1" t="s">
        <v>8175</v>
      </c>
      <c r="B2603" s="1" t="s">
        <v>5931</v>
      </c>
      <c r="C2603" s="1" t="s">
        <v>8176</v>
      </c>
      <c r="D2603" s="1" t="s">
        <v>1395</v>
      </c>
      <c r="E2603" s="1" t="s">
        <v>6076</v>
      </c>
      <c r="F2603" s="1" t="s">
        <v>6076</v>
      </c>
      <c r="G2603" s="1" t="s">
        <v>8177</v>
      </c>
      <c r="H2603">
        <v>2016</v>
      </c>
      <c r="I2603">
        <v>2019</v>
      </c>
      <c r="J2603">
        <f t="shared" si="80"/>
        <v>4</v>
      </c>
      <c r="K2603" s="1" t="s">
        <v>6076</v>
      </c>
      <c r="L2603" s="1" t="s">
        <v>6076</v>
      </c>
      <c r="M2603">
        <f t="shared" si="81"/>
        <v>7</v>
      </c>
    </row>
    <row r="2604" spans="1:14" x14ac:dyDescent="0.3">
      <c r="A2604" s="1" t="s">
        <v>8178</v>
      </c>
      <c r="B2604" s="1" t="s">
        <v>5931</v>
      </c>
      <c r="C2604" s="1" t="s">
        <v>8179</v>
      </c>
      <c r="D2604" s="1" t="s">
        <v>1395</v>
      </c>
      <c r="E2604" s="1" t="s">
        <v>6076</v>
      </c>
      <c r="F2604" s="1" t="s">
        <v>6076</v>
      </c>
      <c r="G2604" s="1" t="s">
        <v>8180</v>
      </c>
      <c r="H2604">
        <v>2016</v>
      </c>
      <c r="I2604">
        <v>2018</v>
      </c>
      <c r="J2604">
        <f t="shared" si="80"/>
        <v>3</v>
      </c>
      <c r="K2604" s="1" t="s">
        <v>6076</v>
      </c>
      <c r="L2604" s="1" t="s">
        <v>6076</v>
      </c>
      <c r="M2604">
        <f t="shared" si="81"/>
        <v>8</v>
      </c>
    </row>
    <row r="2605" spans="1:14" x14ac:dyDescent="0.3">
      <c r="A2605" s="1" t="s">
        <v>8181</v>
      </c>
      <c r="B2605" s="1" t="s">
        <v>5931</v>
      </c>
      <c r="C2605" s="1" t="s">
        <v>8182</v>
      </c>
      <c r="D2605" s="1" t="s">
        <v>1395</v>
      </c>
      <c r="E2605" s="1" t="s">
        <v>6076</v>
      </c>
      <c r="F2605" s="1" t="s">
        <v>6076</v>
      </c>
      <c r="G2605" s="1" t="s">
        <v>8183</v>
      </c>
      <c r="H2605">
        <v>2016</v>
      </c>
      <c r="I2605">
        <v>2018</v>
      </c>
      <c r="J2605">
        <f t="shared" si="80"/>
        <v>3</v>
      </c>
      <c r="K2605" s="1" t="s">
        <v>6076</v>
      </c>
      <c r="L2605" s="1" t="s">
        <v>6076</v>
      </c>
      <c r="M2605">
        <f t="shared" si="81"/>
        <v>8</v>
      </c>
    </row>
    <row r="2606" spans="1:14" hidden="1" x14ac:dyDescent="0.3">
      <c r="A2606" s="1" t="s">
        <v>1637</v>
      </c>
      <c r="B2606" s="1" t="s">
        <v>810</v>
      </c>
      <c r="C2606" s="1" t="s">
        <v>1638</v>
      </c>
      <c r="D2606" s="1" t="s">
        <v>746</v>
      </c>
      <c r="E2606" s="1" t="s">
        <v>747</v>
      </c>
      <c r="F2606" s="1" t="s">
        <v>748</v>
      </c>
      <c r="G2606" s="1" t="s">
        <v>1639</v>
      </c>
      <c r="H2606">
        <v>2013</v>
      </c>
      <c r="I2606">
        <v>2014</v>
      </c>
      <c r="J2606">
        <f t="shared" si="80"/>
        <v>2</v>
      </c>
      <c r="K2606" s="1" t="s">
        <v>741</v>
      </c>
      <c r="L2606" s="1" t="s">
        <v>798</v>
      </c>
      <c r="M2606">
        <f t="shared" si="81"/>
        <v>12</v>
      </c>
      <c r="N2606" t="s">
        <v>650</v>
      </c>
    </row>
    <row r="2607" spans="1:14" hidden="1" x14ac:dyDescent="0.3">
      <c r="A2607" s="1" t="s">
        <v>1640</v>
      </c>
      <c r="B2607" s="1" t="s">
        <v>810</v>
      </c>
      <c r="C2607" s="1" t="s">
        <v>1641</v>
      </c>
      <c r="D2607" s="1" t="s">
        <v>746</v>
      </c>
      <c r="E2607" s="1" t="s">
        <v>747</v>
      </c>
      <c r="F2607" s="1" t="s">
        <v>748</v>
      </c>
      <c r="G2607" s="1" t="s">
        <v>1639</v>
      </c>
      <c r="H2607">
        <v>2009</v>
      </c>
      <c r="I2607">
        <v>2015</v>
      </c>
      <c r="J2607">
        <f t="shared" si="80"/>
        <v>7</v>
      </c>
      <c r="K2607" s="1" t="s">
        <v>741</v>
      </c>
      <c r="L2607" s="1" t="s">
        <v>798</v>
      </c>
      <c r="M2607">
        <f t="shared" si="81"/>
        <v>11</v>
      </c>
      <c r="N2607" t="s">
        <v>650</v>
      </c>
    </row>
    <row r="2608" spans="1:14" hidden="1" x14ac:dyDescent="0.3">
      <c r="A2608" s="1" t="s">
        <v>1642</v>
      </c>
      <c r="B2608" s="1" t="s">
        <v>810</v>
      </c>
      <c r="C2608" s="1" t="s">
        <v>1643</v>
      </c>
      <c r="D2608" s="1" t="s">
        <v>746</v>
      </c>
      <c r="E2608" s="1" t="s">
        <v>747</v>
      </c>
      <c r="F2608" s="1" t="s">
        <v>748</v>
      </c>
      <c r="G2608" s="1" t="s">
        <v>1639</v>
      </c>
      <c r="H2608">
        <v>2013</v>
      </c>
      <c r="I2608">
        <v>2015</v>
      </c>
      <c r="J2608">
        <f t="shared" si="80"/>
        <v>3</v>
      </c>
      <c r="K2608" s="1" t="s">
        <v>741</v>
      </c>
      <c r="L2608" s="1" t="s">
        <v>798</v>
      </c>
      <c r="M2608">
        <f t="shared" si="81"/>
        <v>11</v>
      </c>
      <c r="N2608" t="s">
        <v>650</v>
      </c>
    </row>
    <row r="2609" spans="1:14" hidden="1" x14ac:dyDescent="0.3">
      <c r="A2609" s="1" t="s">
        <v>1644</v>
      </c>
      <c r="B2609" s="1" t="s">
        <v>810</v>
      </c>
      <c r="C2609" s="1" t="s">
        <v>1645</v>
      </c>
      <c r="D2609" s="1" t="s">
        <v>746</v>
      </c>
      <c r="E2609" s="1" t="s">
        <v>747</v>
      </c>
      <c r="F2609" s="1" t="s">
        <v>748</v>
      </c>
      <c r="G2609" s="1" t="s">
        <v>1639</v>
      </c>
      <c r="H2609">
        <v>2009</v>
      </c>
      <c r="I2609">
        <v>2015</v>
      </c>
      <c r="J2609">
        <f t="shared" si="80"/>
        <v>7</v>
      </c>
      <c r="K2609" s="1" t="s">
        <v>741</v>
      </c>
      <c r="L2609" s="1" t="s">
        <v>798</v>
      </c>
      <c r="M2609">
        <f t="shared" si="81"/>
        <v>11</v>
      </c>
      <c r="N2609" t="s">
        <v>650</v>
      </c>
    </row>
    <row r="2610" spans="1:14" hidden="1" x14ac:dyDescent="0.3">
      <c r="A2610" s="1" t="s">
        <v>1646</v>
      </c>
      <c r="B2610" s="1" t="s">
        <v>810</v>
      </c>
      <c r="C2610" s="1" t="s">
        <v>1647</v>
      </c>
      <c r="D2610" s="1" t="s">
        <v>746</v>
      </c>
      <c r="E2610" s="1" t="s">
        <v>747</v>
      </c>
      <c r="F2610" s="1" t="s">
        <v>748</v>
      </c>
      <c r="G2610" s="1" t="s">
        <v>1639</v>
      </c>
      <c r="H2610">
        <v>2009</v>
      </c>
      <c r="I2610">
        <v>2017</v>
      </c>
      <c r="J2610">
        <f t="shared" si="80"/>
        <v>9</v>
      </c>
      <c r="K2610" s="1" t="s">
        <v>741</v>
      </c>
      <c r="L2610" s="1" t="s">
        <v>798</v>
      </c>
      <c r="M2610">
        <f t="shared" si="81"/>
        <v>9</v>
      </c>
      <c r="N2610" t="s">
        <v>650</v>
      </c>
    </row>
    <row r="2611" spans="1:14" hidden="1" x14ac:dyDescent="0.3">
      <c r="A2611" s="1" t="s">
        <v>1648</v>
      </c>
      <c r="B2611" s="1" t="s">
        <v>810</v>
      </c>
      <c r="C2611" s="1" t="s">
        <v>1649</v>
      </c>
      <c r="D2611" s="1" t="s">
        <v>746</v>
      </c>
      <c r="E2611" s="1" t="s">
        <v>747</v>
      </c>
      <c r="F2611" s="1" t="s">
        <v>748</v>
      </c>
      <c r="G2611" s="1" t="s">
        <v>1639</v>
      </c>
      <c r="H2611">
        <v>2019</v>
      </c>
      <c r="I2611">
        <v>2022</v>
      </c>
      <c r="J2611">
        <f t="shared" si="80"/>
        <v>4</v>
      </c>
      <c r="K2611" s="1" t="s">
        <v>741</v>
      </c>
      <c r="L2611" s="1" t="s">
        <v>798</v>
      </c>
      <c r="M2611">
        <f t="shared" si="81"/>
        <v>4</v>
      </c>
      <c r="N2611" t="s">
        <v>650</v>
      </c>
    </row>
    <row r="2612" spans="1:14" hidden="1" x14ac:dyDescent="0.3">
      <c r="A2612" s="1" t="s">
        <v>1650</v>
      </c>
      <c r="B2612" s="1" t="s">
        <v>810</v>
      </c>
      <c r="C2612" s="1" t="s">
        <v>1651</v>
      </c>
      <c r="D2612" s="1" t="s">
        <v>746</v>
      </c>
      <c r="E2612" s="1" t="s">
        <v>747</v>
      </c>
      <c r="F2612" s="1" t="s">
        <v>748</v>
      </c>
      <c r="G2612" s="1" t="s">
        <v>1639</v>
      </c>
      <c r="H2612">
        <v>2001</v>
      </c>
      <c r="I2612">
        <v>2003</v>
      </c>
      <c r="J2612">
        <f t="shared" si="80"/>
        <v>3</v>
      </c>
      <c r="K2612" s="1" t="s">
        <v>741</v>
      </c>
      <c r="L2612" s="1" t="s">
        <v>666</v>
      </c>
      <c r="M2612">
        <f t="shared" si="81"/>
        <v>23</v>
      </c>
      <c r="N2612" t="s">
        <v>650</v>
      </c>
    </row>
    <row r="2613" spans="1:14" hidden="1" x14ac:dyDescent="0.3">
      <c r="A2613" s="1" t="s">
        <v>1652</v>
      </c>
      <c r="B2613" s="1" t="s">
        <v>810</v>
      </c>
      <c r="C2613" s="1" t="s">
        <v>1653</v>
      </c>
      <c r="D2613" s="1" t="s">
        <v>746</v>
      </c>
      <c r="E2613" s="1" t="s">
        <v>747</v>
      </c>
      <c r="F2613" s="1" t="s">
        <v>748</v>
      </c>
      <c r="G2613" s="1" t="s">
        <v>1639</v>
      </c>
      <c r="H2613">
        <v>2000</v>
      </c>
      <c r="I2613">
        <v>2005</v>
      </c>
      <c r="J2613">
        <f t="shared" si="80"/>
        <v>6</v>
      </c>
      <c r="K2613" s="1" t="s">
        <v>741</v>
      </c>
      <c r="L2613" s="1" t="s">
        <v>666</v>
      </c>
      <c r="M2613">
        <f t="shared" si="81"/>
        <v>21</v>
      </c>
      <c r="N2613" t="s">
        <v>650</v>
      </c>
    </row>
    <row r="2614" spans="1:14" hidden="1" x14ac:dyDescent="0.3">
      <c r="A2614" s="1" t="s">
        <v>1654</v>
      </c>
      <c r="B2614" s="1" t="s">
        <v>810</v>
      </c>
      <c r="C2614" s="1" t="s">
        <v>1655</v>
      </c>
      <c r="D2614" s="1" t="s">
        <v>746</v>
      </c>
      <c r="E2614" s="1" t="s">
        <v>747</v>
      </c>
      <c r="F2614" s="1" t="s">
        <v>748</v>
      </c>
      <c r="G2614" s="1" t="s">
        <v>1639</v>
      </c>
      <c r="H2614">
        <v>2000</v>
      </c>
      <c r="I2614">
        <v>2005</v>
      </c>
      <c r="J2614">
        <f t="shared" si="80"/>
        <v>6</v>
      </c>
      <c r="K2614" s="1" t="s">
        <v>741</v>
      </c>
      <c r="L2614" s="1" t="s">
        <v>666</v>
      </c>
      <c r="M2614">
        <f t="shared" si="81"/>
        <v>21</v>
      </c>
      <c r="N2614" t="s">
        <v>650</v>
      </c>
    </row>
    <row r="2615" spans="1:14" hidden="1" x14ac:dyDescent="0.3">
      <c r="A2615" s="1" t="s">
        <v>1656</v>
      </c>
      <c r="B2615" s="1" t="s">
        <v>810</v>
      </c>
      <c r="C2615" s="1" t="s">
        <v>1657</v>
      </c>
      <c r="D2615" s="1" t="s">
        <v>746</v>
      </c>
      <c r="E2615" s="1" t="s">
        <v>747</v>
      </c>
      <c r="F2615" s="1" t="s">
        <v>748</v>
      </c>
      <c r="G2615" s="1" t="s">
        <v>1639</v>
      </c>
      <c r="H2615">
        <v>2001</v>
      </c>
      <c r="I2615">
        <v>2004</v>
      </c>
      <c r="J2615">
        <f t="shared" si="80"/>
        <v>4</v>
      </c>
      <c r="K2615" s="1" t="s">
        <v>741</v>
      </c>
      <c r="L2615" s="1" t="s">
        <v>666</v>
      </c>
      <c r="M2615">
        <f t="shared" si="81"/>
        <v>22</v>
      </c>
      <c r="N2615" t="s">
        <v>650</v>
      </c>
    </row>
    <row r="2616" spans="1:14" hidden="1" x14ac:dyDescent="0.3">
      <c r="A2616" s="1" t="s">
        <v>1658</v>
      </c>
      <c r="B2616" s="1" t="s">
        <v>810</v>
      </c>
      <c r="C2616" s="1" t="s">
        <v>1659</v>
      </c>
      <c r="D2616" s="1" t="s">
        <v>746</v>
      </c>
      <c r="E2616" s="1" t="s">
        <v>747</v>
      </c>
      <c r="F2616" s="1" t="s">
        <v>748</v>
      </c>
      <c r="G2616" s="1" t="s">
        <v>1639</v>
      </c>
      <c r="H2616">
        <v>2001</v>
      </c>
      <c r="I2616">
        <v>2003</v>
      </c>
      <c r="J2616">
        <f t="shared" si="80"/>
        <v>3</v>
      </c>
      <c r="K2616" s="1" t="s">
        <v>741</v>
      </c>
      <c r="L2616" s="1" t="s">
        <v>666</v>
      </c>
      <c r="M2616">
        <f t="shared" si="81"/>
        <v>23</v>
      </c>
      <c r="N2616" t="s">
        <v>650</v>
      </c>
    </row>
    <row r="2617" spans="1:14" hidden="1" x14ac:dyDescent="0.3">
      <c r="A2617" s="1" t="s">
        <v>1660</v>
      </c>
      <c r="B2617" s="1" t="s">
        <v>810</v>
      </c>
      <c r="C2617" s="1" t="s">
        <v>1661</v>
      </c>
      <c r="D2617" s="1" t="s">
        <v>746</v>
      </c>
      <c r="E2617" s="1" t="s">
        <v>747</v>
      </c>
      <c r="F2617" s="1" t="s">
        <v>748</v>
      </c>
      <c r="G2617" s="1" t="s">
        <v>1639</v>
      </c>
      <c r="H2617">
        <v>2002</v>
      </c>
      <c r="I2617">
        <v>2003</v>
      </c>
      <c r="J2617">
        <f t="shared" si="80"/>
        <v>2</v>
      </c>
      <c r="K2617" s="1" t="s">
        <v>741</v>
      </c>
      <c r="L2617" s="1" t="s">
        <v>666</v>
      </c>
      <c r="M2617">
        <f t="shared" si="81"/>
        <v>23</v>
      </c>
      <c r="N2617" t="s">
        <v>650</v>
      </c>
    </row>
    <row r="2618" spans="1:14" hidden="1" x14ac:dyDescent="0.3">
      <c r="A2618" s="1" t="s">
        <v>1662</v>
      </c>
      <c r="B2618" s="1" t="s">
        <v>810</v>
      </c>
      <c r="C2618" s="1" t="s">
        <v>1663</v>
      </c>
      <c r="D2618" s="1" t="s">
        <v>746</v>
      </c>
      <c r="E2618" s="1" t="s">
        <v>747</v>
      </c>
      <c r="F2618" s="1" t="s">
        <v>748</v>
      </c>
      <c r="G2618" s="1" t="s">
        <v>1639</v>
      </c>
      <c r="H2618">
        <v>2013</v>
      </c>
      <c r="I2618">
        <v>2013</v>
      </c>
      <c r="J2618">
        <f t="shared" si="80"/>
        <v>1</v>
      </c>
      <c r="K2618" s="1" t="s">
        <v>741</v>
      </c>
      <c r="L2618" s="1" t="s">
        <v>798</v>
      </c>
      <c r="M2618">
        <f t="shared" si="81"/>
        <v>13</v>
      </c>
      <c r="N2618" t="s">
        <v>650</v>
      </c>
    </row>
    <row r="2619" spans="1:14" hidden="1" x14ac:dyDescent="0.3">
      <c r="A2619" s="1" t="s">
        <v>1664</v>
      </c>
      <c r="B2619" s="1" t="s">
        <v>810</v>
      </c>
      <c r="C2619" s="1" t="s">
        <v>1665</v>
      </c>
      <c r="D2619" s="1" t="s">
        <v>746</v>
      </c>
      <c r="E2619" s="1" t="s">
        <v>747</v>
      </c>
      <c r="F2619" s="1" t="s">
        <v>748</v>
      </c>
      <c r="G2619" s="1" t="s">
        <v>1639</v>
      </c>
      <c r="H2619">
        <v>2002</v>
      </c>
      <c r="I2619">
        <v>2003</v>
      </c>
      <c r="J2619">
        <f t="shared" si="80"/>
        <v>2</v>
      </c>
      <c r="K2619" s="1" t="s">
        <v>741</v>
      </c>
      <c r="L2619" s="1" t="s">
        <v>666</v>
      </c>
      <c r="M2619">
        <f t="shared" si="81"/>
        <v>23</v>
      </c>
      <c r="N2619" t="s">
        <v>650</v>
      </c>
    </row>
    <row r="2620" spans="1:14" hidden="1" x14ac:dyDescent="0.3">
      <c r="A2620" s="1" t="s">
        <v>1666</v>
      </c>
      <c r="B2620" s="1" t="s">
        <v>810</v>
      </c>
      <c r="C2620" s="1" t="s">
        <v>1667</v>
      </c>
      <c r="D2620" s="1" t="s">
        <v>746</v>
      </c>
      <c r="E2620" s="1" t="s">
        <v>747</v>
      </c>
      <c r="F2620" s="1" t="s">
        <v>748</v>
      </c>
      <c r="G2620" s="1" t="s">
        <v>1639</v>
      </c>
      <c r="H2620">
        <v>2002</v>
      </c>
      <c r="I2620">
        <v>2003</v>
      </c>
      <c r="J2620">
        <f t="shared" si="80"/>
        <v>2</v>
      </c>
      <c r="K2620" s="1" t="s">
        <v>741</v>
      </c>
      <c r="L2620" s="1" t="s">
        <v>666</v>
      </c>
      <c r="M2620">
        <f t="shared" si="81"/>
        <v>23</v>
      </c>
      <c r="N2620" t="s">
        <v>650</v>
      </c>
    </row>
    <row r="2621" spans="1:14" hidden="1" x14ac:dyDescent="0.3">
      <c r="A2621" s="1" t="s">
        <v>1668</v>
      </c>
      <c r="B2621" s="1" t="s">
        <v>810</v>
      </c>
      <c r="C2621" s="1" t="s">
        <v>1669</v>
      </c>
      <c r="D2621" s="1" t="s">
        <v>746</v>
      </c>
      <c r="E2621" s="1" t="s">
        <v>747</v>
      </c>
      <c r="F2621" s="1" t="s">
        <v>748</v>
      </c>
      <c r="G2621" s="1" t="s">
        <v>1639</v>
      </c>
      <c r="H2621">
        <v>2010</v>
      </c>
      <c r="I2621">
        <v>2017</v>
      </c>
      <c r="J2621">
        <f t="shared" si="80"/>
        <v>8</v>
      </c>
      <c r="K2621" s="1" t="s">
        <v>741</v>
      </c>
      <c r="L2621" s="1" t="s">
        <v>798</v>
      </c>
      <c r="M2621">
        <f t="shared" si="81"/>
        <v>9</v>
      </c>
      <c r="N2621" t="s">
        <v>650</v>
      </c>
    </row>
    <row r="2622" spans="1:14" hidden="1" x14ac:dyDescent="0.3">
      <c r="A2622" s="1" t="s">
        <v>1670</v>
      </c>
      <c r="B2622" s="1" t="s">
        <v>810</v>
      </c>
      <c r="C2622" s="1" t="s">
        <v>1671</v>
      </c>
      <c r="D2622" s="1" t="s">
        <v>746</v>
      </c>
      <c r="E2622" s="1" t="s">
        <v>747</v>
      </c>
      <c r="F2622" s="1" t="s">
        <v>748</v>
      </c>
      <c r="G2622" s="1" t="s">
        <v>1639</v>
      </c>
      <c r="H2622">
        <v>2013</v>
      </c>
      <c r="I2622">
        <v>2014</v>
      </c>
      <c r="J2622">
        <f t="shared" si="80"/>
        <v>2</v>
      </c>
      <c r="K2622" s="1" t="s">
        <v>741</v>
      </c>
      <c r="L2622" s="1" t="s">
        <v>798</v>
      </c>
      <c r="M2622">
        <f t="shared" si="81"/>
        <v>12</v>
      </c>
      <c r="N2622" t="s">
        <v>650</v>
      </c>
    </row>
    <row r="2623" spans="1:14" hidden="1" x14ac:dyDescent="0.3">
      <c r="A2623" s="1" t="s">
        <v>1672</v>
      </c>
      <c r="B2623" s="1" t="s">
        <v>810</v>
      </c>
      <c r="C2623" s="1" t="s">
        <v>1673</v>
      </c>
      <c r="D2623" s="1" t="s">
        <v>746</v>
      </c>
      <c r="E2623" s="1" t="s">
        <v>747</v>
      </c>
      <c r="F2623" s="1" t="s">
        <v>748</v>
      </c>
      <c r="G2623" s="1" t="s">
        <v>1639</v>
      </c>
      <c r="H2623">
        <v>2003</v>
      </c>
      <c r="I2623">
        <v>2003</v>
      </c>
      <c r="J2623">
        <f t="shared" si="80"/>
        <v>1</v>
      </c>
      <c r="K2623" s="1" t="s">
        <v>741</v>
      </c>
      <c r="L2623" s="1" t="s">
        <v>666</v>
      </c>
      <c r="M2623">
        <f t="shared" si="81"/>
        <v>23</v>
      </c>
      <c r="N2623" t="s">
        <v>650</v>
      </c>
    </row>
    <row r="2624" spans="1:14" hidden="1" x14ac:dyDescent="0.3">
      <c r="A2624" s="1" t="s">
        <v>1674</v>
      </c>
      <c r="B2624" s="1" t="s">
        <v>810</v>
      </c>
      <c r="C2624" s="1" t="s">
        <v>1675</v>
      </c>
      <c r="D2624" s="1" t="s">
        <v>746</v>
      </c>
      <c r="E2624" s="1" t="s">
        <v>747</v>
      </c>
      <c r="F2624" s="1" t="s">
        <v>748</v>
      </c>
      <c r="G2624" s="1" t="s">
        <v>1639</v>
      </c>
      <c r="H2624">
        <v>2003</v>
      </c>
      <c r="I2624">
        <v>2004</v>
      </c>
      <c r="J2624">
        <f t="shared" si="80"/>
        <v>2</v>
      </c>
      <c r="K2624" s="1" t="s">
        <v>741</v>
      </c>
      <c r="L2624" s="1" t="s">
        <v>666</v>
      </c>
      <c r="M2624">
        <f t="shared" si="81"/>
        <v>22</v>
      </c>
      <c r="N2624" t="s">
        <v>650</v>
      </c>
    </row>
    <row r="2625" spans="1:14" hidden="1" x14ac:dyDescent="0.3">
      <c r="A2625" s="1" t="s">
        <v>1676</v>
      </c>
      <c r="B2625" s="1" t="s">
        <v>810</v>
      </c>
      <c r="C2625" s="1" t="s">
        <v>1677</v>
      </c>
      <c r="D2625" s="1" t="s">
        <v>746</v>
      </c>
      <c r="E2625" s="1" t="s">
        <v>747</v>
      </c>
      <c r="F2625" s="1" t="s">
        <v>748</v>
      </c>
      <c r="G2625" s="1" t="s">
        <v>1639</v>
      </c>
      <c r="H2625">
        <v>2003</v>
      </c>
      <c r="I2625">
        <v>2009</v>
      </c>
      <c r="J2625">
        <f t="shared" si="80"/>
        <v>7</v>
      </c>
      <c r="K2625" s="1" t="s">
        <v>741</v>
      </c>
      <c r="L2625" s="1" t="s">
        <v>798</v>
      </c>
      <c r="M2625">
        <f t="shared" si="81"/>
        <v>17</v>
      </c>
      <c r="N2625" t="s">
        <v>650</v>
      </c>
    </row>
    <row r="2626" spans="1:14" hidden="1" x14ac:dyDescent="0.3">
      <c r="A2626" s="1" t="s">
        <v>1678</v>
      </c>
      <c r="B2626" s="1" t="s">
        <v>810</v>
      </c>
      <c r="C2626" s="1" t="s">
        <v>1679</v>
      </c>
      <c r="D2626" s="1" t="s">
        <v>746</v>
      </c>
      <c r="E2626" s="1" t="s">
        <v>747</v>
      </c>
      <c r="F2626" s="1" t="s">
        <v>748</v>
      </c>
      <c r="G2626" s="1" t="s">
        <v>1639</v>
      </c>
      <c r="H2626">
        <v>2011</v>
      </c>
      <c r="I2626">
        <v>2014</v>
      </c>
      <c r="J2626">
        <f t="shared" si="80"/>
        <v>4</v>
      </c>
      <c r="K2626" s="1" t="s">
        <v>741</v>
      </c>
      <c r="L2626" s="1" t="s">
        <v>798</v>
      </c>
      <c r="M2626">
        <f t="shared" si="81"/>
        <v>12</v>
      </c>
      <c r="N2626" t="s">
        <v>650</v>
      </c>
    </row>
    <row r="2627" spans="1:14" hidden="1" x14ac:dyDescent="0.3">
      <c r="A2627" s="1" t="s">
        <v>1680</v>
      </c>
      <c r="B2627" s="1" t="s">
        <v>810</v>
      </c>
      <c r="C2627" s="1" t="s">
        <v>1681</v>
      </c>
      <c r="D2627" s="1" t="s">
        <v>746</v>
      </c>
      <c r="E2627" s="1" t="s">
        <v>747</v>
      </c>
      <c r="F2627" s="1" t="s">
        <v>748</v>
      </c>
      <c r="G2627" s="1" t="s">
        <v>1639</v>
      </c>
      <c r="H2627">
        <v>2005</v>
      </c>
      <c r="I2627">
        <v>2014</v>
      </c>
      <c r="J2627">
        <f t="shared" si="80"/>
        <v>10</v>
      </c>
      <c r="K2627" s="1" t="s">
        <v>741</v>
      </c>
      <c r="L2627" s="1" t="s">
        <v>798</v>
      </c>
      <c r="M2627">
        <f t="shared" si="81"/>
        <v>12</v>
      </c>
      <c r="N2627" t="s">
        <v>650</v>
      </c>
    </row>
    <row r="2628" spans="1:14" hidden="1" x14ac:dyDescent="0.3">
      <c r="A2628" s="1" t="s">
        <v>1682</v>
      </c>
      <c r="B2628" s="1" t="s">
        <v>810</v>
      </c>
      <c r="C2628" s="1" t="s">
        <v>1683</v>
      </c>
      <c r="D2628" s="1" t="s">
        <v>746</v>
      </c>
      <c r="E2628" s="1" t="s">
        <v>747</v>
      </c>
      <c r="F2628" s="1" t="s">
        <v>748</v>
      </c>
      <c r="G2628" s="1" t="s">
        <v>1639</v>
      </c>
      <c r="H2628">
        <v>1996</v>
      </c>
      <c r="I2628">
        <v>2003</v>
      </c>
      <c r="J2628">
        <f t="shared" si="80"/>
        <v>8</v>
      </c>
      <c r="K2628" s="1" t="s">
        <v>741</v>
      </c>
      <c r="L2628" s="1" t="s">
        <v>666</v>
      </c>
      <c r="M2628">
        <f t="shared" si="81"/>
        <v>23</v>
      </c>
      <c r="N2628" t="s">
        <v>650</v>
      </c>
    </row>
    <row r="2629" spans="1:14" hidden="1" x14ac:dyDescent="0.3">
      <c r="A2629" s="1" t="s">
        <v>1684</v>
      </c>
      <c r="B2629" s="1" t="s">
        <v>810</v>
      </c>
      <c r="C2629" s="1" t="s">
        <v>1685</v>
      </c>
      <c r="D2629" s="1" t="s">
        <v>746</v>
      </c>
      <c r="E2629" s="1" t="s">
        <v>747</v>
      </c>
      <c r="F2629" s="1" t="s">
        <v>748</v>
      </c>
      <c r="G2629" s="1" t="s">
        <v>1639</v>
      </c>
      <c r="H2629">
        <v>1998</v>
      </c>
      <c r="I2629">
        <v>2004</v>
      </c>
      <c r="J2629">
        <f t="shared" si="80"/>
        <v>7</v>
      </c>
      <c r="K2629" s="1" t="s">
        <v>741</v>
      </c>
      <c r="L2629" s="1" t="s">
        <v>666</v>
      </c>
      <c r="M2629">
        <f t="shared" si="81"/>
        <v>22</v>
      </c>
      <c r="N2629" t="s">
        <v>650</v>
      </c>
    </row>
    <row r="2630" spans="1:14" hidden="1" x14ac:dyDescent="0.3">
      <c r="A2630" s="1" t="s">
        <v>1686</v>
      </c>
      <c r="B2630" s="1" t="s">
        <v>810</v>
      </c>
      <c r="C2630" s="1" t="s">
        <v>1687</v>
      </c>
      <c r="D2630" s="1" t="s">
        <v>746</v>
      </c>
      <c r="E2630" s="1" t="s">
        <v>747</v>
      </c>
      <c r="F2630" s="1" t="s">
        <v>748</v>
      </c>
      <c r="G2630" s="1" t="s">
        <v>1639</v>
      </c>
      <c r="H2630">
        <v>2019</v>
      </c>
      <c r="I2630">
        <v>2022</v>
      </c>
      <c r="J2630">
        <f t="shared" ref="J2630:J2693" si="82">1+(I2630-H2630)</f>
        <v>4</v>
      </c>
      <c r="K2630" s="1" t="s">
        <v>741</v>
      </c>
      <c r="L2630" s="1" t="s">
        <v>798</v>
      </c>
      <c r="M2630">
        <f t="shared" ref="M2630:M2693" si="83">IF(I2630=0,0,$B$2-I2630)</f>
        <v>4</v>
      </c>
      <c r="N2630" t="s">
        <v>650</v>
      </c>
    </row>
    <row r="2631" spans="1:14" hidden="1" x14ac:dyDescent="0.3">
      <c r="A2631" s="1" t="s">
        <v>1688</v>
      </c>
      <c r="B2631" s="1" t="s">
        <v>810</v>
      </c>
      <c r="C2631" s="1" t="s">
        <v>1689</v>
      </c>
      <c r="D2631" s="1" t="s">
        <v>746</v>
      </c>
      <c r="E2631" s="1" t="s">
        <v>747</v>
      </c>
      <c r="F2631" s="1" t="s">
        <v>748</v>
      </c>
      <c r="G2631" s="1" t="s">
        <v>1639</v>
      </c>
      <c r="H2631">
        <v>2019</v>
      </c>
      <c r="I2631">
        <v>2022</v>
      </c>
      <c r="J2631">
        <f t="shared" si="82"/>
        <v>4</v>
      </c>
      <c r="K2631" s="1" t="s">
        <v>741</v>
      </c>
      <c r="L2631" s="1" t="s">
        <v>798</v>
      </c>
      <c r="M2631">
        <f t="shared" si="83"/>
        <v>4</v>
      </c>
      <c r="N2631" t="s">
        <v>650</v>
      </c>
    </row>
    <row r="2632" spans="1:14" hidden="1" x14ac:dyDescent="0.3">
      <c r="A2632" s="1" t="s">
        <v>1690</v>
      </c>
      <c r="B2632" s="1" t="s">
        <v>810</v>
      </c>
      <c r="C2632" s="1" t="s">
        <v>1691</v>
      </c>
      <c r="D2632" s="1" t="s">
        <v>746</v>
      </c>
      <c r="E2632" s="1" t="s">
        <v>747</v>
      </c>
      <c r="F2632" s="1" t="s">
        <v>748</v>
      </c>
      <c r="G2632" s="1" t="s">
        <v>1639</v>
      </c>
      <c r="H2632">
        <v>2000</v>
      </c>
      <c r="I2632">
        <v>2004</v>
      </c>
      <c r="J2632">
        <f t="shared" si="82"/>
        <v>5</v>
      </c>
      <c r="K2632" s="1" t="s">
        <v>741</v>
      </c>
      <c r="L2632" s="1" t="s">
        <v>666</v>
      </c>
      <c r="M2632">
        <f t="shared" si="83"/>
        <v>22</v>
      </c>
      <c r="N2632" t="s">
        <v>650</v>
      </c>
    </row>
    <row r="2633" spans="1:14" hidden="1" x14ac:dyDescent="0.3">
      <c r="A2633" s="1" t="s">
        <v>1692</v>
      </c>
      <c r="B2633" s="1" t="s">
        <v>810</v>
      </c>
      <c r="C2633" s="1" t="s">
        <v>1693</v>
      </c>
      <c r="D2633" s="1" t="s">
        <v>746</v>
      </c>
      <c r="E2633" s="1" t="s">
        <v>747</v>
      </c>
      <c r="F2633" s="1" t="s">
        <v>748</v>
      </c>
      <c r="G2633" s="1" t="s">
        <v>1639</v>
      </c>
      <c r="H2633">
        <v>2000</v>
      </c>
      <c r="I2633">
        <v>2004</v>
      </c>
      <c r="J2633">
        <f t="shared" si="82"/>
        <v>5</v>
      </c>
      <c r="K2633" s="1" t="s">
        <v>741</v>
      </c>
      <c r="L2633" s="1" t="s">
        <v>666</v>
      </c>
      <c r="M2633">
        <f t="shared" si="83"/>
        <v>22</v>
      </c>
      <c r="N2633" t="s">
        <v>650</v>
      </c>
    </row>
    <row r="2634" spans="1:14" hidden="1" x14ac:dyDescent="0.3">
      <c r="A2634" s="1" t="s">
        <v>1694</v>
      </c>
      <c r="B2634" s="1" t="s">
        <v>810</v>
      </c>
      <c r="C2634" s="1" t="s">
        <v>1695</v>
      </c>
      <c r="D2634" s="1" t="s">
        <v>746</v>
      </c>
      <c r="E2634" s="1" t="s">
        <v>747</v>
      </c>
      <c r="F2634" s="1" t="s">
        <v>748</v>
      </c>
      <c r="G2634" s="1" t="s">
        <v>1639</v>
      </c>
      <c r="H2634">
        <v>2005</v>
      </c>
      <c r="I2634">
        <v>2009</v>
      </c>
      <c r="J2634">
        <f t="shared" si="82"/>
        <v>5</v>
      </c>
      <c r="K2634" s="1" t="s">
        <v>741</v>
      </c>
      <c r="L2634" s="1" t="s">
        <v>798</v>
      </c>
      <c r="M2634">
        <f t="shared" si="83"/>
        <v>17</v>
      </c>
      <c r="N2634" t="s">
        <v>650</v>
      </c>
    </row>
    <row r="2635" spans="1:14" hidden="1" x14ac:dyDescent="0.3">
      <c r="A2635" s="1" t="s">
        <v>1696</v>
      </c>
      <c r="B2635" s="1" t="s">
        <v>810</v>
      </c>
      <c r="C2635" s="1" t="s">
        <v>1697</v>
      </c>
      <c r="D2635" s="1" t="s">
        <v>746</v>
      </c>
      <c r="E2635" s="1" t="s">
        <v>747</v>
      </c>
      <c r="F2635" s="1" t="s">
        <v>748</v>
      </c>
      <c r="G2635" s="1" t="s">
        <v>1639</v>
      </c>
      <c r="H2635">
        <v>2005</v>
      </c>
      <c r="I2635">
        <v>2005</v>
      </c>
      <c r="J2635">
        <f t="shared" si="82"/>
        <v>1</v>
      </c>
      <c r="K2635" s="1" t="s">
        <v>741</v>
      </c>
      <c r="L2635" s="1" t="s">
        <v>666</v>
      </c>
      <c r="M2635">
        <f t="shared" si="83"/>
        <v>21</v>
      </c>
      <c r="N2635" t="s">
        <v>650</v>
      </c>
    </row>
    <row r="2636" spans="1:14" hidden="1" x14ac:dyDescent="0.3">
      <c r="A2636" s="1" t="s">
        <v>1698</v>
      </c>
      <c r="B2636" s="1" t="s">
        <v>810</v>
      </c>
      <c r="C2636" s="1" t="s">
        <v>1699</v>
      </c>
      <c r="D2636" s="1" t="s">
        <v>746</v>
      </c>
      <c r="E2636" s="1" t="s">
        <v>747</v>
      </c>
      <c r="F2636" s="1" t="s">
        <v>748</v>
      </c>
      <c r="G2636" s="1" t="s">
        <v>1639</v>
      </c>
      <c r="H2636">
        <v>1993</v>
      </c>
      <c r="I2636">
        <v>1996</v>
      </c>
      <c r="J2636">
        <f t="shared" si="82"/>
        <v>4</v>
      </c>
      <c r="K2636" s="1" t="s">
        <v>741</v>
      </c>
      <c r="L2636" s="1" t="s">
        <v>666</v>
      </c>
      <c r="M2636">
        <f t="shared" si="83"/>
        <v>30</v>
      </c>
      <c r="N2636" t="s">
        <v>640</v>
      </c>
    </row>
    <row r="2637" spans="1:14" hidden="1" x14ac:dyDescent="0.3">
      <c r="A2637" s="1" t="s">
        <v>1700</v>
      </c>
      <c r="B2637" s="1" t="s">
        <v>810</v>
      </c>
      <c r="C2637" s="1" t="s">
        <v>1701</v>
      </c>
      <c r="D2637" s="1" t="s">
        <v>746</v>
      </c>
      <c r="E2637" s="1" t="s">
        <v>747</v>
      </c>
      <c r="F2637" s="1" t="s">
        <v>748</v>
      </c>
      <c r="G2637" s="1" t="s">
        <v>1639</v>
      </c>
      <c r="H2637">
        <v>2000</v>
      </c>
      <c r="I2637">
        <v>2000</v>
      </c>
      <c r="J2637">
        <f t="shared" si="82"/>
        <v>1</v>
      </c>
      <c r="K2637" s="1" t="s">
        <v>741</v>
      </c>
      <c r="L2637" s="1" t="s">
        <v>666</v>
      </c>
      <c r="M2637">
        <f t="shared" si="83"/>
        <v>26</v>
      </c>
      <c r="N2637" t="s">
        <v>640</v>
      </c>
    </row>
    <row r="2638" spans="1:14" hidden="1" x14ac:dyDescent="0.3">
      <c r="A2638" s="1" t="s">
        <v>1702</v>
      </c>
      <c r="B2638" s="1" t="s">
        <v>810</v>
      </c>
      <c r="C2638" s="1" t="s">
        <v>1703</v>
      </c>
      <c r="D2638" s="1" t="s">
        <v>746</v>
      </c>
      <c r="E2638" s="1" t="s">
        <v>747</v>
      </c>
      <c r="F2638" s="1" t="s">
        <v>748</v>
      </c>
      <c r="G2638" s="1" t="s">
        <v>1639</v>
      </c>
      <c r="H2638">
        <v>2000</v>
      </c>
      <c r="I2638">
        <v>2002</v>
      </c>
      <c r="J2638">
        <f t="shared" si="82"/>
        <v>3</v>
      </c>
      <c r="K2638" s="1" t="s">
        <v>741</v>
      </c>
      <c r="L2638" s="1" t="s">
        <v>666</v>
      </c>
      <c r="M2638">
        <f t="shared" si="83"/>
        <v>24</v>
      </c>
      <c r="N2638" t="s">
        <v>650</v>
      </c>
    </row>
    <row r="2639" spans="1:14" hidden="1" x14ac:dyDescent="0.3">
      <c r="A2639" s="1" t="s">
        <v>1704</v>
      </c>
      <c r="B2639" s="1" t="s">
        <v>810</v>
      </c>
      <c r="C2639" s="1" t="s">
        <v>1705</v>
      </c>
      <c r="D2639" s="1" t="s">
        <v>746</v>
      </c>
      <c r="E2639" s="1" t="s">
        <v>747</v>
      </c>
      <c r="F2639" s="1" t="s">
        <v>748</v>
      </c>
      <c r="G2639" s="1" t="s">
        <v>1639</v>
      </c>
      <c r="H2639">
        <v>1997</v>
      </c>
      <c r="I2639">
        <v>2002</v>
      </c>
      <c r="J2639">
        <f t="shared" si="82"/>
        <v>6</v>
      </c>
      <c r="K2639" s="1" t="s">
        <v>741</v>
      </c>
      <c r="L2639" s="1" t="s">
        <v>666</v>
      </c>
      <c r="M2639">
        <f t="shared" si="83"/>
        <v>24</v>
      </c>
      <c r="N2639" t="s">
        <v>650</v>
      </c>
    </row>
    <row r="2640" spans="1:14" hidden="1" x14ac:dyDescent="0.3">
      <c r="A2640" s="1" t="s">
        <v>1706</v>
      </c>
      <c r="B2640" s="1" t="s">
        <v>810</v>
      </c>
      <c r="C2640" s="1" t="s">
        <v>1707</v>
      </c>
      <c r="D2640" s="1" t="s">
        <v>746</v>
      </c>
      <c r="E2640" s="1" t="s">
        <v>747</v>
      </c>
      <c r="F2640" s="1" t="s">
        <v>748</v>
      </c>
      <c r="G2640" s="1" t="s">
        <v>1639</v>
      </c>
      <c r="H2640">
        <v>1998</v>
      </c>
      <c r="I2640">
        <v>2002</v>
      </c>
      <c r="J2640">
        <f t="shared" si="82"/>
        <v>5</v>
      </c>
      <c r="K2640" s="1" t="s">
        <v>741</v>
      </c>
      <c r="L2640" s="1" t="s">
        <v>666</v>
      </c>
      <c r="M2640">
        <f t="shared" si="83"/>
        <v>24</v>
      </c>
      <c r="N2640" t="s">
        <v>650</v>
      </c>
    </row>
    <row r="2641" spans="1:14" hidden="1" x14ac:dyDescent="0.3">
      <c r="A2641" s="1" t="s">
        <v>1708</v>
      </c>
      <c r="B2641" s="1" t="s">
        <v>810</v>
      </c>
      <c r="C2641" s="1" t="s">
        <v>1709</v>
      </c>
      <c r="D2641" s="1" t="s">
        <v>746</v>
      </c>
      <c r="E2641" s="1" t="s">
        <v>747</v>
      </c>
      <c r="F2641" s="1" t="s">
        <v>748</v>
      </c>
      <c r="G2641" s="1" t="s">
        <v>1639</v>
      </c>
      <c r="H2641">
        <v>1995</v>
      </c>
      <c r="I2641">
        <v>2003</v>
      </c>
      <c r="J2641">
        <f t="shared" si="82"/>
        <v>9</v>
      </c>
      <c r="K2641" s="1" t="s">
        <v>741</v>
      </c>
      <c r="L2641" s="1" t="s">
        <v>666</v>
      </c>
      <c r="M2641">
        <f t="shared" si="83"/>
        <v>23</v>
      </c>
      <c r="N2641" t="s">
        <v>650</v>
      </c>
    </row>
    <row r="2642" spans="1:14" hidden="1" x14ac:dyDescent="0.3">
      <c r="A2642" s="1" t="s">
        <v>1710</v>
      </c>
      <c r="B2642" s="1" t="s">
        <v>810</v>
      </c>
      <c r="C2642" s="1" t="s">
        <v>1711</v>
      </c>
      <c r="D2642" s="1" t="s">
        <v>746</v>
      </c>
      <c r="E2642" s="1" t="s">
        <v>747</v>
      </c>
      <c r="F2642" s="1" t="s">
        <v>748</v>
      </c>
      <c r="G2642" s="1" t="s">
        <v>1639</v>
      </c>
      <c r="H2642">
        <v>1998</v>
      </c>
      <c r="I2642">
        <v>2003</v>
      </c>
      <c r="J2642">
        <f t="shared" si="82"/>
        <v>6</v>
      </c>
      <c r="K2642" s="1" t="s">
        <v>741</v>
      </c>
      <c r="L2642" s="1" t="s">
        <v>666</v>
      </c>
      <c r="M2642">
        <f t="shared" si="83"/>
        <v>23</v>
      </c>
      <c r="N2642" t="s">
        <v>650</v>
      </c>
    </row>
    <row r="2643" spans="1:14" hidden="1" x14ac:dyDescent="0.3">
      <c r="A2643" s="1" t="s">
        <v>1712</v>
      </c>
      <c r="B2643" s="1" t="s">
        <v>810</v>
      </c>
      <c r="C2643" s="1" t="s">
        <v>1713</v>
      </c>
      <c r="D2643" s="1" t="s">
        <v>746</v>
      </c>
      <c r="E2643" s="1" t="s">
        <v>747</v>
      </c>
      <c r="F2643" s="1" t="s">
        <v>748</v>
      </c>
      <c r="G2643" s="1" t="s">
        <v>1639</v>
      </c>
      <c r="H2643">
        <v>1998</v>
      </c>
      <c r="I2643">
        <v>1999</v>
      </c>
      <c r="J2643">
        <f t="shared" si="82"/>
        <v>2</v>
      </c>
      <c r="K2643" s="1" t="s">
        <v>741</v>
      </c>
      <c r="L2643" s="1" t="s">
        <v>666</v>
      </c>
      <c r="M2643">
        <f t="shared" si="83"/>
        <v>27</v>
      </c>
      <c r="N2643" t="s">
        <v>640</v>
      </c>
    </row>
    <row r="2644" spans="1:14" hidden="1" x14ac:dyDescent="0.3">
      <c r="A2644" s="1" t="s">
        <v>1714</v>
      </c>
      <c r="B2644" s="1" t="s">
        <v>810</v>
      </c>
      <c r="C2644" s="1" t="s">
        <v>1715</v>
      </c>
      <c r="D2644" s="1" t="s">
        <v>746</v>
      </c>
      <c r="E2644" s="1" t="s">
        <v>747</v>
      </c>
      <c r="F2644" s="1" t="s">
        <v>748</v>
      </c>
      <c r="G2644" s="1" t="s">
        <v>1639</v>
      </c>
      <c r="H2644">
        <v>1997</v>
      </c>
      <c r="I2644">
        <v>1999</v>
      </c>
      <c r="J2644">
        <f t="shared" si="82"/>
        <v>3</v>
      </c>
      <c r="K2644" s="1" t="s">
        <v>741</v>
      </c>
      <c r="L2644" s="1" t="s">
        <v>666</v>
      </c>
      <c r="M2644">
        <f t="shared" si="83"/>
        <v>27</v>
      </c>
      <c r="N2644" t="s">
        <v>640</v>
      </c>
    </row>
    <row r="2645" spans="1:14" hidden="1" x14ac:dyDescent="0.3">
      <c r="A2645" s="1" t="s">
        <v>1716</v>
      </c>
      <c r="B2645" s="1" t="s">
        <v>810</v>
      </c>
      <c r="C2645" s="1" t="s">
        <v>1717</v>
      </c>
      <c r="D2645" s="1" t="s">
        <v>746</v>
      </c>
      <c r="E2645" s="1" t="s">
        <v>747</v>
      </c>
      <c r="F2645" s="1" t="s">
        <v>748</v>
      </c>
      <c r="G2645" s="1" t="s">
        <v>1639</v>
      </c>
      <c r="H2645">
        <v>1995</v>
      </c>
      <c r="I2645">
        <v>1997</v>
      </c>
      <c r="J2645">
        <f t="shared" si="82"/>
        <v>3</v>
      </c>
      <c r="K2645" s="1" t="s">
        <v>741</v>
      </c>
      <c r="L2645" s="1" t="s">
        <v>666</v>
      </c>
      <c r="M2645">
        <f t="shared" si="83"/>
        <v>29</v>
      </c>
      <c r="N2645" t="s">
        <v>640</v>
      </c>
    </row>
    <row r="2646" spans="1:14" x14ac:dyDescent="0.3">
      <c r="A2646" s="1" t="s">
        <v>8184</v>
      </c>
      <c r="B2646" s="1" t="s">
        <v>810</v>
      </c>
      <c r="C2646" s="1" t="s">
        <v>8185</v>
      </c>
      <c r="D2646" s="1" t="s">
        <v>746</v>
      </c>
      <c r="E2646" s="1" t="s">
        <v>6076</v>
      </c>
      <c r="F2646" s="1" t="s">
        <v>6076</v>
      </c>
      <c r="G2646" s="1" t="s">
        <v>1639</v>
      </c>
      <c r="H2646">
        <v>2000</v>
      </c>
      <c r="I2646">
        <v>2002</v>
      </c>
      <c r="J2646">
        <f t="shared" si="82"/>
        <v>3</v>
      </c>
      <c r="K2646" s="1" t="s">
        <v>6076</v>
      </c>
      <c r="L2646" s="1" t="s">
        <v>6076</v>
      </c>
      <c r="M2646">
        <f t="shared" si="83"/>
        <v>24</v>
      </c>
      <c r="N2646" t="s">
        <v>650</v>
      </c>
    </row>
    <row r="2647" spans="1:14" x14ac:dyDescent="0.3">
      <c r="A2647" s="1" t="s">
        <v>8186</v>
      </c>
      <c r="B2647" s="1" t="s">
        <v>810</v>
      </c>
      <c r="C2647" s="1" t="s">
        <v>8187</v>
      </c>
      <c r="D2647" s="1" t="s">
        <v>746</v>
      </c>
      <c r="E2647" s="1" t="s">
        <v>6076</v>
      </c>
      <c r="F2647" s="1" t="s">
        <v>6076</v>
      </c>
      <c r="G2647" s="1" t="s">
        <v>1639</v>
      </c>
      <c r="H2647">
        <v>2000</v>
      </c>
      <c r="I2647">
        <v>2002</v>
      </c>
      <c r="J2647">
        <f t="shared" si="82"/>
        <v>3</v>
      </c>
      <c r="K2647" s="1" t="s">
        <v>6076</v>
      </c>
      <c r="L2647" s="1" t="s">
        <v>6076</v>
      </c>
      <c r="M2647">
        <f t="shared" si="83"/>
        <v>24</v>
      </c>
      <c r="N2647" t="s">
        <v>650</v>
      </c>
    </row>
    <row r="2648" spans="1:14" hidden="1" x14ac:dyDescent="0.3">
      <c r="A2648" s="1" t="s">
        <v>1718</v>
      </c>
      <c r="B2648" s="1" t="s">
        <v>810</v>
      </c>
      <c r="C2648" s="1" t="s">
        <v>1719</v>
      </c>
      <c r="D2648" s="1" t="s">
        <v>746</v>
      </c>
      <c r="E2648" s="1" t="s">
        <v>747</v>
      </c>
      <c r="F2648" s="1" t="s">
        <v>748</v>
      </c>
      <c r="G2648" s="1" t="s">
        <v>1639</v>
      </c>
      <c r="H2648">
        <v>2012</v>
      </c>
      <c r="I2648">
        <v>2013</v>
      </c>
      <c r="J2648">
        <f t="shared" si="82"/>
        <v>2</v>
      </c>
      <c r="K2648" s="1" t="s">
        <v>741</v>
      </c>
      <c r="L2648" s="1" t="s">
        <v>798</v>
      </c>
      <c r="M2648">
        <f t="shared" si="83"/>
        <v>13</v>
      </c>
      <c r="N2648" t="s">
        <v>650</v>
      </c>
    </row>
    <row r="2649" spans="1:14" hidden="1" x14ac:dyDescent="0.3">
      <c r="A2649" s="1" t="s">
        <v>1720</v>
      </c>
      <c r="B2649" s="1" t="s">
        <v>810</v>
      </c>
      <c r="C2649" s="1" t="s">
        <v>1721</v>
      </c>
      <c r="D2649" s="1" t="s">
        <v>746</v>
      </c>
      <c r="E2649" s="1" t="s">
        <v>747</v>
      </c>
      <c r="F2649" s="1" t="s">
        <v>748</v>
      </c>
      <c r="G2649" s="1" t="s">
        <v>1639</v>
      </c>
      <c r="H2649">
        <v>2005</v>
      </c>
      <c r="I2649">
        <v>2016</v>
      </c>
      <c r="J2649">
        <f t="shared" si="82"/>
        <v>12</v>
      </c>
      <c r="K2649" s="1" t="s">
        <v>741</v>
      </c>
      <c r="L2649" s="1" t="s">
        <v>798</v>
      </c>
      <c r="M2649">
        <f t="shared" si="83"/>
        <v>10</v>
      </c>
      <c r="N2649" t="s">
        <v>650</v>
      </c>
    </row>
    <row r="2650" spans="1:14" hidden="1" x14ac:dyDescent="0.3">
      <c r="A2650" s="1" t="s">
        <v>1722</v>
      </c>
      <c r="B2650" s="1" t="s">
        <v>810</v>
      </c>
      <c r="C2650" s="1" t="s">
        <v>1723</v>
      </c>
      <c r="D2650" s="1" t="s">
        <v>746</v>
      </c>
      <c r="E2650" s="1" t="s">
        <v>747</v>
      </c>
      <c r="F2650" s="1" t="s">
        <v>748</v>
      </c>
      <c r="G2650" s="1" t="s">
        <v>1639</v>
      </c>
      <c r="H2650">
        <v>2003</v>
      </c>
      <c r="I2650">
        <v>2003</v>
      </c>
      <c r="J2650">
        <f t="shared" si="82"/>
        <v>1</v>
      </c>
      <c r="K2650" s="1" t="s">
        <v>741</v>
      </c>
      <c r="L2650" s="1" t="s">
        <v>666</v>
      </c>
      <c r="M2650">
        <f t="shared" si="83"/>
        <v>23</v>
      </c>
      <c r="N2650" t="s">
        <v>650</v>
      </c>
    </row>
    <row r="2651" spans="1:14" hidden="1" x14ac:dyDescent="0.3">
      <c r="A2651" s="1" t="s">
        <v>1724</v>
      </c>
      <c r="B2651" s="1" t="s">
        <v>810</v>
      </c>
      <c r="C2651" s="1" t="s">
        <v>1725</v>
      </c>
      <c r="D2651" s="1" t="s">
        <v>746</v>
      </c>
      <c r="E2651" s="1" t="s">
        <v>747</v>
      </c>
      <c r="F2651" s="1" t="s">
        <v>748</v>
      </c>
      <c r="G2651" s="1" t="s">
        <v>1639</v>
      </c>
      <c r="H2651">
        <v>2002</v>
      </c>
      <c r="I2651">
        <v>2004</v>
      </c>
      <c r="J2651">
        <f t="shared" si="82"/>
        <v>3</v>
      </c>
      <c r="K2651" s="1" t="s">
        <v>741</v>
      </c>
      <c r="L2651" s="1" t="s">
        <v>666</v>
      </c>
      <c r="M2651">
        <f t="shared" si="83"/>
        <v>22</v>
      </c>
      <c r="N2651" t="s">
        <v>650</v>
      </c>
    </row>
    <row r="2652" spans="1:14" hidden="1" x14ac:dyDescent="0.3">
      <c r="A2652" s="1" t="s">
        <v>1726</v>
      </c>
      <c r="B2652" s="1" t="s">
        <v>810</v>
      </c>
      <c r="C2652" s="1" t="s">
        <v>1727</v>
      </c>
      <c r="D2652" s="1" t="s">
        <v>746</v>
      </c>
      <c r="E2652" s="1" t="s">
        <v>747</v>
      </c>
      <c r="F2652" s="1" t="s">
        <v>748</v>
      </c>
      <c r="G2652" s="1" t="s">
        <v>1639</v>
      </c>
      <c r="H2652">
        <v>2005</v>
      </c>
      <c r="I2652">
        <v>2016</v>
      </c>
      <c r="J2652">
        <f t="shared" si="82"/>
        <v>12</v>
      </c>
      <c r="K2652" s="1" t="s">
        <v>741</v>
      </c>
      <c r="L2652" s="1" t="s">
        <v>798</v>
      </c>
      <c r="M2652">
        <f t="shared" si="83"/>
        <v>10</v>
      </c>
      <c r="N2652" t="s">
        <v>650</v>
      </c>
    </row>
    <row r="2653" spans="1:14" hidden="1" x14ac:dyDescent="0.3">
      <c r="A2653" s="1" t="s">
        <v>1728</v>
      </c>
      <c r="B2653" s="1" t="s">
        <v>810</v>
      </c>
      <c r="C2653" s="1" t="s">
        <v>1729</v>
      </c>
      <c r="D2653" s="1" t="s">
        <v>746</v>
      </c>
      <c r="E2653" s="1" t="s">
        <v>747</v>
      </c>
      <c r="F2653" s="1" t="s">
        <v>748</v>
      </c>
      <c r="G2653" s="1" t="s">
        <v>1639</v>
      </c>
      <c r="H2653">
        <v>2003</v>
      </c>
      <c r="I2653">
        <v>2005</v>
      </c>
      <c r="J2653">
        <f t="shared" si="82"/>
        <v>3</v>
      </c>
      <c r="K2653" s="1" t="s">
        <v>741</v>
      </c>
      <c r="L2653" s="1" t="s">
        <v>666</v>
      </c>
      <c r="M2653">
        <f t="shared" si="83"/>
        <v>21</v>
      </c>
      <c r="N2653" t="s">
        <v>650</v>
      </c>
    </row>
    <row r="2654" spans="1:14" hidden="1" x14ac:dyDescent="0.3">
      <c r="A2654" s="1" t="s">
        <v>1730</v>
      </c>
      <c r="B2654" s="1" t="s">
        <v>810</v>
      </c>
      <c r="C2654" s="1" t="s">
        <v>1731</v>
      </c>
      <c r="D2654" s="1" t="s">
        <v>746</v>
      </c>
      <c r="E2654" s="1" t="s">
        <v>747</v>
      </c>
      <c r="F2654" s="1" t="s">
        <v>748</v>
      </c>
      <c r="G2654" s="1" t="s">
        <v>1639</v>
      </c>
      <c r="H2654">
        <v>2003</v>
      </c>
      <c r="I2654">
        <v>2005</v>
      </c>
      <c r="J2654">
        <f t="shared" si="82"/>
        <v>3</v>
      </c>
      <c r="K2654" s="1" t="s">
        <v>741</v>
      </c>
      <c r="L2654" s="1" t="s">
        <v>666</v>
      </c>
      <c r="M2654">
        <f t="shared" si="83"/>
        <v>21</v>
      </c>
      <c r="N2654" t="s">
        <v>650</v>
      </c>
    </row>
    <row r="2655" spans="1:14" hidden="1" x14ac:dyDescent="0.3">
      <c r="A2655" s="1" t="s">
        <v>1732</v>
      </c>
      <c r="B2655" s="1" t="s">
        <v>810</v>
      </c>
      <c r="C2655" s="1" t="s">
        <v>1733</v>
      </c>
      <c r="D2655" s="1" t="s">
        <v>746</v>
      </c>
      <c r="E2655" s="1" t="s">
        <v>747</v>
      </c>
      <c r="F2655" s="1" t="s">
        <v>748</v>
      </c>
      <c r="G2655" s="1" t="s">
        <v>1639</v>
      </c>
      <c r="H2655">
        <v>2017</v>
      </c>
      <c r="I2655">
        <v>2017</v>
      </c>
      <c r="J2655">
        <f t="shared" si="82"/>
        <v>1</v>
      </c>
      <c r="K2655" s="1" t="s">
        <v>741</v>
      </c>
      <c r="L2655" s="1" t="s">
        <v>666</v>
      </c>
      <c r="M2655">
        <f t="shared" si="83"/>
        <v>9</v>
      </c>
      <c r="N2655" t="s">
        <v>650</v>
      </c>
    </row>
    <row r="2656" spans="1:14" hidden="1" x14ac:dyDescent="0.3">
      <c r="A2656" s="1" t="s">
        <v>1734</v>
      </c>
      <c r="B2656" s="1" t="s">
        <v>810</v>
      </c>
      <c r="C2656" s="1" t="s">
        <v>1735</v>
      </c>
      <c r="D2656" s="1" t="s">
        <v>746</v>
      </c>
      <c r="E2656" s="1" t="s">
        <v>747</v>
      </c>
      <c r="F2656" s="1" t="s">
        <v>748</v>
      </c>
      <c r="G2656" s="1" t="s">
        <v>1639</v>
      </c>
      <c r="H2656">
        <v>2017</v>
      </c>
      <c r="I2656">
        <v>2017</v>
      </c>
      <c r="J2656">
        <f t="shared" si="82"/>
        <v>1</v>
      </c>
      <c r="K2656" s="1" t="s">
        <v>741</v>
      </c>
      <c r="L2656" s="1" t="s">
        <v>666</v>
      </c>
      <c r="M2656">
        <f t="shared" si="83"/>
        <v>9</v>
      </c>
      <c r="N2656" t="s">
        <v>650</v>
      </c>
    </row>
    <row r="2657" spans="1:14" hidden="1" x14ac:dyDescent="0.3">
      <c r="A2657" s="1" t="s">
        <v>1736</v>
      </c>
      <c r="B2657" s="1" t="s">
        <v>810</v>
      </c>
      <c r="C2657" s="1" t="s">
        <v>1737</v>
      </c>
      <c r="D2657" s="1" t="s">
        <v>746</v>
      </c>
      <c r="E2657" s="1" t="s">
        <v>747</v>
      </c>
      <c r="F2657" s="1" t="s">
        <v>748</v>
      </c>
      <c r="G2657" s="1" t="s">
        <v>1639</v>
      </c>
      <c r="H2657">
        <v>2003</v>
      </c>
      <c r="I2657">
        <v>2003</v>
      </c>
      <c r="J2657">
        <f t="shared" si="82"/>
        <v>1</v>
      </c>
      <c r="K2657" s="1" t="s">
        <v>741</v>
      </c>
      <c r="L2657" s="1" t="s">
        <v>666</v>
      </c>
      <c r="M2657">
        <f t="shared" si="83"/>
        <v>23</v>
      </c>
      <c r="N2657" t="s">
        <v>650</v>
      </c>
    </row>
    <row r="2658" spans="1:14" hidden="1" x14ac:dyDescent="0.3">
      <c r="A2658" s="1" t="s">
        <v>1738</v>
      </c>
      <c r="B2658" s="1" t="s">
        <v>810</v>
      </c>
      <c r="C2658" s="1" t="s">
        <v>1739</v>
      </c>
      <c r="D2658" s="1" t="s">
        <v>746</v>
      </c>
      <c r="E2658" s="1" t="s">
        <v>747</v>
      </c>
      <c r="F2658" s="1" t="s">
        <v>748</v>
      </c>
      <c r="G2658" s="1" t="s">
        <v>1639</v>
      </c>
      <c r="H2658">
        <v>2003</v>
      </c>
      <c r="I2658">
        <v>2003</v>
      </c>
      <c r="J2658">
        <f t="shared" si="82"/>
        <v>1</v>
      </c>
      <c r="K2658" s="1" t="s">
        <v>741</v>
      </c>
      <c r="L2658" s="1" t="s">
        <v>666</v>
      </c>
      <c r="M2658">
        <f t="shared" si="83"/>
        <v>23</v>
      </c>
      <c r="N2658" t="s">
        <v>650</v>
      </c>
    </row>
    <row r="2659" spans="1:14" hidden="1" x14ac:dyDescent="0.3">
      <c r="A2659" s="1" t="s">
        <v>1740</v>
      </c>
      <c r="B2659" s="1" t="s">
        <v>810</v>
      </c>
      <c r="C2659" s="1" t="s">
        <v>1741</v>
      </c>
      <c r="D2659" s="1" t="s">
        <v>746</v>
      </c>
      <c r="E2659" s="1" t="s">
        <v>747</v>
      </c>
      <c r="F2659" s="1" t="s">
        <v>748</v>
      </c>
      <c r="G2659" s="1" t="s">
        <v>1639</v>
      </c>
      <c r="H2659">
        <v>1997</v>
      </c>
      <c r="I2659">
        <v>1999</v>
      </c>
      <c r="J2659">
        <f t="shared" si="82"/>
        <v>3</v>
      </c>
      <c r="K2659" s="1" t="s">
        <v>741</v>
      </c>
      <c r="L2659" s="1" t="s">
        <v>666</v>
      </c>
      <c r="M2659">
        <f t="shared" si="83"/>
        <v>27</v>
      </c>
      <c r="N2659" t="s">
        <v>640</v>
      </c>
    </row>
    <row r="2660" spans="1:14" x14ac:dyDescent="0.3">
      <c r="A2660" s="1" t="s">
        <v>8188</v>
      </c>
      <c r="B2660" s="1" t="s">
        <v>810</v>
      </c>
      <c r="C2660" s="1" t="s">
        <v>8189</v>
      </c>
      <c r="D2660" s="1" t="s">
        <v>746</v>
      </c>
      <c r="E2660" s="1" t="s">
        <v>6076</v>
      </c>
      <c r="F2660" s="1" t="s">
        <v>6076</v>
      </c>
      <c r="G2660" s="1" t="s">
        <v>1639</v>
      </c>
      <c r="H2660">
        <v>1997</v>
      </c>
      <c r="I2660">
        <v>1999</v>
      </c>
      <c r="J2660">
        <f t="shared" si="82"/>
        <v>3</v>
      </c>
      <c r="K2660" s="1" t="s">
        <v>6076</v>
      </c>
      <c r="L2660" s="1" t="s">
        <v>6076</v>
      </c>
      <c r="M2660">
        <f t="shared" si="83"/>
        <v>27</v>
      </c>
      <c r="N2660" t="s">
        <v>640</v>
      </c>
    </row>
    <row r="2661" spans="1:14" hidden="1" x14ac:dyDescent="0.3">
      <c r="A2661" s="1" t="s">
        <v>1742</v>
      </c>
      <c r="B2661" s="1" t="s">
        <v>810</v>
      </c>
      <c r="C2661" s="1" t="s">
        <v>1743</v>
      </c>
      <c r="D2661" s="1" t="s">
        <v>746</v>
      </c>
      <c r="E2661" s="1" t="s">
        <v>747</v>
      </c>
      <c r="F2661" s="1" t="s">
        <v>748</v>
      </c>
      <c r="G2661" s="1" t="s">
        <v>1639</v>
      </c>
      <c r="H2661">
        <v>1989</v>
      </c>
      <c r="I2661">
        <v>1996</v>
      </c>
      <c r="J2661">
        <f t="shared" si="82"/>
        <v>8</v>
      </c>
      <c r="K2661" s="1" t="s">
        <v>741</v>
      </c>
      <c r="L2661" s="1" t="s">
        <v>666</v>
      </c>
      <c r="M2661">
        <f t="shared" si="83"/>
        <v>30</v>
      </c>
      <c r="N2661" t="s">
        <v>640</v>
      </c>
    </row>
    <row r="2662" spans="1:14" hidden="1" x14ac:dyDescent="0.3">
      <c r="A2662" s="1" t="s">
        <v>1744</v>
      </c>
      <c r="B2662" s="1" t="s">
        <v>810</v>
      </c>
      <c r="C2662" s="1" t="s">
        <v>1745</v>
      </c>
      <c r="D2662" s="1" t="s">
        <v>746</v>
      </c>
      <c r="E2662" s="1" t="s">
        <v>747</v>
      </c>
      <c r="F2662" s="1" t="s">
        <v>748</v>
      </c>
      <c r="G2662" s="1" t="s">
        <v>1639</v>
      </c>
      <c r="H2662">
        <v>1985</v>
      </c>
      <c r="I2662">
        <v>1996</v>
      </c>
      <c r="J2662">
        <f t="shared" si="82"/>
        <v>12</v>
      </c>
      <c r="K2662" s="1" t="s">
        <v>741</v>
      </c>
      <c r="L2662" s="1" t="s">
        <v>666</v>
      </c>
      <c r="M2662">
        <f t="shared" si="83"/>
        <v>30</v>
      </c>
      <c r="N2662" t="s">
        <v>640</v>
      </c>
    </row>
    <row r="2663" spans="1:14" hidden="1" x14ac:dyDescent="0.3">
      <c r="A2663" s="1" t="s">
        <v>1746</v>
      </c>
      <c r="B2663" s="1" t="s">
        <v>810</v>
      </c>
      <c r="C2663" s="1" t="s">
        <v>1747</v>
      </c>
      <c r="D2663" s="1" t="s">
        <v>746</v>
      </c>
      <c r="E2663" s="1" t="s">
        <v>747</v>
      </c>
      <c r="F2663" s="1" t="s">
        <v>748</v>
      </c>
      <c r="G2663" s="1" t="s">
        <v>1639</v>
      </c>
      <c r="H2663">
        <v>2015</v>
      </c>
      <c r="I2663">
        <v>2015</v>
      </c>
      <c r="J2663">
        <f t="shared" si="82"/>
        <v>1</v>
      </c>
      <c r="K2663" s="1" t="s">
        <v>741</v>
      </c>
      <c r="L2663" s="1" t="s">
        <v>798</v>
      </c>
      <c r="M2663">
        <f t="shared" si="83"/>
        <v>11</v>
      </c>
      <c r="N2663" t="s">
        <v>650</v>
      </c>
    </row>
    <row r="2664" spans="1:14" hidden="1" x14ac:dyDescent="0.3">
      <c r="A2664" s="1" t="s">
        <v>1748</v>
      </c>
      <c r="B2664" s="1" t="s">
        <v>810</v>
      </c>
      <c r="C2664" s="1" t="s">
        <v>1749</v>
      </c>
      <c r="D2664" s="1" t="s">
        <v>746</v>
      </c>
      <c r="E2664" s="1" t="s">
        <v>747</v>
      </c>
      <c r="F2664" s="1" t="s">
        <v>748</v>
      </c>
      <c r="G2664" s="1" t="s">
        <v>1639</v>
      </c>
      <c r="H2664">
        <v>2015</v>
      </c>
      <c r="I2664">
        <v>2018</v>
      </c>
      <c r="J2664">
        <f t="shared" si="82"/>
        <v>4</v>
      </c>
      <c r="K2664" s="1" t="s">
        <v>741</v>
      </c>
      <c r="L2664" s="1" t="s">
        <v>798</v>
      </c>
      <c r="M2664">
        <f t="shared" si="83"/>
        <v>8</v>
      </c>
      <c r="N2664" t="s">
        <v>650</v>
      </c>
    </row>
    <row r="2665" spans="1:14" hidden="1" x14ac:dyDescent="0.3">
      <c r="A2665" s="1" t="s">
        <v>1750</v>
      </c>
      <c r="B2665" s="1" t="s">
        <v>810</v>
      </c>
      <c r="C2665" s="1" t="s">
        <v>1751</v>
      </c>
      <c r="D2665" s="1" t="s">
        <v>746</v>
      </c>
      <c r="E2665" s="1" t="s">
        <v>747</v>
      </c>
      <c r="F2665" s="1" t="s">
        <v>748</v>
      </c>
      <c r="G2665" s="1" t="s">
        <v>1639</v>
      </c>
      <c r="H2665">
        <v>2017</v>
      </c>
      <c r="I2665">
        <v>2017</v>
      </c>
      <c r="J2665">
        <f t="shared" si="82"/>
        <v>1</v>
      </c>
      <c r="K2665" s="1" t="s">
        <v>741</v>
      </c>
      <c r="L2665" s="1" t="s">
        <v>798</v>
      </c>
      <c r="M2665">
        <f t="shared" si="83"/>
        <v>9</v>
      </c>
      <c r="N2665" t="s">
        <v>650</v>
      </c>
    </row>
    <row r="2666" spans="1:14" hidden="1" x14ac:dyDescent="0.3">
      <c r="A2666" s="1" t="s">
        <v>1752</v>
      </c>
      <c r="B2666" s="1" t="s">
        <v>810</v>
      </c>
      <c r="C2666" s="1" t="s">
        <v>1753</v>
      </c>
      <c r="D2666" s="1" t="s">
        <v>746</v>
      </c>
      <c r="E2666" s="1" t="s">
        <v>747</v>
      </c>
      <c r="F2666" s="1" t="s">
        <v>748</v>
      </c>
      <c r="G2666" s="1" t="s">
        <v>1639</v>
      </c>
      <c r="H2666">
        <v>2015</v>
      </c>
      <c r="I2666">
        <v>2015</v>
      </c>
      <c r="J2666">
        <f t="shared" si="82"/>
        <v>1</v>
      </c>
      <c r="K2666" s="1" t="s">
        <v>741</v>
      </c>
      <c r="L2666" s="1" t="s">
        <v>798</v>
      </c>
      <c r="M2666">
        <f t="shared" si="83"/>
        <v>11</v>
      </c>
      <c r="N2666" t="s">
        <v>650</v>
      </c>
    </row>
    <row r="2667" spans="1:14" hidden="1" x14ac:dyDescent="0.3">
      <c r="A2667" s="1" t="s">
        <v>1754</v>
      </c>
      <c r="B2667" s="1" t="s">
        <v>810</v>
      </c>
      <c r="C2667" s="1" t="s">
        <v>1755</v>
      </c>
      <c r="D2667" s="1" t="s">
        <v>746</v>
      </c>
      <c r="E2667" s="1" t="s">
        <v>747</v>
      </c>
      <c r="F2667" s="1" t="s">
        <v>748</v>
      </c>
      <c r="G2667" s="1" t="s">
        <v>1639</v>
      </c>
      <c r="H2667">
        <v>2015</v>
      </c>
      <c r="I2667">
        <v>2016</v>
      </c>
      <c r="J2667">
        <f t="shared" si="82"/>
        <v>2</v>
      </c>
      <c r="K2667" s="1" t="s">
        <v>741</v>
      </c>
      <c r="L2667" s="1" t="s">
        <v>798</v>
      </c>
      <c r="M2667">
        <f t="shared" si="83"/>
        <v>10</v>
      </c>
      <c r="N2667" t="s">
        <v>650</v>
      </c>
    </row>
    <row r="2668" spans="1:14" hidden="1" x14ac:dyDescent="0.3">
      <c r="A2668" s="1" t="s">
        <v>1756</v>
      </c>
      <c r="B2668" s="1" t="s">
        <v>810</v>
      </c>
      <c r="C2668" s="1" t="s">
        <v>1757</v>
      </c>
      <c r="D2668" s="1" t="s">
        <v>746</v>
      </c>
      <c r="E2668" s="1" t="s">
        <v>747</v>
      </c>
      <c r="F2668" s="1" t="s">
        <v>748</v>
      </c>
      <c r="G2668" s="1" t="s">
        <v>1639</v>
      </c>
      <c r="H2668">
        <v>2015</v>
      </c>
      <c r="I2668">
        <v>2015</v>
      </c>
      <c r="J2668">
        <f t="shared" si="82"/>
        <v>1</v>
      </c>
      <c r="K2668" s="1" t="s">
        <v>741</v>
      </c>
      <c r="L2668" s="1" t="s">
        <v>798</v>
      </c>
      <c r="M2668">
        <f t="shared" si="83"/>
        <v>11</v>
      </c>
      <c r="N2668" t="s">
        <v>650</v>
      </c>
    </row>
    <row r="2669" spans="1:14" hidden="1" x14ac:dyDescent="0.3">
      <c r="A2669" s="1" t="s">
        <v>1758</v>
      </c>
      <c r="B2669" s="1" t="s">
        <v>810</v>
      </c>
      <c r="C2669" s="1" t="s">
        <v>1759</v>
      </c>
      <c r="D2669" s="1" t="s">
        <v>746</v>
      </c>
      <c r="E2669" s="1" t="s">
        <v>747</v>
      </c>
      <c r="F2669" s="1" t="s">
        <v>748</v>
      </c>
      <c r="G2669" s="1" t="s">
        <v>1639</v>
      </c>
      <c r="H2669">
        <v>2015</v>
      </c>
      <c r="I2669">
        <v>2018</v>
      </c>
      <c r="J2669">
        <f t="shared" si="82"/>
        <v>4</v>
      </c>
      <c r="K2669" s="1" t="s">
        <v>741</v>
      </c>
      <c r="L2669" s="1" t="s">
        <v>798</v>
      </c>
      <c r="M2669">
        <f t="shared" si="83"/>
        <v>8</v>
      </c>
      <c r="N2669" t="s">
        <v>650</v>
      </c>
    </row>
    <row r="2670" spans="1:14" hidden="1" x14ac:dyDescent="0.3">
      <c r="A2670" s="1" t="s">
        <v>1760</v>
      </c>
      <c r="B2670" s="1" t="s">
        <v>810</v>
      </c>
      <c r="C2670" s="1" t="s">
        <v>1761</v>
      </c>
      <c r="D2670" s="1" t="s">
        <v>746</v>
      </c>
      <c r="E2670" s="1" t="s">
        <v>747</v>
      </c>
      <c r="F2670" s="1" t="s">
        <v>748</v>
      </c>
      <c r="G2670" s="1" t="s">
        <v>1639</v>
      </c>
      <c r="H2670">
        <v>2006</v>
      </c>
      <c r="I2670">
        <v>2006</v>
      </c>
      <c r="J2670">
        <f t="shared" si="82"/>
        <v>1</v>
      </c>
      <c r="K2670" s="1" t="s">
        <v>741</v>
      </c>
      <c r="L2670" s="1" t="s">
        <v>798</v>
      </c>
      <c r="M2670">
        <f t="shared" si="83"/>
        <v>20</v>
      </c>
      <c r="N2670" t="s">
        <v>650</v>
      </c>
    </row>
    <row r="2671" spans="1:14" hidden="1" x14ac:dyDescent="0.3">
      <c r="A2671" s="1" t="s">
        <v>1762</v>
      </c>
      <c r="B2671" s="1" t="s">
        <v>810</v>
      </c>
      <c r="C2671" s="1" t="s">
        <v>1763</v>
      </c>
      <c r="D2671" s="1" t="s">
        <v>746</v>
      </c>
      <c r="E2671" s="1" t="s">
        <v>747</v>
      </c>
      <c r="F2671" s="1" t="s">
        <v>748</v>
      </c>
      <c r="G2671" s="1" t="s">
        <v>1639</v>
      </c>
      <c r="H2671">
        <v>2006</v>
      </c>
      <c r="I2671">
        <v>2006</v>
      </c>
      <c r="J2671">
        <f t="shared" si="82"/>
        <v>1</v>
      </c>
      <c r="K2671" s="1" t="s">
        <v>741</v>
      </c>
      <c r="L2671" s="1" t="s">
        <v>798</v>
      </c>
      <c r="M2671">
        <f t="shared" si="83"/>
        <v>20</v>
      </c>
      <c r="N2671" t="s">
        <v>650</v>
      </c>
    </row>
    <row r="2672" spans="1:14" hidden="1" x14ac:dyDescent="0.3">
      <c r="A2672" s="1" t="s">
        <v>1764</v>
      </c>
      <c r="B2672" s="1" t="s">
        <v>810</v>
      </c>
      <c r="C2672" s="1" t="s">
        <v>1765</v>
      </c>
      <c r="D2672" s="1" t="s">
        <v>746</v>
      </c>
      <c r="E2672" s="1" t="s">
        <v>747</v>
      </c>
      <c r="F2672" s="1" t="s">
        <v>748</v>
      </c>
      <c r="G2672" s="1" t="s">
        <v>1639</v>
      </c>
      <c r="H2672">
        <v>2017</v>
      </c>
      <c r="I2672">
        <v>2017</v>
      </c>
      <c r="J2672">
        <f t="shared" si="82"/>
        <v>1</v>
      </c>
      <c r="K2672" s="1" t="s">
        <v>741</v>
      </c>
      <c r="L2672" s="1" t="s">
        <v>798</v>
      </c>
      <c r="M2672">
        <f t="shared" si="83"/>
        <v>9</v>
      </c>
      <c r="N2672" t="s">
        <v>650</v>
      </c>
    </row>
    <row r="2673" spans="1:14" hidden="1" x14ac:dyDescent="0.3">
      <c r="A2673" s="1" t="s">
        <v>1766</v>
      </c>
      <c r="B2673" s="1" t="s">
        <v>810</v>
      </c>
      <c r="C2673" s="1" t="s">
        <v>1767</v>
      </c>
      <c r="D2673" s="1" t="s">
        <v>746</v>
      </c>
      <c r="E2673" s="1" t="s">
        <v>747</v>
      </c>
      <c r="F2673" s="1" t="s">
        <v>748</v>
      </c>
      <c r="G2673" s="1" t="s">
        <v>1639</v>
      </c>
      <c r="H2673">
        <v>2011</v>
      </c>
      <c r="I2673">
        <v>2014</v>
      </c>
      <c r="J2673">
        <f t="shared" si="82"/>
        <v>4</v>
      </c>
      <c r="K2673" s="1" t="s">
        <v>741</v>
      </c>
      <c r="L2673" s="1" t="s">
        <v>798</v>
      </c>
      <c r="M2673">
        <f t="shared" si="83"/>
        <v>12</v>
      </c>
      <c r="N2673" t="s">
        <v>650</v>
      </c>
    </row>
    <row r="2674" spans="1:14" x14ac:dyDescent="0.3">
      <c r="A2674" s="1" t="s">
        <v>8190</v>
      </c>
      <c r="B2674" s="1" t="s">
        <v>810</v>
      </c>
      <c r="C2674" s="1" t="s">
        <v>8191</v>
      </c>
      <c r="D2674" s="1" t="s">
        <v>746</v>
      </c>
      <c r="E2674" s="1" t="s">
        <v>6076</v>
      </c>
      <c r="F2674" s="1" t="s">
        <v>6076</v>
      </c>
      <c r="G2674" s="1" t="s">
        <v>1639</v>
      </c>
      <c r="H2674">
        <v>1998</v>
      </c>
      <c r="I2674">
        <v>1998</v>
      </c>
      <c r="J2674">
        <f t="shared" si="82"/>
        <v>1</v>
      </c>
      <c r="K2674" s="1" t="s">
        <v>6076</v>
      </c>
      <c r="L2674" s="1" t="s">
        <v>6076</v>
      </c>
      <c r="M2674">
        <f t="shared" si="83"/>
        <v>28</v>
      </c>
      <c r="N2674" t="s">
        <v>640</v>
      </c>
    </row>
    <row r="2675" spans="1:14" x14ac:dyDescent="0.3">
      <c r="A2675" s="1" t="s">
        <v>8192</v>
      </c>
      <c r="B2675" s="1" t="s">
        <v>810</v>
      </c>
      <c r="C2675" s="1" t="s">
        <v>8193</v>
      </c>
      <c r="D2675" s="1" t="s">
        <v>746</v>
      </c>
      <c r="E2675" s="1" t="s">
        <v>6076</v>
      </c>
      <c r="F2675" s="1" t="s">
        <v>6076</v>
      </c>
      <c r="G2675" s="1" t="s">
        <v>1639</v>
      </c>
      <c r="H2675">
        <v>1985</v>
      </c>
      <c r="I2675">
        <v>1998</v>
      </c>
      <c r="J2675">
        <f t="shared" si="82"/>
        <v>14</v>
      </c>
      <c r="K2675" s="1" t="s">
        <v>6076</v>
      </c>
      <c r="L2675" s="1" t="s">
        <v>6076</v>
      </c>
      <c r="M2675">
        <f t="shared" si="83"/>
        <v>28</v>
      </c>
      <c r="N2675" t="s">
        <v>640</v>
      </c>
    </row>
    <row r="2676" spans="1:14" x14ac:dyDescent="0.3">
      <c r="A2676" s="1" t="s">
        <v>8194</v>
      </c>
      <c r="B2676" s="1" t="s">
        <v>810</v>
      </c>
      <c r="C2676" s="1" t="s">
        <v>8195</v>
      </c>
      <c r="D2676" s="1" t="s">
        <v>746</v>
      </c>
      <c r="E2676" s="1" t="s">
        <v>6076</v>
      </c>
      <c r="F2676" s="1" t="s">
        <v>6076</v>
      </c>
      <c r="G2676" s="1" t="s">
        <v>1639</v>
      </c>
      <c r="H2676">
        <v>1987</v>
      </c>
      <c r="I2676">
        <v>1998</v>
      </c>
      <c r="J2676">
        <f t="shared" si="82"/>
        <v>12</v>
      </c>
      <c r="K2676" s="1" t="s">
        <v>6076</v>
      </c>
      <c r="L2676" s="1" t="s">
        <v>6076</v>
      </c>
      <c r="M2676">
        <f t="shared" si="83"/>
        <v>28</v>
      </c>
      <c r="N2676" t="s">
        <v>640</v>
      </c>
    </row>
    <row r="2677" spans="1:14" hidden="1" x14ac:dyDescent="0.3">
      <c r="A2677" s="1" t="s">
        <v>1768</v>
      </c>
      <c r="B2677" s="1" t="s">
        <v>810</v>
      </c>
      <c r="C2677" s="1" t="s">
        <v>1769</v>
      </c>
      <c r="D2677" s="1" t="s">
        <v>746</v>
      </c>
      <c r="E2677" s="1" t="s">
        <v>747</v>
      </c>
      <c r="F2677" s="1" t="s">
        <v>748</v>
      </c>
      <c r="G2677" s="1" t="s">
        <v>1639</v>
      </c>
      <c r="H2677">
        <v>2000</v>
      </c>
      <c r="I2677">
        <v>2004</v>
      </c>
      <c r="J2677">
        <f t="shared" si="82"/>
        <v>5</v>
      </c>
      <c r="K2677" s="1" t="s">
        <v>741</v>
      </c>
      <c r="L2677" s="1" t="s">
        <v>666</v>
      </c>
      <c r="M2677">
        <f t="shared" si="83"/>
        <v>22</v>
      </c>
      <c r="N2677" t="s">
        <v>650</v>
      </c>
    </row>
    <row r="2678" spans="1:14" x14ac:dyDescent="0.3">
      <c r="A2678" s="1" t="s">
        <v>8196</v>
      </c>
      <c r="B2678" s="1" t="s">
        <v>810</v>
      </c>
      <c r="C2678" s="1" t="s">
        <v>8197</v>
      </c>
      <c r="D2678" s="1" t="s">
        <v>746</v>
      </c>
      <c r="E2678" s="1" t="s">
        <v>6076</v>
      </c>
      <c r="F2678" s="1" t="s">
        <v>6076</v>
      </c>
      <c r="G2678" s="1" t="s">
        <v>1639</v>
      </c>
      <c r="H2678">
        <v>1988</v>
      </c>
      <c r="I2678">
        <v>1996</v>
      </c>
      <c r="J2678">
        <f t="shared" si="82"/>
        <v>9</v>
      </c>
      <c r="K2678" s="1" t="s">
        <v>6076</v>
      </c>
      <c r="L2678" s="1" t="s">
        <v>6076</v>
      </c>
      <c r="M2678">
        <f t="shared" si="83"/>
        <v>30</v>
      </c>
      <c r="N2678" t="s">
        <v>640</v>
      </c>
    </row>
    <row r="2679" spans="1:14" x14ac:dyDescent="0.3">
      <c r="A2679" s="1" t="s">
        <v>8198</v>
      </c>
      <c r="B2679" s="1" t="s">
        <v>810</v>
      </c>
      <c r="C2679" s="1" t="s">
        <v>8199</v>
      </c>
      <c r="D2679" s="1" t="s">
        <v>746</v>
      </c>
      <c r="E2679" s="1" t="s">
        <v>6076</v>
      </c>
      <c r="F2679" s="1" t="s">
        <v>6076</v>
      </c>
      <c r="G2679" s="1" t="s">
        <v>1639</v>
      </c>
      <c r="H2679">
        <v>1998</v>
      </c>
      <c r="I2679">
        <v>1999</v>
      </c>
      <c r="J2679">
        <f t="shared" si="82"/>
        <v>2</v>
      </c>
      <c r="K2679" s="1" t="s">
        <v>6076</v>
      </c>
      <c r="L2679" s="1" t="s">
        <v>6076</v>
      </c>
      <c r="M2679">
        <f t="shared" si="83"/>
        <v>27</v>
      </c>
      <c r="N2679" t="s">
        <v>640</v>
      </c>
    </row>
    <row r="2680" spans="1:14" x14ac:dyDescent="0.3">
      <c r="A2680" s="1" t="s">
        <v>8200</v>
      </c>
      <c r="B2680" s="1" t="s">
        <v>810</v>
      </c>
      <c r="C2680" s="1" t="s">
        <v>8201</v>
      </c>
      <c r="D2680" s="1" t="s">
        <v>746</v>
      </c>
      <c r="E2680" s="1" t="s">
        <v>6076</v>
      </c>
      <c r="F2680" s="1" t="s">
        <v>6076</v>
      </c>
      <c r="G2680" s="1" t="s">
        <v>1639</v>
      </c>
      <c r="H2680">
        <v>1985</v>
      </c>
      <c r="I2680">
        <v>1994</v>
      </c>
      <c r="J2680">
        <f t="shared" si="82"/>
        <v>10</v>
      </c>
      <c r="K2680" s="1" t="s">
        <v>6076</v>
      </c>
      <c r="L2680" s="1" t="s">
        <v>6076</v>
      </c>
      <c r="M2680">
        <f t="shared" si="83"/>
        <v>32</v>
      </c>
      <c r="N2680" t="s">
        <v>640</v>
      </c>
    </row>
    <row r="2681" spans="1:14" x14ac:dyDescent="0.3">
      <c r="A2681" s="1" t="s">
        <v>8202</v>
      </c>
      <c r="B2681" s="1" t="s">
        <v>810</v>
      </c>
      <c r="C2681" s="1" t="s">
        <v>8203</v>
      </c>
      <c r="D2681" s="1" t="s">
        <v>746</v>
      </c>
      <c r="E2681" s="1" t="s">
        <v>6076</v>
      </c>
      <c r="F2681" s="1" t="s">
        <v>6076</v>
      </c>
      <c r="G2681" s="1" t="s">
        <v>1639</v>
      </c>
      <c r="H2681">
        <v>1989</v>
      </c>
      <c r="I2681">
        <v>1997</v>
      </c>
      <c r="J2681">
        <f t="shared" si="82"/>
        <v>9</v>
      </c>
      <c r="K2681" s="1" t="s">
        <v>6076</v>
      </c>
      <c r="L2681" s="1" t="s">
        <v>6076</v>
      </c>
      <c r="M2681">
        <f t="shared" si="83"/>
        <v>29</v>
      </c>
      <c r="N2681" t="s">
        <v>640</v>
      </c>
    </row>
    <row r="2682" spans="1:14" x14ac:dyDescent="0.3">
      <c r="A2682" s="1" t="s">
        <v>8204</v>
      </c>
      <c r="B2682" s="1" t="s">
        <v>810</v>
      </c>
      <c r="C2682" s="1" t="s">
        <v>8205</v>
      </c>
      <c r="D2682" s="1" t="s">
        <v>746</v>
      </c>
      <c r="E2682" s="1" t="s">
        <v>6076</v>
      </c>
      <c r="F2682" s="1" t="s">
        <v>6076</v>
      </c>
      <c r="G2682" s="1" t="s">
        <v>1639</v>
      </c>
      <c r="H2682">
        <v>1996</v>
      </c>
      <c r="I2682">
        <v>2001</v>
      </c>
      <c r="J2682">
        <f t="shared" si="82"/>
        <v>6</v>
      </c>
      <c r="K2682" s="1" t="s">
        <v>6076</v>
      </c>
      <c r="L2682" s="1" t="s">
        <v>6076</v>
      </c>
      <c r="M2682">
        <f t="shared" si="83"/>
        <v>25</v>
      </c>
      <c r="N2682" t="s">
        <v>640</v>
      </c>
    </row>
    <row r="2683" spans="1:14" hidden="1" x14ac:dyDescent="0.3">
      <c r="A2683" s="1" t="s">
        <v>1770</v>
      </c>
      <c r="B2683" s="1" t="s">
        <v>810</v>
      </c>
      <c r="C2683" s="1" t="s">
        <v>1771</v>
      </c>
      <c r="D2683" s="1" t="s">
        <v>746</v>
      </c>
      <c r="E2683" s="1" t="s">
        <v>747</v>
      </c>
      <c r="F2683" s="1" t="s">
        <v>748</v>
      </c>
      <c r="G2683" s="1" t="s">
        <v>1639</v>
      </c>
      <c r="H2683">
        <v>2010</v>
      </c>
      <c r="I2683">
        <v>2015</v>
      </c>
      <c r="J2683">
        <f t="shared" si="82"/>
        <v>6</v>
      </c>
      <c r="K2683" s="1" t="s">
        <v>741</v>
      </c>
      <c r="L2683" s="1" t="s">
        <v>798</v>
      </c>
      <c r="M2683">
        <f t="shared" si="83"/>
        <v>11</v>
      </c>
      <c r="N2683" t="s">
        <v>650</v>
      </c>
    </row>
    <row r="2684" spans="1:14" x14ac:dyDescent="0.3">
      <c r="A2684" s="1" t="s">
        <v>8206</v>
      </c>
      <c r="B2684" s="1" t="s">
        <v>810</v>
      </c>
      <c r="C2684" s="1" t="s">
        <v>8207</v>
      </c>
      <c r="D2684" s="1" t="s">
        <v>746</v>
      </c>
      <c r="E2684" s="1" t="s">
        <v>6076</v>
      </c>
      <c r="F2684" s="1" t="s">
        <v>6076</v>
      </c>
      <c r="G2684" s="1" t="s">
        <v>1639</v>
      </c>
      <c r="H2684">
        <v>1985</v>
      </c>
      <c r="I2684">
        <v>1988</v>
      </c>
      <c r="J2684">
        <f t="shared" si="82"/>
        <v>4</v>
      </c>
      <c r="K2684" s="1" t="s">
        <v>6076</v>
      </c>
      <c r="L2684" s="1" t="s">
        <v>6076</v>
      </c>
      <c r="M2684">
        <f t="shared" si="83"/>
        <v>38</v>
      </c>
      <c r="N2684" t="s">
        <v>640</v>
      </c>
    </row>
    <row r="2685" spans="1:14" x14ac:dyDescent="0.3">
      <c r="A2685" t="s">
        <v>12704</v>
      </c>
      <c r="B2685" t="s">
        <v>810</v>
      </c>
      <c r="C2685" t="s">
        <v>12705</v>
      </c>
      <c r="E2685" s="1" t="s">
        <v>6076</v>
      </c>
      <c r="F2685" s="1" t="s">
        <v>6076</v>
      </c>
      <c r="G2685" s="1" t="s">
        <v>12715</v>
      </c>
      <c r="H2685">
        <v>2023</v>
      </c>
      <c r="I2685">
        <v>2023</v>
      </c>
      <c r="J2685">
        <f t="shared" si="82"/>
        <v>1</v>
      </c>
      <c r="K2685" s="1" t="s">
        <v>6076</v>
      </c>
      <c r="L2685" s="1" t="s">
        <v>6076</v>
      </c>
      <c r="M2685">
        <f t="shared" si="83"/>
        <v>3</v>
      </c>
    </row>
    <row r="2686" spans="1:14" hidden="1" x14ac:dyDescent="0.3">
      <c r="A2686" s="1" t="s">
        <v>1772</v>
      </c>
      <c r="B2686" s="1" t="s">
        <v>810</v>
      </c>
      <c r="C2686" s="1" t="s">
        <v>1773</v>
      </c>
      <c r="D2686" s="1" t="s">
        <v>746</v>
      </c>
      <c r="E2686" s="1" t="s">
        <v>747</v>
      </c>
      <c r="F2686" s="1" t="s">
        <v>748</v>
      </c>
      <c r="G2686" s="1" t="s">
        <v>1639</v>
      </c>
      <c r="H2686">
        <v>2006</v>
      </c>
      <c r="I2686">
        <v>2008</v>
      </c>
      <c r="J2686">
        <f t="shared" si="82"/>
        <v>3</v>
      </c>
      <c r="K2686" s="1" t="s">
        <v>741</v>
      </c>
      <c r="L2686" s="1" t="s">
        <v>798</v>
      </c>
      <c r="M2686">
        <f t="shared" si="83"/>
        <v>18</v>
      </c>
      <c r="N2686" t="s">
        <v>650</v>
      </c>
    </row>
    <row r="2687" spans="1:14" hidden="1" x14ac:dyDescent="0.3">
      <c r="A2687" s="1" t="s">
        <v>1774</v>
      </c>
      <c r="B2687" s="1" t="s">
        <v>810</v>
      </c>
      <c r="C2687" s="1" t="s">
        <v>1775</v>
      </c>
      <c r="D2687" s="1" t="s">
        <v>746</v>
      </c>
      <c r="E2687" s="1" t="s">
        <v>747</v>
      </c>
      <c r="F2687" s="1" t="s">
        <v>748</v>
      </c>
      <c r="G2687" s="1" t="s">
        <v>1639</v>
      </c>
      <c r="H2687">
        <v>2006</v>
      </c>
      <c r="I2687">
        <v>2008</v>
      </c>
      <c r="J2687">
        <f t="shared" si="82"/>
        <v>3</v>
      </c>
      <c r="K2687" s="1" t="s">
        <v>741</v>
      </c>
      <c r="L2687" s="1" t="s">
        <v>798</v>
      </c>
      <c r="M2687">
        <f t="shared" si="83"/>
        <v>18</v>
      </c>
      <c r="N2687" t="s">
        <v>650</v>
      </c>
    </row>
    <row r="2688" spans="1:14" hidden="1" x14ac:dyDescent="0.3">
      <c r="A2688" s="1" t="s">
        <v>1776</v>
      </c>
      <c r="B2688" s="1" t="s">
        <v>810</v>
      </c>
      <c r="C2688" s="1" t="s">
        <v>1777</v>
      </c>
      <c r="D2688" s="1" t="s">
        <v>746</v>
      </c>
      <c r="E2688" s="1" t="s">
        <v>747</v>
      </c>
      <c r="F2688" s="1" t="s">
        <v>748</v>
      </c>
      <c r="G2688" s="1" t="s">
        <v>1639</v>
      </c>
      <c r="H2688">
        <v>2015</v>
      </c>
      <c r="I2688">
        <v>2016</v>
      </c>
      <c r="J2688">
        <f t="shared" si="82"/>
        <v>2</v>
      </c>
      <c r="K2688" s="1" t="s">
        <v>741</v>
      </c>
      <c r="L2688" s="1" t="s">
        <v>798</v>
      </c>
      <c r="M2688">
        <f t="shared" si="83"/>
        <v>10</v>
      </c>
      <c r="N2688" t="s">
        <v>650</v>
      </c>
    </row>
    <row r="2689" spans="1:14" hidden="1" x14ac:dyDescent="0.3">
      <c r="A2689" s="1" t="s">
        <v>1778</v>
      </c>
      <c r="B2689" s="1" t="s">
        <v>810</v>
      </c>
      <c r="C2689" s="1" t="s">
        <v>1779</v>
      </c>
      <c r="D2689" s="1" t="s">
        <v>746</v>
      </c>
      <c r="E2689" s="1" t="s">
        <v>747</v>
      </c>
      <c r="F2689" s="1" t="s">
        <v>748</v>
      </c>
      <c r="G2689" s="1" t="s">
        <v>1639</v>
      </c>
      <c r="H2689">
        <v>2015</v>
      </c>
      <c r="I2689">
        <v>2016</v>
      </c>
      <c r="J2689">
        <f t="shared" si="82"/>
        <v>2</v>
      </c>
      <c r="K2689" s="1" t="s">
        <v>741</v>
      </c>
      <c r="L2689" s="1" t="s">
        <v>798</v>
      </c>
      <c r="M2689">
        <f t="shared" si="83"/>
        <v>10</v>
      </c>
      <c r="N2689" t="s">
        <v>650</v>
      </c>
    </row>
    <row r="2690" spans="1:14" hidden="1" x14ac:dyDescent="0.3">
      <c r="A2690" s="1" t="s">
        <v>1780</v>
      </c>
      <c r="B2690" s="1" t="s">
        <v>810</v>
      </c>
      <c r="C2690" s="1" t="s">
        <v>1781</v>
      </c>
      <c r="D2690" s="1" t="s">
        <v>746</v>
      </c>
      <c r="E2690" s="1" t="s">
        <v>747</v>
      </c>
      <c r="F2690" s="1" t="s">
        <v>748</v>
      </c>
      <c r="G2690" s="1" t="s">
        <v>1639</v>
      </c>
      <c r="H2690">
        <v>2012</v>
      </c>
      <c r="I2690">
        <v>2016</v>
      </c>
      <c r="J2690">
        <f t="shared" si="82"/>
        <v>5</v>
      </c>
      <c r="K2690" s="1" t="s">
        <v>741</v>
      </c>
      <c r="L2690" s="1" t="s">
        <v>798</v>
      </c>
      <c r="M2690">
        <f t="shared" si="83"/>
        <v>10</v>
      </c>
      <c r="N2690" t="s">
        <v>650</v>
      </c>
    </row>
    <row r="2691" spans="1:14" hidden="1" x14ac:dyDescent="0.3">
      <c r="A2691" s="1" t="s">
        <v>1782</v>
      </c>
      <c r="B2691" s="1" t="s">
        <v>810</v>
      </c>
      <c r="C2691" s="1" t="s">
        <v>1783</v>
      </c>
      <c r="D2691" s="1" t="s">
        <v>746</v>
      </c>
      <c r="E2691" s="1" t="s">
        <v>747</v>
      </c>
      <c r="F2691" s="1" t="s">
        <v>748</v>
      </c>
      <c r="G2691" s="1" t="s">
        <v>1639</v>
      </c>
      <c r="H2691">
        <v>2011</v>
      </c>
      <c r="I2691">
        <v>2015</v>
      </c>
      <c r="J2691">
        <f t="shared" si="82"/>
        <v>5</v>
      </c>
      <c r="K2691" s="1" t="s">
        <v>741</v>
      </c>
      <c r="L2691" s="1" t="s">
        <v>798</v>
      </c>
      <c r="M2691">
        <f t="shared" si="83"/>
        <v>11</v>
      </c>
      <c r="N2691" t="s">
        <v>650</v>
      </c>
    </row>
    <row r="2692" spans="1:14" hidden="1" x14ac:dyDescent="0.3">
      <c r="A2692" s="1" t="s">
        <v>1784</v>
      </c>
      <c r="B2692" s="1" t="s">
        <v>810</v>
      </c>
      <c r="C2692" s="1" t="s">
        <v>1785</v>
      </c>
      <c r="D2692" s="1" t="s">
        <v>746</v>
      </c>
      <c r="E2692" s="1" t="s">
        <v>747</v>
      </c>
      <c r="F2692" s="1" t="s">
        <v>748</v>
      </c>
      <c r="G2692" s="1" t="s">
        <v>1639</v>
      </c>
      <c r="H2692">
        <v>2014</v>
      </c>
      <c r="I2692">
        <v>2015</v>
      </c>
      <c r="J2692">
        <f t="shared" si="82"/>
        <v>2</v>
      </c>
      <c r="K2692" s="1" t="s">
        <v>741</v>
      </c>
      <c r="L2692" s="1" t="s">
        <v>798</v>
      </c>
      <c r="M2692">
        <f t="shared" si="83"/>
        <v>11</v>
      </c>
      <c r="N2692" t="s">
        <v>650</v>
      </c>
    </row>
    <row r="2693" spans="1:14" hidden="1" x14ac:dyDescent="0.3">
      <c r="A2693" s="1" t="s">
        <v>1786</v>
      </c>
      <c r="B2693" s="1" t="s">
        <v>810</v>
      </c>
      <c r="C2693" s="1" t="s">
        <v>1787</v>
      </c>
      <c r="D2693" s="1" t="s">
        <v>746</v>
      </c>
      <c r="E2693" s="1" t="s">
        <v>747</v>
      </c>
      <c r="F2693" s="1" t="s">
        <v>748</v>
      </c>
      <c r="G2693" s="1" t="s">
        <v>1639</v>
      </c>
      <c r="H2693">
        <v>2014</v>
      </c>
      <c r="I2693">
        <v>2015</v>
      </c>
      <c r="J2693">
        <f t="shared" si="82"/>
        <v>2</v>
      </c>
      <c r="K2693" s="1" t="s">
        <v>741</v>
      </c>
      <c r="L2693" s="1" t="s">
        <v>798</v>
      </c>
      <c r="M2693">
        <f t="shared" si="83"/>
        <v>11</v>
      </c>
      <c r="N2693" t="s">
        <v>650</v>
      </c>
    </row>
    <row r="2694" spans="1:14" hidden="1" x14ac:dyDescent="0.3">
      <c r="A2694" s="1" t="s">
        <v>1788</v>
      </c>
      <c r="B2694" s="1" t="s">
        <v>810</v>
      </c>
      <c r="C2694" s="1" t="s">
        <v>1789</v>
      </c>
      <c r="D2694" s="1" t="s">
        <v>746</v>
      </c>
      <c r="E2694" s="1" t="s">
        <v>747</v>
      </c>
      <c r="F2694" s="1" t="s">
        <v>748</v>
      </c>
      <c r="G2694" s="1" t="s">
        <v>1639</v>
      </c>
      <c r="H2694">
        <v>2003</v>
      </c>
      <c r="I2694">
        <v>2004</v>
      </c>
      <c r="J2694">
        <f t="shared" ref="J2694:J2757" si="84">1+(I2694-H2694)</f>
        <v>2</v>
      </c>
      <c r="K2694" s="1" t="s">
        <v>741</v>
      </c>
      <c r="L2694" s="1" t="s">
        <v>666</v>
      </c>
      <c r="M2694">
        <f t="shared" ref="M2694:M2757" si="85">IF(I2694=0,0,$B$2-I2694)</f>
        <v>22</v>
      </c>
      <c r="N2694" t="s">
        <v>650</v>
      </c>
    </row>
    <row r="2695" spans="1:14" hidden="1" x14ac:dyDescent="0.3">
      <c r="A2695" s="1" t="s">
        <v>1790</v>
      </c>
      <c r="B2695" s="1" t="s">
        <v>810</v>
      </c>
      <c r="C2695" s="1" t="s">
        <v>1791</v>
      </c>
      <c r="D2695" s="1" t="s">
        <v>746</v>
      </c>
      <c r="E2695" s="1" t="s">
        <v>747</v>
      </c>
      <c r="F2695" s="1" t="s">
        <v>748</v>
      </c>
      <c r="G2695" s="1" t="s">
        <v>1639</v>
      </c>
      <c r="H2695">
        <v>2015</v>
      </c>
      <c r="I2695">
        <v>2016</v>
      </c>
      <c r="J2695">
        <f t="shared" si="84"/>
        <v>2</v>
      </c>
      <c r="K2695" s="1" t="s">
        <v>741</v>
      </c>
      <c r="L2695" s="1" t="s">
        <v>798</v>
      </c>
      <c r="M2695">
        <f t="shared" si="85"/>
        <v>10</v>
      </c>
      <c r="N2695" t="s">
        <v>650</v>
      </c>
    </row>
    <row r="2696" spans="1:14" hidden="1" x14ac:dyDescent="0.3">
      <c r="A2696" s="1" t="s">
        <v>1792</v>
      </c>
      <c r="B2696" s="1" t="s">
        <v>810</v>
      </c>
      <c r="C2696" s="1" t="s">
        <v>1793</v>
      </c>
      <c r="D2696" s="1" t="s">
        <v>746</v>
      </c>
      <c r="E2696" s="1" t="s">
        <v>747</v>
      </c>
      <c r="F2696" s="1" t="s">
        <v>748</v>
      </c>
      <c r="G2696" s="1" t="s">
        <v>1639</v>
      </c>
      <c r="H2696">
        <v>2015</v>
      </c>
      <c r="I2696">
        <v>2016</v>
      </c>
      <c r="J2696">
        <f t="shared" si="84"/>
        <v>2</v>
      </c>
      <c r="K2696" s="1" t="s">
        <v>741</v>
      </c>
      <c r="L2696" s="1" t="s">
        <v>798</v>
      </c>
      <c r="M2696">
        <f t="shared" si="85"/>
        <v>10</v>
      </c>
      <c r="N2696" t="s">
        <v>650</v>
      </c>
    </row>
    <row r="2697" spans="1:14" hidden="1" x14ac:dyDescent="0.3">
      <c r="A2697" s="1" t="s">
        <v>1794</v>
      </c>
      <c r="B2697" s="1" t="s">
        <v>810</v>
      </c>
      <c r="C2697" s="1" t="s">
        <v>1795</v>
      </c>
      <c r="D2697" s="1" t="s">
        <v>746</v>
      </c>
      <c r="E2697" s="1" t="s">
        <v>747</v>
      </c>
      <c r="F2697" s="1" t="s">
        <v>748</v>
      </c>
      <c r="G2697" s="1" t="s">
        <v>1639</v>
      </c>
      <c r="H2697">
        <v>2003</v>
      </c>
      <c r="I2697">
        <v>2003</v>
      </c>
      <c r="J2697">
        <f t="shared" si="84"/>
        <v>1</v>
      </c>
      <c r="K2697" s="1" t="s">
        <v>741</v>
      </c>
      <c r="L2697" s="1" t="s">
        <v>666</v>
      </c>
      <c r="M2697">
        <f t="shared" si="85"/>
        <v>23</v>
      </c>
      <c r="N2697" t="s">
        <v>650</v>
      </c>
    </row>
    <row r="2698" spans="1:14" hidden="1" x14ac:dyDescent="0.3">
      <c r="A2698" s="1" t="s">
        <v>1796</v>
      </c>
      <c r="B2698" s="1" t="s">
        <v>810</v>
      </c>
      <c r="C2698" s="1" t="s">
        <v>1797</v>
      </c>
      <c r="D2698" s="1" t="s">
        <v>746</v>
      </c>
      <c r="E2698" s="1" t="s">
        <v>747</v>
      </c>
      <c r="F2698" s="1" t="s">
        <v>748</v>
      </c>
      <c r="G2698" s="1" t="s">
        <v>1639</v>
      </c>
      <c r="H2698">
        <v>1998</v>
      </c>
      <c r="I2698">
        <v>2005</v>
      </c>
      <c r="J2698">
        <f t="shared" si="84"/>
        <v>8</v>
      </c>
      <c r="K2698" s="1" t="s">
        <v>741</v>
      </c>
      <c r="L2698" s="1" t="s">
        <v>666</v>
      </c>
      <c r="M2698">
        <f t="shared" si="85"/>
        <v>21</v>
      </c>
      <c r="N2698" t="s">
        <v>650</v>
      </c>
    </row>
    <row r="2699" spans="1:14" hidden="1" x14ac:dyDescent="0.3">
      <c r="A2699" s="1" t="s">
        <v>1798</v>
      </c>
      <c r="B2699" s="1" t="s">
        <v>810</v>
      </c>
      <c r="C2699" s="1" t="s">
        <v>1799</v>
      </c>
      <c r="D2699" s="1" t="s">
        <v>746</v>
      </c>
      <c r="E2699" s="1" t="s">
        <v>747</v>
      </c>
      <c r="F2699" s="1" t="s">
        <v>748</v>
      </c>
      <c r="G2699" s="1" t="s">
        <v>1639</v>
      </c>
      <c r="H2699">
        <v>2006</v>
      </c>
      <c r="I2699">
        <v>2007</v>
      </c>
      <c r="J2699">
        <f t="shared" si="84"/>
        <v>2</v>
      </c>
      <c r="K2699" s="1" t="s">
        <v>741</v>
      </c>
      <c r="L2699" s="1" t="s">
        <v>798</v>
      </c>
      <c r="M2699">
        <f t="shared" si="85"/>
        <v>19</v>
      </c>
      <c r="N2699" t="s">
        <v>650</v>
      </c>
    </row>
    <row r="2700" spans="1:14" hidden="1" x14ac:dyDescent="0.3">
      <c r="A2700" s="1" t="s">
        <v>1800</v>
      </c>
      <c r="B2700" s="1" t="s">
        <v>810</v>
      </c>
      <c r="C2700" s="1" t="s">
        <v>1801</v>
      </c>
      <c r="D2700" s="1" t="s">
        <v>746</v>
      </c>
      <c r="E2700" s="1" t="s">
        <v>747</v>
      </c>
      <c r="F2700" s="1" t="s">
        <v>748</v>
      </c>
      <c r="G2700" s="1" t="s">
        <v>1639</v>
      </c>
      <c r="H2700">
        <v>2006</v>
      </c>
      <c r="I2700">
        <v>2007</v>
      </c>
      <c r="J2700">
        <f t="shared" si="84"/>
        <v>2</v>
      </c>
      <c r="K2700" s="1" t="s">
        <v>741</v>
      </c>
      <c r="L2700" s="1" t="s">
        <v>798</v>
      </c>
      <c r="M2700">
        <f t="shared" si="85"/>
        <v>19</v>
      </c>
      <c r="N2700" t="s">
        <v>650</v>
      </c>
    </row>
    <row r="2701" spans="1:14" hidden="1" x14ac:dyDescent="0.3">
      <c r="A2701" s="1" t="s">
        <v>1802</v>
      </c>
      <c r="B2701" s="1" t="s">
        <v>810</v>
      </c>
      <c r="C2701" s="1" t="s">
        <v>1803</v>
      </c>
      <c r="D2701" s="1" t="s">
        <v>746</v>
      </c>
      <c r="E2701" s="1" t="s">
        <v>747</v>
      </c>
      <c r="F2701" s="1" t="s">
        <v>748</v>
      </c>
      <c r="G2701" s="1" t="s">
        <v>1639</v>
      </c>
      <c r="H2701">
        <v>2014</v>
      </c>
      <c r="I2701">
        <v>2016</v>
      </c>
      <c r="J2701">
        <f t="shared" si="84"/>
        <v>3</v>
      </c>
      <c r="K2701" s="1" t="s">
        <v>741</v>
      </c>
      <c r="L2701" s="1" t="s">
        <v>798</v>
      </c>
      <c r="M2701">
        <f t="shared" si="85"/>
        <v>10</v>
      </c>
      <c r="N2701" t="s">
        <v>650</v>
      </c>
    </row>
    <row r="2702" spans="1:14" hidden="1" x14ac:dyDescent="0.3">
      <c r="A2702" s="1" t="s">
        <v>1804</v>
      </c>
      <c r="B2702" s="1" t="s">
        <v>810</v>
      </c>
      <c r="C2702" s="1" t="s">
        <v>1805</v>
      </c>
      <c r="D2702" s="1" t="s">
        <v>746</v>
      </c>
      <c r="E2702" s="1" t="s">
        <v>747</v>
      </c>
      <c r="F2702" s="1" t="s">
        <v>748</v>
      </c>
      <c r="G2702" s="1" t="s">
        <v>1639</v>
      </c>
      <c r="H2702">
        <v>2017</v>
      </c>
      <c r="I2702">
        <v>2018</v>
      </c>
      <c r="J2702">
        <f t="shared" si="84"/>
        <v>2</v>
      </c>
      <c r="K2702" s="1" t="s">
        <v>741</v>
      </c>
      <c r="L2702" s="1" t="s">
        <v>798</v>
      </c>
      <c r="M2702">
        <f t="shared" si="85"/>
        <v>8</v>
      </c>
      <c r="N2702" t="s">
        <v>650</v>
      </c>
    </row>
    <row r="2703" spans="1:14" hidden="1" x14ac:dyDescent="0.3">
      <c r="A2703" s="1" t="s">
        <v>1806</v>
      </c>
      <c r="B2703" s="1" t="s">
        <v>810</v>
      </c>
      <c r="C2703" s="1" t="s">
        <v>1807</v>
      </c>
      <c r="D2703" s="1" t="s">
        <v>746</v>
      </c>
      <c r="E2703" s="1" t="s">
        <v>747</v>
      </c>
      <c r="F2703" s="1" t="s">
        <v>748</v>
      </c>
      <c r="G2703" s="1" t="s">
        <v>1639</v>
      </c>
      <c r="H2703">
        <v>2017</v>
      </c>
      <c r="I2703">
        <v>2017</v>
      </c>
      <c r="J2703">
        <f t="shared" si="84"/>
        <v>1</v>
      </c>
      <c r="K2703" s="1" t="s">
        <v>741</v>
      </c>
      <c r="L2703" s="1" t="s">
        <v>798</v>
      </c>
      <c r="M2703">
        <f t="shared" si="85"/>
        <v>9</v>
      </c>
      <c r="N2703" t="s">
        <v>650</v>
      </c>
    </row>
    <row r="2704" spans="1:14" hidden="1" x14ac:dyDescent="0.3">
      <c r="A2704" s="1" t="s">
        <v>1808</v>
      </c>
      <c r="B2704" s="1" t="s">
        <v>810</v>
      </c>
      <c r="C2704" s="1" t="s">
        <v>1809</v>
      </c>
      <c r="D2704" s="1" t="s">
        <v>746</v>
      </c>
      <c r="E2704" s="1" t="s">
        <v>747</v>
      </c>
      <c r="F2704" s="1" t="s">
        <v>748</v>
      </c>
      <c r="G2704" s="1" t="s">
        <v>1639</v>
      </c>
      <c r="H2704">
        <v>2017</v>
      </c>
      <c r="I2704">
        <v>2018</v>
      </c>
      <c r="J2704">
        <f t="shared" si="84"/>
        <v>2</v>
      </c>
      <c r="K2704" s="1" t="s">
        <v>741</v>
      </c>
      <c r="L2704" s="1" t="s">
        <v>798</v>
      </c>
      <c r="M2704">
        <f t="shared" si="85"/>
        <v>8</v>
      </c>
      <c r="N2704" t="s">
        <v>650</v>
      </c>
    </row>
    <row r="2705" spans="1:14" hidden="1" x14ac:dyDescent="0.3">
      <c r="A2705" s="1" t="s">
        <v>1810</v>
      </c>
      <c r="B2705" s="1" t="s">
        <v>810</v>
      </c>
      <c r="C2705" s="1" t="s">
        <v>1811</v>
      </c>
      <c r="D2705" s="1" t="s">
        <v>746</v>
      </c>
      <c r="E2705" s="1" t="s">
        <v>747</v>
      </c>
      <c r="F2705" s="1" t="s">
        <v>748</v>
      </c>
      <c r="G2705" s="1" t="s">
        <v>1639</v>
      </c>
      <c r="H2705">
        <v>2015</v>
      </c>
      <c r="I2705">
        <v>2016</v>
      </c>
      <c r="J2705">
        <f t="shared" si="84"/>
        <v>2</v>
      </c>
      <c r="K2705" s="1" t="s">
        <v>741</v>
      </c>
      <c r="L2705" s="1" t="s">
        <v>798</v>
      </c>
      <c r="M2705">
        <f t="shared" si="85"/>
        <v>10</v>
      </c>
      <c r="N2705" t="s">
        <v>650</v>
      </c>
    </row>
    <row r="2706" spans="1:14" hidden="1" x14ac:dyDescent="0.3">
      <c r="A2706" s="1" t="s">
        <v>1812</v>
      </c>
      <c r="B2706" s="1" t="s">
        <v>810</v>
      </c>
      <c r="C2706" s="1" t="s">
        <v>1813</v>
      </c>
      <c r="D2706" s="1" t="s">
        <v>746</v>
      </c>
      <c r="E2706" s="1" t="s">
        <v>747</v>
      </c>
      <c r="F2706" s="1" t="s">
        <v>748</v>
      </c>
      <c r="G2706" s="1" t="s">
        <v>1639</v>
      </c>
      <c r="H2706">
        <v>2014</v>
      </c>
      <c r="I2706">
        <v>2016</v>
      </c>
      <c r="J2706">
        <f t="shared" si="84"/>
        <v>3</v>
      </c>
      <c r="K2706" s="1" t="s">
        <v>741</v>
      </c>
      <c r="L2706" s="1" t="s">
        <v>798</v>
      </c>
      <c r="M2706">
        <f t="shared" si="85"/>
        <v>10</v>
      </c>
      <c r="N2706" t="s">
        <v>650</v>
      </c>
    </row>
    <row r="2707" spans="1:14" hidden="1" x14ac:dyDescent="0.3">
      <c r="A2707" s="1" t="s">
        <v>1814</v>
      </c>
      <c r="B2707" s="1" t="s">
        <v>810</v>
      </c>
      <c r="C2707" s="1" t="s">
        <v>1815</v>
      </c>
      <c r="D2707" s="1" t="s">
        <v>746</v>
      </c>
      <c r="E2707" s="1" t="s">
        <v>747</v>
      </c>
      <c r="F2707" s="1" t="s">
        <v>748</v>
      </c>
      <c r="G2707" s="1" t="s">
        <v>1639</v>
      </c>
      <c r="H2707">
        <v>2015</v>
      </c>
      <c r="I2707">
        <v>2015</v>
      </c>
      <c r="J2707">
        <f t="shared" si="84"/>
        <v>1</v>
      </c>
      <c r="K2707" s="1" t="s">
        <v>741</v>
      </c>
      <c r="L2707" s="1" t="s">
        <v>798</v>
      </c>
      <c r="M2707">
        <f t="shared" si="85"/>
        <v>11</v>
      </c>
      <c r="N2707" t="s">
        <v>650</v>
      </c>
    </row>
    <row r="2708" spans="1:14" hidden="1" x14ac:dyDescent="0.3">
      <c r="A2708" s="1" t="s">
        <v>1816</v>
      </c>
      <c r="B2708" s="1" t="s">
        <v>810</v>
      </c>
      <c r="C2708" s="1" t="s">
        <v>1817</v>
      </c>
      <c r="D2708" s="1" t="s">
        <v>746</v>
      </c>
      <c r="E2708" s="1" t="s">
        <v>747</v>
      </c>
      <c r="F2708" s="1" t="s">
        <v>748</v>
      </c>
      <c r="G2708" s="1" t="s">
        <v>1639</v>
      </c>
      <c r="H2708">
        <v>2015</v>
      </c>
      <c r="I2708">
        <v>2018</v>
      </c>
      <c r="J2708">
        <f t="shared" si="84"/>
        <v>4</v>
      </c>
      <c r="K2708" s="1" t="s">
        <v>741</v>
      </c>
      <c r="L2708" s="1" t="s">
        <v>798</v>
      </c>
      <c r="M2708">
        <f t="shared" si="85"/>
        <v>8</v>
      </c>
      <c r="N2708" t="s">
        <v>650</v>
      </c>
    </row>
    <row r="2709" spans="1:14" hidden="1" x14ac:dyDescent="0.3">
      <c r="A2709" s="1" t="s">
        <v>1818</v>
      </c>
      <c r="B2709" s="1" t="s">
        <v>810</v>
      </c>
      <c r="C2709" s="1" t="s">
        <v>1819</v>
      </c>
      <c r="D2709" s="1" t="s">
        <v>746</v>
      </c>
      <c r="E2709" s="1" t="s">
        <v>747</v>
      </c>
      <c r="F2709" s="1" t="s">
        <v>748</v>
      </c>
      <c r="G2709" s="1" t="s">
        <v>1639</v>
      </c>
      <c r="H2709">
        <v>2015</v>
      </c>
      <c r="I2709">
        <v>2015</v>
      </c>
      <c r="J2709">
        <f t="shared" si="84"/>
        <v>1</v>
      </c>
      <c r="K2709" s="1" t="s">
        <v>741</v>
      </c>
      <c r="L2709" s="1" t="s">
        <v>798</v>
      </c>
      <c r="M2709">
        <f t="shared" si="85"/>
        <v>11</v>
      </c>
      <c r="N2709" t="s">
        <v>650</v>
      </c>
    </row>
    <row r="2710" spans="1:14" hidden="1" x14ac:dyDescent="0.3">
      <c r="A2710" s="1" t="s">
        <v>1820</v>
      </c>
      <c r="B2710" s="1" t="s">
        <v>810</v>
      </c>
      <c r="C2710" s="1" t="s">
        <v>1821</v>
      </c>
      <c r="D2710" s="1" t="s">
        <v>746</v>
      </c>
      <c r="E2710" s="1" t="s">
        <v>747</v>
      </c>
      <c r="F2710" s="1" t="s">
        <v>748</v>
      </c>
      <c r="G2710" s="1" t="s">
        <v>1639</v>
      </c>
      <c r="H2710">
        <v>2015</v>
      </c>
      <c r="I2710">
        <v>2015</v>
      </c>
      <c r="J2710">
        <f t="shared" si="84"/>
        <v>1</v>
      </c>
      <c r="K2710" s="1" t="s">
        <v>741</v>
      </c>
      <c r="L2710" s="1" t="s">
        <v>798</v>
      </c>
      <c r="M2710">
        <f t="shared" si="85"/>
        <v>11</v>
      </c>
      <c r="N2710" t="s">
        <v>650</v>
      </c>
    </row>
    <row r="2711" spans="1:14" hidden="1" x14ac:dyDescent="0.3">
      <c r="A2711" s="1" t="s">
        <v>4420</v>
      </c>
      <c r="B2711" s="1" t="s">
        <v>810</v>
      </c>
      <c r="C2711" s="1" t="s">
        <v>4421</v>
      </c>
      <c r="D2711" s="1" t="s">
        <v>746</v>
      </c>
      <c r="E2711" s="1" t="s">
        <v>747</v>
      </c>
      <c r="F2711" s="1" t="s">
        <v>748</v>
      </c>
      <c r="G2711" s="1" t="s">
        <v>1639</v>
      </c>
      <c r="H2711">
        <v>1996</v>
      </c>
      <c r="I2711">
        <v>1997</v>
      </c>
      <c r="J2711">
        <f t="shared" si="84"/>
        <v>2</v>
      </c>
      <c r="K2711" s="1" t="s">
        <v>3665</v>
      </c>
      <c r="L2711" s="1" t="s">
        <v>666</v>
      </c>
      <c r="M2711">
        <f t="shared" si="85"/>
        <v>29</v>
      </c>
      <c r="N2711" t="s">
        <v>640</v>
      </c>
    </row>
    <row r="2712" spans="1:14" x14ac:dyDescent="0.3">
      <c r="A2712" s="1" t="s">
        <v>8208</v>
      </c>
      <c r="B2712" s="1" t="s">
        <v>810</v>
      </c>
      <c r="C2712" s="1" t="s">
        <v>8209</v>
      </c>
      <c r="D2712" s="1" t="s">
        <v>746</v>
      </c>
      <c r="E2712" s="1" t="s">
        <v>6076</v>
      </c>
      <c r="F2712" s="1" t="s">
        <v>6076</v>
      </c>
      <c r="G2712" s="1" t="s">
        <v>1639</v>
      </c>
      <c r="H2712">
        <v>1997</v>
      </c>
      <c r="I2712">
        <v>1999</v>
      </c>
      <c r="J2712">
        <f t="shared" si="84"/>
        <v>3</v>
      </c>
      <c r="K2712" s="1" t="s">
        <v>6076</v>
      </c>
      <c r="L2712" s="1" t="s">
        <v>6076</v>
      </c>
      <c r="M2712">
        <f t="shared" si="85"/>
        <v>27</v>
      </c>
      <c r="N2712" t="s">
        <v>640</v>
      </c>
    </row>
    <row r="2713" spans="1:14" hidden="1" x14ac:dyDescent="0.3">
      <c r="A2713" s="1" t="s">
        <v>4422</v>
      </c>
      <c r="B2713" s="1" t="s">
        <v>810</v>
      </c>
      <c r="C2713" s="1" t="s">
        <v>4423</v>
      </c>
      <c r="D2713" s="1" t="s">
        <v>746</v>
      </c>
      <c r="E2713" s="1" t="s">
        <v>1358</v>
      </c>
      <c r="F2713" s="1" t="s">
        <v>1359</v>
      </c>
      <c r="G2713" s="1" t="s">
        <v>4424</v>
      </c>
      <c r="H2713">
        <v>2006</v>
      </c>
      <c r="I2713">
        <v>2014</v>
      </c>
      <c r="J2713">
        <f t="shared" si="84"/>
        <v>9</v>
      </c>
      <c r="K2713" s="1" t="s">
        <v>3665</v>
      </c>
      <c r="L2713" s="1" t="s">
        <v>666</v>
      </c>
      <c r="M2713">
        <f t="shared" si="85"/>
        <v>12</v>
      </c>
      <c r="N2713" t="s">
        <v>650</v>
      </c>
    </row>
    <row r="2714" spans="1:14" x14ac:dyDescent="0.3">
      <c r="A2714" s="1" t="s">
        <v>8210</v>
      </c>
      <c r="B2714" s="1" t="s">
        <v>810</v>
      </c>
      <c r="C2714" s="1" t="s">
        <v>8211</v>
      </c>
      <c r="D2714" s="1" t="s">
        <v>746</v>
      </c>
      <c r="E2714" s="1" t="s">
        <v>6076</v>
      </c>
      <c r="F2714" s="1" t="s">
        <v>6076</v>
      </c>
      <c r="G2714" s="1" t="s">
        <v>4424</v>
      </c>
      <c r="H2714">
        <v>2003</v>
      </c>
      <c r="I2714">
        <v>2003</v>
      </c>
      <c r="J2714">
        <f t="shared" si="84"/>
        <v>1</v>
      </c>
      <c r="K2714" s="1" t="s">
        <v>6076</v>
      </c>
      <c r="L2714" s="1" t="s">
        <v>6076</v>
      </c>
      <c r="M2714">
        <f t="shared" si="85"/>
        <v>23</v>
      </c>
      <c r="N2714" t="s">
        <v>640</v>
      </c>
    </row>
    <row r="2715" spans="1:14" hidden="1" x14ac:dyDescent="0.3">
      <c r="A2715" s="1" t="s">
        <v>5183</v>
      </c>
      <c r="B2715" s="1" t="s">
        <v>810</v>
      </c>
      <c r="C2715" s="1" t="s">
        <v>5184</v>
      </c>
      <c r="D2715" s="1" t="s">
        <v>746</v>
      </c>
      <c r="E2715" s="1" t="s">
        <v>1358</v>
      </c>
      <c r="F2715" s="1" t="s">
        <v>1359</v>
      </c>
      <c r="G2715" s="1" t="s">
        <v>4424</v>
      </c>
      <c r="H2715">
        <v>1999</v>
      </c>
      <c r="I2715">
        <v>2006</v>
      </c>
      <c r="J2715">
        <f t="shared" si="84"/>
        <v>8</v>
      </c>
      <c r="K2715" s="1" t="s">
        <v>4668</v>
      </c>
      <c r="L2715" s="1" t="s">
        <v>666</v>
      </c>
      <c r="M2715">
        <f t="shared" si="85"/>
        <v>20</v>
      </c>
      <c r="N2715" t="s">
        <v>640</v>
      </c>
    </row>
    <row r="2716" spans="1:14" hidden="1" x14ac:dyDescent="0.3">
      <c r="A2716" s="1" t="s">
        <v>4425</v>
      </c>
      <c r="B2716" s="1" t="s">
        <v>810</v>
      </c>
      <c r="C2716" s="1" t="s">
        <v>4426</v>
      </c>
      <c r="D2716" s="1" t="s">
        <v>746</v>
      </c>
      <c r="E2716" s="1" t="s">
        <v>1358</v>
      </c>
      <c r="F2716" s="1" t="s">
        <v>1359</v>
      </c>
      <c r="G2716" s="1" t="s">
        <v>4424</v>
      </c>
      <c r="H2716">
        <v>2004</v>
      </c>
      <c r="I2716">
        <v>2006</v>
      </c>
      <c r="J2716">
        <f t="shared" si="84"/>
        <v>3</v>
      </c>
      <c r="K2716" s="1" t="s">
        <v>3665</v>
      </c>
      <c r="L2716" s="1" t="s">
        <v>666</v>
      </c>
      <c r="M2716">
        <f t="shared" si="85"/>
        <v>20</v>
      </c>
      <c r="N2716" t="s">
        <v>640</v>
      </c>
    </row>
    <row r="2717" spans="1:14" hidden="1" x14ac:dyDescent="0.3">
      <c r="A2717" s="1" t="s">
        <v>4427</v>
      </c>
      <c r="B2717" s="1" t="s">
        <v>810</v>
      </c>
      <c r="C2717" s="1" t="s">
        <v>4428</v>
      </c>
      <c r="D2717" s="1" t="s">
        <v>746</v>
      </c>
      <c r="E2717" s="1" t="s">
        <v>1358</v>
      </c>
      <c r="F2717" s="1" t="s">
        <v>1359</v>
      </c>
      <c r="G2717" s="1" t="s">
        <v>4424</v>
      </c>
      <c r="H2717">
        <v>1999</v>
      </c>
      <c r="I2717">
        <v>2014</v>
      </c>
      <c r="J2717">
        <f t="shared" si="84"/>
        <v>16</v>
      </c>
      <c r="K2717" s="1" t="s">
        <v>3665</v>
      </c>
      <c r="L2717" s="1" t="s">
        <v>666</v>
      </c>
      <c r="M2717">
        <f t="shared" si="85"/>
        <v>12</v>
      </c>
      <c r="N2717" t="s">
        <v>650</v>
      </c>
    </row>
    <row r="2718" spans="1:14" hidden="1" x14ac:dyDescent="0.3">
      <c r="A2718" s="1" t="s">
        <v>4429</v>
      </c>
      <c r="B2718" s="1" t="s">
        <v>810</v>
      </c>
      <c r="C2718" s="1" t="s">
        <v>4430</v>
      </c>
      <c r="D2718" s="1" t="s">
        <v>746</v>
      </c>
      <c r="E2718" s="1" t="s">
        <v>1358</v>
      </c>
      <c r="F2718" s="1" t="s">
        <v>1359</v>
      </c>
      <c r="G2718" s="1" t="s">
        <v>4424</v>
      </c>
      <c r="H2718">
        <v>1999</v>
      </c>
      <c r="I2718">
        <v>2009</v>
      </c>
      <c r="J2718">
        <f t="shared" si="84"/>
        <v>11</v>
      </c>
      <c r="K2718" s="1" t="s">
        <v>3665</v>
      </c>
      <c r="L2718" s="1" t="s">
        <v>666</v>
      </c>
      <c r="M2718">
        <f t="shared" si="85"/>
        <v>17</v>
      </c>
      <c r="N2718" t="s">
        <v>650</v>
      </c>
    </row>
    <row r="2719" spans="1:14" hidden="1" x14ac:dyDescent="0.3">
      <c r="A2719" s="1" t="s">
        <v>4431</v>
      </c>
      <c r="B2719" s="1" t="s">
        <v>810</v>
      </c>
      <c r="C2719" s="1" t="s">
        <v>4432</v>
      </c>
      <c r="D2719" s="1" t="s">
        <v>746</v>
      </c>
      <c r="E2719" s="1" t="s">
        <v>1358</v>
      </c>
      <c r="F2719" s="1" t="s">
        <v>1359</v>
      </c>
      <c r="G2719" s="1" t="s">
        <v>4424</v>
      </c>
      <c r="H2719">
        <v>1999</v>
      </c>
      <c r="I2719">
        <v>2009</v>
      </c>
      <c r="J2719">
        <f t="shared" si="84"/>
        <v>11</v>
      </c>
      <c r="K2719" s="1" t="s">
        <v>3665</v>
      </c>
      <c r="L2719" s="1" t="s">
        <v>666</v>
      </c>
      <c r="M2719">
        <f t="shared" si="85"/>
        <v>17</v>
      </c>
      <c r="N2719" t="s">
        <v>650</v>
      </c>
    </row>
    <row r="2720" spans="1:14" hidden="1" x14ac:dyDescent="0.3">
      <c r="A2720" s="1" t="s">
        <v>4433</v>
      </c>
      <c r="B2720" s="1" t="s">
        <v>810</v>
      </c>
      <c r="C2720" s="1" t="s">
        <v>4434</v>
      </c>
      <c r="D2720" s="1" t="s">
        <v>746</v>
      </c>
      <c r="E2720" s="1" t="s">
        <v>1358</v>
      </c>
      <c r="F2720" s="1" t="s">
        <v>1359</v>
      </c>
      <c r="G2720" s="1" t="s">
        <v>4424</v>
      </c>
      <c r="H2720">
        <v>1999</v>
      </c>
      <c r="I2720">
        <v>2011</v>
      </c>
      <c r="J2720">
        <f t="shared" si="84"/>
        <v>13</v>
      </c>
      <c r="K2720" s="1" t="s">
        <v>3665</v>
      </c>
      <c r="L2720" s="1" t="s">
        <v>666</v>
      </c>
      <c r="M2720">
        <f t="shared" si="85"/>
        <v>15</v>
      </c>
      <c r="N2720" t="s">
        <v>650</v>
      </c>
    </row>
    <row r="2721" spans="1:14" hidden="1" x14ac:dyDescent="0.3">
      <c r="A2721" s="1" t="s">
        <v>4435</v>
      </c>
      <c r="B2721" s="1" t="s">
        <v>810</v>
      </c>
      <c r="C2721" s="1" t="s">
        <v>4436</v>
      </c>
      <c r="D2721" s="1" t="s">
        <v>746</v>
      </c>
      <c r="E2721" s="1" t="s">
        <v>1358</v>
      </c>
      <c r="F2721" s="1" t="s">
        <v>1359</v>
      </c>
      <c r="G2721" s="1" t="s">
        <v>4424</v>
      </c>
      <c r="H2721">
        <v>2010</v>
      </c>
      <c r="I2721">
        <v>2013</v>
      </c>
      <c r="J2721">
        <f t="shared" si="84"/>
        <v>4</v>
      </c>
      <c r="K2721" s="1" t="s">
        <v>3665</v>
      </c>
      <c r="L2721" s="1" t="s">
        <v>666</v>
      </c>
      <c r="M2721">
        <f t="shared" si="85"/>
        <v>13</v>
      </c>
      <c r="N2721" t="s">
        <v>650</v>
      </c>
    </row>
    <row r="2722" spans="1:14" hidden="1" x14ac:dyDescent="0.3">
      <c r="A2722" s="1" t="s">
        <v>4437</v>
      </c>
      <c r="B2722" s="1" t="s">
        <v>810</v>
      </c>
      <c r="C2722" s="1" t="s">
        <v>4438</v>
      </c>
      <c r="D2722" s="1" t="s">
        <v>746</v>
      </c>
      <c r="E2722" s="1" t="s">
        <v>1358</v>
      </c>
      <c r="F2722" s="1" t="s">
        <v>1359</v>
      </c>
      <c r="G2722" s="1" t="s">
        <v>4424</v>
      </c>
      <c r="H2722">
        <v>2018</v>
      </c>
      <c r="I2722">
        <v>2018</v>
      </c>
      <c r="J2722">
        <f t="shared" si="84"/>
        <v>1</v>
      </c>
      <c r="K2722" s="1" t="s">
        <v>3665</v>
      </c>
      <c r="L2722" s="1" t="s">
        <v>666</v>
      </c>
      <c r="M2722">
        <f t="shared" si="85"/>
        <v>8</v>
      </c>
      <c r="N2722" t="s">
        <v>650</v>
      </c>
    </row>
    <row r="2723" spans="1:14" hidden="1" x14ac:dyDescent="0.3">
      <c r="A2723" s="1" t="s">
        <v>4439</v>
      </c>
      <c r="B2723" s="1" t="s">
        <v>810</v>
      </c>
      <c r="C2723" s="1" t="s">
        <v>4440</v>
      </c>
      <c r="D2723" s="1" t="s">
        <v>746</v>
      </c>
      <c r="E2723" s="1" t="s">
        <v>1358</v>
      </c>
      <c r="F2723" s="1" t="s">
        <v>1359</v>
      </c>
      <c r="G2723" s="1" t="s">
        <v>4424</v>
      </c>
      <c r="H2723">
        <v>2017</v>
      </c>
      <c r="I2723">
        <v>2017</v>
      </c>
      <c r="J2723">
        <f t="shared" si="84"/>
        <v>1</v>
      </c>
      <c r="K2723" s="1" t="s">
        <v>3665</v>
      </c>
      <c r="L2723" s="1" t="s">
        <v>666</v>
      </c>
      <c r="M2723">
        <f t="shared" si="85"/>
        <v>9</v>
      </c>
      <c r="N2723" t="s">
        <v>650</v>
      </c>
    </row>
    <row r="2724" spans="1:14" hidden="1" x14ac:dyDescent="0.3">
      <c r="A2724" s="1" t="s">
        <v>4441</v>
      </c>
      <c r="B2724" s="1" t="s">
        <v>810</v>
      </c>
      <c r="C2724" s="1" t="s">
        <v>4442</v>
      </c>
      <c r="D2724" s="1" t="s">
        <v>746</v>
      </c>
      <c r="E2724" s="1" t="s">
        <v>1358</v>
      </c>
      <c r="F2724" s="1" t="s">
        <v>1359</v>
      </c>
      <c r="G2724" s="1" t="s">
        <v>4424</v>
      </c>
      <c r="H2724">
        <v>2014</v>
      </c>
      <c r="I2724">
        <v>2015</v>
      </c>
      <c r="J2724">
        <f t="shared" si="84"/>
        <v>2</v>
      </c>
      <c r="K2724" s="1" t="s">
        <v>3665</v>
      </c>
      <c r="L2724" s="1" t="s">
        <v>666</v>
      </c>
      <c r="M2724">
        <f t="shared" si="85"/>
        <v>11</v>
      </c>
      <c r="N2724" t="s">
        <v>650</v>
      </c>
    </row>
    <row r="2725" spans="1:14" hidden="1" x14ac:dyDescent="0.3">
      <c r="A2725" s="1" t="s">
        <v>4443</v>
      </c>
      <c r="B2725" s="1" t="s">
        <v>810</v>
      </c>
      <c r="C2725" s="1" t="s">
        <v>4444</v>
      </c>
      <c r="D2725" s="1" t="s">
        <v>746</v>
      </c>
      <c r="E2725" s="1" t="s">
        <v>1358</v>
      </c>
      <c r="F2725" s="1" t="s">
        <v>1359</v>
      </c>
      <c r="G2725" s="1" t="s">
        <v>4424</v>
      </c>
      <c r="H2725">
        <v>2014</v>
      </c>
      <c r="I2725">
        <v>2015</v>
      </c>
      <c r="J2725">
        <f t="shared" si="84"/>
        <v>2</v>
      </c>
      <c r="K2725" s="1" t="s">
        <v>3665</v>
      </c>
      <c r="L2725" s="1" t="s">
        <v>666</v>
      </c>
      <c r="M2725">
        <f t="shared" si="85"/>
        <v>11</v>
      </c>
      <c r="N2725" t="s">
        <v>650</v>
      </c>
    </row>
    <row r="2726" spans="1:14" hidden="1" x14ac:dyDescent="0.3">
      <c r="A2726" s="1" t="s">
        <v>4445</v>
      </c>
      <c r="B2726" s="1" t="s">
        <v>810</v>
      </c>
      <c r="C2726" s="1" t="s">
        <v>4446</v>
      </c>
      <c r="D2726" s="1" t="s">
        <v>746</v>
      </c>
      <c r="E2726" s="1" t="s">
        <v>1358</v>
      </c>
      <c r="F2726" s="1" t="s">
        <v>1359</v>
      </c>
      <c r="G2726" s="1" t="s">
        <v>4424</v>
      </c>
      <c r="H2726">
        <v>2016</v>
      </c>
      <c r="I2726">
        <v>2016</v>
      </c>
      <c r="J2726">
        <f t="shared" si="84"/>
        <v>1</v>
      </c>
      <c r="K2726" s="1" t="s">
        <v>3665</v>
      </c>
      <c r="L2726" s="1" t="s">
        <v>666</v>
      </c>
      <c r="M2726">
        <f t="shared" si="85"/>
        <v>10</v>
      </c>
      <c r="N2726" t="s">
        <v>650</v>
      </c>
    </row>
    <row r="2727" spans="1:14" hidden="1" x14ac:dyDescent="0.3">
      <c r="A2727" s="1" t="s">
        <v>4447</v>
      </c>
      <c r="B2727" s="1" t="s">
        <v>810</v>
      </c>
      <c r="C2727" s="1" t="s">
        <v>4448</v>
      </c>
      <c r="D2727" s="1" t="s">
        <v>746</v>
      </c>
      <c r="E2727" s="1" t="s">
        <v>1358</v>
      </c>
      <c r="F2727" s="1" t="s">
        <v>1359</v>
      </c>
      <c r="G2727" s="1" t="s">
        <v>4424</v>
      </c>
      <c r="H2727">
        <v>2016</v>
      </c>
      <c r="I2727">
        <v>2016</v>
      </c>
      <c r="J2727">
        <f t="shared" si="84"/>
        <v>1</v>
      </c>
      <c r="K2727" s="1" t="s">
        <v>3665</v>
      </c>
      <c r="L2727" s="1" t="s">
        <v>666</v>
      </c>
      <c r="M2727">
        <f t="shared" si="85"/>
        <v>10</v>
      </c>
      <c r="N2727" t="s">
        <v>650</v>
      </c>
    </row>
    <row r="2728" spans="1:14" hidden="1" x14ac:dyDescent="0.3">
      <c r="A2728" s="1" t="s">
        <v>4449</v>
      </c>
      <c r="B2728" s="1" t="s">
        <v>810</v>
      </c>
      <c r="C2728" s="1" t="s">
        <v>4450</v>
      </c>
      <c r="D2728" s="1" t="s">
        <v>746</v>
      </c>
      <c r="E2728" s="1" t="s">
        <v>1358</v>
      </c>
      <c r="F2728" s="1" t="s">
        <v>1359</v>
      </c>
      <c r="G2728" s="1" t="s">
        <v>4424</v>
      </c>
      <c r="H2728">
        <v>2006</v>
      </c>
      <c r="I2728">
        <v>2007</v>
      </c>
      <c r="J2728">
        <f t="shared" si="84"/>
        <v>2</v>
      </c>
      <c r="K2728" s="1" t="s">
        <v>3665</v>
      </c>
      <c r="L2728" s="1" t="s">
        <v>666</v>
      </c>
      <c r="M2728">
        <f t="shared" si="85"/>
        <v>19</v>
      </c>
      <c r="N2728" t="s">
        <v>650</v>
      </c>
    </row>
    <row r="2729" spans="1:14" x14ac:dyDescent="0.3">
      <c r="A2729" s="1" t="s">
        <v>8212</v>
      </c>
      <c r="B2729" s="1" t="s">
        <v>810</v>
      </c>
      <c r="C2729" s="1" t="s">
        <v>8213</v>
      </c>
      <c r="D2729" s="1" t="s">
        <v>746</v>
      </c>
      <c r="E2729" s="1" t="s">
        <v>6076</v>
      </c>
      <c r="F2729" s="1" t="s">
        <v>6076</v>
      </c>
      <c r="G2729" s="1" t="s">
        <v>4424</v>
      </c>
      <c r="H2729">
        <v>1995</v>
      </c>
      <c r="I2729">
        <v>1999</v>
      </c>
      <c r="J2729">
        <f t="shared" si="84"/>
        <v>5</v>
      </c>
      <c r="K2729" s="1" t="s">
        <v>6076</v>
      </c>
      <c r="L2729" s="1" t="s">
        <v>6076</v>
      </c>
      <c r="M2729">
        <f t="shared" si="85"/>
        <v>27</v>
      </c>
      <c r="N2729" t="s">
        <v>640</v>
      </c>
    </row>
    <row r="2730" spans="1:14" x14ac:dyDescent="0.3">
      <c r="A2730" s="1" t="s">
        <v>8214</v>
      </c>
      <c r="B2730" s="1" t="s">
        <v>810</v>
      </c>
      <c r="C2730" s="1" t="s">
        <v>8215</v>
      </c>
      <c r="D2730" s="1" t="s">
        <v>746</v>
      </c>
      <c r="E2730" s="1" t="s">
        <v>6076</v>
      </c>
      <c r="F2730" s="1" t="s">
        <v>6076</v>
      </c>
      <c r="G2730" s="1" t="s">
        <v>4424</v>
      </c>
      <c r="H2730">
        <v>1995</v>
      </c>
      <c r="I2730">
        <v>1999</v>
      </c>
      <c r="J2730">
        <f t="shared" si="84"/>
        <v>5</v>
      </c>
      <c r="K2730" s="1" t="s">
        <v>6076</v>
      </c>
      <c r="L2730" s="1" t="s">
        <v>6076</v>
      </c>
      <c r="M2730">
        <f t="shared" si="85"/>
        <v>27</v>
      </c>
      <c r="N2730" t="s">
        <v>640</v>
      </c>
    </row>
    <row r="2731" spans="1:14" hidden="1" x14ac:dyDescent="0.3">
      <c r="A2731" s="1" t="s">
        <v>4451</v>
      </c>
      <c r="B2731" s="1" t="s">
        <v>810</v>
      </c>
      <c r="C2731" s="1" t="s">
        <v>4452</v>
      </c>
      <c r="D2731" s="1" t="s">
        <v>746</v>
      </c>
      <c r="E2731" s="1" t="s">
        <v>1358</v>
      </c>
      <c r="F2731" s="1" t="s">
        <v>1359</v>
      </c>
      <c r="G2731" s="1" t="s">
        <v>4424</v>
      </c>
      <c r="H2731">
        <v>2009</v>
      </c>
      <c r="I2731">
        <v>2013</v>
      </c>
      <c r="J2731">
        <f t="shared" si="84"/>
        <v>5</v>
      </c>
      <c r="K2731" s="1" t="s">
        <v>3665</v>
      </c>
      <c r="L2731" s="1" t="s">
        <v>666</v>
      </c>
      <c r="M2731">
        <f t="shared" si="85"/>
        <v>13</v>
      </c>
      <c r="N2731" t="s">
        <v>650</v>
      </c>
    </row>
    <row r="2732" spans="1:14" hidden="1" x14ac:dyDescent="0.3">
      <c r="A2732" s="1" t="s">
        <v>4453</v>
      </c>
      <c r="B2732" s="1" t="s">
        <v>810</v>
      </c>
      <c r="C2732" s="1" t="s">
        <v>4454</v>
      </c>
      <c r="D2732" s="1" t="s">
        <v>746</v>
      </c>
      <c r="E2732" s="1" t="s">
        <v>1358</v>
      </c>
      <c r="F2732" s="1" t="s">
        <v>1359</v>
      </c>
      <c r="G2732" s="1" t="s">
        <v>4424</v>
      </c>
      <c r="H2732">
        <v>2009</v>
      </c>
      <c r="I2732">
        <v>2013</v>
      </c>
      <c r="J2732">
        <f t="shared" si="84"/>
        <v>5</v>
      </c>
      <c r="K2732" s="1" t="s">
        <v>3665</v>
      </c>
      <c r="L2732" s="1" t="s">
        <v>666</v>
      </c>
      <c r="M2732">
        <f t="shared" si="85"/>
        <v>13</v>
      </c>
      <c r="N2732" t="s">
        <v>650</v>
      </c>
    </row>
    <row r="2733" spans="1:14" x14ac:dyDescent="0.3">
      <c r="A2733" s="1" t="s">
        <v>8216</v>
      </c>
      <c r="B2733" s="1" t="s">
        <v>810</v>
      </c>
      <c r="C2733" s="1" t="s">
        <v>8217</v>
      </c>
      <c r="D2733" s="1" t="s">
        <v>746</v>
      </c>
      <c r="E2733" s="1" t="s">
        <v>6076</v>
      </c>
      <c r="F2733" s="1" t="s">
        <v>6076</v>
      </c>
      <c r="G2733" s="1" t="s">
        <v>4424</v>
      </c>
      <c r="H2733">
        <v>2020</v>
      </c>
      <c r="I2733">
        <v>2020</v>
      </c>
      <c r="J2733">
        <f t="shared" si="84"/>
        <v>1</v>
      </c>
      <c r="K2733" s="1" t="s">
        <v>6076</v>
      </c>
      <c r="L2733" s="1" t="s">
        <v>6076</v>
      </c>
      <c r="M2733">
        <f t="shared" si="85"/>
        <v>6</v>
      </c>
      <c r="N2733" t="s">
        <v>650</v>
      </c>
    </row>
    <row r="2734" spans="1:14" x14ac:dyDescent="0.3">
      <c r="A2734" s="1" t="s">
        <v>8218</v>
      </c>
      <c r="B2734" s="1" t="s">
        <v>810</v>
      </c>
      <c r="C2734" s="1" t="s">
        <v>8219</v>
      </c>
      <c r="D2734" s="1" t="s">
        <v>746</v>
      </c>
      <c r="E2734" s="1" t="s">
        <v>6076</v>
      </c>
      <c r="F2734" s="1" t="s">
        <v>6076</v>
      </c>
      <c r="G2734" s="1" t="s">
        <v>4424</v>
      </c>
      <c r="H2734">
        <v>2002</v>
      </c>
      <c r="I2734">
        <v>2009</v>
      </c>
      <c r="J2734">
        <f t="shared" si="84"/>
        <v>8</v>
      </c>
      <c r="K2734" s="1" t="s">
        <v>6076</v>
      </c>
      <c r="L2734" s="1" t="s">
        <v>6076</v>
      </c>
      <c r="M2734">
        <f t="shared" si="85"/>
        <v>17</v>
      </c>
      <c r="N2734" t="s">
        <v>650</v>
      </c>
    </row>
    <row r="2735" spans="1:14" x14ac:dyDescent="0.3">
      <c r="A2735" s="1" t="s">
        <v>8220</v>
      </c>
      <c r="B2735" s="1" t="s">
        <v>810</v>
      </c>
      <c r="C2735" s="1" t="s">
        <v>8221</v>
      </c>
      <c r="D2735" s="1" t="s">
        <v>746</v>
      </c>
      <c r="E2735" s="1" t="s">
        <v>6076</v>
      </c>
      <c r="F2735" s="1" t="s">
        <v>6076</v>
      </c>
      <c r="G2735" s="1" t="s">
        <v>4424</v>
      </c>
      <c r="H2735">
        <v>2002</v>
      </c>
      <c r="I2735">
        <v>2009</v>
      </c>
      <c r="J2735">
        <f t="shared" si="84"/>
        <v>8</v>
      </c>
      <c r="K2735" s="1" t="s">
        <v>6076</v>
      </c>
      <c r="L2735" s="1" t="s">
        <v>6076</v>
      </c>
      <c r="M2735">
        <f t="shared" si="85"/>
        <v>17</v>
      </c>
      <c r="N2735" t="s">
        <v>650</v>
      </c>
    </row>
    <row r="2736" spans="1:14" x14ac:dyDescent="0.3">
      <c r="A2736" s="1" t="s">
        <v>8222</v>
      </c>
      <c r="B2736" s="1" t="s">
        <v>810</v>
      </c>
      <c r="C2736" s="1" t="s">
        <v>8223</v>
      </c>
      <c r="D2736" s="1" t="s">
        <v>746</v>
      </c>
      <c r="E2736" s="1" t="s">
        <v>6076</v>
      </c>
      <c r="F2736" s="1" t="s">
        <v>6076</v>
      </c>
      <c r="G2736" s="1" t="s">
        <v>4424</v>
      </c>
      <c r="H2736">
        <v>1999</v>
      </c>
      <c r="I2736">
        <v>2001</v>
      </c>
      <c r="J2736">
        <f t="shared" si="84"/>
        <v>3</v>
      </c>
      <c r="K2736" s="1" t="s">
        <v>6076</v>
      </c>
      <c r="L2736" s="1" t="s">
        <v>6076</v>
      </c>
      <c r="M2736">
        <f t="shared" si="85"/>
        <v>25</v>
      </c>
      <c r="N2736" t="s">
        <v>640</v>
      </c>
    </row>
    <row r="2737" spans="1:14" x14ac:dyDescent="0.3">
      <c r="A2737" s="1" t="s">
        <v>8224</v>
      </c>
      <c r="B2737" s="1" t="s">
        <v>810</v>
      </c>
      <c r="C2737" s="1" t="s">
        <v>8225</v>
      </c>
      <c r="D2737" s="1" t="s">
        <v>746</v>
      </c>
      <c r="E2737" s="1" t="s">
        <v>6076</v>
      </c>
      <c r="F2737" s="1" t="s">
        <v>6076</v>
      </c>
      <c r="G2737" s="1" t="s">
        <v>4424</v>
      </c>
      <c r="H2737">
        <v>2000</v>
      </c>
      <c r="I2737">
        <v>2002</v>
      </c>
      <c r="J2737">
        <f t="shared" si="84"/>
        <v>3</v>
      </c>
      <c r="K2737" s="1" t="s">
        <v>6076</v>
      </c>
      <c r="L2737" s="1" t="s">
        <v>6076</v>
      </c>
      <c r="M2737">
        <f t="shared" si="85"/>
        <v>24</v>
      </c>
      <c r="N2737" t="s">
        <v>640</v>
      </c>
    </row>
    <row r="2738" spans="1:14" x14ac:dyDescent="0.3">
      <c r="A2738" s="1" t="s">
        <v>8226</v>
      </c>
      <c r="B2738" s="1" t="s">
        <v>810</v>
      </c>
      <c r="C2738" s="1" t="s">
        <v>8227</v>
      </c>
      <c r="D2738" s="1" t="s">
        <v>746</v>
      </c>
      <c r="E2738" s="1" t="s">
        <v>6076</v>
      </c>
      <c r="F2738" s="1" t="s">
        <v>6076</v>
      </c>
      <c r="G2738" s="1" t="s">
        <v>4424</v>
      </c>
      <c r="H2738">
        <v>2000</v>
      </c>
      <c r="I2738">
        <v>2002</v>
      </c>
      <c r="J2738">
        <f t="shared" si="84"/>
        <v>3</v>
      </c>
      <c r="K2738" s="1" t="s">
        <v>6076</v>
      </c>
      <c r="L2738" s="1" t="s">
        <v>6076</v>
      </c>
      <c r="M2738">
        <f t="shared" si="85"/>
        <v>24</v>
      </c>
      <c r="N2738" t="s">
        <v>640</v>
      </c>
    </row>
    <row r="2739" spans="1:14" x14ac:dyDescent="0.3">
      <c r="A2739" s="1" t="s">
        <v>8228</v>
      </c>
      <c r="B2739" s="1" t="s">
        <v>810</v>
      </c>
      <c r="C2739" s="1" t="s">
        <v>8229</v>
      </c>
      <c r="D2739" s="1" t="s">
        <v>746</v>
      </c>
      <c r="E2739" s="1" t="s">
        <v>6076</v>
      </c>
      <c r="F2739" s="1" t="s">
        <v>6076</v>
      </c>
      <c r="G2739" s="1" t="s">
        <v>4424</v>
      </c>
      <c r="H2739">
        <v>1999</v>
      </c>
      <c r="I2739">
        <v>2002</v>
      </c>
      <c r="J2739">
        <f t="shared" si="84"/>
        <v>4</v>
      </c>
      <c r="K2739" s="1" t="s">
        <v>6076</v>
      </c>
      <c r="L2739" s="1" t="s">
        <v>6076</v>
      </c>
      <c r="M2739">
        <f t="shared" si="85"/>
        <v>24</v>
      </c>
      <c r="N2739" t="s">
        <v>640</v>
      </c>
    </row>
    <row r="2740" spans="1:14" x14ac:dyDescent="0.3">
      <c r="A2740" s="1" t="s">
        <v>8230</v>
      </c>
      <c r="B2740" s="1" t="s">
        <v>810</v>
      </c>
      <c r="C2740" s="1" t="s">
        <v>8231</v>
      </c>
      <c r="D2740" s="1" t="s">
        <v>746</v>
      </c>
      <c r="E2740" s="1" t="s">
        <v>6076</v>
      </c>
      <c r="F2740" s="1" t="s">
        <v>6076</v>
      </c>
      <c r="G2740" s="1" t="s">
        <v>4424</v>
      </c>
      <c r="H2740">
        <v>1998</v>
      </c>
      <c r="I2740">
        <v>1999</v>
      </c>
      <c r="J2740">
        <f t="shared" si="84"/>
        <v>2</v>
      </c>
      <c r="K2740" s="1" t="s">
        <v>6076</v>
      </c>
      <c r="L2740" s="1" t="s">
        <v>6076</v>
      </c>
      <c r="M2740">
        <f t="shared" si="85"/>
        <v>27</v>
      </c>
      <c r="N2740" t="s">
        <v>640</v>
      </c>
    </row>
    <row r="2741" spans="1:14" x14ac:dyDescent="0.3">
      <c r="A2741" s="1" t="s">
        <v>8232</v>
      </c>
      <c r="B2741" s="1" t="s">
        <v>810</v>
      </c>
      <c r="C2741" s="1" t="s">
        <v>8233</v>
      </c>
      <c r="D2741" s="1" t="s">
        <v>746</v>
      </c>
      <c r="E2741" s="1" t="s">
        <v>6076</v>
      </c>
      <c r="F2741" s="1" t="s">
        <v>6076</v>
      </c>
      <c r="G2741" s="1" t="s">
        <v>4424</v>
      </c>
      <c r="H2741">
        <v>1994</v>
      </c>
      <c r="I2741">
        <v>1998</v>
      </c>
      <c r="J2741">
        <f t="shared" si="84"/>
        <v>5</v>
      </c>
      <c r="K2741" s="1" t="s">
        <v>6076</v>
      </c>
      <c r="L2741" s="1" t="s">
        <v>6076</v>
      </c>
      <c r="M2741">
        <f t="shared" si="85"/>
        <v>28</v>
      </c>
      <c r="N2741" t="s">
        <v>640</v>
      </c>
    </row>
    <row r="2742" spans="1:14" hidden="1" x14ac:dyDescent="0.3">
      <c r="A2742" s="1" t="s">
        <v>5185</v>
      </c>
      <c r="B2742" s="1" t="s">
        <v>810</v>
      </c>
      <c r="C2742" s="1" t="s">
        <v>5186</v>
      </c>
      <c r="D2742" s="1" t="s">
        <v>746</v>
      </c>
      <c r="E2742" s="1" t="s">
        <v>1358</v>
      </c>
      <c r="F2742" s="1" t="s">
        <v>1359</v>
      </c>
      <c r="G2742" s="1" t="s">
        <v>4424</v>
      </c>
      <c r="H2742">
        <v>2014</v>
      </c>
      <c r="I2742">
        <v>2017</v>
      </c>
      <c r="J2742">
        <f t="shared" si="84"/>
        <v>4</v>
      </c>
      <c r="K2742" s="1" t="s">
        <v>4668</v>
      </c>
      <c r="L2742" s="1" t="s">
        <v>666</v>
      </c>
      <c r="M2742">
        <f t="shared" si="85"/>
        <v>9</v>
      </c>
      <c r="N2742" t="s">
        <v>650</v>
      </c>
    </row>
    <row r="2743" spans="1:14" x14ac:dyDescent="0.3">
      <c r="A2743" s="1" t="s">
        <v>8234</v>
      </c>
      <c r="B2743" s="1" t="s">
        <v>810</v>
      </c>
      <c r="C2743" s="1" t="s">
        <v>8235</v>
      </c>
      <c r="D2743" s="1" t="s">
        <v>746</v>
      </c>
      <c r="E2743" s="1" t="s">
        <v>6076</v>
      </c>
      <c r="F2743" s="1" t="s">
        <v>6076</v>
      </c>
      <c r="G2743" s="1" t="s">
        <v>4424</v>
      </c>
      <c r="H2743">
        <v>2018</v>
      </c>
      <c r="I2743">
        <v>2019</v>
      </c>
      <c r="J2743">
        <f t="shared" si="84"/>
        <v>2</v>
      </c>
      <c r="K2743" s="1" t="s">
        <v>6076</v>
      </c>
      <c r="L2743" s="1" t="s">
        <v>6076</v>
      </c>
      <c r="M2743">
        <f t="shared" si="85"/>
        <v>7</v>
      </c>
      <c r="N2743" t="s">
        <v>650</v>
      </c>
    </row>
    <row r="2744" spans="1:14" x14ac:dyDescent="0.3">
      <c r="A2744" s="1" t="s">
        <v>8236</v>
      </c>
      <c r="B2744" s="1" t="s">
        <v>810</v>
      </c>
      <c r="C2744" s="1" t="s">
        <v>8237</v>
      </c>
      <c r="D2744" s="1" t="s">
        <v>746</v>
      </c>
      <c r="E2744" s="1" t="s">
        <v>6076</v>
      </c>
      <c r="F2744" s="1" t="s">
        <v>6076</v>
      </c>
      <c r="G2744" s="1" t="s">
        <v>4424</v>
      </c>
      <c r="H2744">
        <v>1992</v>
      </c>
      <c r="I2744">
        <v>1997</v>
      </c>
      <c r="J2744">
        <f t="shared" si="84"/>
        <v>6</v>
      </c>
      <c r="K2744" s="1" t="s">
        <v>6076</v>
      </c>
      <c r="L2744" s="1" t="s">
        <v>6076</v>
      </c>
      <c r="M2744">
        <f t="shared" si="85"/>
        <v>29</v>
      </c>
      <c r="N2744" t="s">
        <v>640</v>
      </c>
    </row>
    <row r="2745" spans="1:14" x14ac:dyDescent="0.3">
      <c r="A2745" s="1" t="s">
        <v>8238</v>
      </c>
      <c r="B2745" s="1" t="s">
        <v>810</v>
      </c>
      <c r="C2745" s="1" t="s">
        <v>8239</v>
      </c>
      <c r="D2745" s="1" t="s">
        <v>746</v>
      </c>
      <c r="E2745" s="1" t="s">
        <v>6076</v>
      </c>
      <c r="F2745" s="1" t="s">
        <v>6076</v>
      </c>
      <c r="G2745" s="1" t="s">
        <v>4424</v>
      </c>
      <c r="H2745">
        <v>1995</v>
      </c>
      <c r="I2745">
        <v>2003</v>
      </c>
      <c r="J2745">
        <f t="shared" si="84"/>
        <v>9</v>
      </c>
      <c r="K2745" s="1" t="s">
        <v>6076</v>
      </c>
      <c r="L2745" s="1" t="s">
        <v>6076</v>
      </c>
      <c r="M2745">
        <f t="shared" si="85"/>
        <v>23</v>
      </c>
      <c r="N2745" t="s">
        <v>640</v>
      </c>
    </row>
    <row r="2746" spans="1:14" hidden="1" x14ac:dyDescent="0.3">
      <c r="A2746" s="1" t="s">
        <v>4455</v>
      </c>
      <c r="B2746" s="1" t="s">
        <v>810</v>
      </c>
      <c r="C2746" s="1" t="s">
        <v>4456</v>
      </c>
      <c r="D2746" s="1" t="s">
        <v>746</v>
      </c>
      <c r="E2746" s="1" t="s">
        <v>1358</v>
      </c>
      <c r="F2746" s="1" t="s">
        <v>1359</v>
      </c>
      <c r="G2746" s="1" t="s">
        <v>4424</v>
      </c>
      <c r="H2746">
        <v>2014</v>
      </c>
      <c r="I2746">
        <v>2015</v>
      </c>
      <c r="J2746">
        <f t="shared" si="84"/>
        <v>2</v>
      </c>
      <c r="K2746" s="1" t="s">
        <v>3665</v>
      </c>
      <c r="L2746" s="1" t="s">
        <v>666</v>
      </c>
      <c r="M2746">
        <f t="shared" si="85"/>
        <v>11</v>
      </c>
      <c r="N2746" t="s">
        <v>650</v>
      </c>
    </row>
    <row r="2747" spans="1:14" hidden="1" x14ac:dyDescent="0.3">
      <c r="A2747" s="1" t="s">
        <v>4457</v>
      </c>
      <c r="B2747" s="1" t="s">
        <v>810</v>
      </c>
      <c r="C2747" s="1" t="s">
        <v>4458</v>
      </c>
      <c r="D2747" s="1" t="s">
        <v>746</v>
      </c>
      <c r="E2747" s="1" t="s">
        <v>1358</v>
      </c>
      <c r="F2747" s="1" t="s">
        <v>1359</v>
      </c>
      <c r="G2747" s="1" t="s">
        <v>4424</v>
      </c>
      <c r="H2747">
        <v>2014</v>
      </c>
      <c r="I2747">
        <v>2015</v>
      </c>
      <c r="J2747">
        <f t="shared" si="84"/>
        <v>2</v>
      </c>
      <c r="K2747" s="1" t="s">
        <v>3665</v>
      </c>
      <c r="L2747" s="1" t="s">
        <v>666</v>
      </c>
      <c r="M2747">
        <f t="shared" si="85"/>
        <v>11</v>
      </c>
      <c r="N2747" t="s">
        <v>650</v>
      </c>
    </row>
    <row r="2748" spans="1:14" hidden="1" x14ac:dyDescent="0.3">
      <c r="A2748" s="1" t="s">
        <v>4459</v>
      </c>
      <c r="B2748" s="1" t="s">
        <v>810</v>
      </c>
      <c r="C2748" s="1" t="s">
        <v>4460</v>
      </c>
      <c r="D2748" s="1" t="s">
        <v>746</v>
      </c>
      <c r="E2748" s="1" t="s">
        <v>1358</v>
      </c>
      <c r="F2748" s="1" t="s">
        <v>1359</v>
      </c>
      <c r="G2748" s="1" t="s">
        <v>4424</v>
      </c>
      <c r="H2748">
        <v>2016</v>
      </c>
      <c r="I2748">
        <v>2017</v>
      </c>
      <c r="J2748">
        <f t="shared" si="84"/>
        <v>2</v>
      </c>
      <c r="K2748" s="1" t="s">
        <v>3665</v>
      </c>
      <c r="L2748" s="1" t="s">
        <v>666</v>
      </c>
      <c r="M2748">
        <f t="shared" si="85"/>
        <v>9</v>
      </c>
      <c r="N2748" t="s">
        <v>650</v>
      </c>
    </row>
    <row r="2749" spans="1:14" hidden="1" x14ac:dyDescent="0.3">
      <c r="A2749" s="1" t="s">
        <v>4461</v>
      </c>
      <c r="B2749" s="1" t="s">
        <v>810</v>
      </c>
      <c r="C2749" s="1" t="s">
        <v>4462</v>
      </c>
      <c r="D2749" s="1" t="s">
        <v>746</v>
      </c>
      <c r="E2749" s="1" t="s">
        <v>1358</v>
      </c>
      <c r="F2749" s="1" t="s">
        <v>1359</v>
      </c>
      <c r="G2749" s="1" t="s">
        <v>4424</v>
      </c>
      <c r="H2749">
        <v>2016</v>
      </c>
      <c r="I2749">
        <v>2017</v>
      </c>
      <c r="J2749">
        <f t="shared" si="84"/>
        <v>2</v>
      </c>
      <c r="K2749" s="1" t="s">
        <v>3665</v>
      </c>
      <c r="L2749" s="1" t="s">
        <v>666</v>
      </c>
      <c r="M2749">
        <f t="shared" si="85"/>
        <v>9</v>
      </c>
      <c r="N2749" t="s">
        <v>650</v>
      </c>
    </row>
    <row r="2750" spans="1:14" hidden="1" x14ac:dyDescent="0.3">
      <c r="A2750" s="1" t="s">
        <v>4463</v>
      </c>
      <c r="B2750" s="1" t="s">
        <v>810</v>
      </c>
      <c r="C2750" s="1" t="s">
        <v>4464</v>
      </c>
      <c r="D2750" s="1" t="s">
        <v>746</v>
      </c>
      <c r="E2750" s="1" t="s">
        <v>1358</v>
      </c>
      <c r="F2750" s="1" t="s">
        <v>1359</v>
      </c>
      <c r="G2750" s="1" t="s">
        <v>4424</v>
      </c>
      <c r="H2750">
        <v>2018</v>
      </c>
      <c r="I2750">
        <v>2018</v>
      </c>
      <c r="J2750">
        <f t="shared" si="84"/>
        <v>1</v>
      </c>
      <c r="K2750" s="1" t="s">
        <v>3665</v>
      </c>
      <c r="L2750" s="1" t="s">
        <v>666</v>
      </c>
      <c r="M2750">
        <f t="shared" si="85"/>
        <v>8</v>
      </c>
      <c r="N2750" t="s">
        <v>650</v>
      </c>
    </row>
    <row r="2751" spans="1:14" hidden="1" x14ac:dyDescent="0.3">
      <c r="A2751" s="1" t="s">
        <v>4465</v>
      </c>
      <c r="B2751" s="1" t="s">
        <v>810</v>
      </c>
      <c r="C2751" s="1" t="s">
        <v>4466</v>
      </c>
      <c r="D2751" s="1" t="s">
        <v>746</v>
      </c>
      <c r="E2751" s="1" t="s">
        <v>1358</v>
      </c>
      <c r="F2751" s="1" t="s">
        <v>1359</v>
      </c>
      <c r="G2751" s="1" t="s">
        <v>4424</v>
      </c>
      <c r="H2751">
        <v>2010</v>
      </c>
      <c r="I2751">
        <v>2010</v>
      </c>
      <c r="J2751">
        <f t="shared" si="84"/>
        <v>1</v>
      </c>
      <c r="K2751" s="1" t="s">
        <v>3665</v>
      </c>
      <c r="L2751" s="1" t="s">
        <v>666</v>
      </c>
      <c r="M2751">
        <f t="shared" si="85"/>
        <v>16</v>
      </c>
      <c r="N2751" t="s">
        <v>650</v>
      </c>
    </row>
    <row r="2752" spans="1:14" hidden="1" x14ac:dyDescent="0.3">
      <c r="A2752" s="1" t="s">
        <v>4467</v>
      </c>
      <c r="B2752" s="1" t="s">
        <v>810</v>
      </c>
      <c r="C2752" s="1" t="s">
        <v>4468</v>
      </c>
      <c r="D2752" s="1" t="s">
        <v>746</v>
      </c>
      <c r="E2752" s="1" t="s">
        <v>1358</v>
      </c>
      <c r="F2752" s="1" t="s">
        <v>1359</v>
      </c>
      <c r="G2752" s="1" t="s">
        <v>4424</v>
      </c>
      <c r="H2752">
        <v>2010</v>
      </c>
      <c r="I2752">
        <v>2010</v>
      </c>
      <c r="J2752">
        <f t="shared" si="84"/>
        <v>1</v>
      </c>
      <c r="K2752" s="1" t="s">
        <v>3665</v>
      </c>
      <c r="L2752" s="1" t="s">
        <v>666</v>
      </c>
      <c r="M2752">
        <f t="shared" si="85"/>
        <v>16</v>
      </c>
      <c r="N2752" t="s">
        <v>650</v>
      </c>
    </row>
    <row r="2753" spans="1:14" hidden="1" x14ac:dyDescent="0.3">
      <c r="A2753" s="1" t="s">
        <v>4469</v>
      </c>
      <c r="B2753" s="1" t="s">
        <v>810</v>
      </c>
      <c r="C2753" s="1" t="s">
        <v>4470</v>
      </c>
      <c r="D2753" s="1" t="s">
        <v>746</v>
      </c>
      <c r="E2753" s="1" t="s">
        <v>1358</v>
      </c>
      <c r="F2753" s="1" t="s">
        <v>1359</v>
      </c>
      <c r="G2753" s="1" t="s">
        <v>4424</v>
      </c>
      <c r="H2753">
        <v>2008</v>
      </c>
      <c r="I2753">
        <v>2014</v>
      </c>
      <c r="J2753">
        <f t="shared" si="84"/>
        <v>7</v>
      </c>
      <c r="K2753" s="1" t="s">
        <v>3665</v>
      </c>
      <c r="L2753" s="1" t="s">
        <v>666</v>
      </c>
      <c r="M2753">
        <f t="shared" si="85"/>
        <v>12</v>
      </c>
      <c r="N2753" t="s">
        <v>650</v>
      </c>
    </row>
    <row r="2754" spans="1:14" hidden="1" x14ac:dyDescent="0.3">
      <c r="A2754" s="1" t="s">
        <v>4471</v>
      </c>
      <c r="B2754" s="1" t="s">
        <v>810</v>
      </c>
      <c r="C2754" s="1" t="s">
        <v>4472</v>
      </c>
      <c r="D2754" s="1" t="s">
        <v>746</v>
      </c>
      <c r="E2754" s="1" t="s">
        <v>1358</v>
      </c>
      <c r="F2754" s="1" t="s">
        <v>1359</v>
      </c>
      <c r="G2754" s="1" t="s">
        <v>4424</v>
      </c>
      <c r="H2754">
        <v>2011</v>
      </c>
      <c r="I2754">
        <v>2014</v>
      </c>
      <c r="J2754">
        <f t="shared" si="84"/>
        <v>4</v>
      </c>
      <c r="K2754" s="1" t="s">
        <v>3665</v>
      </c>
      <c r="L2754" s="1" t="s">
        <v>666</v>
      </c>
      <c r="M2754">
        <f t="shared" si="85"/>
        <v>12</v>
      </c>
      <c r="N2754" t="s">
        <v>650</v>
      </c>
    </row>
    <row r="2755" spans="1:14" hidden="1" x14ac:dyDescent="0.3">
      <c r="A2755" s="1" t="s">
        <v>4473</v>
      </c>
      <c r="B2755" s="1" t="s">
        <v>810</v>
      </c>
      <c r="C2755" s="1" t="s">
        <v>4474</v>
      </c>
      <c r="D2755" s="1" t="s">
        <v>746</v>
      </c>
      <c r="E2755" s="1" t="s">
        <v>1358</v>
      </c>
      <c r="F2755" s="1" t="s">
        <v>1359</v>
      </c>
      <c r="G2755" s="1" t="s">
        <v>4424</v>
      </c>
      <c r="H2755">
        <v>2009</v>
      </c>
      <c r="I2755">
        <v>2009</v>
      </c>
      <c r="J2755">
        <f t="shared" si="84"/>
        <v>1</v>
      </c>
      <c r="K2755" s="1" t="s">
        <v>3665</v>
      </c>
      <c r="L2755" s="1" t="s">
        <v>666</v>
      </c>
      <c r="M2755">
        <f t="shared" si="85"/>
        <v>17</v>
      </c>
      <c r="N2755" t="s">
        <v>650</v>
      </c>
    </row>
    <row r="2756" spans="1:14" hidden="1" x14ac:dyDescent="0.3">
      <c r="A2756" s="1" t="s">
        <v>4475</v>
      </c>
      <c r="B2756" s="1" t="s">
        <v>810</v>
      </c>
      <c r="C2756" s="1" t="s">
        <v>4476</v>
      </c>
      <c r="D2756" s="1" t="s">
        <v>738</v>
      </c>
      <c r="E2756" s="1" t="s">
        <v>812</v>
      </c>
      <c r="F2756" s="1" t="s">
        <v>3803</v>
      </c>
      <c r="G2756" s="1" t="s">
        <v>4424</v>
      </c>
      <c r="H2756">
        <v>2018</v>
      </c>
      <c r="I2756">
        <v>2018</v>
      </c>
      <c r="J2756">
        <f t="shared" si="84"/>
        <v>1</v>
      </c>
      <c r="K2756" s="1" t="s">
        <v>3665</v>
      </c>
      <c r="L2756" s="1" t="s">
        <v>666</v>
      </c>
      <c r="M2756">
        <f t="shared" si="85"/>
        <v>8</v>
      </c>
      <c r="N2756" t="s">
        <v>650</v>
      </c>
    </row>
    <row r="2757" spans="1:14" hidden="1" x14ac:dyDescent="0.3">
      <c r="A2757" s="1" t="s">
        <v>4477</v>
      </c>
      <c r="B2757" s="1" t="s">
        <v>810</v>
      </c>
      <c r="C2757" s="1" t="s">
        <v>4478</v>
      </c>
      <c r="D2757" s="1" t="s">
        <v>738</v>
      </c>
      <c r="E2757" s="1" t="s">
        <v>812</v>
      </c>
      <c r="F2757" s="1" t="s">
        <v>3803</v>
      </c>
      <c r="G2757" s="1" t="s">
        <v>4424</v>
      </c>
      <c r="H2757">
        <v>2015</v>
      </c>
      <c r="I2757">
        <v>2016</v>
      </c>
      <c r="J2757">
        <f t="shared" si="84"/>
        <v>2</v>
      </c>
      <c r="K2757" s="1" t="s">
        <v>3665</v>
      </c>
      <c r="L2757" s="1" t="s">
        <v>666</v>
      </c>
      <c r="M2757">
        <f t="shared" si="85"/>
        <v>10</v>
      </c>
      <c r="N2757" t="s">
        <v>650</v>
      </c>
    </row>
    <row r="2758" spans="1:14" hidden="1" x14ac:dyDescent="0.3">
      <c r="A2758" s="1" t="s">
        <v>4479</v>
      </c>
      <c r="B2758" s="1" t="s">
        <v>810</v>
      </c>
      <c r="C2758" s="1" t="s">
        <v>4480</v>
      </c>
      <c r="D2758" s="1" t="s">
        <v>738</v>
      </c>
      <c r="E2758" s="1" t="s">
        <v>812</v>
      </c>
      <c r="F2758" s="1" t="s">
        <v>3803</v>
      </c>
      <c r="G2758" s="1" t="s">
        <v>4424</v>
      </c>
      <c r="H2758">
        <v>2016</v>
      </c>
      <c r="I2758">
        <v>2016</v>
      </c>
      <c r="J2758">
        <f t="shared" ref="J2758:J2821" si="86">1+(I2758-H2758)</f>
        <v>1</v>
      </c>
      <c r="K2758" s="1" t="s">
        <v>3665</v>
      </c>
      <c r="L2758" s="1" t="s">
        <v>666</v>
      </c>
      <c r="M2758">
        <f t="shared" ref="M2758:M2821" si="87">IF(I2758=0,0,$B$2-I2758)</f>
        <v>10</v>
      </c>
      <c r="N2758" t="s">
        <v>650</v>
      </c>
    </row>
    <row r="2759" spans="1:14" hidden="1" x14ac:dyDescent="0.3">
      <c r="A2759" s="1" t="s">
        <v>4481</v>
      </c>
      <c r="B2759" s="1" t="s">
        <v>810</v>
      </c>
      <c r="C2759" s="1" t="s">
        <v>4482</v>
      </c>
      <c r="D2759" s="1" t="s">
        <v>738</v>
      </c>
      <c r="E2759" s="1" t="s">
        <v>812</v>
      </c>
      <c r="F2759" s="1" t="s">
        <v>3803</v>
      </c>
      <c r="G2759" s="1" t="s">
        <v>4424</v>
      </c>
      <c r="H2759">
        <v>2016</v>
      </c>
      <c r="I2759">
        <v>2016</v>
      </c>
      <c r="J2759">
        <f t="shared" si="86"/>
        <v>1</v>
      </c>
      <c r="K2759" s="1" t="s">
        <v>3665</v>
      </c>
      <c r="L2759" s="1" t="s">
        <v>666</v>
      </c>
      <c r="M2759">
        <f t="shared" si="87"/>
        <v>10</v>
      </c>
      <c r="N2759" t="s">
        <v>650</v>
      </c>
    </row>
    <row r="2760" spans="1:14" hidden="1" x14ac:dyDescent="0.3">
      <c r="A2760" s="1" t="s">
        <v>4483</v>
      </c>
      <c r="B2760" s="1" t="s">
        <v>810</v>
      </c>
      <c r="C2760" s="1" t="s">
        <v>4484</v>
      </c>
      <c r="D2760" s="1" t="s">
        <v>738</v>
      </c>
      <c r="E2760" s="1" t="s">
        <v>812</v>
      </c>
      <c r="F2760" s="1" t="s">
        <v>3803</v>
      </c>
      <c r="G2760" s="1" t="s">
        <v>4424</v>
      </c>
      <c r="H2760">
        <v>2018</v>
      </c>
      <c r="I2760">
        <v>2018</v>
      </c>
      <c r="J2760">
        <f t="shared" si="86"/>
        <v>1</v>
      </c>
      <c r="K2760" s="1" t="s">
        <v>3665</v>
      </c>
      <c r="L2760" s="1" t="s">
        <v>666</v>
      </c>
      <c r="M2760">
        <f t="shared" si="87"/>
        <v>8</v>
      </c>
      <c r="N2760" t="s">
        <v>650</v>
      </c>
    </row>
    <row r="2761" spans="1:14" hidden="1" x14ac:dyDescent="0.3">
      <c r="A2761" s="1" t="s">
        <v>4485</v>
      </c>
      <c r="B2761" s="1" t="s">
        <v>810</v>
      </c>
      <c r="C2761" s="1" t="s">
        <v>4486</v>
      </c>
      <c r="D2761" s="1" t="s">
        <v>738</v>
      </c>
      <c r="E2761" s="1" t="s">
        <v>812</v>
      </c>
      <c r="F2761" s="1" t="s">
        <v>3803</v>
      </c>
      <c r="G2761" s="1" t="s">
        <v>4424</v>
      </c>
      <c r="H2761">
        <v>2017</v>
      </c>
      <c r="I2761">
        <v>2017</v>
      </c>
      <c r="J2761">
        <f t="shared" si="86"/>
        <v>1</v>
      </c>
      <c r="K2761" s="1" t="s">
        <v>3665</v>
      </c>
      <c r="L2761" s="1" t="s">
        <v>666</v>
      </c>
      <c r="M2761">
        <f t="shared" si="87"/>
        <v>9</v>
      </c>
      <c r="N2761" t="s">
        <v>650</v>
      </c>
    </row>
    <row r="2762" spans="1:14" hidden="1" x14ac:dyDescent="0.3">
      <c r="A2762" s="1" t="s">
        <v>4487</v>
      </c>
      <c r="B2762" s="1" t="s">
        <v>810</v>
      </c>
      <c r="C2762" s="1" t="s">
        <v>4488</v>
      </c>
      <c r="D2762" s="1" t="s">
        <v>738</v>
      </c>
      <c r="E2762" s="1" t="s">
        <v>812</v>
      </c>
      <c r="F2762" s="1" t="s">
        <v>3803</v>
      </c>
      <c r="G2762" s="1" t="s">
        <v>4424</v>
      </c>
      <c r="H2762">
        <v>2017</v>
      </c>
      <c r="I2762">
        <v>2017</v>
      </c>
      <c r="J2762">
        <f t="shared" si="86"/>
        <v>1</v>
      </c>
      <c r="K2762" s="1" t="s">
        <v>3665</v>
      </c>
      <c r="L2762" s="1" t="s">
        <v>666</v>
      </c>
      <c r="M2762">
        <f t="shared" si="87"/>
        <v>9</v>
      </c>
      <c r="N2762" t="s">
        <v>650</v>
      </c>
    </row>
    <row r="2763" spans="1:14" x14ac:dyDescent="0.3">
      <c r="A2763" s="1" t="s">
        <v>8240</v>
      </c>
      <c r="B2763" s="1" t="s">
        <v>672</v>
      </c>
      <c r="C2763" s="1" t="s">
        <v>8241</v>
      </c>
      <c r="D2763" s="1" t="s">
        <v>738</v>
      </c>
      <c r="E2763" s="1" t="s">
        <v>6076</v>
      </c>
      <c r="F2763" s="1" t="s">
        <v>6076</v>
      </c>
      <c r="G2763" s="1" t="s">
        <v>3689</v>
      </c>
      <c r="H2763">
        <v>2016</v>
      </c>
      <c r="I2763">
        <v>2019</v>
      </c>
      <c r="J2763">
        <f t="shared" si="86"/>
        <v>4</v>
      </c>
      <c r="K2763" s="1" t="s">
        <v>6076</v>
      </c>
      <c r="L2763" s="1" t="s">
        <v>6076</v>
      </c>
      <c r="M2763">
        <f t="shared" si="87"/>
        <v>7</v>
      </c>
      <c r="N2763" t="s">
        <v>650</v>
      </c>
    </row>
    <row r="2764" spans="1:14" x14ac:dyDescent="0.3">
      <c r="A2764" s="1" t="s">
        <v>8242</v>
      </c>
      <c r="B2764" s="1" t="s">
        <v>672</v>
      </c>
      <c r="C2764" s="1" t="s">
        <v>8243</v>
      </c>
      <c r="D2764" s="1" t="s">
        <v>738</v>
      </c>
      <c r="E2764" s="1" t="s">
        <v>6076</v>
      </c>
      <c r="F2764" s="1" t="s">
        <v>6076</v>
      </c>
      <c r="G2764" s="1" t="s">
        <v>3689</v>
      </c>
      <c r="H2764">
        <v>2016</v>
      </c>
      <c r="I2764">
        <v>2018</v>
      </c>
      <c r="J2764">
        <f t="shared" si="86"/>
        <v>3</v>
      </c>
      <c r="K2764" s="1" t="s">
        <v>6076</v>
      </c>
      <c r="L2764" s="1" t="s">
        <v>6076</v>
      </c>
      <c r="M2764">
        <f t="shared" si="87"/>
        <v>8</v>
      </c>
      <c r="N2764" t="s">
        <v>650</v>
      </c>
    </row>
    <row r="2765" spans="1:14" x14ac:dyDescent="0.3">
      <c r="A2765" t="s">
        <v>11137</v>
      </c>
      <c r="B2765" t="s">
        <v>10997</v>
      </c>
      <c r="C2765" t="s">
        <v>11138</v>
      </c>
      <c r="E2765" s="1" t="s">
        <v>6076</v>
      </c>
      <c r="F2765" s="1" t="s">
        <v>6076</v>
      </c>
      <c r="G2765" s="1" t="s">
        <v>12791</v>
      </c>
      <c r="H2765">
        <v>1993</v>
      </c>
      <c r="I2765">
        <v>2001</v>
      </c>
      <c r="J2765">
        <f t="shared" si="86"/>
        <v>9</v>
      </c>
      <c r="K2765" s="1" t="s">
        <v>6076</v>
      </c>
      <c r="L2765" s="1" t="s">
        <v>6076</v>
      </c>
      <c r="M2765">
        <f t="shared" si="87"/>
        <v>25</v>
      </c>
    </row>
    <row r="2766" spans="1:14" x14ac:dyDescent="0.3">
      <c r="A2766" t="s">
        <v>11139</v>
      </c>
      <c r="B2766" t="s">
        <v>10997</v>
      </c>
      <c r="C2766" t="s">
        <v>11140</v>
      </c>
      <c r="E2766" s="1" t="s">
        <v>6076</v>
      </c>
      <c r="F2766" s="1" t="s">
        <v>6076</v>
      </c>
      <c r="G2766" s="1" t="s">
        <v>12791</v>
      </c>
      <c r="H2766">
        <v>2002</v>
      </c>
      <c r="I2766">
        <v>2007</v>
      </c>
      <c r="J2766">
        <f t="shared" si="86"/>
        <v>6</v>
      </c>
      <c r="K2766" s="1" t="s">
        <v>6076</v>
      </c>
      <c r="L2766" s="1" t="s">
        <v>6076</v>
      </c>
      <c r="M2766">
        <f t="shared" si="87"/>
        <v>19</v>
      </c>
    </row>
    <row r="2767" spans="1:14" x14ac:dyDescent="0.3">
      <c r="A2767" t="s">
        <v>11141</v>
      </c>
      <c r="B2767" t="s">
        <v>10997</v>
      </c>
      <c r="C2767" t="s">
        <v>11142</v>
      </c>
      <c r="E2767" s="1" t="s">
        <v>6076</v>
      </c>
      <c r="F2767" s="1" t="s">
        <v>6076</v>
      </c>
      <c r="G2767" s="1" t="s">
        <v>12791</v>
      </c>
      <c r="H2767">
        <v>1998</v>
      </c>
      <c r="I2767">
        <v>2001</v>
      </c>
      <c r="J2767">
        <f t="shared" si="86"/>
        <v>4</v>
      </c>
      <c r="K2767" s="1" t="s">
        <v>6076</v>
      </c>
      <c r="L2767" s="1" t="s">
        <v>6076</v>
      </c>
      <c r="M2767">
        <f t="shared" si="87"/>
        <v>25</v>
      </c>
    </row>
    <row r="2768" spans="1:14" x14ac:dyDescent="0.3">
      <c r="A2768" t="s">
        <v>11143</v>
      </c>
      <c r="B2768" t="s">
        <v>10997</v>
      </c>
      <c r="C2768" t="s">
        <v>11144</v>
      </c>
      <c r="E2768" s="1" t="s">
        <v>6076</v>
      </c>
      <c r="F2768" s="1" t="s">
        <v>6076</v>
      </c>
      <c r="G2768" s="1" t="s">
        <v>12791</v>
      </c>
      <c r="H2768">
        <v>1993</v>
      </c>
      <c r="I2768">
        <v>2006</v>
      </c>
      <c r="J2768">
        <f t="shared" si="86"/>
        <v>14</v>
      </c>
      <c r="K2768" s="1" t="s">
        <v>6076</v>
      </c>
      <c r="L2768" s="1" t="s">
        <v>6076</v>
      </c>
      <c r="M2768">
        <f t="shared" si="87"/>
        <v>20</v>
      </c>
    </row>
    <row r="2769" spans="1:14" x14ac:dyDescent="0.3">
      <c r="A2769" s="1" t="s">
        <v>8244</v>
      </c>
      <c r="B2769" s="1" t="s">
        <v>2667</v>
      </c>
      <c r="C2769" s="1" t="s">
        <v>8245</v>
      </c>
      <c r="D2769" s="1" t="s">
        <v>644</v>
      </c>
      <c r="E2769" s="1" t="s">
        <v>6076</v>
      </c>
      <c r="F2769" s="1" t="s">
        <v>6076</v>
      </c>
      <c r="G2769" s="1" t="s">
        <v>6716</v>
      </c>
      <c r="H2769">
        <v>2016</v>
      </c>
      <c r="I2769">
        <v>2022</v>
      </c>
      <c r="J2769">
        <f t="shared" si="86"/>
        <v>7</v>
      </c>
      <c r="K2769" s="1" t="s">
        <v>6076</v>
      </c>
      <c r="L2769" s="1" t="s">
        <v>6076</v>
      </c>
      <c r="M2769">
        <f t="shared" si="87"/>
        <v>4</v>
      </c>
      <c r="N2769" t="s">
        <v>650</v>
      </c>
    </row>
    <row r="2770" spans="1:14" x14ac:dyDescent="0.3">
      <c r="A2770" t="s">
        <v>11702</v>
      </c>
      <c r="B2770" t="s">
        <v>2783</v>
      </c>
      <c r="C2770" t="s">
        <v>11703</v>
      </c>
      <c r="E2770" s="1" t="s">
        <v>6076</v>
      </c>
      <c r="F2770" s="1" t="s">
        <v>6076</v>
      </c>
      <c r="G2770" s="1" t="s">
        <v>12791</v>
      </c>
      <c r="H2770">
        <v>2023</v>
      </c>
      <c r="I2770">
        <v>2026</v>
      </c>
      <c r="J2770">
        <f t="shared" si="86"/>
        <v>4</v>
      </c>
      <c r="K2770" s="1" t="s">
        <v>6076</v>
      </c>
      <c r="L2770" s="1" t="s">
        <v>6076</v>
      </c>
      <c r="M2770">
        <f t="shared" si="87"/>
        <v>0</v>
      </c>
    </row>
    <row r="2771" spans="1:14" x14ac:dyDescent="0.3">
      <c r="A2771" s="1" t="s">
        <v>8246</v>
      </c>
      <c r="B2771" s="1" t="s">
        <v>2783</v>
      </c>
      <c r="C2771" s="1" t="s">
        <v>8247</v>
      </c>
      <c r="D2771" s="1" t="s">
        <v>1395</v>
      </c>
      <c r="E2771" s="1" t="s">
        <v>6076</v>
      </c>
      <c r="F2771" s="1" t="s">
        <v>6076</v>
      </c>
      <c r="G2771" s="1" t="s">
        <v>6752</v>
      </c>
      <c r="H2771">
        <v>2021</v>
      </c>
      <c r="I2771">
        <v>2022</v>
      </c>
      <c r="J2771">
        <f t="shared" si="86"/>
        <v>2</v>
      </c>
      <c r="K2771" s="1" t="s">
        <v>6076</v>
      </c>
      <c r="L2771" s="1" t="s">
        <v>6076</v>
      </c>
      <c r="M2771">
        <f t="shared" si="87"/>
        <v>4</v>
      </c>
      <c r="N2771" t="s">
        <v>650</v>
      </c>
    </row>
    <row r="2772" spans="1:14" x14ac:dyDescent="0.3">
      <c r="A2772" s="1" t="s">
        <v>8248</v>
      </c>
      <c r="B2772" s="1" t="s">
        <v>2783</v>
      </c>
      <c r="C2772" s="1" t="s">
        <v>8249</v>
      </c>
      <c r="D2772" s="1" t="s">
        <v>1395</v>
      </c>
      <c r="E2772" s="1" t="s">
        <v>6076</v>
      </c>
      <c r="F2772" s="1" t="s">
        <v>6076</v>
      </c>
      <c r="G2772" s="1" t="s">
        <v>6752</v>
      </c>
      <c r="H2772">
        <v>2002</v>
      </c>
      <c r="I2772">
        <v>2004</v>
      </c>
      <c r="J2772">
        <f t="shared" si="86"/>
        <v>3</v>
      </c>
      <c r="K2772" s="1" t="s">
        <v>6076</v>
      </c>
      <c r="L2772" s="1" t="s">
        <v>6076</v>
      </c>
      <c r="M2772">
        <f t="shared" si="87"/>
        <v>22</v>
      </c>
      <c r="N2772" t="s">
        <v>640</v>
      </c>
    </row>
    <row r="2773" spans="1:14" x14ac:dyDescent="0.3">
      <c r="A2773" s="1" t="s">
        <v>8250</v>
      </c>
      <c r="B2773" s="1" t="s">
        <v>2783</v>
      </c>
      <c r="C2773" s="1" t="s">
        <v>8251</v>
      </c>
      <c r="D2773" s="1" t="s">
        <v>1395</v>
      </c>
      <c r="E2773" s="1" t="s">
        <v>6076</v>
      </c>
      <c r="F2773" s="1" t="s">
        <v>6076</v>
      </c>
      <c r="G2773" s="1" t="s">
        <v>6752</v>
      </c>
      <c r="H2773">
        <v>2000</v>
      </c>
      <c r="I2773">
        <v>2001</v>
      </c>
      <c r="J2773">
        <f t="shared" si="86"/>
        <v>2</v>
      </c>
      <c r="K2773" s="1" t="s">
        <v>6076</v>
      </c>
      <c r="L2773" s="1" t="s">
        <v>6076</v>
      </c>
      <c r="M2773">
        <f t="shared" si="87"/>
        <v>25</v>
      </c>
      <c r="N2773" t="s">
        <v>640</v>
      </c>
    </row>
    <row r="2774" spans="1:14" x14ac:dyDescent="0.3">
      <c r="A2774" s="1" t="s">
        <v>8252</v>
      </c>
      <c r="B2774" s="1" t="s">
        <v>2783</v>
      </c>
      <c r="C2774" s="1" t="s">
        <v>8253</v>
      </c>
      <c r="D2774" s="1" t="s">
        <v>1395</v>
      </c>
      <c r="E2774" s="1" t="s">
        <v>6076</v>
      </c>
      <c r="F2774" s="1" t="s">
        <v>6076</v>
      </c>
      <c r="G2774" s="1" t="s">
        <v>6752</v>
      </c>
      <c r="H2774">
        <v>2011</v>
      </c>
      <c r="I2774">
        <v>2015</v>
      </c>
      <c r="J2774">
        <f t="shared" si="86"/>
        <v>5</v>
      </c>
      <c r="K2774" s="1" t="s">
        <v>6076</v>
      </c>
      <c r="L2774" s="1" t="s">
        <v>6076</v>
      </c>
      <c r="M2774">
        <f t="shared" si="87"/>
        <v>11</v>
      </c>
      <c r="N2774" t="s">
        <v>650</v>
      </c>
    </row>
    <row r="2775" spans="1:14" x14ac:dyDescent="0.3">
      <c r="A2775" s="1" t="s">
        <v>8254</v>
      </c>
      <c r="B2775" s="1" t="s">
        <v>2783</v>
      </c>
      <c r="C2775" s="1" t="s">
        <v>8255</v>
      </c>
      <c r="D2775" s="1" t="s">
        <v>1395</v>
      </c>
      <c r="E2775" s="1" t="s">
        <v>6076</v>
      </c>
      <c r="F2775" s="1" t="s">
        <v>6076</v>
      </c>
      <c r="G2775" s="1" t="s">
        <v>6752</v>
      </c>
      <c r="H2775">
        <v>1992</v>
      </c>
      <c r="I2775">
        <v>2001</v>
      </c>
      <c r="J2775">
        <f t="shared" si="86"/>
        <v>10</v>
      </c>
      <c r="K2775" s="1" t="s">
        <v>6076</v>
      </c>
      <c r="L2775" s="1" t="s">
        <v>6076</v>
      </c>
      <c r="M2775">
        <f t="shared" si="87"/>
        <v>25</v>
      </c>
      <c r="N2775" t="s">
        <v>640</v>
      </c>
    </row>
    <row r="2776" spans="1:14" x14ac:dyDescent="0.3">
      <c r="A2776" s="1" t="s">
        <v>8256</v>
      </c>
      <c r="B2776" s="1" t="s">
        <v>2783</v>
      </c>
      <c r="C2776" s="1" t="s">
        <v>8257</v>
      </c>
      <c r="D2776" s="1" t="s">
        <v>1395</v>
      </c>
      <c r="E2776" s="1" t="s">
        <v>6076</v>
      </c>
      <c r="F2776" s="1" t="s">
        <v>6076</v>
      </c>
      <c r="G2776" s="1" t="s">
        <v>6752</v>
      </c>
      <c r="H2776">
        <v>2016</v>
      </c>
      <c r="I2776">
        <v>2016</v>
      </c>
      <c r="J2776">
        <f t="shared" si="86"/>
        <v>1</v>
      </c>
      <c r="K2776" s="1" t="s">
        <v>6076</v>
      </c>
      <c r="L2776" s="1" t="s">
        <v>6076</v>
      </c>
      <c r="M2776">
        <f t="shared" si="87"/>
        <v>10</v>
      </c>
      <c r="N2776" t="s">
        <v>650</v>
      </c>
    </row>
    <row r="2777" spans="1:14" x14ac:dyDescent="0.3">
      <c r="A2777" s="1" t="s">
        <v>8258</v>
      </c>
      <c r="B2777" s="1" t="s">
        <v>2783</v>
      </c>
      <c r="C2777" s="1" t="s">
        <v>8259</v>
      </c>
      <c r="D2777" s="1" t="s">
        <v>1395</v>
      </c>
      <c r="E2777" s="1" t="s">
        <v>6076</v>
      </c>
      <c r="F2777" s="1" t="s">
        <v>6076</v>
      </c>
      <c r="G2777" s="1" t="s">
        <v>6752</v>
      </c>
      <c r="H2777">
        <v>1999</v>
      </c>
      <c r="I2777">
        <v>2001</v>
      </c>
      <c r="J2777">
        <f t="shared" si="86"/>
        <v>3</v>
      </c>
      <c r="K2777" s="1" t="s">
        <v>6076</v>
      </c>
      <c r="L2777" s="1" t="s">
        <v>6076</v>
      </c>
      <c r="M2777">
        <f t="shared" si="87"/>
        <v>25</v>
      </c>
      <c r="N2777" t="s">
        <v>640</v>
      </c>
    </row>
    <row r="2778" spans="1:14" x14ac:dyDescent="0.3">
      <c r="A2778" s="1" t="s">
        <v>8260</v>
      </c>
      <c r="B2778" s="1" t="s">
        <v>2783</v>
      </c>
      <c r="C2778" s="1" t="s">
        <v>8261</v>
      </c>
      <c r="D2778" s="1" t="s">
        <v>1395</v>
      </c>
      <c r="E2778" s="1" t="s">
        <v>6076</v>
      </c>
      <c r="F2778" s="1" t="s">
        <v>6076</v>
      </c>
      <c r="G2778" s="1" t="s">
        <v>6752</v>
      </c>
      <c r="H2778">
        <v>2009</v>
      </c>
      <c r="I2778">
        <v>2022</v>
      </c>
      <c r="J2778">
        <f t="shared" si="86"/>
        <v>14</v>
      </c>
      <c r="K2778" s="1" t="s">
        <v>6076</v>
      </c>
      <c r="L2778" s="1" t="s">
        <v>6076</v>
      </c>
      <c r="M2778">
        <f t="shared" si="87"/>
        <v>4</v>
      </c>
      <c r="N2778" t="s">
        <v>650</v>
      </c>
    </row>
    <row r="2779" spans="1:14" x14ac:dyDescent="0.3">
      <c r="A2779" s="1" t="s">
        <v>8262</v>
      </c>
      <c r="B2779" s="1" t="s">
        <v>2783</v>
      </c>
      <c r="C2779" s="1" t="s">
        <v>8263</v>
      </c>
      <c r="D2779" s="1" t="s">
        <v>1395</v>
      </c>
      <c r="E2779" s="1" t="s">
        <v>6076</v>
      </c>
      <c r="F2779" s="1" t="s">
        <v>6076</v>
      </c>
      <c r="G2779" s="1" t="s">
        <v>6752</v>
      </c>
      <c r="H2779">
        <v>2011</v>
      </c>
      <c r="I2779">
        <v>2018</v>
      </c>
      <c r="J2779">
        <f t="shared" si="86"/>
        <v>8</v>
      </c>
      <c r="K2779" s="1" t="s">
        <v>6076</v>
      </c>
      <c r="L2779" s="1" t="s">
        <v>6076</v>
      </c>
      <c r="M2779">
        <f t="shared" si="87"/>
        <v>8</v>
      </c>
      <c r="N2779" t="s">
        <v>650</v>
      </c>
    </row>
    <row r="2780" spans="1:14" x14ac:dyDescent="0.3">
      <c r="A2780" s="1" t="s">
        <v>8264</v>
      </c>
      <c r="B2780" s="1" t="s">
        <v>2783</v>
      </c>
      <c r="C2780" s="1" t="s">
        <v>8265</v>
      </c>
      <c r="D2780" s="1" t="s">
        <v>1395</v>
      </c>
      <c r="E2780" s="1" t="s">
        <v>6076</v>
      </c>
      <c r="F2780" s="1" t="s">
        <v>6076</v>
      </c>
      <c r="G2780" s="1" t="s">
        <v>6752</v>
      </c>
      <c r="H2780">
        <v>1999</v>
      </c>
      <c r="I2780">
        <v>2009</v>
      </c>
      <c r="J2780">
        <f t="shared" si="86"/>
        <v>11</v>
      </c>
      <c r="K2780" s="1" t="s">
        <v>6076</v>
      </c>
      <c r="L2780" s="1" t="s">
        <v>6076</v>
      </c>
      <c r="M2780">
        <f t="shared" si="87"/>
        <v>17</v>
      </c>
      <c r="N2780" t="s">
        <v>650</v>
      </c>
    </row>
    <row r="2781" spans="1:14" x14ac:dyDescent="0.3">
      <c r="A2781" s="1" t="s">
        <v>8266</v>
      </c>
      <c r="B2781" s="1" t="s">
        <v>2783</v>
      </c>
      <c r="C2781" s="1" t="s">
        <v>8267</v>
      </c>
      <c r="D2781" s="1" t="s">
        <v>1395</v>
      </c>
      <c r="E2781" s="1" t="s">
        <v>6076</v>
      </c>
      <c r="F2781" s="1" t="s">
        <v>6076</v>
      </c>
      <c r="G2781" s="1" t="s">
        <v>6752</v>
      </c>
      <c r="H2781">
        <v>1993</v>
      </c>
      <c r="I2781">
        <v>2000</v>
      </c>
      <c r="J2781">
        <f t="shared" si="86"/>
        <v>8</v>
      </c>
      <c r="K2781" s="1" t="s">
        <v>6076</v>
      </c>
      <c r="L2781" s="1" t="s">
        <v>6076</v>
      </c>
      <c r="M2781">
        <f t="shared" si="87"/>
        <v>26</v>
      </c>
      <c r="N2781" t="s">
        <v>640</v>
      </c>
    </row>
    <row r="2782" spans="1:14" x14ac:dyDescent="0.3">
      <c r="A2782" s="1" t="s">
        <v>8268</v>
      </c>
      <c r="B2782" s="1" t="s">
        <v>2783</v>
      </c>
      <c r="C2782" s="1" t="s">
        <v>8269</v>
      </c>
      <c r="D2782" s="1" t="s">
        <v>1395</v>
      </c>
      <c r="E2782" s="1" t="s">
        <v>6076</v>
      </c>
      <c r="F2782" s="1" t="s">
        <v>6076</v>
      </c>
      <c r="G2782" s="1" t="s">
        <v>6752</v>
      </c>
      <c r="H2782">
        <v>2005</v>
      </c>
      <c r="I2782">
        <v>2006</v>
      </c>
      <c r="J2782">
        <f t="shared" si="86"/>
        <v>2</v>
      </c>
      <c r="K2782" s="1" t="s">
        <v>6076</v>
      </c>
      <c r="L2782" s="1" t="s">
        <v>6076</v>
      </c>
      <c r="M2782">
        <f t="shared" si="87"/>
        <v>20</v>
      </c>
      <c r="N2782" t="s">
        <v>640</v>
      </c>
    </row>
    <row r="2783" spans="1:14" x14ac:dyDescent="0.3">
      <c r="A2783" s="1" t="s">
        <v>8270</v>
      </c>
      <c r="B2783" s="1" t="s">
        <v>2783</v>
      </c>
      <c r="C2783" s="1" t="s">
        <v>8271</v>
      </c>
      <c r="D2783" s="1" t="s">
        <v>1395</v>
      </c>
      <c r="E2783" s="1" t="s">
        <v>6076</v>
      </c>
      <c r="F2783" s="1" t="s">
        <v>6076</v>
      </c>
      <c r="G2783" s="1" t="s">
        <v>6752</v>
      </c>
      <c r="H2783">
        <v>1997</v>
      </c>
      <c r="I2783">
        <v>1999</v>
      </c>
      <c r="J2783">
        <f t="shared" si="86"/>
        <v>3</v>
      </c>
      <c r="K2783" s="1" t="s">
        <v>6076</v>
      </c>
      <c r="L2783" s="1" t="s">
        <v>6076</v>
      </c>
      <c r="M2783">
        <f t="shared" si="87"/>
        <v>27</v>
      </c>
      <c r="N2783" t="s">
        <v>640</v>
      </c>
    </row>
    <row r="2784" spans="1:14" x14ac:dyDescent="0.3">
      <c r="A2784" s="1" t="s">
        <v>8272</v>
      </c>
      <c r="B2784" s="1" t="s">
        <v>2783</v>
      </c>
      <c r="C2784" s="1" t="s">
        <v>8273</v>
      </c>
      <c r="D2784" s="1" t="s">
        <v>1395</v>
      </c>
      <c r="E2784" s="1" t="s">
        <v>6076</v>
      </c>
      <c r="F2784" s="1" t="s">
        <v>6076</v>
      </c>
      <c r="G2784" s="1" t="s">
        <v>6752</v>
      </c>
      <c r="H2784">
        <v>1999</v>
      </c>
      <c r="I2784">
        <v>2000</v>
      </c>
      <c r="J2784">
        <f t="shared" si="86"/>
        <v>2</v>
      </c>
      <c r="K2784" s="1" t="s">
        <v>6076</v>
      </c>
      <c r="L2784" s="1" t="s">
        <v>6076</v>
      </c>
      <c r="M2784">
        <f t="shared" si="87"/>
        <v>26</v>
      </c>
      <c r="N2784" t="s">
        <v>640</v>
      </c>
    </row>
    <row r="2785" spans="1:14" x14ac:dyDescent="0.3">
      <c r="A2785" s="1" t="s">
        <v>8274</v>
      </c>
      <c r="B2785" s="1" t="s">
        <v>2783</v>
      </c>
      <c r="C2785" s="1" t="s">
        <v>8275</v>
      </c>
      <c r="D2785" s="1" t="s">
        <v>1395</v>
      </c>
      <c r="E2785" s="1" t="s">
        <v>6076</v>
      </c>
      <c r="F2785" s="1" t="s">
        <v>6076</v>
      </c>
      <c r="G2785" s="1" t="s">
        <v>6752</v>
      </c>
      <c r="H2785">
        <v>2006</v>
      </c>
      <c r="I2785">
        <v>2009</v>
      </c>
      <c r="J2785">
        <f t="shared" si="86"/>
        <v>4</v>
      </c>
      <c r="K2785" s="1" t="s">
        <v>6076</v>
      </c>
      <c r="L2785" s="1" t="s">
        <v>6076</v>
      </c>
      <c r="M2785">
        <f t="shared" si="87"/>
        <v>17</v>
      </c>
      <c r="N2785" t="s">
        <v>650</v>
      </c>
    </row>
    <row r="2786" spans="1:14" x14ac:dyDescent="0.3">
      <c r="A2786" s="1" t="s">
        <v>8276</v>
      </c>
      <c r="B2786" s="1" t="s">
        <v>2783</v>
      </c>
      <c r="C2786" s="1" t="s">
        <v>8277</v>
      </c>
      <c r="D2786" s="1" t="s">
        <v>1395</v>
      </c>
      <c r="E2786" s="1" t="s">
        <v>6076</v>
      </c>
      <c r="F2786" s="1" t="s">
        <v>6076</v>
      </c>
      <c r="G2786" s="1" t="s">
        <v>6752</v>
      </c>
      <c r="H2786">
        <v>2006</v>
      </c>
      <c r="I2786">
        <v>2010</v>
      </c>
      <c r="J2786">
        <f t="shared" si="86"/>
        <v>5</v>
      </c>
      <c r="K2786" s="1" t="s">
        <v>6076</v>
      </c>
      <c r="L2786" s="1" t="s">
        <v>6076</v>
      </c>
      <c r="M2786">
        <f t="shared" si="87"/>
        <v>16</v>
      </c>
      <c r="N2786" t="s">
        <v>650</v>
      </c>
    </row>
    <row r="2787" spans="1:14" x14ac:dyDescent="0.3">
      <c r="A2787" s="1" t="s">
        <v>8278</v>
      </c>
      <c r="B2787" s="1" t="s">
        <v>1849</v>
      </c>
      <c r="C2787" s="1" t="s">
        <v>8279</v>
      </c>
      <c r="D2787" s="1" t="s">
        <v>1395</v>
      </c>
      <c r="E2787" s="1" t="s">
        <v>6076</v>
      </c>
      <c r="F2787" s="1" t="s">
        <v>6076</v>
      </c>
      <c r="G2787" s="1" t="s">
        <v>5745</v>
      </c>
      <c r="H2787">
        <v>2013</v>
      </c>
      <c r="I2787">
        <v>2016</v>
      </c>
      <c r="J2787">
        <f t="shared" si="86"/>
        <v>4</v>
      </c>
      <c r="K2787" s="1" t="s">
        <v>6076</v>
      </c>
      <c r="L2787" s="1" t="s">
        <v>6076</v>
      </c>
      <c r="M2787">
        <f t="shared" si="87"/>
        <v>10</v>
      </c>
      <c r="N2787" t="s">
        <v>650</v>
      </c>
    </row>
    <row r="2788" spans="1:14" hidden="1" x14ac:dyDescent="0.3">
      <c r="A2788" s="1" t="s">
        <v>1822</v>
      </c>
      <c r="B2788" s="1" t="s">
        <v>810</v>
      </c>
      <c r="C2788" s="1" t="s">
        <v>1823</v>
      </c>
      <c r="D2788" s="1" t="s">
        <v>1242</v>
      </c>
      <c r="E2788" s="1" t="s">
        <v>1243</v>
      </c>
      <c r="F2788" s="1" t="s">
        <v>1244</v>
      </c>
      <c r="G2788" s="1" t="s">
        <v>1824</v>
      </c>
      <c r="H2788">
        <v>2002</v>
      </c>
      <c r="I2788">
        <v>2003</v>
      </c>
      <c r="J2788">
        <f t="shared" si="86"/>
        <v>2</v>
      </c>
      <c r="K2788" s="1" t="s">
        <v>741</v>
      </c>
      <c r="L2788" s="1" t="s">
        <v>666</v>
      </c>
      <c r="M2788">
        <f t="shared" si="87"/>
        <v>23</v>
      </c>
      <c r="N2788" t="s">
        <v>650</v>
      </c>
    </row>
    <row r="2789" spans="1:14" hidden="1" x14ac:dyDescent="0.3">
      <c r="A2789" s="1" t="s">
        <v>1825</v>
      </c>
      <c r="B2789" s="1" t="s">
        <v>802</v>
      </c>
      <c r="C2789" s="1" t="s">
        <v>1826</v>
      </c>
      <c r="D2789" s="1" t="s">
        <v>738</v>
      </c>
      <c r="E2789" s="1" t="s">
        <v>739</v>
      </c>
      <c r="F2789" s="1" t="s">
        <v>781</v>
      </c>
      <c r="G2789" s="1" t="s">
        <v>1827</v>
      </c>
      <c r="H2789">
        <v>2021</v>
      </c>
      <c r="I2789">
        <v>2021</v>
      </c>
      <c r="J2789">
        <f t="shared" si="86"/>
        <v>1</v>
      </c>
      <c r="K2789" s="1" t="s">
        <v>741</v>
      </c>
      <c r="L2789" s="1" t="s">
        <v>798</v>
      </c>
      <c r="M2789">
        <f t="shared" si="87"/>
        <v>5</v>
      </c>
      <c r="N2789" t="s">
        <v>650</v>
      </c>
    </row>
    <row r="2790" spans="1:14" hidden="1" x14ac:dyDescent="0.3">
      <c r="A2790" s="1" t="s">
        <v>1828</v>
      </c>
      <c r="B2790" s="1" t="s">
        <v>802</v>
      </c>
      <c r="C2790" s="1" t="s">
        <v>1829</v>
      </c>
      <c r="D2790" s="1" t="s">
        <v>738</v>
      </c>
      <c r="E2790" s="1" t="s">
        <v>739</v>
      </c>
      <c r="F2790" s="1" t="s">
        <v>781</v>
      </c>
      <c r="G2790" s="1" t="s">
        <v>1827</v>
      </c>
      <c r="H2790">
        <v>2021</v>
      </c>
      <c r="I2790">
        <v>2021</v>
      </c>
      <c r="J2790">
        <f t="shared" si="86"/>
        <v>1</v>
      </c>
      <c r="K2790" s="1" t="s">
        <v>741</v>
      </c>
      <c r="L2790" s="1" t="s">
        <v>798</v>
      </c>
      <c r="M2790">
        <f t="shared" si="87"/>
        <v>5</v>
      </c>
      <c r="N2790" t="s">
        <v>650</v>
      </c>
    </row>
    <row r="2791" spans="1:14" hidden="1" x14ac:dyDescent="0.3">
      <c r="A2791" s="1" t="s">
        <v>1830</v>
      </c>
      <c r="B2791" s="1" t="s">
        <v>802</v>
      </c>
      <c r="C2791" s="1" t="s">
        <v>1831</v>
      </c>
      <c r="D2791" s="1" t="s">
        <v>738</v>
      </c>
      <c r="E2791" s="1" t="s">
        <v>739</v>
      </c>
      <c r="F2791" s="1" t="s">
        <v>781</v>
      </c>
      <c r="G2791" s="1" t="s">
        <v>1827</v>
      </c>
      <c r="H2791">
        <v>2012</v>
      </c>
      <c r="I2791">
        <v>2012</v>
      </c>
      <c r="J2791">
        <f t="shared" si="86"/>
        <v>1</v>
      </c>
      <c r="K2791" s="1" t="s">
        <v>741</v>
      </c>
      <c r="L2791" s="1" t="s">
        <v>798</v>
      </c>
      <c r="M2791">
        <f t="shared" si="87"/>
        <v>14</v>
      </c>
      <c r="N2791" t="s">
        <v>650</v>
      </c>
    </row>
    <row r="2792" spans="1:14" hidden="1" x14ac:dyDescent="0.3">
      <c r="A2792" s="1" t="s">
        <v>1832</v>
      </c>
      <c r="B2792" s="1" t="s">
        <v>802</v>
      </c>
      <c r="C2792" s="1" t="s">
        <v>1833</v>
      </c>
      <c r="D2792" s="1" t="s">
        <v>738</v>
      </c>
      <c r="E2792" s="1" t="s">
        <v>739</v>
      </c>
      <c r="F2792" s="1" t="s">
        <v>781</v>
      </c>
      <c r="G2792" s="1" t="s">
        <v>1827</v>
      </c>
      <c r="H2792">
        <v>2017</v>
      </c>
      <c r="I2792">
        <v>2017</v>
      </c>
      <c r="J2792">
        <f t="shared" si="86"/>
        <v>1</v>
      </c>
      <c r="K2792" s="1" t="s">
        <v>741</v>
      </c>
      <c r="L2792" s="1" t="s">
        <v>798</v>
      </c>
      <c r="M2792">
        <f t="shared" si="87"/>
        <v>9</v>
      </c>
      <c r="N2792" t="s">
        <v>650</v>
      </c>
    </row>
    <row r="2793" spans="1:14" hidden="1" x14ac:dyDescent="0.3">
      <c r="A2793" s="1" t="s">
        <v>1834</v>
      </c>
      <c r="B2793" s="1" t="s">
        <v>802</v>
      </c>
      <c r="C2793" s="1" t="s">
        <v>1835</v>
      </c>
      <c r="D2793" s="1" t="s">
        <v>738</v>
      </c>
      <c r="E2793" s="1" t="s">
        <v>739</v>
      </c>
      <c r="F2793" s="1" t="s">
        <v>781</v>
      </c>
      <c r="G2793" s="1" t="s">
        <v>1827</v>
      </c>
      <c r="H2793">
        <v>2015</v>
      </c>
      <c r="I2793">
        <v>2015</v>
      </c>
      <c r="J2793">
        <f t="shared" si="86"/>
        <v>1</v>
      </c>
      <c r="K2793" s="1" t="s">
        <v>741</v>
      </c>
      <c r="L2793" s="1" t="s">
        <v>798</v>
      </c>
      <c r="M2793">
        <f t="shared" si="87"/>
        <v>11</v>
      </c>
      <c r="N2793" t="s">
        <v>650</v>
      </c>
    </row>
    <row r="2794" spans="1:14" hidden="1" x14ac:dyDescent="0.3">
      <c r="A2794" s="1" t="s">
        <v>1836</v>
      </c>
      <c r="B2794" s="1" t="s">
        <v>802</v>
      </c>
      <c r="C2794" s="1" t="s">
        <v>1837</v>
      </c>
      <c r="D2794" s="1" t="s">
        <v>738</v>
      </c>
      <c r="E2794" s="1" t="s">
        <v>739</v>
      </c>
      <c r="F2794" s="1" t="s">
        <v>781</v>
      </c>
      <c r="G2794" s="1" t="s">
        <v>1827</v>
      </c>
      <c r="H2794">
        <v>2013</v>
      </c>
      <c r="I2794">
        <v>2013</v>
      </c>
      <c r="J2794">
        <f t="shared" si="86"/>
        <v>1</v>
      </c>
      <c r="K2794" s="1" t="s">
        <v>741</v>
      </c>
      <c r="L2794" s="1" t="s">
        <v>798</v>
      </c>
      <c r="M2794">
        <f t="shared" si="87"/>
        <v>13</v>
      </c>
      <c r="N2794" t="s">
        <v>650</v>
      </c>
    </row>
    <row r="2795" spans="1:14" hidden="1" x14ac:dyDescent="0.3">
      <c r="A2795" s="1" t="s">
        <v>1838</v>
      </c>
      <c r="B2795" s="1" t="s">
        <v>802</v>
      </c>
      <c r="C2795" s="1" t="s">
        <v>1839</v>
      </c>
      <c r="D2795" s="1" t="s">
        <v>738</v>
      </c>
      <c r="E2795" s="1" t="s">
        <v>739</v>
      </c>
      <c r="F2795" s="1" t="s">
        <v>781</v>
      </c>
      <c r="G2795" s="1" t="s">
        <v>1827</v>
      </c>
      <c r="H2795">
        <v>2014</v>
      </c>
      <c r="I2795">
        <v>2014</v>
      </c>
      <c r="J2795">
        <f t="shared" si="86"/>
        <v>1</v>
      </c>
      <c r="K2795" s="1" t="s">
        <v>741</v>
      </c>
      <c r="L2795" s="1" t="s">
        <v>798</v>
      </c>
      <c r="M2795">
        <f t="shared" si="87"/>
        <v>12</v>
      </c>
      <c r="N2795" t="s">
        <v>650</v>
      </c>
    </row>
    <row r="2796" spans="1:14" hidden="1" x14ac:dyDescent="0.3">
      <c r="A2796" s="1" t="s">
        <v>1840</v>
      </c>
      <c r="B2796" s="1" t="s">
        <v>802</v>
      </c>
      <c r="C2796" s="1" t="s">
        <v>1841</v>
      </c>
      <c r="D2796" s="1" t="s">
        <v>738</v>
      </c>
      <c r="E2796" s="1" t="s">
        <v>739</v>
      </c>
      <c r="F2796" s="1" t="s">
        <v>781</v>
      </c>
      <c r="G2796" s="1" t="s">
        <v>1827</v>
      </c>
      <c r="H2796">
        <v>2012</v>
      </c>
      <c r="I2796">
        <v>2012</v>
      </c>
      <c r="J2796">
        <f t="shared" si="86"/>
        <v>1</v>
      </c>
      <c r="K2796" s="1" t="s">
        <v>741</v>
      </c>
      <c r="L2796" s="1" t="s">
        <v>798</v>
      </c>
      <c r="M2796">
        <f t="shared" si="87"/>
        <v>14</v>
      </c>
      <c r="N2796" t="s">
        <v>650</v>
      </c>
    </row>
    <row r="2797" spans="1:14" hidden="1" x14ac:dyDescent="0.3">
      <c r="A2797" s="1" t="s">
        <v>1842</v>
      </c>
      <c r="B2797" s="1" t="s">
        <v>802</v>
      </c>
      <c r="C2797" s="1" t="s">
        <v>1843</v>
      </c>
      <c r="D2797" s="1" t="s">
        <v>738</v>
      </c>
      <c r="E2797" s="1" t="s">
        <v>739</v>
      </c>
      <c r="F2797" s="1" t="s">
        <v>781</v>
      </c>
      <c r="G2797" s="1" t="s">
        <v>1827</v>
      </c>
      <c r="H2797">
        <v>2012</v>
      </c>
      <c r="I2797">
        <v>2012</v>
      </c>
      <c r="J2797">
        <f t="shared" si="86"/>
        <v>1</v>
      </c>
      <c r="K2797" s="1" t="s">
        <v>741</v>
      </c>
      <c r="L2797" s="1" t="s">
        <v>798</v>
      </c>
      <c r="M2797">
        <f t="shared" si="87"/>
        <v>14</v>
      </c>
      <c r="N2797" t="s">
        <v>650</v>
      </c>
    </row>
    <row r="2798" spans="1:14" hidden="1" x14ac:dyDescent="0.3">
      <c r="A2798" s="1" t="s">
        <v>1844</v>
      </c>
      <c r="B2798" s="1" t="s">
        <v>802</v>
      </c>
      <c r="C2798" s="1" t="s">
        <v>1845</v>
      </c>
      <c r="D2798" s="1" t="s">
        <v>738</v>
      </c>
      <c r="E2798" s="1" t="s">
        <v>739</v>
      </c>
      <c r="F2798" s="1" t="s">
        <v>781</v>
      </c>
      <c r="G2798" s="1" t="s">
        <v>1827</v>
      </c>
      <c r="H2798">
        <v>2015</v>
      </c>
      <c r="I2798">
        <v>2015</v>
      </c>
      <c r="J2798">
        <f t="shared" si="86"/>
        <v>1</v>
      </c>
      <c r="K2798" s="1" t="s">
        <v>741</v>
      </c>
      <c r="L2798" s="1" t="s">
        <v>798</v>
      </c>
      <c r="M2798">
        <f t="shared" si="87"/>
        <v>11</v>
      </c>
      <c r="N2798" t="s">
        <v>650</v>
      </c>
    </row>
    <row r="2799" spans="1:14" hidden="1" x14ac:dyDescent="0.3">
      <c r="A2799" s="1" t="s">
        <v>1846</v>
      </c>
      <c r="B2799" s="1" t="s">
        <v>802</v>
      </c>
      <c r="C2799" s="1" t="s">
        <v>1847</v>
      </c>
      <c r="D2799" s="1" t="s">
        <v>738</v>
      </c>
      <c r="E2799" s="1" t="s">
        <v>739</v>
      </c>
      <c r="F2799" s="1" t="s">
        <v>781</v>
      </c>
      <c r="G2799" s="1" t="s">
        <v>1827</v>
      </c>
      <c r="H2799">
        <v>2013</v>
      </c>
      <c r="I2799">
        <v>2013</v>
      </c>
      <c r="J2799">
        <f t="shared" si="86"/>
        <v>1</v>
      </c>
      <c r="K2799" s="1" t="s">
        <v>741</v>
      </c>
      <c r="L2799" s="1" t="s">
        <v>798</v>
      </c>
      <c r="M2799">
        <f t="shared" si="87"/>
        <v>13</v>
      </c>
      <c r="N2799" t="s">
        <v>650</v>
      </c>
    </row>
    <row r="2800" spans="1:14" x14ac:dyDescent="0.3">
      <c r="A2800" s="1" t="s">
        <v>8280</v>
      </c>
      <c r="B2800" s="1" t="s">
        <v>4665</v>
      </c>
      <c r="C2800" s="1" t="s">
        <v>8281</v>
      </c>
      <c r="D2800" s="1" t="s">
        <v>1395</v>
      </c>
      <c r="E2800" s="1" t="s">
        <v>6076</v>
      </c>
      <c r="F2800" s="1" t="s">
        <v>6076</v>
      </c>
      <c r="G2800" s="1" t="s">
        <v>4767</v>
      </c>
      <c r="H2800">
        <v>1998</v>
      </c>
      <c r="I2800">
        <v>2002</v>
      </c>
      <c r="J2800">
        <f t="shared" si="86"/>
        <v>5</v>
      </c>
      <c r="K2800" s="1" t="s">
        <v>6076</v>
      </c>
      <c r="L2800" s="1" t="s">
        <v>6076</v>
      </c>
      <c r="M2800">
        <f t="shared" si="87"/>
        <v>24</v>
      </c>
      <c r="N2800" t="s">
        <v>640</v>
      </c>
    </row>
    <row r="2801" spans="1:14" x14ac:dyDescent="0.3">
      <c r="A2801" s="1" t="s">
        <v>8282</v>
      </c>
      <c r="B2801" s="1" t="s">
        <v>4665</v>
      </c>
      <c r="C2801" s="1" t="s">
        <v>8283</v>
      </c>
      <c r="D2801" s="1" t="s">
        <v>1395</v>
      </c>
      <c r="E2801" s="1" t="s">
        <v>6076</v>
      </c>
      <c r="F2801" s="1" t="s">
        <v>6076</v>
      </c>
      <c r="G2801" s="1" t="s">
        <v>4767</v>
      </c>
      <c r="H2801">
        <v>1998</v>
      </c>
      <c r="I2801">
        <v>2003</v>
      </c>
      <c r="J2801">
        <f t="shared" si="86"/>
        <v>6</v>
      </c>
      <c r="K2801" s="1" t="s">
        <v>6076</v>
      </c>
      <c r="L2801" s="1" t="s">
        <v>6076</v>
      </c>
      <c r="M2801">
        <f t="shared" si="87"/>
        <v>23</v>
      </c>
      <c r="N2801" t="s">
        <v>640</v>
      </c>
    </row>
    <row r="2802" spans="1:14" x14ac:dyDescent="0.3">
      <c r="A2802" s="1" t="s">
        <v>8284</v>
      </c>
      <c r="B2802" s="1" t="s">
        <v>4665</v>
      </c>
      <c r="C2802" s="1" t="s">
        <v>8285</v>
      </c>
      <c r="D2802" s="1" t="s">
        <v>1395</v>
      </c>
      <c r="E2802" s="1" t="s">
        <v>6076</v>
      </c>
      <c r="F2802" s="1" t="s">
        <v>6076</v>
      </c>
      <c r="G2802" s="1" t="s">
        <v>4767</v>
      </c>
      <c r="H2802">
        <v>1999</v>
      </c>
      <c r="I2802">
        <v>2002</v>
      </c>
      <c r="J2802">
        <f t="shared" si="86"/>
        <v>4</v>
      </c>
      <c r="K2802" s="1" t="s">
        <v>6076</v>
      </c>
      <c r="L2802" s="1" t="s">
        <v>6076</v>
      </c>
      <c r="M2802">
        <f t="shared" si="87"/>
        <v>24</v>
      </c>
      <c r="N2802" t="s">
        <v>640</v>
      </c>
    </row>
    <row r="2803" spans="1:14" x14ac:dyDescent="0.3">
      <c r="A2803" s="1" t="s">
        <v>8286</v>
      </c>
      <c r="B2803" s="1" t="s">
        <v>4665</v>
      </c>
      <c r="C2803" s="1" t="s">
        <v>8287</v>
      </c>
      <c r="D2803" s="1" t="s">
        <v>1395</v>
      </c>
      <c r="E2803" s="1" t="s">
        <v>6076</v>
      </c>
      <c r="F2803" s="1" t="s">
        <v>6076</v>
      </c>
      <c r="G2803" s="1" t="s">
        <v>4767</v>
      </c>
      <c r="H2803">
        <v>1998</v>
      </c>
      <c r="I2803">
        <v>2016</v>
      </c>
      <c r="J2803">
        <f t="shared" si="86"/>
        <v>19</v>
      </c>
      <c r="K2803" s="1" t="s">
        <v>6076</v>
      </c>
      <c r="L2803" s="1" t="s">
        <v>6076</v>
      </c>
      <c r="M2803">
        <f t="shared" si="87"/>
        <v>10</v>
      </c>
      <c r="N2803" t="s">
        <v>650</v>
      </c>
    </row>
    <row r="2804" spans="1:14" x14ac:dyDescent="0.3">
      <c r="A2804" s="1" t="s">
        <v>8288</v>
      </c>
      <c r="B2804" s="1" t="s">
        <v>4665</v>
      </c>
      <c r="C2804" s="1" t="s">
        <v>8289</v>
      </c>
      <c r="D2804" s="1" t="s">
        <v>1395</v>
      </c>
      <c r="E2804" s="1" t="s">
        <v>6076</v>
      </c>
      <c r="F2804" s="1" t="s">
        <v>6076</v>
      </c>
      <c r="G2804" s="1" t="s">
        <v>4767</v>
      </c>
      <c r="H2804">
        <v>1998</v>
      </c>
      <c r="I2804">
        <v>2016</v>
      </c>
      <c r="J2804">
        <f t="shared" si="86"/>
        <v>19</v>
      </c>
      <c r="K2804" s="1" t="s">
        <v>6076</v>
      </c>
      <c r="L2804" s="1" t="s">
        <v>6076</v>
      </c>
      <c r="M2804">
        <f t="shared" si="87"/>
        <v>10</v>
      </c>
      <c r="N2804" t="s">
        <v>650</v>
      </c>
    </row>
    <row r="2805" spans="1:14" x14ac:dyDescent="0.3">
      <c r="A2805" s="1" t="s">
        <v>8290</v>
      </c>
      <c r="B2805" s="1" t="s">
        <v>4665</v>
      </c>
      <c r="C2805" s="1" t="s">
        <v>8291</v>
      </c>
      <c r="D2805" s="1" t="s">
        <v>1395</v>
      </c>
      <c r="E2805" s="1" t="s">
        <v>6076</v>
      </c>
      <c r="F2805" s="1" t="s">
        <v>6076</v>
      </c>
      <c r="G2805" s="1" t="s">
        <v>4767</v>
      </c>
      <c r="H2805">
        <v>2000</v>
      </c>
      <c r="I2805">
        <v>2002</v>
      </c>
      <c r="J2805">
        <f t="shared" si="86"/>
        <v>3</v>
      </c>
      <c r="K2805" s="1" t="s">
        <v>6076</v>
      </c>
      <c r="L2805" s="1" t="s">
        <v>6076</v>
      </c>
      <c r="M2805">
        <f t="shared" si="87"/>
        <v>24</v>
      </c>
      <c r="N2805" t="s">
        <v>640</v>
      </c>
    </row>
    <row r="2806" spans="1:14" x14ac:dyDescent="0.3">
      <c r="A2806" s="1" t="s">
        <v>8292</v>
      </c>
      <c r="B2806" s="1" t="s">
        <v>4665</v>
      </c>
      <c r="C2806" s="1" t="s">
        <v>8293</v>
      </c>
      <c r="D2806" s="1" t="s">
        <v>1395</v>
      </c>
      <c r="E2806" s="1" t="s">
        <v>6076</v>
      </c>
      <c r="F2806" s="1" t="s">
        <v>6076</v>
      </c>
      <c r="G2806" s="1" t="s">
        <v>4767</v>
      </c>
      <c r="H2806">
        <v>2000</v>
      </c>
      <c r="I2806">
        <v>2002</v>
      </c>
      <c r="J2806">
        <f t="shared" si="86"/>
        <v>3</v>
      </c>
      <c r="K2806" s="1" t="s">
        <v>6076</v>
      </c>
      <c r="L2806" s="1" t="s">
        <v>6076</v>
      </c>
      <c r="M2806">
        <f t="shared" si="87"/>
        <v>24</v>
      </c>
      <c r="N2806" t="s">
        <v>640</v>
      </c>
    </row>
    <row r="2807" spans="1:14" x14ac:dyDescent="0.3">
      <c r="A2807" s="1" t="s">
        <v>8294</v>
      </c>
      <c r="B2807" s="1" t="s">
        <v>4665</v>
      </c>
      <c r="C2807" s="1" t="s">
        <v>8295</v>
      </c>
      <c r="D2807" s="1" t="s">
        <v>1395</v>
      </c>
      <c r="E2807" s="1" t="s">
        <v>6076</v>
      </c>
      <c r="F2807" s="1" t="s">
        <v>6076</v>
      </c>
      <c r="G2807" s="1" t="s">
        <v>4767</v>
      </c>
      <c r="H2807">
        <v>2000</v>
      </c>
      <c r="I2807">
        <v>2000</v>
      </c>
      <c r="J2807">
        <f t="shared" si="86"/>
        <v>1</v>
      </c>
      <c r="K2807" s="1" t="s">
        <v>6076</v>
      </c>
      <c r="L2807" s="1" t="s">
        <v>6076</v>
      </c>
      <c r="M2807">
        <f t="shared" si="87"/>
        <v>26</v>
      </c>
      <c r="N2807" t="s">
        <v>640</v>
      </c>
    </row>
    <row r="2808" spans="1:14" x14ac:dyDescent="0.3">
      <c r="A2808" s="1" t="s">
        <v>8296</v>
      </c>
      <c r="B2808" s="1" t="s">
        <v>4665</v>
      </c>
      <c r="C2808" s="1" t="s">
        <v>8297</v>
      </c>
      <c r="D2808" s="1" t="s">
        <v>1395</v>
      </c>
      <c r="E2808" s="1" t="s">
        <v>6076</v>
      </c>
      <c r="F2808" s="1" t="s">
        <v>6076</v>
      </c>
      <c r="G2808" s="1" t="s">
        <v>4767</v>
      </c>
      <c r="H2808">
        <v>2000</v>
      </c>
      <c r="I2808">
        <v>2000</v>
      </c>
      <c r="J2808">
        <f t="shared" si="86"/>
        <v>1</v>
      </c>
      <c r="K2808" s="1" t="s">
        <v>6076</v>
      </c>
      <c r="L2808" s="1" t="s">
        <v>6076</v>
      </c>
      <c r="M2808">
        <f t="shared" si="87"/>
        <v>26</v>
      </c>
      <c r="N2808" t="s">
        <v>640</v>
      </c>
    </row>
    <row r="2809" spans="1:14" x14ac:dyDescent="0.3">
      <c r="A2809" s="1" t="s">
        <v>8298</v>
      </c>
      <c r="B2809" s="1" t="s">
        <v>4665</v>
      </c>
      <c r="C2809" s="1" t="s">
        <v>8299</v>
      </c>
      <c r="D2809" s="1" t="s">
        <v>1395</v>
      </c>
      <c r="E2809" s="1" t="s">
        <v>6076</v>
      </c>
      <c r="F2809" s="1" t="s">
        <v>6076</v>
      </c>
      <c r="G2809" s="1" t="s">
        <v>4767</v>
      </c>
      <c r="H2809">
        <v>2001</v>
      </c>
      <c r="I2809">
        <v>2003</v>
      </c>
      <c r="J2809">
        <f t="shared" si="86"/>
        <v>3</v>
      </c>
      <c r="K2809" s="1" t="s">
        <v>6076</v>
      </c>
      <c r="L2809" s="1" t="s">
        <v>6076</v>
      </c>
      <c r="M2809">
        <f t="shared" si="87"/>
        <v>23</v>
      </c>
      <c r="N2809" t="s">
        <v>640</v>
      </c>
    </row>
    <row r="2810" spans="1:14" x14ac:dyDescent="0.3">
      <c r="A2810" s="1" t="s">
        <v>8300</v>
      </c>
      <c r="B2810" s="1" t="s">
        <v>4665</v>
      </c>
      <c r="C2810" s="1" t="s">
        <v>8301</v>
      </c>
      <c r="D2810" s="1" t="s">
        <v>1395</v>
      </c>
      <c r="E2810" s="1" t="s">
        <v>6076</v>
      </c>
      <c r="F2810" s="1" t="s">
        <v>6076</v>
      </c>
      <c r="G2810" s="1" t="s">
        <v>4767</v>
      </c>
      <c r="H2810">
        <v>1998</v>
      </c>
      <c r="I2810">
        <v>2003</v>
      </c>
      <c r="J2810">
        <f t="shared" si="86"/>
        <v>6</v>
      </c>
      <c r="K2810" s="1" t="s">
        <v>6076</v>
      </c>
      <c r="L2810" s="1" t="s">
        <v>6076</v>
      </c>
      <c r="M2810">
        <f t="shared" si="87"/>
        <v>23</v>
      </c>
      <c r="N2810" t="s">
        <v>640</v>
      </c>
    </row>
    <row r="2811" spans="1:14" x14ac:dyDescent="0.3">
      <c r="A2811" s="1" t="s">
        <v>8302</v>
      </c>
      <c r="B2811" s="1" t="s">
        <v>4665</v>
      </c>
      <c r="C2811" s="1" t="s">
        <v>8303</v>
      </c>
      <c r="D2811" s="1" t="s">
        <v>1395</v>
      </c>
      <c r="E2811" s="1" t="s">
        <v>6076</v>
      </c>
      <c r="F2811" s="1" t="s">
        <v>6076</v>
      </c>
      <c r="G2811" s="1" t="s">
        <v>4767</v>
      </c>
      <c r="H2811">
        <v>1998</v>
      </c>
      <c r="I2811">
        <v>2003</v>
      </c>
      <c r="J2811">
        <f t="shared" si="86"/>
        <v>6</v>
      </c>
      <c r="K2811" s="1" t="s">
        <v>6076</v>
      </c>
      <c r="L2811" s="1" t="s">
        <v>6076</v>
      </c>
      <c r="M2811">
        <f t="shared" si="87"/>
        <v>23</v>
      </c>
      <c r="N2811" t="s">
        <v>640</v>
      </c>
    </row>
    <row r="2812" spans="1:14" x14ac:dyDescent="0.3">
      <c r="A2812" s="1" t="s">
        <v>8304</v>
      </c>
      <c r="B2812" s="1" t="s">
        <v>4665</v>
      </c>
      <c r="C2812" s="1" t="s">
        <v>8305</v>
      </c>
      <c r="D2812" s="1" t="s">
        <v>1395</v>
      </c>
      <c r="E2812" s="1" t="s">
        <v>6076</v>
      </c>
      <c r="F2812" s="1" t="s">
        <v>6076</v>
      </c>
      <c r="G2812" s="1" t="s">
        <v>4767</v>
      </c>
      <c r="H2812">
        <v>2009</v>
      </c>
      <c r="I2812">
        <v>2011</v>
      </c>
      <c r="J2812">
        <f t="shared" si="86"/>
        <v>3</v>
      </c>
      <c r="K2812" s="1" t="s">
        <v>6076</v>
      </c>
      <c r="L2812" s="1" t="s">
        <v>6076</v>
      </c>
      <c r="M2812">
        <f t="shared" si="87"/>
        <v>15</v>
      </c>
      <c r="N2812" t="s">
        <v>650</v>
      </c>
    </row>
    <row r="2813" spans="1:14" x14ac:dyDescent="0.3">
      <c r="A2813" s="1" t="s">
        <v>8306</v>
      </c>
      <c r="B2813" s="1" t="s">
        <v>4665</v>
      </c>
      <c r="C2813" s="1" t="s">
        <v>8307</v>
      </c>
      <c r="D2813" s="1" t="s">
        <v>1395</v>
      </c>
      <c r="E2813" s="1" t="s">
        <v>6076</v>
      </c>
      <c r="F2813" s="1" t="s">
        <v>6076</v>
      </c>
      <c r="G2813" s="1" t="s">
        <v>4767</v>
      </c>
      <c r="H2813">
        <v>1995</v>
      </c>
      <c r="I2813">
        <v>1995</v>
      </c>
      <c r="J2813">
        <f t="shared" si="86"/>
        <v>1</v>
      </c>
      <c r="K2813" s="1" t="s">
        <v>6076</v>
      </c>
      <c r="L2813" s="1" t="s">
        <v>6076</v>
      </c>
      <c r="M2813">
        <f t="shared" si="87"/>
        <v>31</v>
      </c>
      <c r="N2813" t="s">
        <v>640</v>
      </c>
    </row>
    <row r="2814" spans="1:14" x14ac:dyDescent="0.3">
      <c r="A2814" s="1" t="s">
        <v>8308</v>
      </c>
      <c r="B2814" s="1" t="s">
        <v>4665</v>
      </c>
      <c r="C2814" s="1" t="s">
        <v>8309</v>
      </c>
      <c r="D2814" s="1" t="s">
        <v>1395</v>
      </c>
      <c r="E2814" s="1" t="s">
        <v>6076</v>
      </c>
      <c r="F2814" s="1" t="s">
        <v>6076</v>
      </c>
      <c r="G2814" s="1" t="s">
        <v>4767</v>
      </c>
      <c r="H2814">
        <v>2016</v>
      </c>
      <c r="I2814">
        <v>2016</v>
      </c>
      <c r="J2814">
        <f t="shared" si="86"/>
        <v>1</v>
      </c>
      <c r="K2814" s="1" t="s">
        <v>6076</v>
      </c>
      <c r="L2814" s="1" t="s">
        <v>6076</v>
      </c>
      <c r="M2814">
        <f t="shared" si="87"/>
        <v>10</v>
      </c>
      <c r="N2814" t="s">
        <v>650</v>
      </c>
    </row>
    <row r="2815" spans="1:14" x14ac:dyDescent="0.3">
      <c r="A2815" s="1" t="s">
        <v>8310</v>
      </c>
      <c r="B2815" s="1" t="s">
        <v>4665</v>
      </c>
      <c r="C2815" s="1" t="s">
        <v>8311</v>
      </c>
      <c r="D2815" s="1" t="s">
        <v>1395</v>
      </c>
      <c r="E2815" s="1" t="s">
        <v>6076</v>
      </c>
      <c r="F2815" s="1" t="s">
        <v>6076</v>
      </c>
      <c r="G2815" s="1" t="s">
        <v>4767</v>
      </c>
      <c r="H2815">
        <v>2016</v>
      </c>
      <c r="I2815">
        <v>2016</v>
      </c>
      <c r="J2815">
        <f t="shared" si="86"/>
        <v>1</v>
      </c>
      <c r="K2815" s="1" t="s">
        <v>6076</v>
      </c>
      <c r="L2815" s="1" t="s">
        <v>6076</v>
      </c>
      <c r="M2815">
        <f t="shared" si="87"/>
        <v>10</v>
      </c>
      <c r="N2815" t="s">
        <v>650</v>
      </c>
    </row>
    <row r="2816" spans="1:14" x14ac:dyDescent="0.3">
      <c r="A2816" s="1" t="s">
        <v>8312</v>
      </c>
      <c r="B2816" s="1" t="s">
        <v>4665</v>
      </c>
      <c r="C2816" s="1" t="s">
        <v>8313</v>
      </c>
      <c r="D2816" s="1" t="s">
        <v>1395</v>
      </c>
      <c r="E2816" s="1" t="s">
        <v>6076</v>
      </c>
      <c r="F2816" s="1" t="s">
        <v>6076</v>
      </c>
      <c r="G2816" s="1" t="s">
        <v>4767</v>
      </c>
      <c r="H2816">
        <v>2013</v>
      </c>
      <c r="I2816">
        <v>2015</v>
      </c>
      <c r="J2816">
        <f t="shared" si="86"/>
        <v>3</v>
      </c>
      <c r="K2816" s="1" t="s">
        <v>6076</v>
      </c>
      <c r="L2816" s="1" t="s">
        <v>6076</v>
      </c>
      <c r="M2816">
        <f t="shared" si="87"/>
        <v>11</v>
      </c>
      <c r="N2816" t="s">
        <v>650</v>
      </c>
    </row>
    <row r="2817" spans="1:14" x14ac:dyDescent="0.3">
      <c r="A2817" s="1" t="s">
        <v>8314</v>
      </c>
      <c r="B2817" s="1" t="s">
        <v>4665</v>
      </c>
      <c r="C2817" s="1" t="s">
        <v>8315</v>
      </c>
      <c r="D2817" s="1" t="s">
        <v>1395</v>
      </c>
      <c r="E2817" s="1" t="s">
        <v>6076</v>
      </c>
      <c r="F2817" s="1" t="s">
        <v>6076</v>
      </c>
      <c r="G2817" s="1" t="s">
        <v>4767</v>
      </c>
      <c r="H2817">
        <v>2015</v>
      </c>
      <c r="I2817">
        <v>2016</v>
      </c>
      <c r="J2817">
        <f t="shared" si="86"/>
        <v>2</v>
      </c>
      <c r="K2817" s="1" t="s">
        <v>6076</v>
      </c>
      <c r="L2817" s="1" t="s">
        <v>6076</v>
      </c>
      <c r="M2817">
        <f t="shared" si="87"/>
        <v>10</v>
      </c>
      <c r="N2817" t="s">
        <v>650</v>
      </c>
    </row>
    <row r="2818" spans="1:14" x14ac:dyDescent="0.3">
      <c r="A2818" s="1" t="s">
        <v>8316</v>
      </c>
      <c r="B2818" s="1" t="s">
        <v>4665</v>
      </c>
      <c r="C2818" s="1" t="s">
        <v>8317</v>
      </c>
      <c r="D2818" s="1" t="s">
        <v>1395</v>
      </c>
      <c r="E2818" s="1" t="s">
        <v>6076</v>
      </c>
      <c r="F2818" s="1" t="s">
        <v>6076</v>
      </c>
      <c r="G2818" s="1" t="s">
        <v>4767</v>
      </c>
      <c r="H2818">
        <v>1999</v>
      </c>
      <c r="I2818">
        <v>2002</v>
      </c>
      <c r="J2818">
        <f t="shared" si="86"/>
        <v>4</v>
      </c>
      <c r="K2818" s="1" t="s">
        <v>6076</v>
      </c>
      <c r="L2818" s="1" t="s">
        <v>6076</v>
      </c>
      <c r="M2818">
        <f t="shared" si="87"/>
        <v>24</v>
      </c>
      <c r="N2818" t="s">
        <v>640</v>
      </c>
    </row>
    <row r="2819" spans="1:14" x14ac:dyDescent="0.3">
      <c r="A2819" s="1" t="s">
        <v>8318</v>
      </c>
      <c r="B2819" s="1" t="s">
        <v>4665</v>
      </c>
      <c r="C2819" s="1" t="s">
        <v>8319</v>
      </c>
      <c r="D2819" s="1" t="s">
        <v>1395</v>
      </c>
      <c r="E2819" s="1" t="s">
        <v>6076</v>
      </c>
      <c r="F2819" s="1" t="s">
        <v>6076</v>
      </c>
      <c r="G2819" s="1" t="s">
        <v>4767</v>
      </c>
      <c r="H2819">
        <v>1999</v>
      </c>
      <c r="I2819">
        <v>2002</v>
      </c>
      <c r="J2819">
        <f t="shared" si="86"/>
        <v>4</v>
      </c>
      <c r="K2819" s="1" t="s">
        <v>6076</v>
      </c>
      <c r="L2819" s="1" t="s">
        <v>6076</v>
      </c>
      <c r="M2819">
        <f t="shared" si="87"/>
        <v>24</v>
      </c>
      <c r="N2819" t="s">
        <v>640</v>
      </c>
    </row>
    <row r="2820" spans="1:14" x14ac:dyDescent="0.3">
      <c r="A2820" s="1" t="s">
        <v>8320</v>
      </c>
      <c r="B2820" s="1" t="s">
        <v>4665</v>
      </c>
      <c r="C2820" s="1" t="s">
        <v>8321</v>
      </c>
      <c r="D2820" s="1" t="s">
        <v>1395</v>
      </c>
      <c r="E2820" s="1" t="s">
        <v>6076</v>
      </c>
      <c r="F2820" s="1" t="s">
        <v>6076</v>
      </c>
      <c r="G2820" s="1" t="s">
        <v>4767</v>
      </c>
      <c r="H2820">
        <v>2001</v>
      </c>
      <c r="I2820">
        <v>2003</v>
      </c>
      <c r="J2820">
        <f t="shared" si="86"/>
        <v>3</v>
      </c>
      <c r="K2820" s="1" t="s">
        <v>6076</v>
      </c>
      <c r="L2820" s="1" t="s">
        <v>6076</v>
      </c>
      <c r="M2820">
        <f t="shared" si="87"/>
        <v>23</v>
      </c>
      <c r="N2820" t="s">
        <v>640</v>
      </c>
    </row>
    <row r="2821" spans="1:14" x14ac:dyDescent="0.3">
      <c r="A2821" s="1" t="s">
        <v>8322</v>
      </c>
      <c r="B2821" s="1" t="s">
        <v>4665</v>
      </c>
      <c r="C2821" s="1" t="s">
        <v>8323</v>
      </c>
      <c r="D2821" s="1" t="s">
        <v>1395</v>
      </c>
      <c r="E2821" s="1" t="s">
        <v>6076</v>
      </c>
      <c r="F2821" s="1" t="s">
        <v>6076</v>
      </c>
      <c r="G2821" s="1" t="s">
        <v>4767</v>
      </c>
      <c r="H2821">
        <v>2002</v>
      </c>
      <c r="I2821">
        <v>2002</v>
      </c>
      <c r="J2821">
        <f t="shared" si="86"/>
        <v>1</v>
      </c>
      <c r="K2821" s="1" t="s">
        <v>6076</v>
      </c>
      <c r="L2821" s="1" t="s">
        <v>6076</v>
      </c>
      <c r="M2821">
        <f t="shared" si="87"/>
        <v>24</v>
      </c>
      <c r="N2821" t="s">
        <v>640</v>
      </c>
    </row>
    <row r="2822" spans="1:14" x14ac:dyDescent="0.3">
      <c r="A2822" s="1" t="s">
        <v>8324</v>
      </c>
      <c r="B2822" s="1" t="s">
        <v>4561</v>
      </c>
      <c r="C2822" s="1" t="s">
        <v>8325</v>
      </c>
      <c r="D2822" s="1" t="s">
        <v>738</v>
      </c>
      <c r="E2822" s="1" t="s">
        <v>6076</v>
      </c>
      <c r="F2822" s="1" t="s">
        <v>6076</v>
      </c>
      <c r="G2822" s="1" t="s">
        <v>8326</v>
      </c>
      <c r="H2822">
        <v>2005</v>
      </c>
      <c r="I2822">
        <v>2008</v>
      </c>
      <c r="J2822">
        <f t="shared" ref="J2822:J2885" si="88">1+(I2822-H2822)</f>
        <v>4</v>
      </c>
      <c r="K2822" s="1" t="s">
        <v>6076</v>
      </c>
      <c r="L2822" s="1" t="s">
        <v>6076</v>
      </c>
      <c r="M2822">
        <f t="shared" ref="M2822:M2885" si="89">IF(I2822=0,0,$B$2-I2822)</f>
        <v>18</v>
      </c>
      <c r="N2822" t="s">
        <v>640</v>
      </c>
    </row>
    <row r="2823" spans="1:14" x14ac:dyDescent="0.3">
      <c r="A2823" s="1" t="s">
        <v>8327</v>
      </c>
      <c r="B2823" s="1" t="s">
        <v>5931</v>
      </c>
      <c r="C2823" s="1" t="s">
        <v>8328</v>
      </c>
      <c r="D2823" s="1" t="s">
        <v>3850</v>
      </c>
      <c r="E2823" s="1" t="s">
        <v>6076</v>
      </c>
      <c r="F2823" s="1" t="s">
        <v>6076</v>
      </c>
      <c r="G2823" s="1" t="s">
        <v>8329</v>
      </c>
      <c r="H2823">
        <v>2020</v>
      </c>
      <c r="I2823">
        <v>2022</v>
      </c>
      <c r="J2823">
        <f t="shared" si="88"/>
        <v>3</v>
      </c>
      <c r="K2823" s="1" t="s">
        <v>6076</v>
      </c>
      <c r="L2823" s="1" t="s">
        <v>6076</v>
      </c>
      <c r="M2823">
        <f t="shared" si="89"/>
        <v>4</v>
      </c>
    </row>
    <row r="2824" spans="1:14" x14ac:dyDescent="0.3">
      <c r="A2824" s="1" t="s">
        <v>8330</v>
      </c>
      <c r="B2824" s="1" t="s">
        <v>5931</v>
      </c>
      <c r="C2824" s="1" t="s">
        <v>8331</v>
      </c>
      <c r="D2824" s="1" t="s">
        <v>3850</v>
      </c>
      <c r="E2824" s="1" t="s">
        <v>6076</v>
      </c>
      <c r="F2824" s="1" t="s">
        <v>6076</v>
      </c>
      <c r="G2824" s="1" t="s">
        <v>8329</v>
      </c>
      <c r="H2824">
        <v>2019</v>
      </c>
      <c r="I2824">
        <v>2022</v>
      </c>
      <c r="J2824">
        <f t="shared" si="88"/>
        <v>4</v>
      </c>
      <c r="K2824" s="1" t="s">
        <v>6076</v>
      </c>
      <c r="L2824" s="1" t="s">
        <v>6076</v>
      </c>
      <c r="M2824">
        <f t="shared" si="89"/>
        <v>4</v>
      </c>
    </row>
    <row r="2825" spans="1:14" x14ac:dyDescent="0.3">
      <c r="A2825" t="s">
        <v>11855</v>
      </c>
      <c r="B2825" t="s">
        <v>5931</v>
      </c>
      <c r="C2825" t="s">
        <v>11856</v>
      </c>
      <c r="E2825" s="1" t="s">
        <v>6076</v>
      </c>
      <c r="F2825" s="1" t="s">
        <v>6076</v>
      </c>
      <c r="G2825" s="1" t="s">
        <v>8329</v>
      </c>
      <c r="H2825">
        <v>2025</v>
      </c>
      <c r="I2825">
        <v>2026</v>
      </c>
      <c r="J2825">
        <f t="shared" si="88"/>
        <v>2</v>
      </c>
      <c r="K2825" s="1" t="s">
        <v>6076</v>
      </c>
      <c r="L2825" s="1" t="s">
        <v>6076</v>
      </c>
      <c r="M2825">
        <f t="shared" si="89"/>
        <v>0</v>
      </c>
    </row>
    <row r="2826" spans="1:14" x14ac:dyDescent="0.3">
      <c r="A2826" t="s">
        <v>11857</v>
      </c>
      <c r="B2826" t="s">
        <v>5931</v>
      </c>
      <c r="C2826" t="s">
        <v>11858</v>
      </c>
      <c r="E2826" s="1" t="s">
        <v>6076</v>
      </c>
      <c r="F2826" s="1" t="s">
        <v>6076</v>
      </c>
      <c r="G2826" s="1" t="s">
        <v>8329</v>
      </c>
      <c r="H2826">
        <v>2024</v>
      </c>
      <c r="I2826">
        <v>2026</v>
      </c>
      <c r="J2826">
        <f t="shared" si="88"/>
        <v>3</v>
      </c>
      <c r="K2826" s="1" t="s">
        <v>6076</v>
      </c>
      <c r="L2826" s="1" t="s">
        <v>6076</v>
      </c>
      <c r="M2826">
        <f t="shared" si="89"/>
        <v>0</v>
      </c>
    </row>
    <row r="2827" spans="1:14" x14ac:dyDescent="0.3">
      <c r="A2827" s="1" t="s">
        <v>8332</v>
      </c>
      <c r="B2827" s="1" t="s">
        <v>5931</v>
      </c>
      <c r="C2827" s="1" t="s">
        <v>8333</v>
      </c>
      <c r="D2827" s="1" t="s">
        <v>3850</v>
      </c>
      <c r="E2827" s="1" t="s">
        <v>6076</v>
      </c>
      <c r="F2827" s="1" t="s">
        <v>6076</v>
      </c>
      <c r="G2827" s="1" t="s">
        <v>8329</v>
      </c>
      <c r="H2827">
        <v>2016</v>
      </c>
      <c r="I2827">
        <v>2016</v>
      </c>
      <c r="J2827">
        <f t="shared" si="88"/>
        <v>1</v>
      </c>
      <c r="K2827" s="1" t="s">
        <v>6076</v>
      </c>
      <c r="L2827" s="1" t="s">
        <v>6076</v>
      </c>
      <c r="M2827">
        <f t="shared" si="89"/>
        <v>10</v>
      </c>
    </row>
    <row r="2828" spans="1:14" x14ac:dyDescent="0.3">
      <c r="A2828" s="1" t="s">
        <v>8334</v>
      </c>
      <c r="B2828" s="1" t="s">
        <v>5931</v>
      </c>
      <c r="C2828" s="1" t="s">
        <v>8335</v>
      </c>
      <c r="D2828" s="1" t="s">
        <v>3850</v>
      </c>
      <c r="E2828" s="1" t="s">
        <v>6076</v>
      </c>
      <c r="F2828" s="1" t="s">
        <v>6076</v>
      </c>
      <c r="G2828" s="1" t="s">
        <v>8329</v>
      </c>
      <c r="H2828">
        <v>2021</v>
      </c>
      <c r="I2828">
        <v>2022</v>
      </c>
      <c r="J2828">
        <f t="shared" si="88"/>
        <v>2</v>
      </c>
      <c r="K2828" s="1" t="s">
        <v>6076</v>
      </c>
      <c r="L2828" s="1" t="s">
        <v>6076</v>
      </c>
      <c r="M2828">
        <f t="shared" si="89"/>
        <v>4</v>
      </c>
    </row>
    <row r="2829" spans="1:14" x14ac:dyDescent="0.3">
      <c r="A2829" s="1" t="s">
        <v>8336</v>
      </c>
      <c r="B2829" s="1" t="s">
        <v>5931</v>
      </c>
      <c r="C2829" s="1" t="s">
        <v>8337</v>
      </c>
      <c r="D2829" s="1" t="s">
        <v>3850</v>
      </c>
      <c r="E2829" s="1" t="s">
        <v>6076</v>
      </c>
      <c r="F2829" s="1" t="s">
        <v>6076</v>
      </c>
      <c r="G2829" s="1" t="s">
        <v>8329</v>
      </c>
      <c r="H2829">
        <v>2018</v>
      </c>
      <c r="I2829">
        <v>2022</v>
      </c>
      <c r="J2829">
        <f t="shared" si="88"/>
        <v>5</v>
      </c>
      <c r="K2829" s="1" t="s">
        <v>6076</v>
      </c>
      <c r="L2829" s="1" t="s">
        <v>6076</v>
      </c>
      <c r="M2829">
        <f t="shared" si="89"/>
        <v>4</v>
      </c>
    </row>
    <row r="2830" spans="1:14" x14ac:dyDescent="0.3">
      <c r="A2830" s="1" t="s">
        <v>8338</v>
      </c>
      <c r="B2830" s="1" t="s">
        <v>5931</v>
      </c>
      <c r="C2830" s="1" t="s">
        <v>8339</v>
      </c>
      <c r="D2830" s="1" t="s">
        <v>3850</v>
      </c>
      <c r="E2830" s="1" t="s">
        <v>6076</v>
      </c>
      <c r="F2830" s="1" t="s">
        <v>6076</v>
      </c>
      <c r="G2830" s="1" t="s">
        <v>8329</v>
      </c>
      <c r="H2830">
        <v>2018</v>
      </c>
      <c r="I2830">
        <v>2022</v>
      </c>
      <c r="J2830">
        <f t="shared" si="88"/>
        <v>5</v>
      </c>
      <c r="K2830" s="1" t="s">
        <v>6076</v>
      </c>
      <c r="L2830" s="1" t="s">
        <v>6076</v>
      </c>
      <c r="M2830">
        <f t="shared" si="89"/>
        <v>4</v>
      </c>
    </row>
    <row r="2831" spans="1:14" x14ac:dyDescent="0.3">
      <c r="A2831" s="1" t="s">
        <v>8340</v>
      </c>
      <c r="B2831" s="1" t="s">
        <v>5931</v>
      </c>
      <c r="C2831" s="1" t="s">
        <v>8341</v>
      </c>
      <c r="D2831" s="1" t="s">
        <v>3850</v>
      </c>
      <c r="E2831" s="1" t="s">
        <v>6076</v>
      </c>
      <c r="F2831" s="1" t="s">
        <v>6076</v>
      </c>
      <c r="G2831" s="1" t="s">
        <v>8329</v>
      </c>
      <c r="H2831">
        <v>2015</v>
      </c>
      <c r="I2831">
        <v>2016</v>
      </c>
      <c r="J2831">
        <f t="shared" si="88"/>
        <v>2</v>
      </c>
      <c r="K2831" s="1" t="s">
        <v>6076</v>
      </c>
      <c r="L2831" s="1" t="s">
        <v>6076</v>
      </c>
      <c r="M2831">
        <f t="shared" si="89"/>
        <v>10</v>
      </c>
    </row>
    <row r="2832" spans="1:14" x14ac:dyDescent="0.3">
      <c r="A2832" s="1" t="s">
        <v>8342</v>
      </c>
      <c r="B2832" s="1" t="s">
        <v>2154</v>
      </c>
      <c r="C2832" s="1" t="s">
        <v>8343</v>
      </c>
      <c r="D2832" s="1" t="s">
        <v>3850</v>
      </c>
      <c r="E2832" s="1" t="s">
        <v>6076</v>
      </c>
      <c r="F2832" s="1" t="s">
        <v>6076</v>
      </c>
      <c r="G2832" s="1" t="s">
        <v>8344</v>
      </c>
      <c r="H2832">
        <v>2016</v>
      </c>
      <c r="I2832">
        <v>2019</v>
      </c>
      <c r="J2832">
        <f t="shared" si="88"/>
        <v>4</v>
      </c>
      <c r="K2832" s="1" t="s">
        <v>6076</v>
      </c>
      <c r="L2832" s="1" t="s">
        <v>6076</v>
      </c>
      <c r="M2832">
        <f t="shared" si="89"/>
        <v>7</v>
      </c>
      <c r="N2832" t="s">
        <v>650</v>
      </c>
    </row>
    <row r="2833" spans="1:14" x14ac:dyDescent="0.3">
      <c r="A2833" s="1" t="s">
        <v>8345</v>
      </c>
      <c r="B2833" s="1" t="s">
        <v>1849</v>
      </c>
      <c r="C2833" s="1" t="s">
        <v>8346</v>
      </c>
      <c r="D2833" s="1" t="s">
        <v>644</v>
      </c>
      <c r="E2833" s="1" t="s">
        <v>6076</v>
      </c>
      <c r="F2833" s="1" t="s">
        <v>6076</v>
      </c>
      <c r="G2833" s="1" t="s">
        <v>8347</v>
      </c>
      <c r="H2833">
        <v>2004</v>
      </c>
      <c r="I2833">
        <v>2005</v>
      </c>
      <c r="J2833">
        <f t="shared" si="88"/>
        <v>2</v>
      </c>
      <c r="K2833" s="1" t="s">
        <v>6076</v>
      </c>
      <c r="L2833" s="1" t="s">
        <v>6076</v>
      </c>
      <c r="M2833">
        <f t="shared" si="89"/>
        <v>21</v>
      </c>
      <c r="N2833" t="s">
        <v>640</v>
      </c>
    </row>
    <row r="2834" spans="1:14" x14ac:dyDescent="0.3">
      <c r="A2834" s="1" t="s">
        <v>8348</v>
      </c>
      <c r="B2834" s="1" t="s">
        <v>1849</v>
      </c>
      <c r="C2834" s="1" t="s">
        <v>8349</v>
      </c>
      <c r="D2834" s="1" t="s">
        <v>644</v>
      </c>
      <c r="E2834" s="1" t="s">
        <v>6076</v>
      </c>
      <c r="F2834" s="1" t="s">
        <v>6076</v>
      </c>
      <c r="G2834" s="1" t="s">
        <v>8347</v>
      </c>
      <c r="H2834">
        <v>1999</v>
      </c>
      <c r="I2834">
        <v>2005</v>
      </c>
      <c r="J2834">
        <f t="shared" si="88"/>
        <v>7</v>
      </c>
      <c r="K2834" s="1" t="s">
        <v>6076</v>
      </c>
      <c r="L2834" s="1" t="s">
        <v>6076</v>
      </c>
      <c r="M2834">
        <f t="shared" si="89"/>
        <v>21</v>
      </c>
      <c r="N2834" t="s">
        <v>640</v>
      </c>
    </row>
    <row r="2835" spans="1:14" x14ac:dyDescent="0.3">
      <c r="A2835" s="1" t="s">
        <v>8350</v>
      </c>
      <c r="B2835" s="1" t="s">
        <v>1849</v>
      </c>
      <c r="C2835" s="1" t="s">
        <v>8351</v>
      </c>
      <c r="D2835" s="1" t="s">
        <v>644</v>
      </c>
      <c r="E2835" s="1" t="s">
        <v>6076</v>
      </c>
      <c r="F2835" s="1" t="s">
        <v>6076</v>
      </c>
      <c r="G2835" s="1" t="s">
        <v>8347</v>
      </c>
      <c r="H2835">
        <v>2009</v>
      </c>
      <c r="I2835">
        <v>2009</v>
      </c>
      <c r="J2835">
        <f t="shared" si="88"/>
        <v>1</v>
      </c>
      <c r="K2835" s="1" t="s">
        <v>6076</v>
      </c>
      <c r="L2835" s="1" t="s">
        <v>6076</v>
      </c>
      <c r="M2835">
        <f t="shared" si="89"/>
        <v>17</v>
      </c>
      <c r="N2835" t="s">
        <v>650</v>
      </c>
    </row>
    <row r="2836" spans="1:14" x14ac:dyDescent="0.3">
      <c r="A2836" s="1" t="s">
        <v>8352</v>
      </c>
      <c r="B2836" s="1" t="s">
        <v>1849</v>
      </c>
      <c r="C2836" s="1" t="s">
        <v>8353</v>
      </c>
      <c r="D2836" s="1" t="s">
        <v>644</v>
      </c>
      <c r="E2836" s="1" t="s">
        <v>6076</v>
      </c>
      <c r="F2836" s="1" t="s">
        <v>6076</v>
      </c>
      <c r="G2836" s="1" t="s">
        <v>8347</v>
      </c>
      <c r="H2836">
        <v>2006</v>
      </c>
      <c r="I2836">
        <v>2007</v>
      </c>
      <c r="J2836">
        <f t="shared" si="88"/>
        <v>2</v>
      </c>
      <c r="K2836" s="1" t="s">
        <v>6076</v>
      </c>
      <c r="L2836" s="1" t="s">
        <v>6076</v>
      </c>
      <c r="M2836">
        <f t="shared" si="89"/>
        <v>19</v>
      </c>
      <c r="N2836" t="s">
        <v>650</v>
      </c>
    </row>
    <row r="2837" spans="1:14" x14ac:dyDescent="0.3">
      <c r="A2837" s="1" t="s">
        <v>8354</v>
      </c>
      <c r="B2837" s="1" t="s">
        <v>1849</v>
      </c>
      <c r="C2837" s="1" t="s">
        <v>8355</v>
      </c>
      <c r="D2837" s="1" t="s">
        <v>644</v>
      </c>
      <c r="E2837" s="1" t="s">
        <v>6076</v>
      </c>
      <c r="F2837" s="1" t="s">
        <v>6076</v>
      </c>
      <c r="G2837" s="1" t="s">
        <v>8347</v>
      </c>
      <c r="H2837">
        <v>1999</v>
      </c>
      <c r="I2837">
        <v>2006</v>
      </c>
      <c r="J2837">
        <f t="shared" si="88"/>
        <v>8</v>
      </c>
      <c r="K2837" s="1" t="s">
        <v>6076</v>
      </c>
      <c r="L2837" s="1" t="s">
        <v>6076</v>
      </c>
      <c r="M2837">
        <f t="shared" si="89"/>
        <v>20</v>
      </c>
      <c r="N2837" t="s">
        <v>640</v>
      </c>
    </row>
    <row r="2838" spans="1:14" x14ac:dyDescent="0.3">
      <c r="A2838" s="1" t="s">
        <v>8356</v>
      </c>
      <c r="B2838" s="1" t="s">
        <v>1849</v>
      </c>
      <c r="C2838" s="1" t="s">
        <v>8357</v>
      </c>
      <c r="D2838" s="1" t="s">
        <v>644</v>
      </c>
      <c r="E2838" s="1" t="s">
        <v>6076</v>
      </c>
      <c r="F2838" s="1" t="s">
        <v>6076</v>
      </c>
      <c r="G2838" s="1" t="s">
        <v>8358</v>
      </c>
      <c r="H2838">
        <v>2000</v>
      </c>
      <c r="I2838">
        <v>2002</v>
      </c>
      <c r="J2838">
        <f t="shared" si="88"/>
        <v>3</v>
      </c>
      <c r="K2838" s="1" t="s">
        <v>6076</v>
      </c>
      <c r="L2838" s="1" t="s">
        <v>6076</v>
      </c>
      <c r="M2838">
        <f t="shared" si="89"/>
        <v>24</v>
      </c>
      <c r="N2838" t="s">
        <v>640</v>
      </c>
    </row>
    <row r="2839" spans="1:14" x14ac:dyDescent="0.3">
      <c r="A2839" s="1" t="s">
        <v>8359</v>
      </c>
      <c r="B2839" s="1" t="s">
        <v>1849</v>
      </c>
      <c r="C2839" s="1" t="s">
        <v>8360</v>
      </c>
      <c r="D2839" s="1" t="s">
        <v>644</v>
      </c>
      <c r="E2839" s="1" t="s">
        <v>6076</v>
      </c>
      <c r="F2839" s="1" t="s">
        <v>6076</v>
      </c>
      <c r="G2839" s="1" t="s">
        <v>8358</v>
      </c>
      <c r="H2839">
        <v>1994</v>
      </c>
      <c r="I2839">
        <v>1999</v>
      </c>
      <c r="J2839">
        <f t="shared" si="88"/>
        <v>6</v>
      </c>
      <c r="K2839" s="1" t="s">
        <v>6076</v>
      </c>
      <c r="L2839" s="1" t="s">
        <v>6076</v>
      </c>
      <c r="M2839">
        <f t="shared" si="89"/>
        <v>27</v>
      </c>
      <c r="N2839" t="s">
        <v>640</v>
      </c>
    </row>
    <row r="2840" spans="1:14" x14ac:dyDescent="0.3">
      <c r="A2840" s="1" t="s">
        <v>8361</v>
      </c>
      <c r="B2840" s="1" t="s">
        <v>1849</v>
      </c>
      <c r="C2840" s="1" t="s">
        <v>8362</v>
      </c>
      <c r="D2840" s="1" t="s">
        <v>644</v>
      </c>
      <c r="E2840" s="1" t="s">
        <v>6076</v>
      </c>
      <c r="F2840" s="1" t="s">
        <v>6076</v>
      </c>
      <c r="G2840" s="1" t="s">
        <v>8358</v>
      </c>
      <c r="H2840">
        <v>1997</v>
      </c>
      <c r="I2840">
        <v>2004</v>
      </c>
      <c r="J2840">
        <f t="shared" si="88"/>
        <v>8</v>
      </c>
      <c r="K2840" s="1" t="s">
        <v>6076</v>
      </c>
      <c r="L2840" s="1" t="s">
        <v>6076</v>
      </c>
      <c r="M2840">
        <f t="shared" si="89"/>
        <v>22</v>
      </c>
      <c r="N2840" t="s">
        <v>640</v>
      </c>
    </row>
    <row r="2841" spans="1:14" x14ac:dyDescent="0.3">
      <c r="A2841" s="1" t="s">
        <v>8363</v>
      </c>
      <c r="B2841" s="1" t="s">
        <v>1849</v>
      </c>
      <c r="C2841" s="1" t="s">
        <v>8364</v>
      </c>
      <c r="D2841" s="1" t="s">
        <v>644</v>
      </c>
      <c r="E2841" s="1" t="s">
        <v>6076</v>
      </c>
      <c r="F2841" s="1" t="s">
        <v>6076</v>
      </c>
      <c r="G2841" s="1" t="s">
        <v>8358</v>
      </c>
      <c r="H2841">
        <v>1997</v>
      </c>
      <c r="I2841">
        <v>2003</v>
      </c>
      <c r="J2841">
        <f t="shared" si="88"/>
        <v>7</v>
      </c>
      <c r="K2841" s="1" t="s">
        <v>6076</v>
      </c>
      <c r="L2841" s="1" t="s">
        <v>6076</v>
      </c>
      <c r="M2841">
        <f t="shared" si="89"/>
        <v>23</v>
      </c>
      <c r="N2841" t="s">
        <v>640</v>
      </c>
    </row>
    <row r="2842" spans="1:14" x14ac:dyDescent="0.3">
      <c r="A2842" s="1" t="s">
        <v>8365</v>
      </c>
      <c r="B2842" s="1" t="s">
        <v>1849</v>
      </c>
      <c r="C2842" s="1" t="s">
        <v>8366</v>
      </c>
      <c r="D2842" s="1" t="s">
        <v>644</v>
      </c>
      <c r="E2842" s="1" t="s">
        <v>6076</v>
      </c>
      <c r="F2842" s="1" t="s">
        <v>6076</v>
      </c>
      <c r="G2842" s="1" t="s">
        <v>8358</v>
      </c>
      <c r="H2842">
        <v>1997</v>
      </c>
      <c r="I2842">
        <v>2004</v>
      </c>
      <c r="J2842">
        <f t="shared" si="88"/>
        <v>8</v>
      </c>
      <c r="K2842" s="1" t="s">
        <v>6076</v>
      </c>
      <c r="L2842" s="1" t="s">
        <v>6076</v>
      </c>
      <c r="M2842">
        <f t="shared" si="89"/>
        <v>22</v>
      </c>
      <c r="N2842" t="s">
        <v>640</v>
      </c>
    </row>
    <row r="2843" spans="1:14" x14ac:dyDescent="0.3">
      <c r="A2843" s="1" t="s">
        <v>8367</v>
      </c>
      <c r="B2843" s="1" t="s">
        <v>1849</v>
      </c>
      <c r="C2843" s="1" t="s">
        <v>8368</v>
      </c>
      <c r="D2843" s="1" t="s">
        <v>644</v>
      </c>
      <c r="E2843" s="1" t="s">
        <v>6076</v>
      </c>
      <c r="F2843" s="1" t="s">
        <v>6076</v>
      </c>
      <c r="G2843" s="1" t="s">
        <v>8358</v>
      </c>
      <c r="H2843">
        <v>1996</v>
      </c>
      <c r="I2843">
        <v>1998</v>
      </c>
      <c r="J2843">
        <f t="shared" si="88"/>
        <v>3</v>
      </c>
      <c r="K2843" s="1" t="s">
        <v>6076</v>
      </c>
      <c r="L2843" s="1" t="s">
        <v>6076</v>
      </c>
      <c r="M2843">
        <f t="shared" si="89"/>
        <v>28</v>
      </c>
      <c r="N2843" t="s">
        <v>640</v>
      </c>
    </row>
    <row r="2844" spans="1:14" x14ac:dyDescent="0.3">
      <c r="A2844" s="1" t="s">
        <v>8369</v>
      </c>
      <c r="B2844" s="1" t="s">
        <v>1849</v>
      </c>
      <c r="C2844" s="1" t="s">
        <v>8370</v>
      </c>
      <c r="D2844" s="1" t="s">
        <v>644</v>
      </c>
      <c r="E2844" s="1" t="s">
        <v>6076</v>
      </c>
      <c r="F2844" s="1" t="s">
        <v>6076</v>
      </c>
      <c r="G2844" s="1" t="s">
        <v>8358</v>
      </c>
      <c r="H2844">
        <v>1994</v>
      </c>
      <c r="I2844">
        <v>1999</v>
      </c>
      <c r="J2844">
        <f t="shared" si="88"/>
        <v>6</v>
      </c>
      <c r="K2844" s="1" t="s">
        <v>6076</v>
      </c>
      <c r="L2844" s="1" t="s">
        <v>6076</v>
      </c>
      <c r="M2844">
        <f t="shared" si="89"/>
        <v>27</v>
      </c>
      <c r="N2844" t="s">
        <v>640</v>
      </c>
    </row>
    <row r="2845" spans="1:14" x14ac:dyDescent="0.3">
      <c r="A2845" s="1" t="s">
        <v>8371</v>
      </c>
      <c r="B2845" s="1" t="s">
        <v>1849</v>
      </c>
      <c r="C2845" s="1" t="s">
        <v>8372</v>
      </c>
      <c r="D2845" s="1" t="s">
        <v>644</v>
      </c>
      <c r="E2845" s="1" t="s">
        <v>6076</v>
      </c>
      <c r="F2845" s="1" t="s">
        <v>6076</v>
      </c>
      <c r="G2845" s="1" t="s">
        <v>8358</v>
      </c>
      <c r="H2845">
        <v>1994</v>
      </c>
      <c r="I2845">
        <v>1996</v>
      </c>
      <c r="J2845">
        <f t="shared" si="88"/>
        <v>3</v>
      </c>
      <c r="K2845" s="1" t="s">
        <v>6076</v>
      </c>
      <c r="L2845" s="1" t="s">
        <v>6076</v>
      </c>
      <c r="M2845">
        <f t="shared" si="89"/>
        <v>30</v>
      </c>
      <c r="N2845" t="s">
        <v>640</v>
      </c>
    </row>
    <row r="2846" spans="1:14" x14ac:dyDescent="0.3">
      <c r="A2846" s="1" t="s">
        <v>8373</v>
      </c>
      <c r="B2846" s="1" t="s">
        <v>1849</v>
      </c>
      <c r="C2846" s="1" t="s">
        <v>8374</v>
      </c>
      <c r="D2846" s="1" t="s">
        <v>644</v>
      </c>
      <c r="E2846" s="1" t="s">
        <v>6076</v>
      </c>
      <c r="F2846" s="1" t="s">
        <v>6076</v>
      </c>
      <c r="G2846" s="1" t="s">
        <v>8358</v>
      </c>
      <c r="H2846">
        <v>1997</v>
      </c>
      <c r="I2846">
        <v>2000</v>
      </c>
      <c r="J2846">
        <f t="shared" si="88"/>
        <v>4</v>
      </c>
      <c r="K2846" s="1" t="s">
        <v>6076</v>
      </c>
      <c r="L2846" s="1" t="s">
        <v>6076</v>
      </c>
      <c r="M2846">
        <f t="shared" si="89"/>
        <v>26</v>
      </c>
      <c r="N2846" t="s">
        <v>640</v>
      </c>
    </row>
    <row r="2847" spans="1:14" x14ac:dyDescent="0.3">
      <c r="A2847" s="1" t="s">
        <v>8375</v>
      </c>
      <c r="B2847" s="1" t="s">
        <v>1849</v>
      </c>
      <c r="C2847" s="1" t="s">
        <v>8376</v>
      </c>
      <c r="D2847" s="1" t="s">
        <v>644</v>
      </c>
      <c r="E2847" s="1" t="s">
        <v>6076</v>
      </c>
      <c r="F2847" s="1" t="s">
        <v>6076</v>
      </c>
      <c r="G2847" s="1" t="s">
        <v>8358</v>
      </c>
      <c r="H2847">
        <v>1997</v>
      </c>
      <c r="I2847">
        <v>2001</v>
      </c>
      <c r="J2847">
        <f t="shared" si="88"/>
        <v>5</v>
      </c>
      <c r="K2847" s="1" t="s">
        <v>6076</v>
      </c>
      <c r="L2847" s="1" t="s">
        <v>6076</v>
      </c>
      <c r="M2847">
        <f t="shared" si="89"/>
        <v>25</v>
      </c>
      <c r="N2847" t="s">
        <v>640</v>
      </c>
    </row>
    <row r="2848" spans="1:14" x14ac:dyDescent="0.3">
      <c r="A2848" t="s">
        <v>11011</v>
      </c>
      <c r="B2848" t="s">
        <v>10996</v>
      </c>
      <c r="C2848" t="s">
        <v>11012</v>
      </c>
      <c r="E2848" s="1" t="s">
        <v>6076</v>
      </c>
      <c r="F2848" s="1" t="s">
        <v>6076</v>
      </c>
      <c r="G2848" s="1" t="s">
        <v>12776</v>
      </c>
      <c r="H2848">
        <v>2022</v>
      </c>
      <c r="I2848">
        <v>2026</v>
      </c>
      <c r="J2848">
        <f t="shared" si="88"/>
        <v>5</v>
      </c>
      <c r="K2848" s="1" t="s">
        <v>6076</v>
      </c>
      <c r="L2848" s="1" t="s">
        <v>6076</v>
      </c>
      <c r="M2848">
        <f t="shared" si="89"/>
        <v>0</v>
      </c>
    </row>
    <row r="2849" spans="1:14" hidden="1" x14ac:dyDescent="0.3">
      <c r="A2849" t="s">
        <v>11524</v>
      </c>
      <c r="B2849" t="s">
        <v>10999</v>
      </c>
      <c r="C2849" t="s">
        <v>11525</v>
      </c>
      <c r="E2849" s="1" t="e">
        <v>#N/A</v>
      </c>
      <c r="F2849" s="1" t="e">
        <v>#N/A</v>
      </c>
      <c r="G2849" s="1" t="s">
        <v>12831</v>
      </c>
      <c r="H2849">
        <v>2024</v>
      </c>
      <c r="I2849">
        <v>2024</v>
      </c>
      <c r="J2849">
        <f t="shared" si="88"/>
        <v>1</v>
      </c>
      <c r="K2849" s="1" t="s">
        <v>12912</v>
      </c>
      <c r="L2849" s="1" t="s">
        <v>12912</v>
      </c>
      <c r="M2849">
        <f t="shared" si="89"/>
        <v>2</v>
      </c>
    </row>
    <row r="2850" spans="1:14" hidden="1" x14ac:dyDescent="0.3">
      <c r="A2850" t="s">
        <v>11526</v>
      </c>
      <c r="B2850" t="s">
        <v>10999</v>
      </c>
      <c r="C2850" t="s">
        <v>11527</v>
      </c>
      <c r="E2850" s="1" t="e">
        <v>#N/A</v>
      </c>
      <c r="F2850" s="1" t="e">
        <v>#N/A</v>
      </c>
      <c r="G2850" s="1" t="s">
        <v>12831</v>
      </c>
      <c r="H2850">
        <v>2024</v>
      </c>
      <c r="I2850">
        <v>2024</v>
      </c>
      <c r="J2850">
        <f t="shared" si="88"/>
        <v>1</v>
      </c>
      <c r="K2850" s="1" t="s">
        <v>12912</v>
      </c>
      <c r="L2850" s="1" t="s">
        <v>12912</v>
      </c>
      <c r="M2850">
        <f t="shared" si="89"/>
        <v>2</v>
      </c>
    </row>
    <row r="2851" spans="1:14" hidden="1" x14ac:dyDescent="0.3">
      <c r="A2851" t="s">
        <v>11528</v>
      </c>
      <c r="B2851" t="s">
        <v>10999</v>
      </c>
      <c r="C2851" t="s">
        <v>11529</v>
      </c>
      <c r="E2851" s="1" t="e">
        <v>#N/A</v>
      </c>
      <c r="F2851" s="1" t="e">
        <v>#N/A</v>
      </c>
      <c r="G2851" s="1" t="s">
        <v>12831</v>
      </c>
      <c r="H2851">
        <v>2025</v>
      </c>
      <c r="I2851">
        <v>2026</v>
      </c>
      <c r="J2851">
        <f t="shared" si="88"/>
        <v>2</v>
      </c>
      <c r="K2851" s="1" t="s">
        <v>12912</v>
      </c>
      <c r="L2851" s="1" t="s">
        <v>12912</v>
      </c>
      <c r="M2851">
        <f t="shared" si="89"/>
        <v>0</v>
      </c>
    </row>
    <row r="2852" spans="1:14" hidden="1" x14ac:dyDescent="0.3">
      <c r="A2852" t="s">
        <v>11530</v>
      </c>
      <c r="B2852" t="s">
        <v>10999</v>
      </c>
      <c r="C2852" t="s">
        <v>11531</v>
      </c>
      <c r="E2852" s="1" t="e">
        <v>#N/A</v>
      </c>
      <c r="F2852" s="1" t="e">
        <v>#N/A</v>
      </c>
      <c r="G2852" s="1" t="s">
        <v>12831</v>
      </c>
      <c r="H2852">
        <v>2023</v>
      </c>
      <c r="I2852">
        <v>2026</v>
      </c>
      <c r="J2852">
        <f t="shared" si="88"/>
        <v>4</v>
      </c>
      <c r="K2852" s="1" t="s">
        <v>12912</v>
      </c>
      <c r="L2852" s="1" t="s">
        <v>12912</v>
      </c>
      <c r="M2852">
        <f t="shared" si="89"/>
        <v>0</v>
      </c>
    </row>
    <row r="2853" spans="1:14" hidden="1" x14ac:dyDescent="0.3">
      <c r="A2853" t="s">
        <v>11532</v>
      </c>
      <c r="B2853" t="s">
        <v>10999</v>
      </c>
      <c r="C2853" t="s">
        <v>11533</v>
      </c>
      <c r="E2853" s="1" t="e">
        <v>#N/A</v>
      </c>
      <c r="F2853" s="1" t="e">
        <v>#N/A</v>
      </c>
      <c r="G2853" s="1" t="s">
        <v>12831</v>
      </c>
      <c r="H2853">
        <v>2023</v>
      </c>
      <c r="I2853">
        <v>2026</v>
      </c>
      <c r="J2853">
        <f t="shared" si="88"/>
        <v>4</v>
      </c>
      <c r="K2853" s="1" t="s">
        <v>12912</v>
      </c>
      <c r="L2853" s="1" t="s">
        <v>12912</v>
      </c>
      <c r="M2853">
        <f t="shared" si="89"/>
        <v>0</v>
      </c>
    </row>
    <row r="2854" spans="1:14" hidden="1" x14ac:dyDescent="0.3">
      <c r="A2854" t="s">
        <v>11534</v>
      </c>
      <c r="B2854" t="s">
        <v>10999</v>
      </c>
      <c r="C2854" t="s">
        <v>11535</v>
      </c>
      <c r="E2854" s="1" t="e">
        <v>#N/A</v>
      </c>
      <c r="F2854" s="1" t="e">
        <v>#N/A</v>
      </c>
      <c r="G2854" s="1" t="s">
        <v>12831</v>
      </c>
      <c r="H2854">
        <v>2023</v>
      </c>
      <c r="I2854">
        <v>2026</v>
      </c>
      <c r="J2854">
        <f t="shared" si="88"/>
        <v>4</v>
      </c>
      <c r="K2854" s="1" t="s">
        <v>12912</v>
      </c>
      <c r="L2854" s="1" t="s">
        <v>12912</v>
      </c>
      <c r="M2854">
        <f t="shared" si="89"/>
        <v>0</v>
      </c>
    </row>
    <row r="2855" spans="1:14" hidden="1" x14ac:dyDescent="0.3">
      <c r="A2855" t="s">
        <v>11536</v>
      </c>
      <c r="B2855" t="s">
        <v>10999</v>
      </c>
      <c r="C2855" t="s">
        <v>11537</v>
      </c>
      <c r="E2855" s="1" t="e">
        <v>#N/A</v>
      </c>
      <c r="F2855" s="1" t="e">
        <v>#N/A</v>
      </c>
      <c r="G2855" s="1" t="s">
        <v>12831</v>
      </c>
      <c r="H2855">
        <v>2025</v>
      </c>
      <c r="I2855">
        <v>2026</v>
      </c>
      <c r="J2855">
        <f t="shared" si="88"/>
        <v>2</v>
      </c>
      <c r="K2855" s="1" t="s">
        <v>12912</v>
      </c>
      <c r="L2855" s="1" t="s">
        <v>12912</v>
      </c>
      <c r="M2855">
        <f t="shared" si="89"/>
        <v>0</v>
      </c>
    </row>
    <row r="2856" spans="1:14" hidden="1" x14ac:dyDescent="0.3">
      <c r="A2856" t="s">
        <v>11538</v>
      </c>
      <c r="B2856" t="s">
        <v>10999</v>
      </c>
      <c r="C2856" t="s">
        <v>11539</v>
      </c>
      <c r="E2856" s="1" t="e">
        <v>#N/A</v>
      </c>
      <c r="F2856" s="1" t="e">
        <v>#N/A</v>
      </c>
      <c r="G2856" s="1" t="s">
        <v>12831</v>
      </c>
      <c r="H2856">
        <v>2025</v>
      </c>
      <c r="I2856">
        <v>2026</v>
      </c>
      <c r="J2856">
        <f t="shared" si="88"/>
        <v>2</v>
      </c>
      <c r="K2856" s="1" t="s">
        <v>12912</v>
      </c>
      <c r="L2856" s="1" t="s">
        <v>12912</v>
      </c>
      <c r="M2856">
        <f t="shared" si="89"/>
        <v>0</v>
      </c>
    </row>
    <row r="2857" spans="1:14" hidden="1" x14ac:dyDescent="0.3">
      <c r="A2857" s="1" t="s">
        <v>1848</v>
      </c>
      <c r="B2857" s="1" t="s">
        <v>1849</v>
      </c>
      <c r="C2857" s="1" t="s">
        <v>1850</v>
      </c>
      <c r="D2857" s="1" t="s">
        <v>746</v>
      </c>
      <c r="E2857" s="1" t="s">
        <v>747</v>
      </c>
      <c r="F2857" s="1" t="s">
        <v>748</v>
      </c>
      <c r="G2857" s="1" t="s">
        <v>1851</v>
      </c>
      <c r="H2857">
        <v>2019</v>
      </c>
      <c r="I2857">
        <v>2019</v>
      </c>
      <c r="J2857">
        <f t="shared" si="88"/>
        <v>1</v>
      </c>
      <c r="K2857" s="1" t="s">
        <v>741</v>
      </c>
      <c r="L2857" s="1" t="s">
        <v>798</v>
      </c>
      <c r="M2857">
        <f t="shared" si="89"/>
        <v>7</v>
      </c>
      <c r="N2857" t="s">
        <v>650</v>
      </c>
    </row>
    <row r="2858" spans="1:14" hidden="1" x14ac:dyDescent="0.3">
      <c r="A2858" s="1" t="s">
        <v>1852</v>
      </c>
      <c r="B2858" s="1" t="s">
        <v>1849</v>
      </c>
      <c r="C2858" s="1" t="s">
        <v>1853</v>
      </c>
      <c r="D2858" s="1" t="s">
        <v>746</v>
      </c>
      <c r="E2858" s="1" t="s">
        <v>747</v>
      </c>
      <c r="F2858" s="1" t="s">
        <v>748</v>
      </c>
      <c r="G2858" s="1" t="s">
        <v>1851</v>
      </c>
      <c r="H2858">
        <v>2018</v>
      </c>
      <c r="I2858">
        <v>2018</v>
      </c>
      <c r="J2858">
        <f t="shared" si="88"/>
        <v>1</v>
      </c>
      <c r="K2858" s="1" t="s">
        <v>741</v>
      </c>
      <c r="L2858" s="1" t="s">
        <v>798</v>
      </c>
      <c r="M2858">
        <f t="shared" si="89"/>
        <v>8</v>
      </c>
      <c r="N2858" t="s">
        <v>650</v>
      </c>
    </row>
    <row r="2859" spans="1:14" hidden="1" x14ac:dyDescent="0.3">
      <c r="A2859" s="1" t="s">
        <v>1854</v>
      </c>
      <c r="B2859" s="1" t="s">
        <v>1849</v>
      </c>
      <c r="C2859" s="1" t="s">
        <v>1855</v>
      </c>
      <c r="D2859" s="1" t="s">
        <v>746</v>
      </c>
      <c r="E2859" s="1" t="s">
        <v>747</v>
      </c>
      <c r="F2859" s="1" t="s">
        <v>748</v>
      </c>
      <c r="G2859" s="1" t="s">
        <v>1851</v>
      </c>
      <c r="H2859">
        <v>2018</v>
      </c>
      <c r="I2859">
        <v>2018</v>
      </c>
      <c r="J2859">
        <f t="shared" si="88"/>
        <v>1</v>
      </c>
      <c r="K2859" s="1" t="s">
        <v>741</v>
      </c>
      <c r="L2859" s="1" t="s">
        <v>798</v>
      </c>
      <c r="M2859">
        <f t="shared" si="89"/>
        <v>8</v>
      </c>
      <c r="N2859" t="s">
        <v>650</v>
      </c>
    </row>
    <row r="2860" spans="1:14" hidden="1" x14ac:dyDescent="0.3">
      <c r="A2860" s="1" t="s">
        <v>1856</v>
      </c>
      <c r="B2860" s="1" t="s">
        <v>1849</v>
      </c>
      <c r="C2860" s="1" t="s">
        <v>1857</v>
      </c>
      <c r="D2860" s="1" t="s">
        <v>746</v>
      </c>
      <c r="E2860" s="1" t="s">
        <v>747</v>
      </c>
      <c r="F2860" s="1" t="s">
        <v>748</v>
      </c>
      <c r="G2860" s="1" t="s">
        <v>1851</v>
      </c>
      <c r="H2860">
        <v>2013</v>
      </c>
      <c r="I2860">
        <v>2019</v>
      </c>
      <c r="J2860">
        <f t="shared" si="88"/>
        <v>7</v>
      </c>
      <c r="K2860" s="1" t="s">
        <v>741</v>
      </c>
      <c r="L2860" s="1" t="s">
        <v>798</v>
      </c>
      <c r="M2860">
        <f t="shared" si="89"/>
        <v>7</v>
      </c>
      <c r="N2860" t="s">
        <v>650</v>
      </c>
    </row>
    <row r="2861" spans="1:14" hidden="1" x14ac:dyDescent="0.3">
      <c r="A2861" s="1" t="s">
        <v>1858</v>
      </c>
      <c r="B2861" s="1" t="s">
        <v>1849</v>
      </c>
      <c r="C2861" s="1" t="s">
        <v>1859</v>
      </c>
      <c r="D2861" s="1" t="s">
        <v>746</v>
      </c>
      <c r="E2861" s="1" t="s">
        <v>747</v>
      </c>
      <c r="F2861" s="1" t="s">
        <v>748</v>
      </c>
      <c r="G2861" s="1" t="s">
        <v>1851</v>
      </c>
      <c r="H2861">
        <v>2013</v>
      </c>
      <c r="I2861">
        <v>2019</v>
      </c>
      <c r="J2861">
        <f t="shared" si="88"/>
        <v>7</v>
      </c>
      <c r="K2861" s="1" t="s">
        <v>741</v>
      </c>
      <c r="L2861" s="1" t="s">
        <v>798</v>
      </c>
      <c r="M2861">
        <f t="shared" si="89"/>
        <v>7</v>
      </c>
      <c r="N2861" t="s">
        <v>650</v>
      </c>
    </row>
    <row r="2862" spans="1:14" hidden="1" x14ac:dyDescent="0.3">
      <c r="A2862" t="s">
        <v>11587</v>
      </c>
      <c r="B2862" t="s">
        <v>1849</v>
      </c>
      <c r="C2862" t="s">
        <v>11588</v>
      </c>
      <c r="E2862" s="1" t="e">
        <v>#N/A</v>
      </c>
      <c r="F2862" s="1" t="e">
        <v>#N/A</v>
      </c>
      <c r="G2862" s="1" t="s">
        <v>1851</v>
      </c>
      <c r="H2862">
        <v>2025</v>
      </c>
      <c r="I2862">
        <v>2026</v>
      </c>
      <c r="J2862">
        <f t="shared" si="88"/>
        <v>2</v>
      </c>
      <c r="K2862" s="1" t="s">
        <v>741</v>
      </c>
      <c r="L2862" s="1" t="s">
        <v>798</v>
      </c>
      <c r="M2862">
        <f t="shared" si="89"/>
        <v>0</v>
      </c>
    </row>
    <row r="2863" spans="1:14" hidden="1" x14ac:dyDescent="0.3">
      <c r="A2863" s="1" t="s">
        <v>1860</v>
      </c>
      <c r="B2863" s="1" t="s">
        <v>1849</v>
      </c>
      <c r="C2863" s="1" t="s">
        <v>1861</v>
      </c>
      <c r="D2863" s="1" t="s">
        <v>746</v>
      </c>
      <c r="E2863" s="1" t="s">
        <v>747</v>
      </c>
      <c r="F2863" s="1" t="s">
        <v>748</v>
      </c>
      <c r="G2863" s="1" t="s">
        <v>1851</v>
      </c>
      <c r="H2863">
        <v>2013</v>
      </c>
      <c r="I2863">
        <v>2019</v>
      </c>
      <c r="J2863">
        <f t="shared" si="88"/>
        <v>7</v>
      </c>
      <c r="K2863" s="1" t="s">
        <v>741</v>
      </c>
      <c r="L2863" s="1" t="s">
        <v>798</v>
      </c>
      <c r="M2863">
        <f t="shared" si="89"/>
        <v>7</v>
      </c>
      <c r="N2863" t="s">
        <v>650</v>
      </c>
    </row>
    <row r="2864" spans="1:14" hidden="1" x14ac:dyDescent="0.3">
      <c r="A2864" t="s">
        <v>11589</v>
      </c>
      <c r="B2864" t="s">
        <v>1849</v>
      </c>
      <c r="C2864" t="s">
        <v>11590</v>
      </c>
      <c r="E2864" s="1" t="e">
        <v>#N/A</v>
      </c>
      <c r="F2864" s="1" t="e">
        <v>#N/A</v>
      </c>
      <c r="G2864" s="1" t="s">
        <v>1851</v>
      </c>
      <c r="H2864">
        <v>2023</v>
      </c>
      <c r="I2864">
        <v>2026</v>
      </c>
      <c r="J2864">
        <f t="shared" si="88"/>
        <v>4</v>
      </c>
      <c r="K2864" s="1" t="s">
        <v>741</v>
      </c>
      <c r="L2864" s="1" t="s">
        <v>798</v>
      </c>
      <c r="M2864">
        <f t="shared" si="89"/>
        <v>0</v>
      </c>
    </row>
    <row r="2865" spans="1:14" hidden="1" x14ac:dyDescent="0.3">
      <c r="A2865" t="s">
        <v>11591</v>
      </c>
      <c r="B2865" t="s">
        <v>1849</v>
      </c>
      <c r="C2865" t="s">
        <v>11592</v>
      </c>
      <c r="E2865" s="1" t="e">
        <v>#N/A</v>
      </c>
      <c r="F2865" s="1" t="e">
        <v>#N/A</v>
      </c>
      <c r="G2865" s="1" t="s">
        <v>1851</v>
      </c>
      <c r="H2865">
        <v>2023</v>
      </c>
      <c r="I2865">
        <v>2024</v>
      </c>
      <c r="J2865">
        <f t="shared" si="88"/>
        <v>2</v>
      </c>
      <c r="K2865" s="1" t="s">
        <v>741</v>
      </c>
      <c r="L2865" s="1" t="s">
        <v>798</v>
      </c>
      <c r="M2865">
        <f t="shared" si="89"/>
        <v>2</v>
      </c>
    </row>
    <row r="2866" spans="1:14" hidden="1" x14ac:dyDescent="0.3">
      <c r="A2866" t="s">
        <v>11593</v>
      </c>
      <c r="B2866" t="s">
        <v>1849</v>
      </c>
      <c r="C2866" t="s">
        <v>11594</v>
      </c>
      <c r="E2866" s="1" t="e">
        <v>#N/A</v>
      </c>
      <c r="F2866" s="1" t="e">
        <v>#N/A</v>
      </c>
      <c r="G2866" s="1" t="s">
        <v>1851</v>
      </c>
      <c r="H2866">
        <v>2023</v>
      </c>
      <c r="I2866">
        <v>2024</v>
      </c>
      <c r="J2866">
        <f t="shared" si="88"/>
        <v>2</v>
      </c>
      <c r="K2866" s="1" t="s">
        <v>741</v>
      </c>
      <c r="L2866" s="1" t="s">
        <v>798</v>
      </c>
      <c r="M2866">
        <f t="shared" si="89"/>
        <v>2</v>
      </c>
    </row>
    <row r="2867" spans="1:14" hidden="1" x14ac:dyDescent="0.3">
      <c r="A2867" t="s">
        <v>11595</v>
      </c>
      <c r="B2867" t="s">
        <v>1849</v>
      </c>
      <c r="C2867" t="s">
        <v>11596</v>
      </c>
      <c r="E2867" s="1" t="e">
        <v>#N/A</v>
      </c>
      <c r="F2867" s="1" t="e">
        <v>#N/A</v>
      </c>
      <c r="G2867" s="1" t="s">
        <v>1851</v>
      </c>
      <c r="H2867">
        <v>2024</v>
      </c>
      <c r="I2867">
        <v>2026</v>
      </c>
      <c r="J2867">
        <f t="shared" si="88"/>
        <v>3</v>
      </c>
      <c r="K2867" s="1" t="s">
        <v>741</v>
      </c>
      <c r="L2867" s="1" t="s">
        <v>798</v>
      </c>
      <c r="M2867">
        <f t="shared" si="89"/>
        <v>0</v>
      </c>
    </row>
    <row r="2868" spans="1:14" hidden="1" x14ac:dyDescent="0.3">
      <c r="A2868" t="s">
        <v>11597</v>
      </c>
      <c r="B2868" t="s">
        <v>1849</v>
      </c>
      <c r="C2868" t="s">
        <v>11598</v>
      </c>
      <c r="E2868" s="1" t="e">
        <v>#N/A</v>
      </c>
      <c r="F2868" s="1" t="e">
        <v>#N/A</v>
      </c>
      <c r="G2868" s="1" t="s">
        <v>1851</v>
      </c>
      <c r="H2868">
        <v>2024</v>
      </c>
      <c r="I2868">
        <v>2025</v>
      </c>
      <c r="J2868">
        <f t="shared" si="88"/>
        <v>2</v>
      </c>
      <c r="K2868" s="1" t="s">
        <v>741</v>
      </c>
      <c r="L2868" s="1" t="s">
        <v>798</v>
      </c>
      <c r="M2868">
        <f t="shared" si="89"/>
        <v>1</v>
      </c>
    </row>
    <row r="2869" spans="1:14" hidden="1" x14ac:dyDescent="0.3">
      <c r="A2869" s="1" t="s">
        <v>1862</v>
      </c>
      <c r="B2869" s="1" t="s">
        <v>1849</v>
      </c>
      <c r="C2869" s="1" t="s">
        <v>1863</v>
      </c>
      <c r="D2869" s="1" t="s">
        <v>746</v>
      </c>
      <c r="E2869" s="1" t="s">
        <v>747</v>
      </c>
      <c r="F2869" s="1" t="s">
        <v>748</v>
      </c>
      <c r="G2869" s="1" t="s">
        <v>1851</v>
      </c>
      <c r="H2869">
        <v>2017</v>
      </c>
      <c r="I2869">
        <v>2019</v>
      </c>
      <c r="J2869">
        <f t="shared" si="88"/>
        <v>3</v>
      </c>
      <c r="K2869" s="1" t="s">
        <v>741</v>
      </c>
      <c r="L2869" s="1" t="s">
        <v>798</v>
      </c>
      <c r="M2869">
        <f t="shared" si="89"/>
        <v>7</v>
      </c>
      <c r="N2869" t="s">
        <v>650</v>
      </c>
    </row>
    <row r="2870" spans="1:14" hidden="1" x14ac:dyDescent="0.3">
      <c r="A2870" s="1" t="s">
        <v>1864</v>
      </c>
      <c r="B2870" s="1" t="s">
        <v>1849</v>
      </c>
      <c r="C2870" s="1" t="s">
        <v>1865</v>
      </c>
      <c r="D2870" s="1" t="s">
        <v>746</v>
      </c>
      <c r="E2870" s="1" t="s">
        <v>747</v>
      </c>
      <c r="F2870" s="1" t="s">
        <v>748</v>
      </c>
      <c r="G2870" s="1" t="s">
        <v>1851</v>
      </c>
      <c r="H2870">
        <v>2016</v>
      </c>
      <c r="I2870">
        <v>2017</v>
      </c>
      <c r="J2870">
        <f t="shared" si="88"/>
        <v>2</v>
      </c>
      <c r="K2870" s="1" t="s">
        <v>741</v>
      </c>
      <c r="L2870" s="1" t="s">
        <v>798</v>
      </c>
      <c r="M2870">
        <f t="shared" si="89"/>
        <v>9</v>
      </c>
      <c r="N2870" t="s">
        <v>650</v>
      </c>
    </row>
    <row r="2871" spans="1:14" hidden="1" x14ac:dyDescent="0.3">
      <c r="A2871" s="1" t="s">
        <v>1866</v>
      </c>
      <c r="B2871" s="1" t="s">
        <v>1849</v>
      </c>
      <c r="C2871" s="1" t="s">
        <v>1867</v>
      </c>
      <c r="D2871" s="1" t="s">
        <v>746</v>
      </c>
      <c r="E2871" s="1" t="s">
        <v>747</v>
      </c>
      <c r="F2871" s="1" t="s">
        <v>748</v>
      </c>
      <c r="G2871" s="1" t="s">
        <v>1851</v>
      </c>
      <c r="H2871">
        <v>2014</v>
      </c>
      <c r="I2871">
        <v>2019</v>
      </c>
      <c r="J2871">
        <f t="shared" si="88"/>
        <v>6</v>
      </c>
      <c r="K2871" s="1" t="s">
        <v>741</v>
      </c>
      <c r="L2871" s="1" t="s">
        <v>798</v>
      </c>
      <c r="M2871">
        <f t="shared" si="89"/>
        <v>7</v>
      </c>
      <c r="N2871" t="s">
        <v>650</v>
      </c>
    </row>
    <row r="2872" spans="1:14" hidden="1" x14ac:dyDescent="0.3">
      <c r="A2872" s="1" t="s">
        <v>1868</v>
      </c>
      <c r="B2872" s="1" t="s">
        <v>1849</v>
      </c>
      <c r="C2872" s="1" t="s">
        <v>1869</v>
      </c>
      <c r="D2872" s="1" t="s">
        <v>746</v>
      </c>
      <c r="E2872" s="1" t="s">
        <v>747</v>
      </c>
      <c r="F2872" s="1" t="s">
        <v>748</v>
      </c>
      <c r="G2872" s="1" t="s">
        <v>1851</v>
      </c>
      <c r="H2872">
        <v>2014</v>
      </c>
      <c r="I2872">
        <v>2019</v>
      </c>
      <c r="J2872">
        <f t="shared" si="88"/>
        <v>6</v>
      </c>
      <c r="K2872" s="1" t="s">
        <v>741</v>
      </c>
      <c r="L2872" s="1" t="s">
        <v>798</v>
      </c>
      <c r="M2872">
        <f t="shared" si="89"/>
        <v>7</v>
      </c>
      <c r="N2872" t="s">
        <v>650</v>
      </c>
    </row>
    <row r="2873" spans="1:14" hidden="1" x14ac:dyDescent="0.3">
      <c r="A2873" s="1" t="s">
        <v>1870</v>
      </c>
      <c r="B2873" s="1" t="s">
        <v>1849</v>
      </c>
      <c r="C2873" s="1" t="s">
        <v>1871</v>
      </c>
      <c r="D2873" s="1" t="s">
        <v>746</v>
      </c>
      <c r="E2873" s="1" t="s">
        <v>747</v>
      </c>
      <c r="F2873" s="1" t="s">
        <v>748</v>
      </c>
      <c r="G2873" s="1" t="s">
        <v>1851</v>
      </c>
      <c r="H2873">
        <v>2014</v>
      </c>
      <c r="I2873">
        <v>2015</v>
      </c>
      <c r="J2873">
        <f t="shared" si="88"/>
        <v>2</v>
      </c>
      <c r="K2873" s="1" t="s">
        <v>741</v>
      </c>
      <c r="L2873" s="1" t="s">
        <v>798</v>
      </c>
      <c r="M2873">
        <f t="shared" si="89"/>
        <v>11</v>
      </c>
      <c r="N2873" t="s">
        <v>650</v>
      </c>
    </row>
    <row r="2874" spans="1:14" hidden="1" x14ac:dyDescent="0.3">
      <c r="A2874" t="s">
        <v>11599</v>
      </c>
      <c r="B2874" t="s">
        <v>1849</v>
      </c>
      <c r="C2874" t="s">
        <v>11600</v>
      </c>
      <c r="E2874" s="1" t="e">
        <v>#N/A</v>
      </c>
      <c r="F2874" s="1" t="e">
        <v>#N/A</v>
      </c>
      <c r="G2874" s="1" t="s">
        <v>1851</v>
      </c>
      <c r="H2874">
        <v>2023</v>
      </c>
      <c r="I2874">
        <v>2023</v>
      </c>
      <c r="J2874">
        <f t="shared" si="88"/>
        <v>1</v>
      </c>
      <c r="K2874" s="1" t="s">
        <v>741</v>
      </c>
      <c r="L2874" s="1" t="s">
        <v>798</v>
      </c>
      <c r="M2874">
        <f t="shared" si="89"/>
        <v>3</v>
      </c>
    </row>
    <row r="2875" spans="1:14" hidden="1" x14ac:dyDescent="0.3">
      <c r="A2875" t="s">
        <v>11601</v>
      </c>
      <c r="B2875" t="s">
        <v>1849</v>
      </c>
      <c r="C2875" t="s">
        <v>11602</v>
      </c>
      <c r="E2875" s="1" t="e">
        <v>#N/A</v>
      </c>
      <c r="F2875" s="1" t="e">
        <v>#N/A</v>
      </c>
      <c r="G2875" s="1" t="s">
        <v>1851</v>
      </c>
      <c r="H2875">
        <v>2023</v>
      </c>
      <c r="I2875">
        <v>2023</v>
      </c>
      <c r="J2875">
        <f t="shared" si="88"/>
        <v>1</v>
      </c>
      <c r="K2875" s="1" t="s">
        <v>741</v>
      </c>
      <c r="L2875" s="1" t="s">
        <v>798</v>
      </c>
      <c r="M2875">
        <f t="shared" si="89"/>
        <v>3</v>
      </c>
    </row>
    <row r="2876" spans="1:14" hidden="1" x14ac:dyDescent="0.3">
      <c r="A2876" s="1" t="s">
        <v>1872</v>
      </c>
      <c r="B2876" s="1" t="s">
        <v>1849</v>
      </c>
      <c r="C2876" s="1" t="s">
        <v>1873</v>
      </c>
      <c r="D2876" s="1" t="s">
        <v>746</v>
      </c>
      <c r="E2876" s="1" t="s">
        <v>747</v>
      </c>
      <c r="F2876" s="1" t="s">
        <v>748</v>
      </c>
      <c r="G2876" s="1" t="s">
        <v>1851</v>
      </c>
      <c r="H2876">
        <v>2020</v>
      </c>
      <c r="I2876">
        <v>2022</v>
      </c>
      <c r="J2876">
        <f t="shared" si="88"/>
        <v>3</v>
      </c>
      <c r="K2876" s="1" t="s">
        <v>741</v>
      </c>
      <c r="L2876" s="1" t="s">
        <v>798</v>
      </c>
      <c r="M2876">
        <f t="shared" si="89"/>
        <v>4</v>
      </c>
      <c r="N2876" t="s">
        <v>650</v>
      </c>
    </row>
    <row r="2877" spans="1:14" hidden="1" x14ac:dyDescent="0.3">
      <c r="A2877" s="1" t="s">
        <v>1874</v>
      </c>
      <c r="B2877" s="1" t="s">
        <v>1849</v>
      </c>
      <c r="C2877" s="1" t="s">
        <v>1875</v>
      </c>
      <c r="D2877" s="1" t="s">
        <v>746</v>
      </c>
      <c r="E2877" s="1" t="s">
        <v>747</v>
      </c>
      <c r="F2877" s="1" t="s">
        <v>748</v>
      </c>
      <c r="G2877" s="1" t="s">
        <v>1851</v>
      </c>
      <c r="H2877">
        <v>2020</v>
      </c>
      <c r="I2877">
        <v>2022</v>
      </c>
      <c r="J2877">
        <f t="shared" si="88"/>
        <v>3</v>
      </c>
      <c r="K2877" s="1" t="s">
        <v>741</v>
      </c>
      <c r="L2877" s="1" t="s">
        <v>798</v>
      </c>
      <c r="M2877">
        <f t="shared" si="89"/>
        <v>4</v>
      </c>
      <c r="N2877" t="s">
        <v>650</v>
      </c>
    </row>
    <row r="2878" spans="1:14" hidden="1" x14ac:dyDescent="0.3">
      <c r="A2878" t="s">
        <v>11603</v>
      </c>
      <c r="B2878" t="s">
        <v>1849</v>
      </c>
      <c r="C2878" t="s">
        <v>11604</v>
      </c>
      <c r="E2878" s="1" t="e">
        <v>#N/A</v>
      </c>
      <c r="F2878" s="1" t="e">
        <v>#N/A</v>
      </c>
      <c r="G2878" s="1" t="s">
        <v>1851</v>
      </c>
      <c r="H2878">
        <v>2023</v>
      </c>
      <c r="I2878">
        <v>2023</v>
      </c>
      <c r="J2878">
        <f t="shared" si="88"/>
        <v>1</v>
      </c>
      <c r="K2878" s="1" t="s">
        <v>741</v>
      </c>
      <c r="L2878" s="1" t="s">
        <v>798</v>
      </c>
      <c r="M2878">
        <f t="shared" si="89"/>
        <v>3</v>
      </c>
    </row>
    <row r="2879" spans="1:14" hidden="1" x14ac:dyDescent="0.3">
      <c r="A2879" t="s">
        <v>11605</v>
      </c>
      <c r="B2879" t="s">
        <v>1849</v>
      </c>
      <c r="C2879" t="s">
        <v>11606</v>
      </c>
      <c r="E2879" s="1" t="e">
        <v>#N/A</v>
      </c>
      <c r="F2879" s="1" t="e">
        <v>#N/A</v>
      </c>
      <c r="G2879" s="1" t="s">
        <v>1851</v>
      </c>
      <c r="H2879">
        <v>2023</v>
      </c>
      <c r="I2879">
        <v>2023</v>
      </c>
      <c r="J2879">
        <f t="shared" si="88"/>
        <v>1</v>
      </c>
      <c r="K2879" s="1" t="s">
        <v>741</v>
      </c>
      <c r="L2879" s="1" t="s">
        <v>798</v>
      </c>
      <c r="M2879">
        <f t="shared" si="89"/>
        <v>3</v>
      </c>
    </row>
    <row r="2880" spans="1:14" hidden="1" x14ac:dyDescent="0.3">
      <c r="A2880" s="1" t="s">
        <v>1876</v>
      </c>
      <c r="B2880" s="1" t="s">
        <v>1849</v>
      </c>
      <c r="C2880" s="1" t="s">
        <v>1877</v>
      </c>
      <c r="D2880" s="1" t="s">
        <v>746</v>
      </c>
      <c r="E2880" s="1" t="s">
        <v>747</v>
      </c>
      <c r="F2880" s="1" t="s">
        <v>748</v>
      </c>
      <c r="G2880" s="1" t="s">
        <v>1851</v>
      </c>
      <c r="H2880">
        <v>2022</v>
      </c>
      <c r="I2880">
        <v>2022</v>
      </c>
      <c r="J2880">
        <f t="shared" si="88"/>
        <v>1</v>
      </c>
      <c r="K2880" s="1" t="s">
        <v>741</v>
      </c>
      <c r="L2880" s="1" t="s">
        <v>798</v>
      </c>
      <c r="M2880">
        <f t="shared" si="89"/>
        <v>4</v>
      </c>
      <c r="N2880" t="s">
        <v>650</v>
      </c>
    </row>
    <row r="2881" spans="1:14" hidden="1" x14ac:dyDescent="0.3">
      <c r="A2881" s="1" t="s">
        <v>1878</v>
      </c>
      <c r="B2881" s="1" t="s">
        <v>1849</v>
      </c>
      <c r="C2881" s="1" t="s">
        <v>1879</v>
      </c>
      <c r="D2881" s="1" t="s">
        <v>746</v>
      </c>
      <c r="E2881" s="1" t="s">
        <v>747</v>
      </c>
      <c r="F2881" s="1" t="s">
        <v>748</v>
      </c>
      <c r="G2881" s="1" t="s">
        <v>1851</v>
      </c>
      <c r="H2881">
        <v>2020</v>
      </c>
      <c r="I2881">
        <v>2022</v>
      </c>
      <c r="J2881">
        <f t="shared" si="88"/>
        <v>3</v>
      </c>
      <c r="K2881" s="1" t="s">
        <v>741</v>
      </c>
      <c r="L2881" s="1" t="s">
        <v>798</v>
      </c>
      <c r="M2881">
        <f t="shared" si="89"/>
        <v>4</v>
      </c>
      <c r="N2881" t="s">
        <v>650</v>
      </c>
    </row>
    <row r="2882" spans="1:14" hidden="1" x14ac:dyDescent="0.3">
      <c r="A2882" s="1" t="s">
        <v>1880</v>
      </c>
      <c r="B2882" s="1" t="s">
        <v>1849</v>
      </c>
      <c r="C2882" s="1" t="s">
        <v>1881</v>
      </c>
      <c r="D2882" s="1" t="s">
        <v>746</v>
      </c>
      <c r="E2882" s="1" t="s">
        <v>747</v>
      </c>
      <c r="F2882" s="1" t="s">
        <v>748</v>
      </c>
      <c r="G2882" s="1" t="s">
        <v>1851</v>
      </c>
      <c r="H2882">
        <v>2020</v>
      </c>
      <c r="I2882">
        <v>2022</v>
      </c>
      <c r="J2882">
        <f t="shared" si="88"/>
        <v>3</v>
      </c>
      <c r="K2882" s="1" t="s">
        <v>741</v>
      </c>
      <c r="L2882" s="1" t="s">
        <v>798</v>
      </c>
      <c r="M2882">
        <f t="shared" si="89"/>
        <v>4</v>
      </c>
      <c r="N2882" t="s">
        <v>650</v>
      </c>
    </row>
    <row r="2883" spans="1:14" hidden="1" x14ac:dyDescent="0.3">
      <c r="A2883" s="1" t="s">
        <v>1882</v>
      </c>
      <c r="B2883" s="1" t="s">
        <v>1849</v>
      </c>
      <c r="C2883" s="1" t="s">
        <v>1883</v>
      </c>
      <c r="D2883" s="1" t="s">
        <v>746</v>
      </c>
      <c r="E2883" s="1" t="s">
        <v>747</v>
      </c>
      <c r="F2883" s="1" t="s">
        <v>748</v>
      </c>
      <c r="G2883" s="1" t="s">
        <v>1851</v>
      </c>
      <c r="H2883">
        <v>2022</v>
      </c>
      <c r="I2883">
        <v>2022</v>
      </c>
      <c r="J2883">
        <f t="shared" si="88"/>
        <v>1</v>
      </c>
      <c r="K2883" s="1" t="s">
        <v>741</v>
      </c>
      <c r="L2883" s="1" t="s">
        <v>798</v>
      </c>
      <c r="M2883">
        <f t="shared" si="89"/>
        <v>4</v>
      </c>
      <c r="N2883" t="s">
        <v>650</v>
      </c>
    </row>
    <row r="2884" spans="1:14" hidden="1" x14ac:dyDescent="0.3">
      <c r="A2884" s="1" t="s">
        <v>1884</v>
      </c>
      <c r="B2884" s="1" t="s">
        <v>1849</v>
      </c>
      <c r="C2884" s="1" t="s">
        <v>1885</v>
      </c>
      <c r="D2884" s="1" t="s">
        <v>746</v>
      </c>
      <c r="E2884" s="1" t="s">
        <v>747</v>
      </c>
      <c r="F2884" s="1" t="s">
        <v>748</v>
      </c>
      <c r="G2884" s="1" t="s">
        <v>1851</v>
      </c>
      <c r="H2884">
        <v>2015</v>
      </c>
      <c r="I2884">
        <v>2015</v>
      </c>
      <c r="J2884">
        <f t="shared" si="88"/>
        <v>1</v>
      </c>
      <c r="K2884" s="1" t="s">
        <v>741</v>
      </c>
      <c r="L2884" s="1" t="s">
        <v>798</v>
      </c>
      <c r="M2884">
        <f t="shared" si="89"/>
        <v>11</v>
      </c>
      <c r="N2884" t="s">
        <v>650</v>
      </c>
    </row>
    <row r="2885" spans="1:14" hidden="1" x14ac:dyDescent="0.3">
      <c r="A2885" s="1" t="s">
        <v>1886</v>
      </c>
      <c r="B2885" s="1" t="s">
        <v>1849</v>
      </c>
      <c r="C2885" s="1" t="s">
        <v>1887</v>
      </c>
      <c r="D2885" s="1" t="s">
        <v>746</v>
      </c>
      <c r="E2885" s="1" t="s">
        <v>747</v>
      </c>
      <c r="F2885" s="1" t="s">
        <v>748</v>
      </c>
      <c r="G2885" s="1" t="s">
        <v>1851</v>
      </c>
      <c r="H2885">
        <v>2020</v>
      </c>
      <c r="I2885">
        <v>2022</v>
      </c>
      <c r="J2885">
        <f t="shared" si="88"/>
        <v>3</v>
      </c>
      <c r="K2885" s="1" t="s">
        <v>741</v>
      </c>
      <c r="L2885" s="1" t="s">
        <v>798</v>
      </c>
      <c r="M2885">
        <f t="shared" si="89"/>
        <v>4</v>
      </c>
      <c r="N2885" t="s">
        <v>650</v>
      </c>
    </row>
    <row r="2886" spans="1:14" hidden="1" x14ac:dyDescent="0.3">
      <c r="A2886" t="s">
        <v>11607</v>
      </c>
      <c r="B2886" t="s">
        <v>1849</v>
      </c>
      <c r="C2886" t="s">
        <v>11608</v>
      </c>
      <c r="E2886" s="1" t="e">
        <v>#N/A</v>
      </c>
      <c r="F2886" s="1" t="e">
        <v>#N/A</v>
      </c>
      <c r="G2886" s="1" t="s">
        <v>1851</v>
      </c>
      <c r="H2886">
        <v>2023</v>
      </c>
      <c r="I2886">
        <v>2026</v>
      </c>
      <c r="J2886">
        <f t="shared" ref="J2886:J2949" si="90">1+(I2886-H2886)</f>
        <v>4</v>
      </c>
      <c r="K2886" s="1" t="s">
        <v>741</v>
      </c>
      <c r="L2886" s="1" t="s">
        <v>798</v>
      </c>
      <c r="M2886">
        <f t="shared" ref="M2886:M2949" si="91">IF(I2886=0,0,$B$2-I2886)</f>
        <v>0</v>
      </c>
    </row>
    <row r="2887" spans="1:14" hidden="1" x14ac:dyDescent="0.3">
      <c r="A2887" t="s">
        <v>11609</v>
      </c>
      <c r="B2887" t="s">
        <v>1849</v>
      </c>
      <c r="C2887" t="s">
        <v>11610</v>
      </c>
      <c r="E2887" s="1" t="e">
        <v>#N/A</v>
      </c>
      <c r="F2887" s="1" t="e">
        <v>#N/A</v>
      </c>
      <c r="G2887" s="1" t="s">
        <v>1851</v>
      </c>
      <c r="H2887">
        <v>2025</v>
      </c>
      <c r="I2887">
        <v>2026</v>
      </c>
      <c r="J2887">
        <f t="shared" si="90"/>
        <v>2</v>
      </c>
      <c r="K2887" s="1" t="s">
        <v>741</v>
      </c>
      <c r="L2887" s="1" t="s">
        <v>798</v>
      </c>
      <c r="M2887">
        <f t="shared" si="91"/>
        <v>0</v>
      </c>
    </row>
    <row r="2888" spans="1:14" hidden="1" x14ac:dyDescent="0.3">
      <c r="A2888" t="s">
        <v>11611</v>
      </c>
      <c r="B2888" t="s">
        <v>1849</v>
      </c>
      <c r="C2888" t="s">
        <v>11612</v>
      </c>
      <c r="E2888" s="1" t="e">
        <v>#N/A</v>
      </c>
      <c r="F2888" s="1" t="e">
        <v>#N/A</v>
      </c>
      <c r="G2888" s="1" t="s">
        <v>1851</v>
      </c>
      <c r="H2888">
        <v>2024</v>
      </c>
      <c r="I2888">
        <v>2025</v>
      </c>
      <c r="J2888">
        <f t="shared" si="90"/>
        <v>2</v>
      </c>
      <c r="K2888" s="1" t="s">
        <v>741</v>
      </c>
      <c r="L2888" s="1" t="s">
        <v>798</v>
      </c>
      <c r="M2888">
        <f t="shared" si="91"/>
        <v>1</v>
      </c>
    </row>
    <row r="2889" spans="1:14" hidden="1" x14ac:dyDescent="0.3">
      <c r="A2889" s="1" t="s">
        <v>1888</v>
      </c>
      <c r="B2889" s="1" t="s">
        <v>1849</v>
      </c>
      <c r="C2889" s="1" t="s">
        <v>1889</v>
      </c>
      <c r="D2889" s="1" t="s">
        <v>746</v>
      </c>
      <c r="E2889" s="1" t="s">
        <v>747</v>
      </c>
      <c r="F2889" s="1" t="s">
        <v>748</v>
      </c>
      <c r="G2889" s="1" t="s">
        <v>1851</v>
      </c>
      <c r="H2889">
        <v>2017</v>
      </c>
      <c r="I2889">
        <v>2017</v>
      </c>
      <c r="J2889">
        <f t="shared" si="90"/>
        <v>1</v>
      </c>
      <c r="K2889" s="1" t="s">
        <v>741</v>
      </c>
      <c r="L2889" s="1" t="s">
        <v>798</v>
      </c>
      <c r="M2889">
        <f t="shared" si="91"/>
        <v>9</v>
      </c>
      <c r="N2889" t="s">
        <v>650</v>
      </c>
    </row>
    <row r="2890" spans="1:14" hidden="1" x14ac:dyDescent="0.3">
      <c r="A2890" s="1" t="s">
        <v>1890</v>
      </c>
      <c r="B2890" s="1" t="s">
        <v>1849</v>
      </c>
      <c r="C2890" s="1" t="s">
        <v>1891</v>
      </c>
      <c r="D2890" s="1" t="s">
        <v>746</v>
      </c>
      <c r="E2890" s="1" t="s">
        <v>747</v>
      </c>
      <c r="F2890" s="1" t="s">
        <v>748</v>
      </c>
      <c r="G2890" s="1" t="s">
        <v>1851</v>
      </c>
      <c r="H2890">
        <v>2017</v>
      </c>
      <c r="I2890">
        <v>2017</v>
      </c>
      <c r="J2890">
        <f t="shared" si="90"/>
        <v>1</v>
      </c>
      <c r="K2890" s="1" t="s">
        <v>741</v>
      </c>
      <c r="L2890" s="1" t="s">
        <v>798</v>
      </c>
      <c r="M2890">
        <f t="shared" si="91"/>
        <v>9</v>
      </c>
      <c r="N2890" t="s">
        <v>650</v>
      </c>
    </row>
    <row r="2891" spans="1:14" hidden="1" x14ac:dyDescent="0.3">
      <c r="A2891" s="1" t="s">
        <v>1892</v>
      </c>
      <c r="B2891" s="1" t="s">
        <v>1849</v>
      </c>
      <c r="C2891" s="1" t="s">
        <v>1893</v>
      </c>
      <c r="D2891" s="1" t="s">
        <v>746</v>
      </c>
      <c r="E2891" s="1" t="s">
        <v>747</v>
      </c>
      <c r="F2891" s="1" t="s">
        <v>748</v>
      </c>
      <c r="G2891" s="1" t="s">
        <v>1851</v>
      </c>
      <c r="H2891">
        <v>2017</v>
      </c>
      <c r="I2891">
        <v>2017</v>
      </c>
      <c r="J2891">
        <f t="shared" si="90"/>
        <v>1</v>
      </c>
      <c r="K2891" s="1" t="s">
        <v>741</v>
      </c>
      <c r="L2891" s="1" t="s">
        <v>798</v>
      </c>
      <c r="M2891">
        <f t="shared" si="91"/>
        <v>9</v>
      </c>
      <c r="N2891" t="s">
        <v>650</v>
      </c>
    </row>
    <row r="2892" spans="1:14" hidden="1" x14ac:dyDescent="0.3">
      <c r="A2892" t="s">
        <v>11613</v>
      </c>
      <c r="B2892" t="s">
        <v>1849</v>
      </c>
      <c r="C2892" t="s">
        <v>11614</v>
      </c>
      <c r="E2892" s="1" t="e">
        <v>#N/A</v>
      </c>
      <c r="F2892" s="1" t="e">
        <v>#N/A</v>
      </c>
      <c r="G2892" s="1" t="s">
        <v>1851</v>
      </c>
      <c r="H2892">
        <v>2024</v>
      </c>
      <c r="I2892">
        <v>2025</v>
      </c>
      <c r="J2892">
        <f t="shared" si="90"/>
        <v>2</v>
      </c>
      <c r="K2892" s="1" t="s">
        <v>741</v>
      </c>
      <c r="L2892" s="1" t="s">
        <v>798</v>
      </c>
      <c r="M2892">
        <f t="shared" si="91"/>
        <v>1</v>
      </c>
    </row>
    <row r="2893" spans="1:14" hidden="1" x14ac:dyDescent="0.3">
      <c r="A2893" s="1" t="s">
        <v>1894</v>
      </c>
      <c r="B2893" s="1" t="s">
        <v>1849</v>
      </c>
      <c r="C2893" s="1" t="s">
        <v>1895</v>
      </c>
      <c r="D2893" s="1" t="s">
        <v>746</v>
      </c>
      <c r="E2893" s="1" t="s">
        <v>747</v>
      </c>
      <c r="F2893" s="1" t="s">
        <v>748</v>
      </c>
      <c r="G2893" s="1" t="s">
        <v>1851</v>
      </c>
      <c r="H2893">
        <v>2022</v>
      </c>
      <c r="I2893">
        <v>2022</v>
      </c>
      <c r="J2893">
        <f t="shared" si="90"/>
        <v>1</v>
      </c>
      <c r="K2893" s="1" t="s">
        <v>741</v>
      </c>
      <c r="L2893" s="1" t="s">
        <v>798</v>
      </c>
      <c r="M2893">
        <f t="shared" si="91"/>
        <v>4</v>
      </c>
      <c r="N2893" t="s">
        <v>650</v>
      </c>
    </row>
    <row r="2894" spans="1:14" hidden="1" x14ac:dyDescent="0.3">
      <c r="A2894" s="1" t="s">
        <v>1896</v>
      </c>
      <c r="B2894" s="1" t="s">
        <v>1849</v>
      </c>
      <c r="C2894" s="1" t="s">
        <v>1897</v>
      </c>
      <c r="D2894" s="1" t="s">
        <v>746</v>
      </c>
      <c r="E2894" s="1" t="s">
        <v>747</v>
      </c>
      <c r="F2894" s="1" t="s">
        <v>748</v>
      </c>
      <c r="G2894" s="1" t="s">
        <v>1851</v>
      </c>
      <c r="H2894">
        <v>2022</v>
      </c>
      <c r="I2894">
        <v>2022</v>
      </c>
      <c r="J2894">
        <f t="shared" si="90"/>
        <v>1</v>
      </c>
      <c r="K2894" s="1" t="s">
        <v>741</v>
      </c>
      <c r="L2894" s="1" t="s">
        <v>798</v>
      </c>
      <c r="M2894">
        <f t="shared" si="91"/>
        <v>4</v>
      </c>
      <c r="N2894" t="s">
        <v>650</v>
      </c>
    </row>
    <row r="2895" spans="1:14" hidden="1" x14ac:dyDescent="0.3">
      <c r="A2895" s="1" t="s">
        <v>1898</v>
      </c>
      <c r="B2895" s="1" t="s">
        <v>1849</v>
      </c>
      <c r="C2895" s="1" t="s">
        <v>1899</v>
      </c>
      <c r="D2895" s="1" t="s">
        <v>746</v>
      </c>
      <c r="E2895" s="1" t="s">
        <v>747</v>
      </c>
      <c r="F2895" s="1" t="s">
        <v>748</v>
      </c>
      <c r="G2895" s="1" t="s">
        <v>1851</v>
      </c>
      <c r="H2895">
        <v>2022</v>
      </c>
      <c r="I2895">
        <v>2022</v>
      </c>
      <c r="J2895">
        <f t="shared" si="90"/>
        <v>1</v>
      </c>
      <c r="K2895" s="1" t="s">
        <v>741</v>
      </c>
      <c r="L2895" s="1" t="s">
        <v>798</v>
      </c>
      <c r="M2895">
        <f t="shared" si="91"/>
        <v>4</v>
      </c>
      <c r="N2895" t="s">
        <v>650</v>
      </c>
    </row>
    <row r="2896" spans="1:14" hidden="1" x14ac:dyDescent="0.3">
      <c r="A2896" s="1" t="s">
        <v>1900</v>
      </c>
      <c r="B2896" s="1" t="s">
        <v>1849</v>
      </c>
      <c r="C2896" s="1" t="s">
        <v>1901</v>
      </c>
      <c r="D2896" s="1" t="s">
        <v>746</v>
      </c>
      <c r="E2896" s="1" t="s">
        <v>747</v>
      </c>
      <c r="F2896" s="1" t="s">
        <v>748</v>
      </c>
      <c r="G2896" s="1" t="s">
        <v>1851</v>
      </c>
      <c r="H2896">
        <v>2013</v>
      </c>
      <c r="I2896">
        <v>2019</v>
      </c>
      <c r="J2896">
        <f t="shared" si="90"/>
        <v>7</v>
      </c>
      <c r="K2896" s="1" t="s">
        <v>741</v>
      </c>
      <c r="L2896" s="1" t="s">
        <v>798</v>
      </c>
      <c r="M2896">
        <f t="shared" si="91"/>
        <v>7</v>
      </c>
      <c r="N2896" t="s">
        <v>650</v>
      </c>
    </row>
    <row r="2897" spans="1:14" hidden="1" x14ac:dyDescent="0.3">
      <c r="A2897" s="1" t="s">
        <v>1902</v>
      </c>
      <c r="B2897" s="1" t="s">
        <v>1849</v>
      </c>
      <c r="C2897" s="1" t="s">
        <v>1903</v>
      </c>
      <c r="D2897" s="1" t="s">
        <v>746</v>
      </c>
      <c r="E2897" s="1" t="s">
        <v>747</v>
      </c>
      <c r="F2897" s="1" t="s">
        <v>748</v>
      </c>
      <c r="G2897" s="1" t="s">
        <v>1851</v>
      </c>
      <c r="H2897">
        <v>2013</v>
      </c>
      <c r="I2897">
        <v>2015</v>
      </c>
      <c r="J2897">
        <f t="shared" si="90"/>
        <v>3</v>
      </c>
      <c r="K2897" s="1" t="s">
        <v>741</v>
      </c>
      <c r="L2897" s="1" t="s">
        <v>798</v>
      </c>
      <c r="M2897">
        <f t="shared" si="91"/>
        <v>11</v>
      </c>
      <c r="N2897" t="s">
        <v>650</v>
      </c>
    </row>
    <row r="2898" spans="1:14" hidden="1" x14ac:dyDescent="0.3">
      <c r="A2898" s="1" t="s">
        <v>1904</v>
      </c>
      <c r="B2898" s="1" t="s">
        <v>1849</v>
      </c>
      <c r="C2898" s="1" t="s">
        <v>1905</v>
      </c>
      <c r="D2898" s="1" t="s">
        <v>746</v>
      </c>
      <c r="E2898" s="1" t="s">
        <v>747</v>
      </c>
      <c r="F2898" s="1" t="s">
        <v>748</v>
      </c>
      <c r="G2898" s="1" t="s">
        <v>1851</v>
      </c>
      <c r="H2898">
        <v>2016</v>
      </c>
      <c r="I2898">
        <v>2019</v>
      </c>
      <c r="J2898">
        <f t="shared" si="90"/>
        <v>4</v>
      </c>
      <c r="K2898" s="1" t="s">
        <v>741</v>
      </c>
      <c r="L2898" s="1" t="s">
        <v>798</v>
      </c>
      <c r="M2898">
        <f t="shared" si="91"/>
        <v>7</v>
      </c>
      <c r="N2898" t="s">
        <v>650</v>
      </c>
    </row>
    <row r="2899" spans="1:14" hidden="1" x14ac:dyDescent="0.3">
      <c r="A2899" s="1" t="s">
        <v>1906</v>
      </c>
      <c r="B2899" s="1" t="s">
        <v>1849</v>
      </c>
      <c r="C2899" s="1" t="s">
        <v>1907</v>
      </c>
      <c r="D2899" s="1" t="s">
        <v>746</v>
      </c>
      <c r="E2899" s="1" t="s">
        <v>747</v>
      </c>
      <c r="F2899" s="1" t="s">
        <v>748</v>
      </c>
      <c r="G2899" s="1" t="s">
        <v>1851</v>
      </c>
      <c r="H2899">
        <v>2016</v>
      </c>
      <c r="I2899">
        <v>2017</v>
      </c>
      <c r="J2899">
        <f t="shared" si="90"/>
        <v>2</v>
      </c>
      <c r="K2899" s="1" t="s">
        <v>741</v>
      </c>
      <c r="L2899" s="1" t="s">
        <v>798</v>
      </c>
      <c r="M2899">
        <f t="shared" si="91"/>
        <v>9</v>
      </c>
      <c r="N2899" t="s">
        <v>650</v>
      </c>
    </row>
    <row r="2900" spans="1:14" hidden="1" x14ac:dyDescent="0.3">
      <c r="A2900" s="1" t="s">
        <v>1908</v>
      </c>
      <c r="B2900" s="1" t="s">
        <v>1849</v>
      </c>
      <c r="C2900" s="1" t="s">
        <v>1909</v>
      </c>
      <c r="D2900" s="1" t="s">
        <v>746</v>
      </c>
      <c r="E2900" s="1" t="s">
        <v>747</v>
      </c>
      <c r="F2900" s="1" t="s">
        <v>748</v>
      </c>
      <c r="G2900" s="1" t="s">
        <v>1851</v>
      </c>
      <c r="H2900">
        <v>2018</v>
      </c>
      <c r="I2900">
        <v>2018</v>
      </c>
      <c r="J2900">
        <f t="shared" si="90"/>
        <v>1</v>
      </c>
      <c r="K2900" s="1" t="s">
        <v>741</v>
      </c>
      <c r="L2900" s="1" t="s">
        <v>798</v>
      </c>
      <c r="M2900">
        <f t="shared" si="91"/>
        <v>8</v>
      </c>
      <c r="N2900" t="s">
        <v>650</v>
      </c>
    </row>
    <row r="2901" spans="1:14" hidden="1" x14ac:dyDescent="0.3">
      <c r="A2901" s="1" t="s">
        <v>1910</v>
      </c>
      <c r="B2901" s="1" t="s">
        <v>1849</v>
      </c>
      <c r="C2901" s="1" t="s">
        <v>1911</v>
      </c>
      <c r="D2901" s="1" t="s">
        <v>746</v>
      </c>
      <c r="E2901" s="1" t="s">
        <v>747</v>
      </c>
      <c r="F2901" s="1" t="s">
        <v>748</v>
      </c>
      <c r="G2901" s="1" t="s">
        <v>1851</v>
      </c>
      <c r="H2901">
        <v>2020</v>
      </c>
      <c r="I2901">
        <v>2022</v>
      </c>
      <c r="J2901">
        <f t="shared" si="90"/>
        <v>3</v>
      </c>
      <c r="K2901" s="1" t="s">
        <v>741</v>
      </c>
      <c r="L2901" s="1" t="s">
        <v>798</v>
      </c>
      <c r="M2901">
        <f t="shared" si="91"/>
        <v>4</v>
      </c>
      <c r="N2901" t="s">
        <v>650</v>
      </c>
    </row>
    <row r="2902" spans="1:14" hidden="1" x14ac:dyDescent="0.3">
      <c r="A2902" t="s">
        <v>11615</v>
      </c>
      <c r="B2902" t="s">
        <v>1849</v>
      </c>
      <c r="C2902" t="s">
        <v>11616</v>
      </c>
      <c r="E2902" s="1" t="e">
        <v>#N/A</v>
      </c>
      <c r="F2902" s="1" t="e">
        <v>#N/A</v>
      </c>
      <c r="G2902" s="1" t="s">
        <v>1851</v>
      </c>
      <c r="H2902">
        <v>2024</v>
      </c>
      <c r="I2902">
        <v>2024</v>
      </c>
      <c r="J2902">
        <f t="shared" si="90"/>
        <v>1</v>
      </c>
      <c r="K2902" s="1" t="s">
        <v>741</v>
      </c>
      <c r="L2902" s="1" t="s">
        <v>798</v>
      </c>
      <c r="M2902">
        <f t="shared" si="91"/>
        <v>2</v>
      </c>
    </row>
    <row r="2903" spans="1:14" hidden="1" x14ac:dyDescent="0.3">
      <c r="A2903" t="s">
        <v>11617</v>
      </c>
      <c r="B2903" t="s">
        <v>1849</v>
      </c>
      <c r="C2903" t="s">
        <v>11618</v>
      </c>
      <c r="E2903" s="1" t="e">
        <v>#N/A</v>
      </c>
      <c r="F2903" s="1" t="e">
        <v>#N/A</v>
      </c>
      <c r="G2903" s="1" t="s">
        <v>1851</v>
      </c>
      <c r="H2903">
        <v>2024</v>
      </c>
      <c r="I2903">
        <v>2025</v>
      </c>
      <c r="J2903">
        <f t="shared" si="90"/>
        <v>2</v>
      </c>
      <c r="K2903" s="1" t="s">
        <v>741</v>
      </c>
      <c r="L2903" s="1" t="s">
        <v>798</v>
      </c>
      <c r="M2903">
        <f t="shared" si="91"/>
        <v>1</v>
      </c>
    </row>
    <row r="2904" spans="1:14" hidden="1" x14ac:dyDescent="0.3">
      <c r="A2904" s="1" t="s">
        <v>1912</v>
      </c>
      <c r="B2904" s="1" t="s">
        <v>1849</v>
      </c>
      <c r="C2904" s="1" t="s">
        <v>1913</v>
      </c>
      <c r="D2904" s="1" t="s">
        <v>746</v>
      </c>
      <c r="E2904" s="1" t="s">
        <v>747</v>
      </c>
      <c r="F2904" s="1" t="s">
        <v>748</v>
      </c>
      <c r="G2904" s="1" t="s">
        <v>1851</v>
      </c>
      <c r="H2904">
        <v>2015</v>
      </c>
      <c r="I2904">
        <v>2015</v>
      </c>
      <c r="J2904">
        <f t="shared" si="90"/>
        <v>1</v>
      </c>
      <c r="K2904" s="1" t="s">
        <v>741</v>
      </c>
      <c r="L2904" s="1" t="s">
        <v>798</v>
      </c>
      <c r="M2904">
        <f t="shared" si="91"/>
        <v>11</v>
      </c>
      <c r="N2904" t="s">
        <v>650</v>
      </c>
    </row>
    <row r="2905" spans="1:14" hidden="1" x14ac:dyDescent="0.3">
      <c r="A2905" s="1" t="s">
        <v>1914</v>
      </c>
      <c r="B2905" s="1" t="s">
        <v>1849</v>
      </c>
      <c r="C2905" s="1" t="s">
        <v>1915</v>
      </c>
      <c r="D2905" s="1" t="s">
        <v>746</v>
      </c>
      <c r="E2905" s="1" t="s">
        <v>747</v>
      </c>
      <c r="F2905" s="1" t="s">
        <v>748</v>
      </c>
      <c r="G2905" s="1" t="s">
        <v>1851</v>
      </c>
      <c r="H2905">
        <v>2015</v>
      </c>
      <c r="I2905">
        <v>2015</v>
      </c>
      <c r="J2905">
        <f t="shared" si="90"/>
        <v>1</v>
      </c>
      <c r="K2905" s="1" t="s">
        <v>741</v>
      </c>
      <c r="L2905" s="1" t="s">
        <v>798</v>
      </c>
      <c r="M2905">
        <f t="shared" si="91"/>
        <v>11</v>
      </c>
      <c r="N2905" t="s">
        <v>650</v>
      </c>
    </row>
    <row r="2906" spans="1:14" hidden="1" x14ac:dyDescent="0.3">
      <c r="A2906" s="1" t="s">
        <v>1916</v>
      </c>
      <c r="B2906" s="1" t="s">
        <v>1849</v>
      </c>
      <c r="C2906" s="1" t="s">
        <v>1917</v>
      </c>
      <c r="D2906" s="1" t="s">
        <v>746</v>
      </c>
      <c r="E2906" s="1" t="s">
        <v>747</v>
      </c>
      <c r="F2906" s="1" t="s">
        <v>748</v>
      </c>
      <c r="G2906" s="1" t="s">
        <v>1851</v>
      </c>
      <c r="H2906">
        <v>2015</v>
      </c>
      <c r="I2906">
        <v>2015</v>
      </c>
      <c r="J2906">
        <f t="shared" si="90"/>
        <v>1</v>
      </c>
      <c r="K2906" s="1" t="s">
        <v>741</v>
      </c>
      <c r="L2906" s="1" t="s">
        <v>798</v>
      </c>
      <c r="M2906">
        <f t="shared" si="91"/>
        <v>11</v>
      </c>
      <c r="N2906" t="s">
        <v>650</v>
      </c>
    </row>
    <row r="2907" spans="1:14" hidden="1" x14ac:dyDescent="0.3">
      <c r="A2907" s="1" t="s">
        <v>1918</v>
      </c>
      <c r="B2907" s="1" t="s">
        <v>1849</v>
      </c>
      <c r="C2907" s="1" t="s">
        <v>1919</v>
      </c>
      <c r="D2907" s="1" t="s">
        <v>746</v>
      </c>
      <c r="E2907" s="1" t="s">
        <v>747</v>
      </c>
      <c r="F2907" s="1" t="s">
        <v>748</v>
      </c>
      <c r="G2907" s="1" t="s">
        <v>1851</v>
      </c>
      <c r="H2907">
        <v>2021</v>
      </c>
      <c r="I2907">
        <v>2022</v>
      </c>
      <c r="J2907">
        <f t="shared" si="90"/>
        <v>2</v>
      </c>
      <c r="K2907" s="1" t="s">
        <v>741</v>
      </c>
      <c r="L2907" s="1" t="s">
        <v>798</v>
      </c>
      <c r="M2907">
        <f t="shared" si="91"/>
        <v>4</v>
      </c>
      <c r="N2907" t="s">
        <v>650</v>
      </c>
    </row>
    <row r="2908" spans="1:14" hidden="1" x14ac:dyDescent="0.3">
      <c r="A2908" s="1" t="s">
        <v>1920</v>
      </c>
      <c r="B2908" s="1" t="s">
        <v>1849</v>
      </c>
      <c r="C2908" s="1" t="s">
        <v>1921</v>
      </c>
      <c r="D2908" s="1" t="s">
        <v>746</v>
      </c>
      <c r="E2908" s="1" t="s">
        <v>747</v>
      </c>
      <c r="F2908" s="1" t="s">
        <v>748</v>
      </c>
      <c r="G2908" s="1" t="s">
        <v>1851</v>
      </c>
      <c r="H2908">
        <v>2014</v>
      </c>
      <c r="I2908">
        <v>2019</v>
      </c>
      <c r="J2908">
        <f t="shared" si="90"/>
        <v>6</v>
      </c>
      <c r="K2908" s="1" t="s">
        <v>741</v>
      </c>
      <c r="L2908" s="1" t="s">
        <v>798</v>
      </c>
      <c r="M2908">
        <f t="shared" si="91"/>
        <v>7</v>
      </c>
      <c r="N2908" t="s">
        <v>650</v>
      </c>
    </row>
    <row r="2909" spans="1:14" hidden="1" x14ac:dyDescent="0.3">
      <c r="A2909" s="1" t="s">
        <v>1922</v>
      </c>
      <c r="B2909" s="1" t="s">
        <v>1849</v>
      </c>
      <c r="C2909" s="1" t="s">
        <v>1923</v>
      </c>
      <c r="D2909" s="1" t="s">
        <v>746</v>
      </c>
      <c r="E2909" s="1" t="s">
        <v>747</v>
      </c>
      <c r="F2909" s="1" t="s">
        <v>748</v>
      </c>
      <c r="G2909" s="1" t="s">
        <v>1851</v>
      </c>
      <c r="H2909">
        <v>2020</v>
      </c>
      <c r="I2909">
        <v>2022</v>
      </c>
      <c r="J2909">
        <f t="shared" si="90"/>
        <v>3</v>
      </c>
      <c r="K2909" s="1" t="s">
        <v>741</v>
      </c>
      <c r="L2909" s="1" t="s">
        <v>798</v>
      </c>
      <c r="M2909">
        <f t="shared" si="91"/>
        <v>4</v>
      </c>
      <c r="N2909" t="s">
        <v>650</v>
      </c>
    </row>
    <row r="2910" spans="1:14" hidden="1" x14ac:dyDescent="0.3">
      <c r="A2910" t="s">
        <v>11619</v>
      </c>
      <c r="B2910" t="s">
        <v>1849</v>
      </c>
      <c r="C2910" t="s">
        <v>11620</v>
      </c>
      <c r="E2910" s="1" t="e">
        <v>#N/A</v>
      </c>
      <c r="F2910" s="1" t="e">
        <v>#N/A</v>
      </c>
      <c r="G2910" s="1" t="s">
        <v>1851</v>
      </c>
      <c r="H2910">
        <v>2022</v>
      </c>
      <c r="I2910">
        <v>2022</v>
      </c>
      <c r="J2910">
        <f t="shared" si="90"/>
        <v>1</v>
      </c>
      <c r="K2910" s="1" t="s">
        <v>741</v>
      </c>
      <c r="L2910" s="1" t="s">
        <v>798</v>
      </c>
      <c r="M2910">
        <f t="shared" si="91"/>
        <v>4</v>
      </c>
    </row>
    <row r="2911" spans="1:14" hidden="1" x14ac:dyDescent="0.3">
      <c r="A2911" s="1" t="s">
        <v>1924</v>
      </c>
      <c r="B2911" s="1" t="s">
        <v>1849</v>
      </c>
      <c r="C2911" s="1" t="s">
        <v>1925</v>
      </c>
      <c r="D2911" s="1" t="s">
        <v>746</v>
      </c>
      <c r="E2911" s="1" t="s">
        <v>747</v>
      </c>
      <c r="F2911" s="1" t="s">
        <v>748</v>
      </c>
      <c r="G2911" s="1" t="s">
        <v>1851</v>
      </c>
      <c r="H2911">
        <v>2020</v>
      </c>
      <c r="I2911">
        <v>2022</v>
      </c>
      <c r="J2911">
        <f t="shared" si="90"/>
        <v>3</v>
      </c>
      <c r="K2911" s="1" t="s">
        <v>741</v>
      </c>
      <c r="L2911" s="1" t="s">
        <v>798</v>
      </c>
      <c r="M2911">
        <f t="shared" si="91"/>
        <v>4</v>
      </c>
      <c r="N2911" t="s">
        <v>650</v>
      </c>
    </row>
    <row r="2912" spans="1:14" hidden="1" x14ac:dyDescent="0.3">
      <c r="A2912" s="1" t="s">
        <v>1926</v>
      </c>
      <c r="B2912" s="1" t="s">
        <v>1849</v>
      </c>
      <c r="C2912" s="1" t="s">
        <v>1927</v>
      </c>
      <c r="D2912" s="1" t="s">
        <v>746</v>
      </c>
      <c r="E2912" s="1" t="s">
        <v>747</v>
      </c>
      <c r="F2912" s="1" t="s">
        <v>748</v>
      </c>
      <c r="G2912" s="1" t="s">
        <v>1851</v>
      </c>
      <c r="H2912">
        <v>2020</v>
      </c>
      <c r="I2912">
        <v>2022</v>
      </c>
      <c r="J2912">
        <f t="shared" si="90"/>
        <v>3</v>
      </c>
      <c r="K2912" s="1" t="s">
        <v>741</v>
      </c>
      <c r="L2912" s="1" t="s">
        <v>798</v>
      </c>
      <c r="M2912">
        <f t="shared" si="91"/>
        <v>4</v>
      </c>
      <c r="N2912" t="s">
        <v>650</v>
      </c>
    </row>
    <row r="2913" spans="1:14" hidden="1" x14ac:dyDescent="0.3">
      <c r="A2913" s="1" t="s">
        <v>1928</v>
      </c>
      <c r="B2913" s="1" t="s">
        <v>1849</v>
      </c>
      <c r="C2913" s="1" t="s">
        <v>1929</v>
      </c>
      <c r="D2913" s="1" t="s">
        <v>746</v>
      </c>
      <c r="E2913" s="1" t="s">
        <v>747</v>
      </c>
      <c r="F2913" s="1" t="s">
        <v>748</v>
      </c>
      <c r="G2913" s="1" t="s">
        <v>1851</v>
      </c>
      <c r="H2913">
        <v>2022</v>
      </c>
      <c r="I2913">
        <v>2022</v>
      </c>
      <c r="J2913">
        <f t="shared" si="90"/>
        <v>1</v>
      </c>
      <c r="K2913" s="1" t="s">
        <v>741</v>
      </c>
      <c r="L2913" s="1" t="s">
        <v>798</v>
      </c>
      <c r="M2913">
        <f t="shared" si="91"/>
        <v>4</v>
      </c>
      <c r="N2913" t="s">
        <v>650</v>
      </c>
    </row>
    <row r="2914" spans="1:14" hidden="1" x14ac:dyDescent="0.3">
      <c r="A2914" s="1" t="s">
        <v>1930</v>
      </c>
      <c r="B2914" s="1" t="s">
        <v>1849</v>
      </c>
      <c r="C2914" s="1" t="s">
        <v>1931</v>
      </c>
      <c r="D2914" s="1" t="s">
        <v>746</v>
      </c>
      <c r="E2914" s="1" t="s">
        <v>747</v>
      </c>
      <c r="F2914" s="1" t="s">
        <v>748</v>
      </c>
      <c r="G2914" s="1" t="s">
        <v>1851</v>
      </c>
      <c r="H2914">
        <v>2022</v>
      </c>
      <c r="I2914">
        <v>2022</v>
      </c>
      <c r="J2914">
        <f t="shared" si="90"/>
        <v>1</v>
      </c>
      <c r="K2914" s="1" t="s">
        <v>741</v>
      </c>
      <c r="L2914" s="1" t="s">
        <v>798</v>
      </c>
      <c r="M2914">
        <f t="shared" si="91"/>
        <v>4</v>
      </c>
      <c r="N2914" t="s">
        <v>650</v>
      </c>
    </row>
    <row r="2915" spans="1:14" hidden="1" x14ac:dyDescent="0.3">
      <c r="A2915" s="1" t="s">
        <v>1932</v>
      </c>
      <c r="B2915" s="1" t="s">
        <v>1849</v>
      </c>
      <c r="C2915" s="1" t="s">
        <v>1933</v>
      </c>
      <c r="D2915" s="1" t="s">
        <v>738</v>
      </c>
      <c r="E2915" s="1" t="s">
        <v>739</v>
      </c>
      <c r="F2915" s="1" t="s">
        <v>781</v>
      </c>
      <c r="G2915" s="1" t="s">
        <v>1851</v>
      </c>
      <c r="H2915">
        <v>2019</v>
      </c>
      <c r="I2915">
        <v>2019</v>
      </c>
      <c r="J2915">
        <f t="shared" si="90"/>
        <v>1</v>
      </c>
      <c r="K2915" s="1" t="s">
        <v>741</v>
      </c>
      <c r="L2915" s="1" t="s">
        <v>798</v>
      </c>
      <c r="M2915">
        <f t="shared" si="91"/>
        <v>7</v>
      </c>
      <c r="N2915" t="s">
        <v>650</v>
      </c>
    </row>
    <row r="2916" spans="1:14" hidden="1" x14ac:dyDescent="0.3">
      <c r="A2916" s="1" t="s">
        <v>1934</v>
      </c>
      <c r="B2916" s="1" t="s">
        <v>1849</v>
      </c>
      <c r="C2916" s="1" t="s">
        <v>1935</v>
      </c>
      <c r="D2916" s="1" t="s">
        <v>738</v>
      </c>
      <c r="E2916" s="1" t="s">
        <v>739</v>
      </c>
      <c r="F2916" s="1" t="s">
        <v>781</v>
      </c>
      <c r="G2916" s="1" t="s">
        <v>1851</v>
      </c>
      <c r="H2916">
        <v>2018</v>
      </c>
      <c r="I2916">
        <v>2018</v>
      </c>
      <c r="J2916">
        <f t="shared" si="90"/>
        <v>1</v>
      </c>
      <c r="K2916" s="1" t="s">
        <v>741</v>
      </c>
      <c r="L2916" s="1" t="s">
        <v>798</v>
      </c>
      <c r="M2916">
        <f t="shared" si="91"/>
        <v>8</v>
      </c>
      <c r="N2916" t="s">
        <v>650</v>
      </c>
    </row>
    <row r="2917" spans="1:14" hidden="1" x14ac:dyDescent="0.3">
      <c r="A2917" s="1" t="s">
        <v>1936</v>
      </c>
      <c r="B2917" s="1" t="s">
        <v>1849</v>
      </c>
      <c r="C2917" s="1" t="s">
        <v>1937</v>
      </c>
      <c r="D2917" s="1" t="s">
        <v>738</v>
      </c>
      <c r="E2917" s="1" t="s">
        <v>739</v>
      </c>
      <c r="F2917" s="1" t="s">
        <v>781</v>
      </c>
      <c r="G2917" s="1" t="s">
        <v>1851</v>
      </c>
      <c r="H2917">
        <v>2018</v>
      </c>
      <c r="I2917">
        <v>2018</v>
      </c>
      <c r="J2917">
        <f t="shared" si="90"/>
        <v>1</v>
      </c>
      <c r="K2917" s="1" t="s">
        <v>741</v>
      </c>
      <c r="L2917" s="1" t="s">
        <v>798</v>
      </c>
      <c r="M2917">
        <f t="shared" si="91"/>
        <v>8</v>
      </c>
      <c r="N2917" t="s">
        <v>650</v>
      </c>
    </row>
    <row r="2918" spans="1:14" hidden="1" x14ac:dyDescent="0.3">
      <c r="A2918" s="1" t="s">
        <v>1938</v>
      </c>
      <c r="B2918" s="1" t="s">
        <v>1849</v>
      </c>
      <c r="C2918" s="1" t="s">
        <v>1939</v>
      </c>
      <c r="D2918" s="1" t="s">
        <v>738</v>
      </c>
      <c r="E2918" s="1" t="s">
        <v>739</v>
      </c>
      <c r="F2918" s="1" t="s">
        <v>781</v>
      </c>
      <c r="G2918" s="1" t="s">
        <v>1851</v>
      </c>
      <c r="H2918">
        <v>2014</v>
      </c>
      <c r="I2918">
        <v>2019</v>
      </c>
      <c r="J2918">
        <f t="shared" si="90"/>
        <v>6</v>
      </c>
      <c r="K2918" s="1" t="s">
        <v>741</v>
      </c>
      <c r="L2918" s="1" t="s">
        <v>798</v>
      </c>
      <c r="M2918">
        <f t="shared" si="91"/>
        <v>7</v>
      </c>
      <c r="N2918" t="s">
        <v>650</v>
      </c>
    </row>
    <row r="2919" spans="1:14" hidden="1" x14ac:dyDescent="0.3">
      <c r="A2919" s="1" t="s">
        <v>1940</v>
      </c>
      <c r="B2919" s="1" t="s">
        <v>1849</v>
      </c>
      <c r="C2919" s="1" t="s">
        <v>1941</v>
      </c>
      <c r="D2919" s="1" t="s">
        <v>738</v>
      </c>
      <c r="E2919" s="1" t="s">
        <v>739</v>
      </c>
      <c r="F2919" s="1" t="s">
        <v>781</v>
      </c>
      <c r="G2919" s="1" t="s">
        <v>1851</v>
      </c>
      <c r="H2919">
        <v>2014</v>
      </c>
      <c r="I2919">
        <v>2019</v>
      </c>
      <c r="J2919">
        <f t="shared" si="90"/>
        <v>6</v>
      </c>
      <c r="K2919" s="1" t="s">
        <v>741</v>
      </c>
      <c r="L2919" s="1" t="s">
        <v>798</v>
      </c>
      <c r="M2919">
        <f t="shared" si="91"/>
        <v>7</v>
      </c>
      <c r="N2919" t="s">
        <v>650</v>
      </c>
    </row>
    <row r="2920" spans="1:14" hidden="1" x14ac:dyDescent="0.3">
      <c r="A2920" s="1" t="s">
        <v>1942</v>
      </c>
      <c r="B2920" s="1" t="s">
        <v>1849</v>
      </c>
      <c r="C2920" s="1" t="s">
        <v>1943</v>
      </c>
      <c r="D2920" s="1" t="s">
        <v>738</v>
      </c>
      <c r="E2920" s="1" t="s">
        <v>739</v>
      </c>
      <c r="F2920" s="1" t="s">
        <v>781</v>
      </c>
      <c r="G2920" s="1" t="s">
        <v>1851</v>
      </c>
      <c r="H2920">
        <v>2014</v>
      </c>
      <c r="I2920">
        <v>2019</v>
      </c>
      <c r="J2920">
        <f t="shared" si="90"/>
        <v>6</v>
      </c>
      <c r="K2920" s="1" t="s">
        <v>741</v>
      </c>
      <c r="L2920" s="1" t="s">
        <v>798</v>
      </c>
      <c r="M2920">
        <f t="shared" si="91"/>
        <v>7</v>
      </c>
      <c r="N2920" t="s">
        <v>650</v>
      </c>
    </row>
    <row r="2921" spans="1:14" hidden="1" x14ac:dyDescent="0.3">
      <c r="A2921" t="s">
        <v>11621</v>
      </c>
      <c r="B2921" t="s">
        <v>1849</v>
      </c>
      <c r="C2921" t="s">
        <v>11622</v>
      </c>
      <c r="E2921" s="1" t="e">
        <v>#N/A</v>
      </c>
      <c r="F2921" s="1" t="e">
        <v>#N/A</v>
      </c>
      <c r="G2921" s="1" t="s">
        <v>12837</v>
      </c>
      <c r="H2921">
        <v>2025</v>
      </c>
      <c r="I2921">
        <v>2026</v>
      </c>
      <c r="J2921">
        <f t="shared" si="90"/>
        <v>2</v>
      </c>
      <c r="K2921" s="1" t="s">
        <v>741</v>
      </c>
      <c r="L2921" s="1" t="s">
        <v>798</v>
      </c>
      <c r="M2921">
        <f t="shared" si="91"/>
        <v>0</v>
      </c>
    </row>
    <row r="2922" spans="1:14" hidden="1" x14ac:dyDescent="0.3">
      <c r="A2922" t="s">
        <v>11623</v>
      </c>
      <c r="B2922" t="s">
        <v>1849</v>
      </c>
      <c r="C2922" t="s">
        <v>11624</v>
      </c>
      <c r="E2922" s="1" t="e">
        <v>#N/A</v>
      </c>
      <c r="F2922" s="1" t="e">
        <v>#N/A</v>
      </c>
      <c r="G2922" s="1" t="s">
        <v>12837</v>
      </c>
      <c r="H2922">
        <v>2023</v>
      </c>
      <c r="I2922">
        <v>2026</v>
      </c>
      <c r="J2922">
        <f t="shared" si="90"/>
        <v>4</v>
      </c>
      <c r="K2922" s="1" t="s">
        <v>741</v>
      </c>
      <c r="L2922" s="1" t="s">
        <v>798</v>
      </c>
      <c r="M2922">
        <f t="shared" si="91"/>
        <v>0</v>
      </c>
    </row>
    <row r="2923" spans="1:14" hidden="1" x14ac:dyDescent="0.3">
      <c r="A2923" t="s">
        <v>11625</v>
      </c>
      <c r="B2923" t="s">
        <v>1849</v>
      </c>
      <c r="C2923" t="s">
        <v>11626</v>
      </c>
      <c r="E2923" s="1" t="e">
        <v>#N/A</v>
      </c>
      <c r="F2923" s="1" t="e">
        <v>#N/A</v>
      </c>
      <c r="G2923" s="1" t="s">
        <v>12837</v>
      </c>
      <c r="H2923">
        <v>2023</v>
      </c>
      <c r="I2923">
        <v>2024</v>
      </c>
      <c r="J2923">
        <f t="shared" si="90"/>
        <v>2</v>
      </c>
      <c r="K2923" s="1" t="s">
        <v>741</v>
      </c>
      <c r="L2923" s="1" t="s">
        <v>798</v>
      </c>
      <c r="M2923">
        <f t="shared" si="91"/>
        <v>2</v>
      </c>
    </row>
    <row r="2924" spans="1:14" hidden="1" x14ac:dyDescent="0.3">
      <c r="A2924" t="s">
        <v>11627</v>
      </c>
      <c r="B2924" t="s">
        <v>1849</v>
      </c>
      <c r="C2924" t="s">
        <v>11628</v>
      </c>
      <c r="E2924" s="1" t="e">
        <v>#N/A</v>
      </c>
      <c r="F2924" s="1" t="e">
        <v>#N/A</v>
      </c>
      <c r="G2924" s="1" t="s">
        <v>12837</v>
      </c>
      <c r="H2924">
        <v>2024</v>
      </c>
      <c r="I2924">
        <v>2026</v>
      </c>
      <c r="J2924">
        <f t="shared" si="90"/>
        <v>3</v>
      </c>
      <c r="K2924" s="1" t="s">
        <v>741</v>
      </c>
      <c r="L2924" s="1" t="s">
        <v>798</v>
      </c>
      <c r="M2924">
        <f t="shared" si="91"/>
        <v>0</v>
      </c>
    </row>
    <row r="2925" spans="1:14" hidden="1" x14ac:dyDescent="0.3">
      <c r="A2925" t="s">
        <v>11629</v>
      </c>
      <c r="B2925" t="s">
        <v>1849</v>
      </c>
      <c r="C2925" t="s">
        <v>11630</v>
      </c>
      <c r="E2925" s="1" t="e">
        <v>#N/A</v>
      </c>
      <c r="F2925" s="1" t="e">
        <v>#N/A</v>
      </c>
      <c r="G2925" s="1" t="s">
        <v>12837</v>
      </c>
      <c r="H2925">
        <v>2024</v>
      </c>
      <c r="I2925">
        <v>2025</v>
      </c>
      <c r="J2925">
        <f t="shared" si="90"/>
        <v>2</v>
      </c>
      <c r="K2925" s="1" t="s">
        <v>741</v>
      </c>
      <c r="L2925" s="1" t="s">
        <v>798</v>
      </c>
      <c r="M2925">
        <f t="shared" si="91"/>
        <v>1</v>
      </c>
    </row>
    <row r="2926" spans="1:14" hidden="1" x14ac:dyDescent="0.3">
      <c r="A2926" s="1" t="s">
        <v>1944</v>
      </c>
      <c r="B2926" s="1" t="s">
        <v>1849</v>
      </c>
      <c r="C2926" s="1" t="s">
        <v>1945</v>
      </c>
      <c r="D2926" s="1" t="s">
        <v>738</v>
      </c>
      <c r="E2926" s="1" t="s">
        <v>739</v>
      </c>
      <c r="F2926" s="1" t="s">
        <v>781</v>
      </c>
      <c r="G2926" s="1" t="s">
        <v>1851</v>
      </c>
      <c r="H2926">
        <v>2017</v>
      </c>
      <c r="I2926">
        <v>2019</v>
      </c>
      <c r="J2926">
        <f t="shared" si="90"/>
        <v>3</v>
      </c>
      <c r="K2926" s="1" t="s">
        <v>741</v>
      </c>
      <c r="L2926" s="1" t="s">
        <v>798</v>
      </c>
      <c r="M2926">
        <f t="shared" si="91"/>
        <v>7</v>
      </c>
      <c r="N2926" t="s">
        <v>650</v>
      </c>
    </row>
    <row r="2927" spans="1:14" hidden="1" x14ac:dyDescent="0.3">
      <c r="A2927" s="1" t="s">
        <v>1946</v>
      </c>
      <c r="B2927" s="1" t="s">
        <v>1849</v>
      </c>
      <c r="C2927" s="1" t="s">
        <v>1947</v>
      </c>
      <c r="D2927" s="1" t="s">
        <v>738</v>
      </c>
      <c r="E2927" s="1" t="s">
        <v>739</v>
      </c>
      <c r="F2927" s="1" t="s">
        <v>781</v>
      </c>
      <c r="G2927" s="1" t="s">
        <v>1851</v>
      </c>
      <c r="H2927">
        <v>2016</v>
      </c>
      <c r="I2927">
        <v>2017</v>
      </c>
      <c r="J2927">
        <f t="shared" si="90"/>
        <v>2</v>
      </c>
      <c r="K2927" s="1" t="s">
        <v>741</v>
      </c>
      <c r="L2927" s="1" t="s">
        <v>798</v>
      </c>
      <c r="M2927">
        <f t="shared" si="91"/>
        <v>9</v>
      </c>
      <c r="N2927" t="s">
        <v>650</v>
      </c>
    </row>
    <row r="2928" spans="1:14" hidden="1" x14ac:dyDescent="0.3">
      <c r="A2928" s="1" t="s">
        <v>1948</v>
      </c>
      <c r="B2928" s="1" t="s">
        <v>1849</v>
      </c>
      <c r="C2928" s="1" t="s">
        <v>1949</v>
      </c>
      <c r="D2928" s="1" t="s">
        <v>738</v>
      </c>
      <c r="E2928" s="1" t="s">
        <v>739</v>
      </c>
      <c r="F2928" s="1" t="s">
        <v>781</v>
      </c>
      <c r="G2928" s="1" t="s">
        <v>1851</v>
      </c>
      <c r="H2928">
        <v>2014</v>
      </c>
      <c r="I2928">
        <v>2019</v>
      </c>
      <c r="J2928">
        <f t="shared" si="90"/>
        <v>6</v>
      </c>
      <c r="K2928" s="1" t="s">
        <v>741</v>
      </c>
      <c r="L2928" s="1" t="s">
        <v>798</v>
      </c>
      <c r="M2928">
        <f t="shared" si="91"/>
        <v>7</v>
      </c>
      <c r="N2928" t="s">
        <v>650</v>
      </c>
    </row>
    <row r="2929" spans="1:14" hidden="1" x14ac:dyDescent="0.3">
      <c r="A2929" s="1" t="s">
        <v>1950</v>
      </c>
      <c r="B2929" s="1" t="s">
        <v>1849</v>
      </c>
      <c r="C2929" s="1" t="s">
        <v>1951</v>
      </c>
      <c r="D2929" s="1" t="s">
        <v>738</v>
      </c>
      <c r="E2929" s="1" t="s">
        <v>739</v>
      </c>
      <c r="F2929" s="1" t="s">
        <v>781</v>
      </c>
      <c r="G2929" s="1" t="s">
        <v>1851</v>
      </c>
      <c r="H2929">
        <v>2014</v>
      </c>
      <c r="I2929">
        <v>2019</v>
      </c>
      <c r="J2929">
        <f t="shared" si="90"/>
        <v>6</v>
      </c>
      <c r="K2929" s="1" t="s">
        <v>741</v>
      </c>
      <c r="L2929" s="1" t="s">
        <v>798</v>
      </c>
      <c r="M2929">
        <f t="shared" si="91"/>
        <v>7</v>
      </c>
      <c r="N2929" t="s">
        <v>650</v>
      </c>
    </row>
    <row r="2930" spans="1:14" hidden="1" x14ac:dyDescent="0.3">
      <c r="A2930" s="1" t="s">
        <v>1952</v>
      </c>
      <c r="B2930" s="1" t="s">
        <v>1849</v>
      </c>
      <c r="C2930" s="1" t="s">
        <v>1953</v>
      </c>
      <c r="D2930" s="1" t="s">
        <v>738</v>
      </c>
      <c r="E2930" s="1" t="s">
        <v>739</v>
      </c>
      <c r="F2930" s="1" t="s">
        <v>781</v>
      </c>
      <c r="G2930" s="1" t="s">
        <v>1851</v>
      </c>
      <c r="H2930">
        <v>2014</v>
      </c>
      <c r="I2930">
        <v>2015</v>
      </c>
      <c r="J2930">
        <f t="shared" si="90"/>
        <v>2</v>
      </c>
      <c r="K2930" s="1" t="s">
        <v>741</v>
      </c>
      <c r="L2930" s="1" t="s">
        <v>798</v>
      </c>
      <c r="M2930">
        <f t="shared" si="91"/>
        <v>11</v>
      </c>
      <c r="N2930" t="s">
        <v>650</v>
      </c>
    </row>
    <row r="2931" spans="1:14" hidden="1" x14ac:dyDescent="0.3">
      <c r="A2931" t="s">
        <v>11631</v>
      </c>
      <c r="B2931" t="s">
        <v>1849</v>
      </c>
      <c r="C2931" t="s">
        <v>11632</v>
      </c>
      <c r="E2931" s="1" t="e">
        <v>#N/A</v>
      </c>
      <c r="F2931" s="1" t="e">
        <v>#N/A</v>
      </c>
      <c r="G2931" s="1" t="s">
        <v>12837</v>
      </c>
      <c r="H2931">
        <v>2023</v>
      </c>
      <c r="I2931">
        <v>2023</v>
      </c>
      <c r="J2931">
        <f t="shared" si="90"/>
        <v>1</v>
      </c>
      <c r="K2931" s="1" t="s">
        <v>741</v>
      </c>
      <c r="L2931" s="1" t="s">
        <v>798</v>
      </c>
      <c r="M2931">
        <f t="shared" si="91"/>
        <v>3</v>
      </c>
    </row>
    <row r="2932" spans="1:14" hidden="1" x14ac:dyDescent="0.3">
      <c r="A2932" t="s">
        <v>11633</v>
      </c>
      <c r="B2932" t="s">
        <v>1849</v>
      </c>
      <c r="C2932" t="s">
        <v>11634</v>
      </c>
      <c r="E2932" s="1" t="e">
        <v>#N/A</v>
      </c>
      <c r="F2932" s="1" t="e">
        <v>#N/A</v>
      </c>
      <c r="G2932" s="1" t="s">
        <v>12837</v>
      </c>
      <c r="H2932">
        <v>2023</v>
      </c>
      <c r="I2932">
        <v>2023</v>
      </c>
      <c r="J2932">
        <f t="shared" si="90"/>
        <v>1</v>
      </c>
      <c r="K2932" s="1" t="s">
        <v>741</v>
      </c>
      <c r="L2932" s="1" t="s">
        <v>798</v>
      </c>
      <c r="M2932">
        <f t="shared" si="91"/>
        <v>3</v>
      </c>
    </row>
    <row r="2933" spans="1:14" hidden="1" x14ac:dyDescent="0.3">
      <c r="A2933" s="1" t="s">
        <v>1954</v>
      </c>
      <c r="B2933" s="1" t="s">
        <v>1849</v>
      </c>
      <c r="C2933" s="1" t="s">
        <v>1955</v>
      </c>
      <c r="D2933" s="1" t="s">
        <v>738</v>
      </c>
      <c r="E2933" s="1" t="s">
        <v>739</v>
      </c>
      <c r="F2933" s="1" t="s">
        <v>781</v>
      </c>
      <c r="G2933" s="1" t="s">
        <v>1851</v>
      </c>
      <c r="H2933">
        <v>2020</v>
      </c>
      <c r="I2933">
        <v>2022</v>
      </c>
      <c r="J2933">
        <f t="shared" si="90"/>
        <v>3</v>
      </c>
      <c r="K2933" s="1" t="s">
        <v>741</v>
      </c>
      <c r="L2933" s="1" t="s">
        <v>798</v>
      </c>
      <c r="M2933">
        <f t="shared" si="91"/>
        <v>4</v>
      </c>
      <c r="N2933" t="s">
        <v>650</v>
      </c>
    </row>
    <row r="2934" spans="1:14" hidden="1" x14ac:dyDescent="0.3">
      <c r="A2934" s="1" t="s">
        <v>1956</v>
      </c>
      <c r="B2934" s="1" t="s">
        <v>1849</v>
      </c>
      <c r="C2934" s="1" t="s">
        <v>1957</v>
      </c>
      <c r="D2934" s="1" t="s">
        <v>738</v>
      </c>
      <c r="E2934" s="1" t="s">
        <v>739</v>
      </c>
      <c r="F2934" s="1" t="s">
        <v>781</v>
      </c>
      <c r="G2934" s="1" t="s">
        <v>1851</v>
      </c>
      <c r="H2934">
        <v>2020</v>
      </c>
      <c r="I2934">
        <v>2022</v>
      </c>
      <c r="J2934">
        <f t="shared" si="90"/>
        <v>3</v>
      </c>
      <c r="K2934" s="1" t="s">
        <v>741</v>
      </c>
      <c r="L2934" s="1" t="s">
        <v>798</v>
      </c>
      <c r="M2934">
        <f t="shared" si="91"/>
        <v>4</v>
      </c>
      <c r="N2934" t="s">
        <v>650</v>
      </c>
    </row>
    <row r="2935" spans="1:14" hidden="1" x14ac:dyDescent="0.3">
      <c r="A2935" t="s">
        <v>11635</v>
      </c>
      <c r="B2935" t="s">
        <v>1849</v>
      </c>
      <c r="C2935" t="s">
        <v>11636</v>
      </c>
      <c r="E2935" s="1" t="e">
        <v>#N/A</v>
      </c>
      <c r="F2935" s="1" t="e">
        <v>#N/A</v>
      </c>
      <c r="G2935" s="1" t="s">
        <v>12837</v>
      </c>
      <c r="H2935">
        <v>2023</v>
      </c>
      <c r="I2935">
        <v>2023</v>
      </c>
      <c r="J2935">
        <f t="shared" si="90"/>
        <v>1</v>
      </c>
      <c r="K2935" s="1" t="s">
        <v>741</v>
      </c>
      <c r="L2935" s="1" t="s">
        <v>798</v>
      </c>
      <c r="M2935">
        <f t="shared" si="91"/>
        <v>3</v>
      </c>
    </row>
    <row r="2936" spans="1:14" hidden="1" x14ac:dyDescent="0.3">
      <c r="A2936" t="s">
        <v>11637</v>
      </c>
      <c r="B2936" t="s">
        <v>1849</v>
      </c>
      <c r="C2936" t="s">
        <v>11638</v>
      </c>
      <c r="E2936" s="1" t="e">
        <v>#N/A</v>
      </c>
      <c r="F2936" s="1" t="e">
        <v>#N/A</v>
      </c>
      <c r="G2936" s="1" t="s">
        <v>12837</v>
      </c>
      <c r="H2936">
        <v>2023</v>
      </c>
      <c r="I2936">
        <v>2023</v>
      </c>
      <c r="J2936">
        <f t="shared" si="90"/>
        <v>1</v>
      </c>
      <c r="K2936" s="1" t="s">
        <v>741</v>
      </c>
      <c r="L2936" s="1" t="s">
        <v>798</v>
      </c>
      <c r="M2936">
        <f t="shared" si="91"/>
        <v>3</v>
      </c>
    </row>
    <row r="2937" spans="1:14" hidden="1" x14ac:dyDescent="0.3">
      <c r="A2937" s="1" t="s">
        <v>1958</v>
      </c>
      <c r="B2937" s="1" t="s">
        <v>1849</v>
      </c>
      <c r="C2937" s="1" t="s">
        <v>1959</v>
      </c>
      <c r="D2937" s="1" t="s">
        <v>738</v>
      </c>
      <c r="E2937" s="1" t="s">
        <v>739</v>
      </c>
      <c r="F2937" s="1" t="s">
        <v>781</v>
      </c>
      <c r="G2937" s="1" t="s">
        <v>1851</v>
      </c>
      <c r="H2937">
        <v>2022</v>
      </c>
      <c r="I2937">
        <v>2022</v>
      </c>
      <c r="J2937">
        <f t="shared" si="90"/>
        <v>1</v>
      </c>
      <c r="K2937" s="1" t="s">
        <v>741</v>
      </c>
      <c r="L2937" s="1" t="s">
        <v>798</v>
      </c>
      <c r="M2937">
        <f t="shared" si="91"/>
        <v>4</v>
      </c>
      <c r="N2937" t="s">
        <v>650</v>
      </c>
    </row>
    <row r="2938" spans="1:14" hidden="1" x14ac:dyDescent="0.3">
      <c r="A2938" s="1" t="s">
        <v>1960</v>
      </c>
      <c r="B2938" s="1" t="s">
        <v>1849</v>
      </c>
      <c r="C2938" s="1" t="s">
        <v>1961</v>
      </c>
      <c r="D2938" s="1" t="s">
        <v>738</v>
      </c>
      <c r="E2938" s="1" t="s">
        <v>739</v>
      </c>
      <c r="F2938" s="1" t="s">
        <v>781</v>
      </c>
      <c r="G2938" s="1" t="s">
        <v>1851</v>
      </c>
      <c r="H2938">
        <v>2022</v>
      </c>
      <c r="I2938">
        <v>2022</v>
      </c>
      <c r="J2938">
        <f t="shared" si="90"/>
        <v>1</v>
      </c>
      <c r="K2938" s="1" t="s">
        <v>741</v>
      </c>
      <c r="L2938" s="1" t="s">
        <v>798</v>
      </c>
      <c r="M2938">
        <f t="shared" si="91"/>
        <v>4</v>
      </c>
      <c r="N2938" t="s">
        <v>650</v>
      </c>
    </row>
    <row r="2939" spans="1:14" hidden="1" x14ac:dyDescent="0.3">
      <c r="A2939" s="1" t="s">
        <v>1962</v>
      </c>
      <c r="B2939" s="1" t="s">
        <v>1849</v>
      </c>
      <c r="C2939" s="1" t="s">
        <v>1963</v>
      </c>
      <c r="D2939" s="1" t="s">
        <v>738</v>
      </c>
      <c r="E2939" s="1" t="s">
        <v>739</v>
      </c>
      <c r="F2939" s="1" t="s">
        <v>781</v>
      </c>
      <c r="G2939" s="1" t="s">
        <v>1851</v>
      </c>
      <c r="H2939">
        <v>2020</v>
      </c>
      <c r="I2939">
        <v>2022</v>
      </c>
      <c r="J2939">
        <f t="shared" si="90"/>
        <v>3</v>
      </c>
      <c r="K2939" s="1" t="s">
        <v>741</v>
      </c>
      <c r="L2939" s="1" t="s">
        <v>798</v>
      </c>
      <c r="M2939">
        <f t="shared" si="91"/>
        <v>4</v>
      </c>
      <c r="N2939" t="s">
        <v>650</v>
      </c>
    </row>
    <row r="2940" spans="1:14" hidden="1" x14ac:dyDescent="0.3">
      <c r="A2940" s="1" t="s">
        <v>1964</v>
      </c>
      <c r="B2940" s="1" t="s">
        <v>1849</v>
      </c>
      <c r="C2940" s="1" t="s">
        <v>1965</v>
      </c>
      <c r="D2940" s="1" t="s">
        <v>738</v>
      </c>
      <c r="E2940" s="1" t="s">
        <v>739</v>
      </c>
      <c r="F2940" s="1" t="s">
        <v>781</v>
      </c>
      <c r="G2940" s="1" t="s">
        <v>1851</v>
      </c>
      <c r="H2940">
        <v>2020</v>
      </c>
      <c r="I2940">
        <v>2022</v>
      </c>
      <c r="J2940">
        <f t="shared" si="90"/>
        <v>3</v>
      </c>
      <c r="K2940" s="1" t="s">
        <v>741</v>
      </c>
      <c r="L2940" s="1" t="s">
        <v>798</v>
      </c>
      <c r="M2940">
        <f t="shared" si="91"/>
        <v>4</v>
      </c>
      <c r="N2940" t="s">
        <v>650</v>
      </c>
    </row>
    <row r="2941" spans="1:14" hidden="1" x14ac:dyDescent="0.3">
      <c r="A2941" s="1" t="s">
        <v>1966</v>
      </c>
      <c r="B2941" s="1" t="s">
        <v>1849</v>
      </c>
      <c r="C2941" s="1" t="s">
        <v>1967</v>
      </c>
      <c r="D2941" s="1" t="s">
        <v>738</v>
      </c>
      <c r="E2941" s="1" t="s">
        <v>739</v>
      </c>
      <c r="F2941" s="1" t="s">
        <v>781</v>
      </c>
      <c r="G2941" s="1" t="s">
        <v>1851</v>
      </c>
      <c r="H2941">
        <v>2015</v>
      </c>
      <c r="I2941">
        <v>2015</v>
      </c>
      <c r="J2941">
        <f t="shared" si="90"/>
        <v>1</v>
      </c>
      <c r="K2941" s="1" t="s">
        <v>741</v>
      </c>
      <c r="L2941" s="1" t="s">
        <v>798</v>
      </c>
      <c r="M2941">
        <f t="shared" si="91"/>
        <v>11</v>
      </c>
      <c r="N2941" t="s">
        <v>650</v>
      </c>
    </row>
    <row r="2942" spans="1:14" hidden="1" x14ac:dyDescent="0.3">
      <c r="A2942" s="1" t="s">
        <v>1968</v>
      </c>
      <c r="B2942" s="1" t="s">
        <v>1849</v>
      </c>
      <c r="C2942" s="1" t="s">
        <v>1969</v>
      </c>
      <c r="D2942" s="1" t="s">
        <v>738</v>
      </c>
      <c r="E2942" s="1" t="s">
        <v>739</v>
      </c>
      <c r="F2942" s="1" t="s">
        <v>781</v>
      </c>
      <c r="G2942" s="1" t="s">
        <v>1851</v>
      </c>
      <c r="H2942">
        <v>2015</v>
      </c>
      <c r="I2942">
        <v>2015</v>
      </c>
      <c r="J2942">
        <f t="shared" si="90"/>
        <v>1</v>
      </c>
      <c r="K2942" s="1" t="s">
        <v>741</v>
      </c>
      <c r="L2942" s="1" t="s">
        <v>798</v>
      </c>
      <c r="M2942">
        <f t="shared" si="91"/>
        <v>11</v>
      </c>
      <c r="N2942" t="s">
        <v>650</v>
      </c>
    </row>
    <row r="2943" spans="1:14" hidden="1" x14ac:dyDescent="0.3">
      <c r="A2943" s="1" t="s">
        <v>1970</v>
      </c>
      <c r="B2943" s="1" t="s">
        <v>1849</v>
      </c>
      <c r="C2943" s="1" t="s">
        <v>1971</v>
      </c>
      <c r="D2943" s="1" t="s">
        <v>738</v>
      </c>
      <c r="E2943" s="1" t="s">
        <v>739</v>
      </c>
      <c r="F2943" s="1" t="s">
        <v>781</v>
      </c>
      <c r="G2943" s="1" t="s">
        <v>1851</v>
      </c>
      <c r="H2943">
        <v>2015</v>
      </c>
      <c r="I2943">
        <v>2015</v>
      </c>
      <c r="J2943">
        <f t="shared" si="90"/>
        <v>1</v>
      </c>
      <c r="K2943" s="1" t="s">
        <v>741</v>
      </c>
      <c r="L2943" s="1" t="s">
        <v>798</v>
      </c>
      <c r="M2943">
        <f t="shared" si="91"/>
        <v>11</v>
      </c>
      <c r="N2943" t="s">
        <v>650</v>
      </c>
    </row>
    <row r="2944" spans="1:14" hidden="1" x14ac:dyDescent="0.3">
      <c r="A2944" t="s">
        <v>11639</v>
      </c>
      <c r="B2944" t="s">
        <v>1849</v>
      </c>
      <c r="C2944" t="s">
        <v>11640</v>
      </c>
      <c r="E2944" s="1" t="e">
        <v>#N/A</v>
      </c>
      <c r="F2944" s="1" t="e">
        <v>#N/A</v>
      </c>
      <c r="G2944" s="1" t="s">
        <v>12837</v>
      </c>
      <c r="H2944">
        <v>2023</v>
      </c>
      <c r="I2944">
        <v>2026</v>
      </c>
      <c r="J2944">
        <f t="shared" si="90"/>
        <v>4</v>
      </c>
      <c r="K2944" s="1" t="s">
        <v>741</v>
      </c>
      <c r="L2944" s="1" t="s">
        <v>798</v>
      </c>
      <c r="M2944">
        <f t="shared" si="91"/>
        <v>0</v>
      </c>
    </row>
    <row r="2945" spans="1:14" hidden="1" x14ac:dyDescent="0.3">
      <c r="A2945" t="s">
        <v>11641</v>
      </c>
      <c r="B2945" t="s">
        <v>1849</v>
      </c>
      <c r="C2945" t="s">
        <v>11642</v>
      </c>
      <c r="E2945" s="1" t="e">
        <v>#N/A</v>
      </c>
      <c r="F2945" s="1" t="e">
        <v>#N/A</v>
      </c>
      <c r="G2945" s="1" t="s">
        <v>12837</v>
      </c>
      <c r="H2945">
        <v>2025</v>
      </c>
      <c r="I2945">
        <v>2026</v>
      </c>
      <c r="J2945">
        <f t="shared" si="90"/>
        <v>2</v>
      </c>
      <c r="K2945" s="1" t="s">
        <v>741</v>
      </c>
      <c r="L2945" s="1" t="s">
        <v>798</v>
      </c>
      <c r="M2945">
        <f t="shared" si="91"/>
        <v>0</v>
      </c>
    </row>
    <row r="2946" spans="1:14" hidden="1" x14ac:dyDescent="0.3">
      <c r="A2946" t="s">
        <v>11643</v>
      </c>
      <c r="B2946" t="s">
        <v>1849</v>
      </c>
      <c r="C2946" t="s">
        <v>11644</v>
      </c>
      <c r="E2946" s="1" t="e">
        <v>#N/A</v>
      </c>
      <c r="F2946" s="1" t="e">
        <v>#N/A</v>
      </c>
      <c r="G2946" s="1" t="s">
        <v>12837</v>
      </c>
      <c r="H2946">
        <v>2024</v>
      </c>
      <c r="I2946">
        <v>2026</v>
      </c>
      <c r="J2946">
        <f t="shared" si="90"/>
        <v>3</v>
      </c>
      <c r="K2946" s="1" t="s">
        <v>741</v>
      </c>
      <c r="L2946" s="1" t="s">
        <v>798</v>
      </c>
      <c r="M2946">
        <f t="shared" si="91"/>
        <v>0</v>
      </c>
    </row>
    <row r="2947" spans="1:14" hidden="1" x14ac:dyDescent="0.3">
      <c r="A2947" s="1" t="s">
        <v>1972</v>
      </c>
      <c r="B2947" s="1" t="s">
        <v>1849</v>
      </c>
      <c r="C2947" s="1" t="s">
        <v>1973</v>
      </c>
      <c r="D2947" s="1" t="s">
        <v>738</v>
      </c>
      <c r="E2947" s="1" t="s">
        <v>739</v>
      </c>
      <c r="F2947" s="1" t="s">
        <v>781</v>
      </c>
      <c r="G2947" s="1" t="s">
        <v>1851</v>
      </c>
      <c r="H2947">
        <v>2017</v>
      </c>
      <c r="I2947">
        <v>2017</v>
      </c>
      <c r="J2947">
        <f t="shared" si="90"/>
        <v>1</v>
      </c>
      <c r="K2947" s="1" t="s">
        <v>741</v>
      </c>
      <c r="L2947" s="1" t="s">
        <v>798</v>
      </c>
      <c r="M2947">
        <f t="shared" si="91"/>
        <v>9</v>
      </c>
      <c r="N2947" t="s">
        <v>650</v>
      </c>
    </row>
    <row r="2948" spans="1:14" hidden="1" x14ac:dyDescent="0.3">
      <c r="A2948" s="1" t="s">
        <v>1974</v>
      </c>
      <c r="B2948" s="1" t="s">
        <v>1849</v>
      </c>
      <c r="C2948" s="1" t="s">
        <v>1975</v>
      </c>
      <c r="D2948" s="1" t="s">
        <v>738</v>
      </c>
      <c r="E2948" s="1" t="s">
        <v>739</v>
      </c>
      <c r="F2948" s="1" t="s">
        <v>781</v>
      </c>
      <c r="G2948" s="1" t="s">
        <v>1851</v>
      </c>
      <c r="H2948">
        <v>2017</v>
      </c>
      <c r="I2948">
        <v>2017</v>
      </c>
      <c r="J2948">
        <f t="shared" si="90"/>
        <v>1</v>
      </c>
      <c r="K2948" s="1" t="s">
        <v>741</v>
      </c>
      <c r="L2948" s="1" t="s">
        <v>798</v>
      </c>
      <c r="M2948">
        <f t="shared" si="91"/>
        <v>9</v>
      </c>
      <c r="N2948" t="s">
        <v>650</v>
      </c>
    </row>
    <row r="2949" spans="1:14" hidden="1" x14ac:dyDescent="0.3">
      <c r="A2949" t="s">
        <v>11645</v>
      </c>
      <c r="B2949" t="s">
        <v>1849</v>
      </c>
      <c r="C2949" t="s">
        <v>11646</v>
      </c>
      <c r="E2949" s="1" t="e">
        <v>#N/A</v>
      </c>
      <c r="F2949" s="1" t="e">
        <v>#N/A</v>
      </c>
      <c r="G2949" s="1" t="s">
        <v>12837</v>
      </c>
      <c r="H2949">
        <v>2024</v>
      </c>
      <c r="I2949">
        <v>2026</v>
      </c>
      <c r="J2949">
        <f t="shared" si="90"/>
        <v>3</v>
      </c>
      <c r="K2949" s="1" t="s">
        <v>741</v>
      </c>
      <c r="L2949" s="1" t="s">
        <v>798</v>
      </c>
      <c r="M2949">
        <f t="shared" si="91"/>
        <v>0</v>
      </c>
    </row>
    <row r="2950" spans="1:14" hidden="1" x14ac:dyDescent="0.3">
      <c r="A2950" s="1" t="s">
        <v>1976</v>
      </c>
      <c r="B2950" s="1" t="s">
        <v>1849</v>
      </c>
      <c r="C2950" s="1" t="s">
        <v>1977</v>
      </c>
      <c r="D2950" s="1" t="s">
        <v>738</v>
      </c>
      <c r="E2950" s="1" t="s">
        <v>739</v>
      </c>
      <c r="F2950" s="1" t="s">
        <v>781</v>
      </c>
      <c r="G2950" s="1" t="s">
        <v>1851</v>
      </c>
      <c r="H2950">
        <v>2022</v>
      </c>
      <c r="I2950">
        <v>2022</v>
      </c>
      <c r="J2950">
        <f t="shared" ref="J2950:J3013" si="92">1+(I2950-H2950)</f>
        <v>1</v>
      </c>
      <c r="K2950" s="1" t="s">
        <v>741</v>
      </c>
      <c r="L2950" s="1" t="s">
        <v>798</v>
      </c>
      <c r="M2950">
        <f t="shared" ref="M2950:M3013" si="93">IF(I2950=0,0,$B$2-I2950)</f>
        <v>4</v>
      </c>
      <c r="N2950" t="s">
        <v>650</v>
      </c>
    </row>
    <row r="2951" spans="1:14" hidden="1" x14ac:dyDescent="0.3">
      <c r="A2951" s="1" t="s">
        <v>1978</v>
      </c>
      <c r="B2951" s="1" t="s">
        <v>1849</v>
      </c>
      <c r="C2951" s="1" t="s">
        <v>1979</v>
      </c>
      <c r="D2951" s="1" t="s">
        <v>738</v>
      </c>
      <c r="E2951" s="1" t="s">
        <v>739</v>
      </c>
      <c r="F2951" s="1" t="s">
        <v>781</v>
      </c>
      <c r="G2951" s="1" t="s">
        <v>1851</v>
      </c>
      <c r="H2951">
        <v>2022</v>
      </c>
      <c r="I2951">
        <v>2022</v>
      </c>
      <c r="J2951">
        <f t="shared" si="92"/>
        <v>1</v>
      </c>
      <c r="K2951" s="1" t="s">
        <v>741</v>
      </c>
      <c r="L2951" s="1" t="s">
        <v>798</v>
      </c>
      <c r="M2951">
        <f t="shared" si="93"/>
        <v>4</v>
      </c>
      <c r="N2951" t="s">
        <v>650</v>
      </c>
    </row>
    <row r="2952" spans="1:14" hidden="1" x14ac:dyDescent="0.3">
      <c r="A2952" s="1" t="s">
        <v>1980</v>
      </c>
      <c r="B2952" s="1" t="s">
        <v>1849</v>
      </c>
      <c r="C2952" s="1" t="s">
        <v>1981</v>
      </c>
      <c r="D2952" s="1" t="s">
        <v>738</v>
      </c>
      <c r="E2952" s="1" t="s">
        <v>739</v>
      </c>
      <c r="F2952" s="1" t="s">
        <v>781</v>
      </c>
      <c r="G2952" s="1" t="s">
        <v>1851</v>
      </c>
      <c r="H2952">
        <v>2022</v>
      </c>
      <c r="I2952">
        <v>2022</v>
      </c>
      <c r="J2952">
        <f t="shared" si="92"/>
        <v>1</v>
      </c>
      <c r="K2952" s="1" t="s">
        <v>741</v>
      </c>
      <c r="L2952" s="1" t="s">
        <v>798</v>
      </c>
      <c r="M2952">
        <f t="shared" si="93"/>
        <v>4</v>
      </c>
      <c r="N2952" t="s">
        <v>650</v>
      </c>
    </row>
    <row r="2953" spans="1:14" hidden="1" x14ac:dyDescent="0.3">
      <c r="A2953" s="1" t="s">
        <v>1982</v>
      </c>
      <c r="B2953" s="1" t="s">
        <v>1849</v>
      </c>
      <c r="C2953" s="1" t="s">
        <v>1983</v>
      </c>
      <c r="D2953" s="1" t="s">
        <v>738</v>
      </c>
      <c r="E2953" s="1" t="s">
        <v>739</v>
      </c>
      <c r="F2953" s="1" t="s">
        <v>781</v>
      </c>
      <c r="G2953" s="1" t="s">
        <v>1851</v>
      </c>
      <c r="H2953">
        <v>2013</v>
      </c>
      <c r="I2953">
        <v>2016</v>
      </c>
      <c r="J2953">
        <f t="shared" si="92"/>
        <v>4</v>
      </c>
      <c r="K2953" s="1" t="s">
        <v>741</v>
      </c>
      <c r="L2953" s="1" t="s">
        <v>798</v>
      </c>
      <c r="M2953">
        <f t="shared" si="93"/>
        <v>10</v>
      </c>
      <c r="N2953" t="s">
        <v>650</v>
      </c>
    </row>
    <row r="2954" spans="1:14" hidden="1" x14ac:dyDescent="0.3">
      <c r="A2954" s="1" t="s">
        <v>1984</v>
      </c>
      <c r="B2954" s="1" t="s">
        <v>1849</v>
      </c>
      <c r="C2954" s="1" t="s">
        <v>1985</v>
      </c>
      <c r="D2954" s="1" t="s">
        <v>738</v>
      </c>
      <c r="E2954" s="1" t="s">
        <v>739</v>
      </c>
      <c r="F2954" s="1" t="s">
        <v>781</v>
      </c>
      <c r="G2954" s="1" t="s">
        <v>1851</v>
      </c>
      <c r="H2954">
        <v>2013</v>
      </c>
      <c r="I2954">
        <v>2016</v>
      </c>
      <c r="J2954">
        <f t="shared" si="92"/>
        <v>4</v>
      </c>
      <c r="K2954" s="1" t="s">
        <v>741</v>
      </c>
      <c r="L2954" s="1" t="s">
        <v>798</v>
      </c>
      <c r="M2954">
        <f t="shared" si="93"/>
        <v>10</v>
      </c>
      <c r="N2954" t="s">
        <v>650</v>
      </c>
    </row>
    <row r="2955" spans="1:14" hidden="1" x14ac:dyDescent="0.3">
      <c r="A2955" s="1" t="s">
        <v>1986</v>
      </c>
      <c r="B2955" s="1" t="s">
        <v>1849</v>
      </c>
      <c r="C2955" s="1" t="s">
        <v>1987</v>
      </c>
      <c r="D2955" s="1" t="s">
        <v>738</v>
      </c>
      <c r="E2955" s="1" t="s">
        <v>739</v>
      </c>
      <c r="F2955" s="1" t="s">
        <v>781</v>
      </c>
      <c r="G2955" s="1" t="s">
        <v>1851</v>
      </c>
      <c r="H2955">
        <v>2018</v>
      </c>
      <c r="I2955">
        <v>2019</v>
      </c>
      <c r="J2955">
        <f t="shared" si="92"/>
        <v>2</v>
      </c>
      <c r="K2955" s="1" t="s">
        <v>741</v>
      </c>
      <c r="L2955" s="1" t="s">
        <v>798</v>
      </c>
      <c r="M2955">
        <f t="shared" si="93"/>
        <v>7</v>
      </c>
      <c r="N2955" t="s">
        <v>650</v>
      </c>
    </row>
    <row r="2956" spans="1:14" hidden="1" x14ac:dyDescent="0.3">
      <c r="A2956" s="1" t="s">
        <v>1988</v>
      </c>
      <c r="B2956" s="1" t="s">
        <v>1849</v>
      </c>
      <c r="C2956" s="1" t="s">
        <v>1989</v>
      </c>
      <c r="D2956" s="1" t="s">
        <v>738</v>
      </c>
      <c r="E2956" s="1" t="s">
        <v>739</v>
      </c>
      <c r="F2956" s="1" t="s">
        <v>781</v>
      </c>
      <c r="G2956" s="1" t="s">
        <v>1851</v>
      </c>
      <c r="H2956">
        <v>2019</v>
      </c>
      <c r="I2956">
        <v>2019</v>
      </c>
      <c r="J2956">
        <f t="shared" si="92"/>
        <v>1</v>
      </c>
      <c r="K2956" s="1" t="s">
        <v>741</v>
      </c>
      <c r="L2956" s="1" t="s">
        <v>798</v>
      </c>
      <c r="M2956">
        <f t="shared" si="93"/>
        <v>7</v>
      </c>
      <c r="N2956" t="s">
        <v>650</v>
      </c>
    </row>
    <row r="2957" spans="1:14" hidden="1" x14ac:dyDescent="0.3">
      <c r="A2957" s="1" t="s">
        <v>1990</v>
      </c>
      <c r="B2957" s="1" t="s">
        <v>1849</v>
      </c>
      <c r="C2957" s="1" t="s">
        <v>1991</v>
      </c>
      <c r="D2957" s="1" t="s">
        <v>738</v>
      </c>
      <c r="E2957" s="1" t="s">
        <v>739</v>
      </c>
      <c r="F2957" s="1" t="s">
        <v>781</v>
      </c>
      <c r="G2957" s="1" t="s">
        <v>1851</v>
      </c>
      <c r="H2957">
        <v>2020</v>
      </c>
      <c r="I2957">
        <v>2022</v>
      </c>
      <c r="J2957">
        <f t="shared" si="92"/>
        <v>3</v>
      </c>
      <c r="K2957" s="1" t="s">
        <v>741</v>
      </c>
      <c r="L2957" s="1" t="s">
        <v>798</v>
      </c>
      <c r="M2957">
        <f t="shared" si="93"/>
        <v>4</v>
      </c>
      <c r="N2957" t="s">
        <v>650</v>
      </c>
    </row>
    <row r="2958" spans="1:14" hidden="1" x14ac:dyDescent="0.3">
      <c r="A2958" t="s">
        <v>11648</v>
      </c>
      <c r="B2958" t="s">
        <v>1849</v>
      </c>
      <c r="C2958" t="s">
        <v>11649</v>
      </c>
      <c r="E2958" s="1" t="e">
        <v>#N/A</v>
      </c>
      <c r="F2958" s="1" t="e">
        <v>#N/A</v>
      </c>
      <c r="G2958" s="1" t="s">
        <v>12837</v>
      </c>
      <c r="H2958">
        <v>2022</v>
      </c>
      <c r="I2958">
        <v>2022</v>
      </c>
      <c r="J2958">
        <f t="shared" si="92"/>
        <v>1</v>
      </c>
      <c r="K2958" s="1" t="s">
        <v>741</v>
      </c>
      <c r="L2958" s="1" t="s">
        <v>798</v>
      </c>
      <c r="M2958">
        <f t="shared" si="93"/>
        <v>4</v>
      </c>
    </row>
    <row r="2959" spans="1:14" hidden="1" x14ac:dyDescent="0.3">
      <c r="A2959" s="1" t="s">
        <v>1992</v>
      </c>
      <c r="B2959" s="1" t="s">
        <v>1849</v>
      </c>
      <c r="C2959" s="1" t="s">
        <v>1993</v>
      </c>
      <c r="D2959" s="1" t="s">
        <v>738</v>
      </c>
      <c r="E2959" s="1" t="s">
        <v>739</v>
      </c>
      <c r="F2959" s="1" t="s">
        <v>781</v>
      </c>
      <c r="G2959" s="1" t="s">
        <v>1851</v>
      </c>
      <c r="H2959">
        <v>2020</v>
      </c>
      <c r="I2959">
        <v>2022</v>
      </c>
      <c r="J2959">
        <f t="shared" si="92"/>
        <v>3</v>
      </c>
      <c r="K2959" s="1" t="s">
        <v>741</v>
      </c>
      <c r="L2959" s="1" t="s">
        <v>798</v>
      </c>
      <c r="M2959">
        <f t="shared" si="93"/>
        <v>4</v>
      </c>
      <c r="N2959" t="s">
        <v>650</v>
      </c>
    </row>
    <row r="2960" spans="1:14" hidden="1" x14ac:dyDescent="0.3">
      <c r="A2960" s="1" t="s">
        <v>1994</v>
      </c>
      <c r="B2960" s="1" t="s">
        <v>1849</v>
      </c>
      <c r="C2960" s="1" t="s">
        <v>1995</v>
      </c>
      <c r="D2960" s="1" t="s">
        <v>738</v>
      </c>
      <c r="E2960" s="1" t="s">
        <v>739</v>
      </c>
      <c r="F2960" s="1" t="s">
        <v>781</v>
      </c>
      <c r="G2960" s="1" t="s">
        <v>1851</v>
      </c>
      <c r="H2960">
        <v>2020</v>
      </c>
      <c r="I2960">
        <v>2022</v>
      </c>
      <c r="J2960">
        <f t="shared" si="92"/>
        <v>3</v>
      </c>
      <c r="K2960" s="1" t="s">
        <v>741</v>
      </c>
      <c r="L2960" s="1" t="s">
        <v>798</v>
      </c>
      <c r="M2960">
        <f t="shared" si="93"/>
        <v>4</v>
      </c>
      <c r="N2960" t="s">
        <v>650</v>
      </c>
    </row>
    <row r="2961" spans="1:14" hidden="1" x14ac:dyDescent="0.3">
      <c r="A2961" s="1" t="s">
        <v>1996</v>
      </c>
      <c r="B2961" s="1" t="s">
        <v>1849</v>
      </c>
      <c r="C2961" s="1" t="s">
        <v>1997</v>
      </c>
      <c r="D2961" s="1" t="s">
        <v>738</v>
      </c>
      <c r="E2961" s="1" t="s">
        <v>739</v>
      </c>
      <c r="F2961" s="1" t="s">
        <v>781</v>
      </c>
      <c r="G2961" s="1" t="s">
        <v>1851</v>
      </c>
      <c r="H2961">
        <v>2022</v>
      </c>
      <c r="I2961">
        <v>2022</v>
      </c>
      <c r="J2961">
        <f t="shared" si="92"/>
        <v>1</v>
      </c>
      <c r="K2961" s="1" t="s">
        <v>741</v>
      </c>
      <c r="L2961" s="1" t="s">
        <v>798</v>
      </c>
      <c r="M2961">
        <f t="shared" si="93"/>
        <v>4</v>
      </c>
      <c r="N2961" t="s">
        <v>650</v>
      </c>
    </row>
    <row r="2962" spans="1:14" hidden="1" x14ac:dyDescent="0.3">
      <c r="A2962" s="1" t="s">
        <v>1998</v>
      </c>
      <c r="B2962" s="1" t="s">
        <v>1849</v>
      </c>
      <c r="C2962" s="1" t="s">
        <v>1999</v>
      </c>
      <c r="D2962" s="1" t="s">
        <v>738</v>
      </c>
      <c r="E2962" s="1" t="s">
        <v>739</v>
      </c>
      <c r="F2962" s="1" t="s">
        <v>781</v>
      </c>
      <c r="G2962" s="1" t="s">
        <v>1851</v>
      </c>
      <c r="H2962">
        <v>2022</v>
      </c>
      <c r="I2962">
        <v>2022</v>
      </c>
      <c r="J2962">
        <f t="shared" si="92"/>
        <v>1</v>
      </c>
      <c r="K2962" s="1" t="s">
        <v>741</v>
      </c>
      <c r="L2962" s="1" t="s">
        <v>798</v>
      </c>
      <c r="M2962">
        <f t="shared" si="93"/>
        <v>4</v>
      </c>
      <c r="N2962" t="s">
        <v>650</v>
      </c>
    </row>
    <row r="2963" spans="1:14" hidden="1" x14ac:dyDescent="0.3">
      <c r="A2963" s="1" t="s">
        <v>2000</v>
      </c>
      <c r="B2963" s="1" t="s">
        <v>1849</v>
      </c>
      <c r="C2963" s="1" t="s">
        <v>2001</v>
      </c>
      <c r="D2963" s="1" t="s">
        <v>746</v>
      </c>
      <c r="E2963" s="1" t="s">
        <v>747</v>
      </c>
      <c r="F2963" s="1" t="s">
        <v>1348</v>
      </c>
      <c r="G2963" s="1" t="s">
        <v>1851</v>
      </c>
      <c r="H2963">
        <v>2020</v>
      </c>
      <c r="I2963">
        <v>2022</v>
      </c>
      <c r="J2963">
        <f t="shared" si="92"/>
        <v>3</v>
      </c>
      <c r="K2963" s="1" t="s">
        <v>741</v>
      </c>
      <c r="L2963" s="1" t="s">
        <v>798</v>
      </c>
      <c r="M2963">
        <f t="shared" si="93"/>
        <v>4</v>
      </c>
      <c r="N2963" t="s">
        <v>650</v>
      </c>
    </row>
    <row r="2964" spans="1:14" hidden="1" x14ac:dyDescent="0.3">
      <c r="A2964" s="1" t="s">
        <v>2002</v>
      </c>
      <c r="B2964" s="1" t="s">
        <v>1849</v>
      </c>
      <c r="C2964" s="1" t="s">
        <v>2003</v>
      </c>
      <c r="D2964" s="1" t="s">
        <v>746</v>
      </c>
      <c r="E2964" s="1" t="s">
        <v>747</v>
      </c>
      <c r="F2964" s="1" t="s">
        <v>1348</v>
      </c>
      <c r="G2964" s="1" t="s">
        <v>1851</v>
      </c>
      <c r="H2964">
        <v>2020</v>
      </c>
      <c r="I2964">
        <v>2022</v>
      </c>
      <c r="J2964">
        <f t="shared" si="92"/>
        <v>3</v>
      </c>
      <c r="K2964" s="1" t="s">
        <v>741</v>
      </c>
      <c r="L2964" s="1" t="s">
        <v>798</v>
      </c>
      <c r="M2964">
        <f t="shared" si="93"/>
        <v>4</v>
      </c>
      <c r="N2964" t="s">
        <v>650</v>
      </c>
    </row>
    <row r="2965" spans="1:14" hidden="1" x14ac:dyDescent="0.3">
      <c r="A2965" s="1" t="s">
        <v>2004</v>
      </c>
      <c r="B2965" s="1" t="s">
        <v>1849</v>
      </c>
      <c r="C2965" s="1" t="s">
        <v>2005</v>
      </c>
      <c r="D2965" s="1" t="s">
        <v>746</v>
      </c>
      <c r="E2965" s="1" t="s">
        <v>747</v>
      </c>
      <c r="F2965" s="1" t="s">
        <v>1348</v>
      </c>
      <c r="G2965" s="1" t="s">
        <v>1851</v>
      </c>
      <c r="H2965">
        <v>2022</v>
      </c>
      <c r="I2965">
        <v>2022</v>
      </c>
      <c r="J2965">
        <f t="shared" si="92"/>
        <v>1</v>
      </c>
      <c r="K2965" s="1" t="s">
        <v>741</v>
      </c>
      <c r="L2965" s="1" t="s">
        <v>798</v>
      </c>
      <c r="M2965">
        <f t="shared" si="93"/>
        <v>4</v>
      </c>
      <c r="N2965" t="s">
        <v>650</v>
      </c>
    </row>
    <row r="2966" spans="1:14" hidden="1" x14ac:dyDescent="0.3">
      <c r="A2966" s="1" t="s">
        <v>2006</v>
      </c>
      <c r="B2966" s="1" t="s">
        <v>1849</v>
      </c>
      <c r="C2966" s="1" t="s">
        <v>2007</v>
      </c>
      <c r="D2966" s="1" t="s">
        <v>746</v>
      </c>
      <c r="E2966" s="1" t="s">
        <v>747</v>
      </c>
      <c r="F2966" s="1" t="s">
        <v>1348</v>
      </c>
      <c r="G2966" s="1" t="s">
        <v>1851</v>
      </c>
      <c r="H2966">
        <v>2020</v>
      </c>
      <c r="I2966">
        <v>2022</v>
      </c>
      <c r="J2966">
        <f t="shared" si="92"/>
        <v>3</v>
      </c>
      <c r="K2966" s="1" t="s">
        <v>741</v>
      </c>
      <c r="L2966" s="1" t="s">
        <v>798</v>
      </c>
      <c r="M2966">
        <f t="shared" si="93"/>
        <v>4</v>
      </c>
      <c r="N2966" t="s">
        <v>650</v>
      </c>
    </row>
    <row r="2967" spans="1:14" hidden="1" x14ac:dyDescent="0.3">
      <c r="A2967" s="1" t="s">
        <v>2008</v>
      </c>
      <c r="B2967" s="1" t="s">
        <v>1849</v>
      </c>
      <c r="C2967" s="1" t="s">
        <v>2009</v>
      </c>
      <c r="D2967" s="1" t="s">
        <v>746</v>
      </c>
      <c r="E2967" s="1" t="s">
        <v>747</v>
      </c>
      <c r="F2967" s="1" t="s">
        <v>1348</v>
      </c>
      <c r="G2967" s="1" t="s">
        <v>1851</v>
      </c>
      <c r="H2967">
        <v>2013</v>
      </c>
      <c r="I2967">
        <v>2019</v>
      </c>
      <c r="J2967">
        <f t="shared" si="92"/>
        <v>7</v>
      </c>
      <c r="K2967" s="1" t="s">
        <v>741</v>
      </c>
      <c r="L2967" s="1" t="s">
        <v>798</v>
      </c>
      <c r="M2967">
        <f t="shared" si="93"/>
        <v>7</v>
      </c>
      <c r="N2967" t="s">
        <v>650</v>
      </c>
    </row>
    <row r="2968" spans="1:14" hidden="1" x14ac:dyDescent="0.3">
      <c r="A2968" s="1" t="s">
        <v>2010</v>
      </c>
      <c r="B2968" s="1" t="s">
        <v>1849</v>
      </c>
      <c r="C2968" s="1" t="s">
        <v>2011</v>
      </c>
      <c r="D2968" s="1" t="s">
        <v>746</v>
      </c>
      <c r="E2968" s="1" t="s">
        <v>747</v>
      </c>
      <c r="F2968" s="1" t="s">
        <v>1348</v>
      </c>
      <c r="G2968" s="1" t="s">
        <v>1851</v>
      </c>
      <c r="H2968">
        <v>2013</v>
      </c>
      <c r="I2968">
        <v>2014</v>
      </c>
      <c r="J2968">
        <f t="shared" si="92"/>
        <v>2</v>
      </c>
      <c r="K2968" s="1" t="s">
        <v>741</v>
      </c>
      <c r="L2968" s="1" t="s">
        <v>798</v>
      </c>
      <c r="M2968">
        <f t="shared" si="93"/>
        <v>12</v>
      </c>
      <c r="N2968" t="s">
        <v>650</v>
      </c>
    </row>
    <row r="2969" spans="1:14" hidden="1" x14ac:dyDescent="0.3">
      <c r="A2969" s="1" t="s">
        <v>2012</v>
      </c>
      <c r="B2969" s="1" t="s">
        <v>1849</v>
      </c>
      <c r="C2969" s="1" t="s">
        <v>2013</v>
      </c>
      <c r="D2969" s="1" t="s">
        <v>746</v>
      </c>
      <c r="E2969" s="1" t="s">
        <v>747</v>
      </c>
      <c r="F2969" s="1" t="s">
        <v>1348</v>
      </c>
      <c r="G2969" s="1" t="s">
        <v>1851</v>
      </c>
      <c r="H2969">
        <v>2013</v>
      </c>
      <c r="I2969">
        <v>2019</v>
      </c>
      <c r="J2969">
        <f t="shared" si="92"/>
        <v>7</v>
      </c>
      <c r="K2969" s="1" t="s">
        <v>741</v>
      </c>
      <c r="L2969" s="1" t="s">
        <v>798</v>
      </c>
      <c r="M2969">
        <f t="shared" si="93"/>
        <v>7</v>
      </c>
      <c r="N2969" t="s">
        <v>650</v>
      </c>
    </row>
    <row r="2970" spans="1:14" hidden="1" x14ac:dyDescent="0.3">
      <c r="A2970" s="1" t="s">
        <v>2014</v>
      </c>
      <c r="B2970" s="1" t="s">
        <v>1849</v>
      </c>
      <c r="C2970" s="1" t="s">
        <v>2015</v>
      </c>
      <c r="D2970" s="1" t="s">
        <v>746</v>
      </c>
      <c r="E2970" s="1" t="s">
        <v>747</v>
      </c>
      <c r="F2970" s="1" t="s">
        <v>1348</v>
      </c>
      <c r="G2970" s="1" t="s">
        <v>1851</v>
      </c>
      <c r="H2970">
        <v>2013</v>
      </c>
      <c r="I2970">
        <v>2019</v>
      </c>
      <c r="J2970">
        <f t="shared" si="92"/>
        <v>7</v>
      </c>
      <c r="K2970" s="1" t="s">
        <v>741</v>
      </c>
      <c r="L2970" s="1" t="s">
        <v>798</v>
      </c>
      <c r="M2970">
        <f t="shared" si="93"/>
        <v>7</v>
      </c>
      <c r="N2970" t="s">
        <v>650</v>
      </c>
    </row>
    <row r="2971" spans="1:14" hidden="1" x14ac:dyDescent="0.3">
      <c r="A2971" s="1" t="s">
        <v>2016</v>
      </c>
      <c r="B2971" s="1" t="s">
        <v>1849</v>
      </c>
      <c r="C2971" s="1" t="s">
        <v>2017</v>
      </c>
      <c r="D2971" s="1" t="s">
        <v>746</v>
      </c>
      <c r="E2971" s="1" t="s">
        <v>747</v>
      </c>
      <c r="F2971" s="1" t="s">
        <v>1348</v>
      </c>
      <c r="G2971" s="1" t="s">
        <v>1851</v>
      </c>
      <c r="H2971">
        <v>2020</v>
      </c>
      <c r="I2971">
        <v>2022</v>
      </c>
      <c r="J2971">
        <f t="shared" si="92"/>
        <v>3</v>
      </c>
      <c r="K2971" s="1" t="s">
        <v>741</v>
      </c>
      <c r="L2971" s="1" t="s">
        <v>798</v>
      </c>
      <c r="M2971">
        <f t="shared" si="93"/>
        <v>4</v>
      </c>
      <c r="N2971" t="s">
        <v>650</v>
      </c>
    </row>
    <row r="2972" spans="1:14" hidden="1" x14ac:dyDescent="0.3">
      <c r="A2972" s="1" t="s">
        <v>2018</v>
      </c>
      <c r="B2972" s="1" t="s">
        <v>1849</v>
      </c>
      <c r="C2972" s="1" t="s">
        <v>2019</v>
      </c>
      <c r="D2972" s="1" t="s">
        <v>746</v>
      </c>
      <c r="E2972" s="1" t="s">
        <v>747</v>
      </c>
      <c r="F2972" s="1" t="s">
        <v>1348</v>
      </c>
      <c r="G2972" s="1" t="s">
        <v>1851</v>
      </c>
      <c r="H2972">
        <v>2020</v>
      </c>
      <c r="I2972">
        <v>2022</v>
      </c>
      <c r="J2972">
        <f t="shared" si="92"/>
        <v>3</v>
      </c>
      <c r="K2972" s="1" t="s">
        <v>741</v>
      </c>
      <c r="L2972" s="1" t="s">
        <v>798</v>
      </c>
      <c r="M2972">
        <f t="shared" si="93"/>
        <v>4</v>
      </c>
      <c r="N2972" t="s">
        <v>650</v>
      </c>
    </row>
    <row r="2973" spans="1:14" hidden="1" x14ac:dyDescent="0.3">
      <c r="A2973" t="s">
        <v>12331</v>
      </c>
      <c r="B2973" t="s">
        <v>1205</v>
      </c>
      <c r="C2973" t="s">
        <v>12332</v>
      </c>
      <c r="E2973" s="1" t="e">
        <v>#N/A</v>
      </c>
      <c r="F2973" s="1" t="e">
        <v>#N/A</v>
      </c>
      <c r="G2973" s="1" t="s">
        <v>12884</v>
      </c>
      <c r="H2973">
        <v>2025</v>
      </c>
      <c r="I2973">
        <v>2026</v>
      </c>
      <c r="J2973">
        <f t="shared" si="92"/>
        <v>2</v>
      </c>
      <c r="K2973" s="1" t="s">
        <v>12912</v>
      </c>
      <c r="L2973" s="1" t="s">
        <v>12912</v>
      </c>
      <c r="M2973">
        <f t="shared" si="93"/>
        <v>0</v>
      </c>
    </row>
    <row r="2974" spans="1:14" x14ac:dyDescent="0.3">
      <c r="A2974" s="1" t="s">
        <v>8377</v>
      </c>
      <c r="B2974" s="1" t="s">
        <v>1205</v>
      </c>
      <c r="C2974" s="1" t="s">
        <v>8378</v>
      </c>
      <c r="D2974" s="1" t="s">
        <v>1242</v>
      </c>
      <c r="E2974" s="1" t="s">
        <v>6076</v>
      </c>
      <c r="F2974" s="1" t="s">
        <v>6076</v>
      </c>
      <c r="G2974" s="1" t="s">
        <v>5189</v>
      </c>
      <c r="H2974">
        <v>1992</v>
      </c>
      <c r="I2974">
        <v>1996</v>
      </c>
      <c r="J2974">
        <f t="shared" si="92"/>
        <v>5</v>
      </c>
      <c r="K2974" s="1" t="s">
        <v>6076</v>
      </c>
      <c r="L2974" s="1" t="s">
        <v>6076</v>
      </c>
      <c r="M2974">
        <f t="shared" si="93"/>
        <v>30</v>
      </c>
      <c r="N2974" t="s">
        <v>640</v>
      </c>
    </row>
    <row r="2975" spans="1:14" x14ac:dyDescent="0.3">
      <c r="A2975" s="1" t="s">
        <v>8379</v>
      </c>
      <c r="B2975" s="1" t="s">
        <v>1205</v>
      </c>
      <c r="C2975" s="1" t="s">
        <v>8380</v>
      </c>
      <c r="D2975" s="1" t="s">
        <v>1242</v>
      </c>
      <c r="E2975" s="1" t="s">
        <v>6076</v>
      </c>
      <c r="F2975" s="1" t="s">
        <v>6076</v>
      </c>
      <c r="G2975" s="1" t="s">
        <v>5189</v>
      </c>
      <c r="H2975">
        <v>1997</v>
      </c>
      <c r="I2975">
        <v>1999</v>
      </c>
      <c r="J2975">
        <f t="shared" si="92"/>
        <v>3</v>
      </c>
      <c r="K2975" s="1" t="s">
        <v>6076</v>
      </c>
      <c r="L2975" s="1" t="s">
        <v>6076</v>
      </c>
      <c r="M2975">
        <f t="shared" si="93"/>
        <v>27</v>
      </c>
      <c r="N2975" t="s">
        <v>640</v>
      </c>
    </row>
    <row r="2976" spans="1:14" x14ac:dyDescent="0.3">
      <c r="A2976" s="1" t="s">
        <v>8381</v>
      </c>
      <c r="B2976" s="1" t="s">
        <v>1205</v>
      </c>
      <c r="C2976" s="1" t="s">
        <v>8382</v>
      </c>
      <c r="D2976" s="1" t="s">
        <v>1242</v>
      </c>
      <c r="E2976" s="1" t="s">
        <v>6076</v>
      </c>
      <c r="F2976" s="1" t="s">
        <v>6076</v>
      </c>
      <c r="G2976" s="1" t="s">
        <v>5189</v>
      </c>
      <c r="H2976">
        <v>1992</v>
      </c>
      <c r="I2976">
        <v>1998</v>
      </c>
      <c r="J2976">
        <f t="shared" si="92"/>
        <v>7</v>
      </c>
      <c r="K2976" s="1" t="s">
        <v>6076</v>
      </c>
      <c r="L2976" s="1" t="s">
        <v>6076</v>
      </c>
      <c r="M2976">
        <f t="shared" si="93"/>
        <v>28</v>
      </c>
      <c r="N2976" t="s">
        <v>640</v>
      </c>
    </row>
    <row r="2977" spans="1:14" hidden="1" x14ac:dyDescent="0.3">
      <c r="A2977" s="1" t="s">
        <v>5187</v>
      </c>
      <c r="B2977" s="1" t="s">
        <v>1205</v>
      </c>
      <c r="C2977" s="1" t="s">
        <v>5188</v>
      </c>
      <c r="D2977" s="1" t="s">
        <v>1242</v>
      </c>
      <c r="E2977" s="1" t="s">
        <v>4250</v>
      </c>
      <c r="F2977" s="1" t="s">
        <v>4251</v>
      </c>
      <c r="G2977" s="1" t="s">
        <v>5189</v>
      </c>
      <c r="H2977">
        <v>2013</v>
      </c>
      <c r="I2977">
        <v>2015</v>
      </c>
      <c r="J2977">
        <f t="shared" si="92"/>
        <v>3</v>
      </c>
      <c r="K2977" s="1" t="s">
        <v>4668</v>
      </c>
      <c r="L2977" s="1" t="s">
        <v>666</v>
      </c>
      <c r="M2977">
        <f t="shared" si="93"/>
        <v>11</v>
      </c>
      <c r="N2977" t="s">
        <v>650</v>
      </c>
    </row>
    <row r="2978" spans="1:14" hidden="1" x14ac:dyDescent="0.3">
      <c r="A2978" t="s">
        <v>12333</v>
      </c>
      <c r="B2978" t="s">
        <v>1205</v>
      </c>
      <c r="C2978" t="s">
        <v>12334</v>
      </c>
      <c r="E2978" s="1" t="e">
        <v>#N/A</v>
      </c>
      <c r="F2978" s="1" t="e">
        <v>#N/A</v>
      </c>
      <c r="G2978" s="1" t="s">
        <v>12330</v>
      </c>
      <c r="H2978">
        <v>2024</v>
      </c>
      <c r="I2978">
        <v>2026</v>
      </c>
      <c r="J2978">
        <f t="shared" si="92"/>
        <v>3</v>
      </c>
      <c r="K2978" s="1" t="s">
        <v>4668</v>
      </c>
      <c r="L2978" s="1" t="s">
        <v>659</v>
      </c>
      <c r="M2978">
        <f t="shared" si="93"/>
        <v>0</v>
      </c>
    </row>
    <row r="2979" spans="1:14" hidden="1" x14ac:dyDescent="0.3">
      <c r="A2979" s="1" t="s">
        <v>5190</v>
      </c>
      <c r="B2979" s="1" t="s">
        <v>1205</v>
      </c>
      <c r="C2979" s="1" t="s">
        <v>5191</v>
      </c>
      <c r="D2979" s="1" t="s">
        <v>1242</v>
      </c>
      <c r="E2979" s="1" t="s">
        <v>4250</v>
      </c>
      <c r="F2979" s="1" t="s">
        <v>4251</v>
      </c>
      <c r="G2979" s="1" t="s">
        <v>5189</v>
      </c>
      <c r="H2979">
        <v>1992</v>
      </c>
      <c r="I2979">
        <v>2022</v>
      </c>
      <c r="J2979">
        <f t="shared" si="92"/>
        <v>31</v>
      </c>
      <c r="K2979" s="1" t="s">
        <v>4668</v>
      </c>
      <c r="L2979" s="1" t="s">
        <v>666</v>
      </c>
      <c r="M2979">
        <f t="shared" si="93"/>
        <v>4</v>
      </c>
      <c r="N2979" t="s">
        <v>650</v>
      </c>
    </row>
    <row r="2980" spans="1:14" hidden="1" x14ac:dyDescent="0.3">
      <c r="A2980" t="s">
        <v>12335</v>
      </c>
      <c r="B2980" t="s">
        <v>1205</v>
      </c>
      <c r="C2980" t="s">
        <v>12336</v>
      </c>
      <c r="E2980" s="1" t="e">
        <v>#N/A</v>
      </c>
      <c r="F2980" s="1" t="e">
        <v>#N/A</v>
      </c>
      <c r="G2980" s="1" t="s">
        <v>12330</v>
      </c>
      <c r="H2980">
        <v>2023</v>
      </c>
      <c r="I2980">
        <v>2024</v>
      </c>
      <c r="J2980">
        <f t="shared" si="92"/>
        <v>2</v>
      </c>
      <c r="K2980" s="1" t="s">
        <v>4668</v>
      </c>
      <c r="L2980" s="1" t="s">
        <v>659</v>
      </c>
      <c r="M2980">
        <f t="shared" si="93"/>
        <v>2</v>
      </c>
    </row>
    <row r="2981" spans="1:14" hidden="1" x14ac:dyDescent="0.3">
      <c r="A2981" s="1" t="s">
        <v>5192</v>
      </c>
      <c r="B2981" s="1" t="s">
        <v>1205</v>
      </c>
      <c r="C2981" s="1" t="s">
        <v>5193</v>
      </c>
      <c r="D2981" s="1" t="s">
        <v>1242</v>
      </c>
      <c r="E2981" s="1" t="s">
        <v>4250</v>
      </c>
      <c r="F2981" s="1" t="s">
        <v>4251</v>
      </c>
      <c r="G2981" s="1" t="s">
        <v>5189</v>
      </c>
      <c r="H2981">
        <v>2006</v>
      </c>
      <c r="I2981">
        <v>2011</v>
      </c>
      <c r="J2981">
        <f t="shared" si="92"/>
        <v>6</v>
      </c>
      <c r="K2981" s="1" t="s">
        <v>4668</v>
      </c>
      <c r="L2981" s="1" t="s">
        <v>666</v>
      </c>
      <c r="M2981">
        <f t="shared" si="93"/>
        <v>15</v>
      </c>
      <c r="N2981" t="s">
        <v>650</v>
      </c>
    </row>
    <row r="2982" spans="1:14" hidden="1" x14ac:dyDescent="0.3">
      <c r="A2982" s="1" t="s">
        <v>5194</v>
      </c>
      <c r="B2982" s="1" t="s">
        <v>1205</v>
      </c>
      <c r="C2982" s="1" t="s">
        <v>5195</v>
      </c>
      <c r="D2982" s="1" t="s">
        <v>1242</v>
      </c>
      <c r="E2982" s="1" t="s">
        <v>4250</v>
      </c>
      <c r="F2982" s="1" t="s">
        <v>4251</v>
      </c>
      <c r="G2982" s="1" t="s">
        <v>5189</v>
      </c>
      <c r="H2982">
        <v>2006</v>
      </c>
      <c r="I2982">
        <v>2011</v>
      </c>
      <c r="J2982">
        <f t="shared" si="92"/>
        <v>6</v>
      </c>
      <c r="K2982" s="1" t="s">
        <v>4668</v>
      </c>
      <c r="L2982" s="1" t="s">
        <v>666</v>
      </c>
      <c r="M2982">
        <f t="shared" si="93"/>
        <v>15</v>
      </c>
      <c r="N2982" t="s">
        <v>650</v>
      </c>
    </row>
    <row r="2983" spans="1:14" hidden="1" x14ac:dyDescent="0.3">
      <c r="A2983" s="1" t="s">
        <v>5196</v>
      </c>
      <c r="B2983" s="1" t="s">
        <v>1205</v>
      </c>
      <c r="C2983" s="1" t="s">
        <v>5197</v>
      </c>
      <c r="D2983" s="1" t="s">
        <v>1242</v>
      </c>
      <c r="E2983" s="1" t="s">
        <v>4250</v>
      </c>
      <c r="F2983" s="1" t="s">
        <v>4251</v>
      </c>
      <c r="G2983" s="1" t="s">
        <v>5189</v>
      </c>
      <c r="H2983">
        <v>2012</v>
      </c>
      <c r="I2983">
        <v>2015</v>
      </c>
      <c r="J2983">
        <f t="shared" si="92"/>
        <v>4</v>
      </c>
      <c r="K2983" s="1" t="s">
        <v>4668</v>
      </c>
      <c r="L2983" s="1" t="s">
        <v>666</v>
      </c>
      <c r="M2983">
        <f t="shared" si="93"/>
        <v>11</v>
      </c>
      <c r="N2983" t="s">
        <v>650</v>
      </c>
    </row>
    <row r="2984" spans="1:14" x14ac:dyDescent="0.3">
      <c r="A2984" s="1" t="s">
        <v>8383</v>
      </c>
      <c r="B2984" s="1" t="s">
        <v>1205</v>
      </c>
      <c r="C2984" s="1" t="s">
        <v>8384</v>
      </c>
      <c r="D2984" s="1" t="s">
        <v>1242</v>
      </c>
      <c r="E2984" s="1" t="s">
        <v>6076</v>
      </c>
      <c r="F2984" s="1" t="s">
        <v>6076</v>
      </c>
      <c r="G2984" s="1" t="s">
        <v>5189</v>
      </c>
      <c r="H2984">
        <v>1997</v>
      </c>
      <c r="I2984">
        <v>1999</v>
      </c>
      <c r="J2984">
        <f t="shared" si="92"/>
        <v>3</v>
      </c>
      <c r="K2984" s="1" t="s">
        <v>6076</v>
      </c>
      <c r="L2984" s="1" t="s">
        <v>6076</v>
      </c>
      <c r="M2984">
        <f t="shared" si="93"/>
        <v>27</v>
      </c>
      <c r="N2984" t="s">
        <v>640</v>
      </c>
    </row>
    <row r="2985" spans="1:14" x14ac:dyDescent="0.3">
      <c r="A2985" s="1" t="s">
        <v>8385</v>
      </c>
      <c r="B2985" s="1" t="s">
        <v>1205</v>
      </c>
      <c r="C2985" s="1" t="s">
        <v>8386</v>
      </c>
      <c r="D2985" s="1" t="s">
        <v>1242</v>
      </c>
      <c r="E2985" s="1" t="s">
        <v>6076</v>
      </c>
      <c r="F2985" s="1" t="s">
        <v>6076</v>
      </c>
      <c r="G2985" s="1" t="s">
        <v>5189</v>
      </c>
      <c r="H2985">
        <v>1997</v>
      </c>
      <c r="I2985">
        <v>2001</v>
      </c>
      <c r="J2985">
        <f t="shared" si="92"/>
        <v>5</v>
      </c>
      <c r="K2985" s="1" t="s">
        <v>6076</v>
      </c>
      <c r="L2985" s="1" t="s">
        <v>6076</v>
      </c>
      <c r="M2985">
        <f t="shared" si="93"/>
        <v>25</v>
      </c>
      <c r="N2985" t="s">
        <v>640</v>
      </c>
    </row>
    <row r="2986" spans="1:14" x14ac:dyDescent="0.3">
      <c r="A2986" s="1" t="s">
        <v>8387</v>
      </c>
      <c r="B2986" s="1" t="s">
        <v>1205</v>
      </c>
      <c r="C2986" s="1" t="s">
        <v>8388</v>
      </c>
      <c r="D2986" s="1" t="s">
        <v>1242</v>
      </c>
      <c r="E2986" s="1" t="s">
        <v>6076</v>
      </c>
      <c r="F2986" s="1" t="s">
        <v>6076</v>
      </c>
      <c r="G2986" s="1" t="s">
        <v>5189</v>
      </c>
      <c r="H2986">
        <v>2002</v>
      </c>
      <c r="I2986">
        <v>2003</v>
      </c>
      <c r="J2986">
        <f t="shared" si="92"/>
        <v>2</v>
      </c>
      <c r="K2986" s="1" t="s">
        <v>6076</v>
      </c>
      <c r="L2986" s="1" t="s">
        <v>6076</v>
      </c>
      <c r="M2986">
        <f t="shared" si="93"/>
        <v>23</v>
      </c>
      <c r="N2986" t="s">
        <v>650</v>
      </c>
    </row>
    <row r="2987" spans="1:14" x14ac:dyDescent="0.3">
      <c r="A2987" s="1" t="s">
        <v>8389</v>
      </c>
      <c r="B2987" s="1" t="s">
        <v>1205</v>
      </c>
      <c r="C2987" s="1" t="s">
        <v>8390</v>
      </c>
      <c r="D2987" s="1" t="s">
        <v>1242</v>
      </c>
      <c r="E2987" s="1" t="s">
        <v>6076</v>
      </c>
      <c r="F2987" s="1" t="s">
        <v>6076</v>
      </c>
      <c r="G2987" s="1" t="s">
        <v>5189</v>
      </c>
      <c r="H2987">
        <v>2002</v>
      </c>
      <c r="I2987">
        <v>2005</v>
      </c>
      <c r="J2987">
        <f t="shared" si="92"/>
        <v>4</v>
      </c>
      <c r="K2987" s="1" t="s">
        <v>6076</v>
      </c>
      <c r="L2987" s="1" t="s">
        <v>6076</v>
      </c>
      <c r="M2987">
        <f t="shared" si="93"/>
        <v>21</v>
      </c>
      <c r="N2987" t="s">
        <v>650</v>
      </c>
    </row>
    <row r="2988" spans="1:14" x14ac:dyDescent="0.3">
      <c r="A2988" s="1" t="s">
        <v>8391</v>
      </c>
      <c r="B2988" s="1" t="s">
        <v>1205</v>
      </c>
      <c r="C2988" s="1" t="s">
        <v>8392</v>
      </c>
      <c r="D2988" s="1" t="s">
        <v>1242</v>
      </c>
      <c r="E2988" s="1" t="s">
        <v>6076</v>
      </c>
      <c r="F2988" s="1" t="s">
        <v>6076</v>
      </c>
      <c r="G2988" s="1" t="s">
        <v>5189</v>
      </c>
      <c r="H2988">
        <v>2002</v>
      </c>
      <c r="I2988">
        <v>2005</v>
      </c>
      <c r="J2988">
        <f t="shared" si="92"/>
        <v>4</v>
      </c>
      <c r="K2988" s="1" t="s">
        <v>6076</v>
      </c>
      <c r="L2988" s="1" t="s">
        <v>6076</v>
      </c>
      <c r="M2988">
        <f t="shared" si="93"/>
        <v>21</v>
      </c>
      <c r="N2988" t="s">
        <v>650</v>
      </c>
    </row>
    <row r="2989" spans="1:14" hidden="1" x14ac:dyDescent="0.3">
      <c r="A2989" s="1" t="s">
        <v>5198</v>
      </c>
      <c r="B2989" s="1" t="s">
        <v>1205</v>
      </c>
      <c r="C2989" s="1" t="s">
        <v>5199</v>
      </c>
      <c r="D2989" s="1" t="s">
        <v>1242</v>
      </c>
      <c r="E2989" s="1" t="s">
        <v>4250</v>
      </c>
      <c r="F2989" s="1" t="s">
        <v>4251</v>
      </c>
      <c r="G2989" s="1" t="s">
        <v>5189</v>
      </c>
      <c r="H2989">
        <v>2019</v>
      </c>
      <c r="I2989">
        <v>2022</v>
      </c>
      <c r="J2989">
        <f t="shared" si="92"/>
        <v>4</v>
      </c>
      <c r="K2989" s="1" t="s">
        <v>4668</v>
      </c>
      <c r="L2989" s="1" t="s">
        <v>666</v>
      </c>
      <c r="M2989">
        <f t="shared" si="93"/>
        <v>4</v>
      </c>
      <c r="N2989" t="s">
        <v>650</v>
      </c>
    </row>
    <row r="2990" spans="1:14" hidden="1" x14ac:dyDescent="0.3">
      <c r="A2990" s="1" t="s">
        <v>5200</v>
      </c>
      <c r="B2990" s="1" t="s">
        <v>1205</v>
      </c>
      <c r="C2990" s="1" t="s">
        <v>5201</v>
      </c>
      <c r="D2990" s="1" t="s">
        <v>1242</v>
      </c>
      <c r="E2990" s="1" t="s">
        <v>4250</v>
      </c>
      <c r="F2990" s="1" t="s">
        <v>4251</v>
      </c>
      <c r="G2990" s="1" t="s">
        <v>5189</v>
      </c>
      <c r="H2990">
        <v>2020</v>
      </c>
      <c r="I2990">
        <v>2022</v>
      </c>
      <c r="J2990">
        <f t="shared" si="92"/>
        <v>3</v>
      </c>
      <c r="K2990" s="1" t="s">
        <v>4668</v>
      </c>
      <c r="L2990" s="1" t="s">
        <v>666</v>
      </c>
      <c r="M2990">
        <f t="shared" si="93"/>
        <v>4</v>
      </c>
      <c r="N2990" t="s">
        <v>650</v>
      </c>
    </row>
    <row r="2991" spans="1:14" hidden="1" x14ac:dyDescent="0.3">
      <c r="A2991" s="1" t="s">
        <v>5202</v>
      </c>
      <c r="B2991" s="1" t="s">
        <v>1205</v>
      </c>
      <c r="C2991" s="1" t="s">
        <v>5203</v>
      </c>
      <c r="D2991" s="1" t="s">
        <v>1242</v>
      </c>
      <c r="E2991" s="1" t="s">
        <v>4250</v>
      </c>
      <c r="F2991" s="1" t="s">
        <v>4251</v>
      </c>
      <c r="G2991" s="1" t="s">
        <v>5189</v>
      </c>
      <c r="H2991">
        <v>2015</v>
      </c>
      <c r="I2991">
        <v>2015</v>
      </c>
      <c r="J2991">
        <f t="shared" si="92"/>
        <v>1</v>
      </c>
      <c r="K2991" s="1" t="s">
        <v>4668</v>
      </c>
      <c r="L2991" s="1" t="s">
        <v>666</v>
      </c>
      <c r="M2991">
        <f t="shared" si="93"/>
        <v>11</v>
      </c>
      <c r="N2991" t="s">
        <v>650</v>
      </c>
    </row>
    <row r="2992" spans="1:14" hidden="1" x14ac:dyDescent="0.3">
      <c r="A2992" s="1" t="s">
        <v>5204</v>
      </c>
      <c r="B2992" s="1" t="s">
        <v>1205</v>
      </c>
      <c r="C2992" s="1" t="s">
        <v>5205</v>
      </c>
      <c r="D2992" s="1" t="s">
        <v>1242</v>
      </c>
      <c r="E2992" s="1" t="s">
        <v>4250</v>
      </c>
      <c r="F2992" s="1" t="s">
        <v>4251</v>
      </c>
      <c r="G2992" s="1" t="s">
        <v>5189</v>
      </c>
      <c r="H2992">
        <v>2010</v>
      </c>
      <c r="I2992">
        <v>2022</v>
      </c>
      <c r="J2992">
        <f t="shared" si="92"/>
        <v>13</v>
      </c>
      <c r="K2992" s="1" t="s">
        <v>4668</v>
      </c>
      <c r="L2992" s="1" t="s">
        <v>666</v>
      </c>
      <c r="M2992">
        <f t="shared" si="93"/>
        <v>4</v>
      </c>
      <c r="N2992" t="s">
        <v>650</v>
      </c>
    </row>
    <row r="2993" spans="1:14" hidden="1" x14ac:dyDescent="0.3">
      <c r="A2993" s="1" t="s">
        <v>5206</v>
      </c>
      <c r="B2993" s="1" t="s">
        <v>1205</v>
      </c>
      <c r="C2993" s="1" t="s">
        <v>5207</v>
      </c>
      <c r="D2993" s="1" t="s">
        <v>1242</v>
      </c>
      <c r="E2993" s="1" t="s">
        <v>4250</v>
      </c>
      <c r="F2993" s="1" t="s">
        <v>4251</v>
      </c>
      <c r="G2993" s="1" t="s">
        <v>5189</v>
      </c>
      <c r="H2993">
        <v>2009</v>
      </c>
      <c r="I2993">
        <v>2022</v>
      </c>
      <c r="J2993">
        <f t="shared" si="92"/>
        <v>14</v>
      </c>
      <c r="K2993" s="1" t="s">
        <v>4668</v>
      </c>
      <c r="L2993" s="1" t="s">
        <v>666</v>
      </c>
      <c r="M2993">
        <f t="shared" si="93"/>
        <v>4</v>
      </c>
      <c r="N2993" t="s">
        <v>650</v>
      </c>
    </row>
    <row r="2994" spans="1:14" hidden="1" x14ac:dyDescent="0.3">
      <c r="A2994" s="1" t="s">
        <v>5208</v>
      </c>
      <c r="B2994" s="1" t="s">
        <v>1205</v>
      </c>
      <c r="C2994" s="1" t="s">
        <v>5209</v>
      </c>
      <c r="D2994" s="1" t="s">
        <v>1242</v>
      </c>
      <c r="E2994" s="1" t="s">
        <v>4250</v>
      </c>
      <c r="F2994" s="1" t="s">
        <v>4251</v>
      </c>
      <c r="G2994" s="1" t="s">
        <v>5189</v>
      </c>
      <c r="H2994">
        <v>2016</v>
      </c>
      <c r="I2994">
        <v>2022</v>
      </c>
      <c r="J2994">
        <f t="shared" si="92"/>
        <v>7</v>
      </c>
      <c r="K2994" s="1" t="s">
        <v>4668</v>
      </c>
      <c r="L2994" s="1" t="s">
        <v>666</v>
      </c>
      <c r="M2994">
        <f t="shared" si="93"/>
        <v>4</v>
      </c>
      <c r="N2994" t="s">
        <v>650</v>
      </c>
    </row>
    <row r="2995" spans="1:14" x14ac:dyDescent="0.3">
      <c r="A2995" s="1" t="s">
        <v>8393</v>
      </c>
      <c r="B2995" s="1" t="s">
        <v>1205</v>
      </c>
      <c r="C2995" s="1" t="s">
        <v>8394</v>
      </c>
      <c r="D2995" s="1" t="s">
        <v>1242</v>
      </c>
      <c r="E2995" s="1" t="s">
        <v>6076</v>
      </c>
      <c r="F2995" s="1" t="s">
        <v>6076</v>
      </c>
      <c r="G2995" s="1" t="s">
        <v>5189</v>
      </c>
      <c r="H2995">
        <v>2002</v>
      </c>
      <c r="I2995">
        <v>2004</v>
      </c>
      <c r="J2995">
        <f t="shared" si="92"/>
        <v>3</v>
      </c>
      <c r="K2995" s="1" t="s">
        <v>6076</v>
      </c>
      <c r="L2995" s="1" t="s">
        <v>6076</v>
      </c>
      <c r="M2995">
        <f t="shared" si="93"/>
        <v>22</v>
      </c>
      <c r="N2995" t="s">
        <v>650</v>
      </c>
    </row>
    <row r="2996" spans="1:14" x14ac:dyDescent="0.3">
      <c r="A2996" s="1" t="s">
        <v>8395</v>
      </c>
      <c r="B2996" s="1" t="s">
        <v>1205</v>
      </c>
      <c r="C2996" s="1" t="s">
        <v>8396</v>
      </c>
      <c r="D2996" s="1" t="s">
        <v>1242</v>
      </c>
      <c r="E2996" s="1" t="s">
        <v>6076</v>
      </c>
      <c r="F2996" s="1" t="s">
        <v>6076</v>
      </c>
      <c r="G2996" s="1" t="s">
        <v>5189</v>
      </c>
      <c r="H2996">
        <v>2002</v>
      </c>
      <c r="I2996">
        <v>2005</v>
      </c>
      <c r="J2996">
        <f t="shared" si="92"/>
        <v>4</v>
      </c>
      <c r="K2996" s="1" t="s">
        <v>6076</v>
      </c>
      <c r="L2996" s="1" t="s">
        <v>6076</v>
      </c>
      <c r="M2996">
        <f t="shared" si="93"/>
        <v>21</v>
      </c>
      <c r="N2996" t="s">
        <v>650</v>
      </c>
    </row>
    <row r="2997" spans="1:14" hidden="1" x14ac:dyDescent="0.3">
      <c r="A2997" s="1" t="s">
        <v>5210</v>
      </c>
      <c r="B2997" s="1" t="s">
        <v>1205</v>
      </c>
      <c r="C2997" s="1" t="s">
        <v>5211</v>
      </c>
      <c r="D2997" s="1" t="s">
        <v>1242</v>
      </c>
      <c r="E2997" s="1" t="s">
        <v>4250</v>
      </c>
      <c r="F2997" s="1" t="s">
        <v>4251</v>
      </c>
      <c r="G2997" s="1" t="s">
        <v>5189</v>
      </c>
      <c r="H2997">
        <v>2018</v>
      </c>
      <c r="I2997">
        <v>2018</v>
      </c>
      <c r="J2997">
        <f t="shared" si="92"/>
        <v>1</v>
      </c>
      <c r="K2997" s="1" t="s">
        <v>4668</v>
      </c>
      <c r="L2997" s="1" t="s">
        <v>666</v>
      </c>
      <c r="M2997">
        <f t="shared" si="93"/>
        <v>8</v>
      </c>
      <c r="N2997" t="s">
        <v>650</v>
      </c>
    </row>
    <row r="2998" spans="1:14" hidden="1" x14ac:dyDescent="0.3">
      <c r="A2998" s="1" t="s">
        <v>5212</v>
      </c>
      <c r="B2998" s="1" t="s">
        <v>1205</v>
      </c>
      <c r="C2998" s="1" t="s">
        <v>5213</v>
      </c>
      <c r="D2998" s="1" t="s">
        <v>1242</v>
      </c>
      <c r="E2998" s="1" t="s">
        <v>4250</v>
      </c>
      <c r="F2998" s="1" t="s">
        <v>4251</v>
      </c>
      <c r="G2998" s="1" t="s">
        <v>5189</v>
      </c>
      <c r="H2998">
        <v>2006</v>
      </c>
      <c r="I2998">
        <v>2010</v>
      </c>
      <c r="J2998">
        <f t="shared" si="92"/>
        <v>5</v>
      </c>
      <c r="K2998" s="1" t="s">
        <v>4668</v>
      </c>
      <c r="L2998" s="1" t="s">
        <v>666</v>
      </c>
      <c r="M2998">
        <f t="shared" si="93"/>
        <v>16</v>
      </c>
      <c r="N2998" t="s">
        <v>650</v>
      </c>
    </row>
    <row r="2999" spans="1:14" hidden="1" x14ac:dyDescent="0.3">
      <c r="A2999" s="1" t="s">
        <v>5214</v>
      </c>
      <c r="B2999" s="1" t="s">
        <v>1205</v>
      </c>
      <c r="C2999" s="1" t="s">
        <v>5215</v>
      </c>
      <c r="D2999" s="1" t="s">
        <v>1242</v>
      </c>
      <c r="E2999" s="1" t="s">
        <v>4250</v>
      </c>
      <c r="F2999" s="1" t="s">
        <v>4251</v>
      </c>
      <c r="G2999" s="1" t="s">
        <v>5189</v>
      </c>
      <c r="H2999">
        <v>2012</v>
      </c>
      <c r="I2999">
        <v>2015</v>
      </c>
      <c r="J2999">
        <f t="shared" si="92"/>
        <v>4</v>
      </c>
      <c r="K2999" s="1" t="s">
        <v>4668</v>
      </c>
      <c r="L2999" s="1" t="s">
        <v>666</v>
      </c>
      <c r="M2999">
        <f t="shared" si="93"/>
        <v>11</v>
      </c>
      <c r="N2999" t="s">
        <v>650</v>
      </c>
    </row>
    <row r="3000" spans="1:14" hidden="1" x14ac:dyDescent="0.3">
      <c r="A3000" s="1" t="s">
        <v>5216</v>
      </c>
      <c r="B3000" s="1" t="s">
        <v>1205</v>
      </c>
      <c r="C3000" s="1" t="s">
        <v>5217</v>
      </c>
      <c r="D3000" s="1" t="s">
        <v>1242</v>
      </c>
      <c r="E3000" s="1" t="s">
        <v>4250</v>
      </c>
      <c r="F3000" s="1" t="s">
        <v>4251</v>
      </c>
      <c r="G3000" s="1" t="s">
        <v>5189</v>
      </c>
      <c r="H3000">
        <v>2006</v>
      </c>
      <c r="I3000">
        <v>2015</v>
      </c>
      <c r="J3000">
        <f t="shared" si="92"/>
        <v>10</v>
      </c>
      <c r="K3000" s="1" t="s">
        <v>4668</v>
      </c>
      <c r="L3000" s="1" t="s">
        <v>666</v>
      </c>
      <c r="M3000">
        <f t="shared" si="93"/>
        <v>11</v>
      </c>
      <c r="N3000" t="s">
        <v>650</v>
      </c>
    </row>
    <row r="3001" spans="1:14" x14ac:dyDescent="0.3">
      <c r="A3001" s="1" t="s">
        <v>8397</v>
      </c>
      <c r="B3001" s="1" t="s">
        <v>1205</v>
      </c>
      <c r="C3001" s="1" t="s">
        <v>8398</v>
      </c>
      <c r="D3001" s="1" t="s">
        <v>1242</v>
      </c>
      <c r="E3001" s="1" t="s">
        <v>6076</v>
      </c>
      <c r="F3001" s="1" t="s">
        <v>6076</v>
      </c>
      <c r="G3001" s="1" t="s">
        <v>5189</v>
      </c>
      <c r="H3001">
        <v>1997</v>
      </c>
      <c r="I3001">
        <v>2001</v>
      </c>
      <c r="J3001">
        <f t="shared" si="92"/>
        <v>5</v>
      </c>
      <c r="K3001" s="1" t="s">
        <v>6076</v>
      </c>
      <c r="L3001" s="1" t="s">
        <v>6076</v>
      </c>
      <c r="M3001">
        <f t="shared" si="93"/>
        <v>25</v>
      </c>
      <c r="N3001" t="s">
        <v>640</v>
      </c>
    </row>
    <row r="3002" spans="1:14" x14ac:dyDescent="0.3">
      <c r="A3002" s="1" t="s">
        <v>8399</v>
      </c>
      <c r="B3002" s="1" t="s">
        <v>1205</v>
      </c>
      <c r="C3002" s="1" t="s">
        <v>8400</v>
      </c>
      <c r="D3002" s="1" t="s">
        <v>1242</v>
      </c>
      <c r="E3002" s="1" t="s">
        <v>6076</v>
      </c>
      <c r="F3002" s="1" t="s">
        <v>6076</v>
      </c>
      <c r="G3002" s="1" t="s">
        <v>5189</v>
      </c>
      <c r="H3002">
        <v>2002</v>
      </c>
      <c r="I3002">
        <v>2003</v>
      </c>
      <c r="J3002">
        <f t="shared" si="92"/>
        <v>2</v>
      </c>
      <c r="K3002" s="1" t="s">
        <v>6076</v>
      </c>
      <c r="L3002" s="1" t="s">
        <v>6076</v>
      </c>
      <c r="M3002">
        <f t="shared" si="93"/>
        <v>23</v>
      </c>
      <c r="N3002" t="s">
        <v>650</v>
      </c>
    </row>
    <row r="3003" spans="1:14" hidden="1" x14ac:dyDescent="0.3">
      <c r="A3003" s="1" t="s">
        <v>5218</v>
      </c>
      <c r="B3003" s="1" t="s">
        <v>1205</v>
      </c>
      <c r="C3003" s="1" t="s">
        <v>5219</v>
      </c>
      <c r="D3003" s="1" t="s">
        <v>1242</v>
      </c>
      <c r="E3003" s="1" t="s">
        <v>4250</v>
      </c>
      <c r="F3003" s="1" t="s">
        <v>4251</v>
      </c>
      <c r="G3003" s="1" t="s">
        <v>5189</v>
      </c>
      <c r="H3003">
        <v>2015</v>
      </c>
      <c r="I3003">
        <v>2022</v>
      </c>
      <c r="J3003">
        <f t="shared" si="92"/>
        <v>8</v>
      </c>
      <c r="K3003" s="1" t="s">
        <v>4668</v>
      </c>
      <c r="L3003" s="1" t="s">
        <v>666</v>
      </c>
      <c r="M3003">
        <f t="shared" si="93"/>
        <v>4</v>
      </c>
      <c r="N3003" t="s">
        <v>650</v>
      </c>
    </row>
    <row r="3004" spans="1:14" x14ac:dyDescent="0.3">
      <c r="A3004" s="1" t="s">
        <v>8401</v>
      </c>
      <c r="B3004" s="1" t="s">
        <v>1205</v>
      </c>
      <c r="C3004" s="1" t="s">
        <v>8402</v>
      </c>
      <c r="D3004" s="1" t="s">
        <v>1242</v>
      </c>
      <c r="E3004" s="1" t="s">
        <v>6076</v>
      </c>
      <c r="F3004" s="1" t="s">
        <v>6076</v>
      </c>
      <c r="G3004" s="1" t="s">
        <v>5189</v>
      </c>
      <c r="H3004">
        <v>2002</v>
      </c>
      <c r="I3004">
        <v>2005</v>
      </c>
      <c r="J3004">
        <f t="shared" si="92"/>
        <v>4</v>
      </c>
      <c r="K3004" s="1" t="s">
        <v>6076</v>
      </c>
      <c r="L3004" s="1" t="s">
        <v>6076</v>
      </c>
      <c r="M3004">
        <f t="shared" si="93"/>
        <v>21</v>
      </c>
      <c r="N3004" t="s">
        <v>650</v>
      </c>
    </row>
    <row r="3005" spans="1:14" hidden="1" x14ac:dyDescent="0.3">
      <c r="A3005" s="1" t="s">
        <v>5220</v>
      </c>
      <c r="B3005" s="1" t="s">
        <v>1205</v>
      </c>
      <c r="C3005" s="1" t="s">
        <v>5221</v>
      </c>
      <c r="D3005" s="1" t="s">
        <v>1242</v>
      </c>
      <c r="E3005" s="1" t="s">
        <v>4250</v>
      </c>
      <c r="F3005" s="1" t="s">
        <v>4251</v>
      </c>
      <c r="G3005" s="1" t="s">
        <v>5189</v>
      </c>
      <c r="H3005">
        <v>2012</v>
      </c>
      <c r="I3005">
        <v>2022</v>
      </c>
      <c r="J3005">
        <f t="shared" si="92"/>
        <v>11</v>
      </c>
      <c r="K3005" s="1" t="s">
        <v>4668</v>
      </c>
      <c r="L3005" s="1" t="s">
        <v>666</v>
      </c>
      <c r="M3005">
        <f t="shared" si="93"/>
        <v>4</v>
      </c>
      <c r="N3005" t="s">
        <v>650</v>
      </c>
    </row>
    <row r="3006" spans="1:14" hidden="1" x14ac:dyDescent="0.3">
      <c r="A3006" s="1" t="s">
        <v>5222</v>
      </c>
      <c r="B3006" s="1" t="s">
        <v>1205</v>
      </c>
      <c r="C3006" s="1" t="s">
        <v>5223</v>
      </c>
      <c r="D3006" s="1" t="s">
        <v>1242</v>
      </c>
      <c r="E3006" s="1" t="s">
        <v>4250</v>
      </c>
      <c r="F3006" s="1" t="s">
        <v>4251</v>
      </c>
      <c r="G3006" s="1" t="s">
        <v>5189</v>
      </c>
      <c r="H3006">
        <v>2016</v>
      </c>
      <c r="I3006">
        <v>2022</v>
      </c>
      <c r="J3006">
        <f t="shared" si="92"/>
        <v>7</v>
      </c>
      <c r="K3006" s="1" t="s">
        <v>4668</v>
      </c>
      <c r="L3006" s="1" t="s">
        <v>666</v>
      </c>
      <c r="M3006">
        <f t="shared" si="93"/>
        <v>4</v>
      </c>
      <c r="N3006" t="s">
        <v>650</v>
      </c>
    </row>
    <row r="3007" spans="1:14" x14ac:dyDescent="0.3">
      <c r="A3007" s="1" t="s">
        <v>8403</v>
      </c>
      <c r="B3007" s="1" t="s">
        <v>1205</v>
      </c>
      <c r="C3007" s="1" t="s">
        <v>8404</v>
      </c>
      <c r="D3007" s="1" t="s">
        <v>1242</v>
      </c>
      <c r="E3007" s="1" t="s">
        <v>6076</v>
      </c>
      <c r="F3007" s="1" t="s">
        <v>6076</v>
      </c>
      <c r="G3007" s="1" t="s">
        <v>5189</v>
      </c>
      <c r="H3007">
        <v>2002</v>
      </c>
      <c r="I3007">
        <v>2005</v>
      </c>
      <c r="J3007">
        <f t="shared" si="92"/>
        <v>4</v>
      </c>
      <c r="K3007" s="1" t="s">
        <v>6076</v>
      </c>
      <c r="L3007" s="1" t="s">
        <v>6076</v>
      </c>
      <c r="M3007">
        <f t="shared" si="93"/>
        <v>21</v>
      </c>
      <c r="N3007" t="s">
        <v>650</v>
      </c>
    </row>
    <row r="3008" spans="1:14" hidden="1" x14ac:dyDescent="0.3">
      <c r="A3008" s="1" t="s">
        <v>5224</v>
      </c>
      <c r="B3008" s="1" t="s">
        <v>1205</v>
      </c>
      <c r="C3008" s="1" t="s">
        <v>5225</v>
      </c>
      <c r="D3008" s="1" t="s">
        <v>1242</v>
      </c>
      <c r="E3008" s="1" t="s">
        <v>4250</v>
      </c>
      <c r="F3008" s="1" t="s">
        <v>4251</v>
      </c>
      <c r="G3008" s="1" t="s">
        <v>5189</v>
      </c>
      <c r="H3008">
        <v>2006</v>
      </c>
      <c r="I3008">
        <v>2011</v>
      </c>
      <c r="J3008">
        <f t="shared" si="92"/>
        <v>6</v>
      </c>
      <c r="K3008" s="1" t="s">
        <v>4668</v>
      </c>
      <c r="L3008" s="1" t="s">
        <v>666</v>
      </c>
      <c r="M3008">
        <f t="shared" si="93"/>
        <v>15</v>
      </c>
      <c r="N3008" t="s">
        <v>650</v>
      </c>
    </row>
    <row r="3009" spans="1:14" hidden="1" x14ac:dyDescent="0.3">
      <c r="A3009" s="1" t="s">
        <v>5226</v>
      </c>
      <c r="B3009" s="1" t="s">
        <v>1205</v>
      </c>
      <c r="C3009" s="1" t="s">
        <v>5227</v>
      </c>
      <c r="D3009" s="1" t="s">
        <v>1242</v>
      </c>
      <c r="E3009" s="1" t="s">
        <v>4250</v>
      </c>
      <c r="F3009" s="1" t="s">
        <v>4251</v>
      </c>
      <c r="G3009" s="1" t="s">
        <v>5189</v>
      </c>
      <c r="H3009">
        <v>2006</v>
      </c>
      <c r="I3009">
        <v>2015</v>
      </c>
      <c r="J3009">
        <f t="shared" si="92"/>
        <v>10</v>
      </c>
      <c r="K3009" s="1" t="s">
        <v>4668</v>
      </c>
      <c r="L3009" s="1" t="s">
        <v>666</v>
      </c>
      <c r="M3009">
        <f t="shared" si="93"/>
        <v>11</v>
      </c>
      <c r="N3009" t="s">
        <v>650</v>
      </c>
    </row>
    <row r="3010" spans="1:14" hidden="1" x14ac:dyDescent="0.3">
      <c r="A3010" s="1" t="s">
        <v>5228</v>
      </c>
      <c r="B3010" s="1" t="s">
        <v>1205</v>
      </c>
      <c r="C3010" s="1" t="s">
        <v>5229</v>
      </c>
      <c r="D3010" s="1" t="s">
        <v>1242</v>
      </c>
      <c r="E3010" s="1" t="s">
        <v>4250</v>
      </c>
      <c r="F3010" s="1" t="s">
        <v>4251</v>
      </c>
      <c r="G3010" s="1" t="s">
        <v>5189</v>
      </c>
      <c r="H3010">
        <v>2006</v>
      </c>
      <c r="I3010">
        <v>2015</v>
      </c>
      <c r="J3010">
        <f t="shared" si="92"/>
        <v>10</v>
      </c>
      <c r="K3010" s="1" t="s">
        <v>4668</v>
      </c>
      <c r="L3010" s="1" t="s">
        <v>666</v>
      </c>
      <c r="M3010">
        <f t="shared" si="93"/>
        <v>11</v>
      </c>
      <c r="N3010" t="s">
        <v>650</v>
      </c>
    </row>
    <row r="3011" spans="1:14" hidden="1" x14ac:dyDescent="0.3">
      <c r="A3011" s="1" t="s">
        <v>5230</v>
      </c>
      <c r="B3011" s="1" t="s">
        <v>1205</v>
      </c>
      <c r="C3011" s="1" t="s">
        <v>5231</v>
      </c>
      <c r="D3011" s="1" t="s">
        <v>1242</v>
      </c>
      <c r="E3011" s="1" t="s">
        <v>4250</v>
      </c>
      <c r="F3011" s="1" t="s">
        <v>4251</v>
      </c>
      <c r="G3011" s="1" t="s">
        <v>5189</v>
      </c>
      <c r="H3011">
        <v>2016</v>
      </c>
      <c r="I3011">
        <v>2022</v>
      </c>
      <c r="J3011">
        <f t="shared" si="92"/>
        <v>7</v>
      </c>
      <c r="K3011" s="1" t="s">
        <v>4668</v>
      </c>
      <c r="L3011" s="1" t="s">
        <v>666</v>
      </c>
      <c r="M3011">
        <f t="shared" si="93"/>
        <v>4</v>
      </c>
      <c r="N3011" t="s">
        <v>650</v>
      </c>
    </row>
    <row r="3012" spans="1:14" hidden="1" x14ac:dyDescent="0.3">
      <c r="A3012" t="s">
        <v>12337</v>
      </c>
      <c r="B3012" t="s">
        <v>1205</v>
      </c>
      <c r="C3012" t="s">
        <v>12338</v>
      </c>
      <c r="D3012" s="1" t="s">
        <v>1242</v>
      </c>
      <c r="E3012" s="1" t="s">
        <v>4250</v>
      </c>
      <c r="F3012" s="1" t="s">
        <v>4251</v>
      </c>
      <c r="G3012" s="1" t="s">
        <v>12330</v>
      </c>
      <c r="H3012">
        <v>2022</v>
      </c>
      <c r="I3012">
        <v>2023</v>
      </c>
      <c r="J3012">
        <f t="shared" si="92"/>
        <v>2</v>
      </c>
      <c r="K3012" s="1" t="s">
        <v>4668</v>
      </c>
      <c r="L3012" s="1" t="s">
        <v>659</v>
      </c>
      <c r="M3012">
        <f t="shared" si="93"/>
        <v>3</v>
      </c>
    </row>
    <row r="3013" spans="1:14" hidden="1" x14ac:dyDescent="0.3">
      <c r="A3013" t="s">
        <v>12339</v>
      </c>
      <c r="B3013" t="s">
        <v>1205</v>
      </c>
      <c r="C3013" t="s">
        <v>12340</v>
      </c>
      <c r="D3013" s="1" t="s">
        <v>1242</v>
      </c>
      <c r="E3013" s="1" t="s">
        <v>4250</v>
      </c>
      <c r="F3013" s="1" t="s">
        <v>4251</v>
      </c>
      <c r="G3013" s="1" t="s">
        <v>12330</v>
      </c>
      <c r="H3013">
        <v>2024</v>
      </c>
      <c r="I3013">
        <v>2026</v>
      </c>
      <c r="J3013">
        <f t="shared" si="92"/>
        <v>3</v>
      </c>
      <c r="K3013" s="1" t="s">
        <v>4668</v>
      </c>
      <c r="L3013" s="1" t="s">
        <v>659</v>
      </c>
      <c r="M3013">
        <f t="shared" si="93"/>
        <v>0</v>
      </c>
    </row>
    <row r="3014" spans="1:14" hidden="1" x14ac:dyDescent="0.3">
      <c r="A3014" t="s">
        <v>12341</v>
      </c>
      <c r="B3014" t="s">
        <v>1205</v>
      </c>
      <c r="C3014" t="s">
        <v>12342</v>
      </c>
      <c r="D3014" s="1" t="s">
        <v>1242</v>
      </c>
      <c r="E3014" s="1" t="s">
        <v>4250</v>
      </c>
      <c r="F3014" s="1" t="s">
        <v>4251</v>
      </c>
      <c r="G3014" s="1" t="s">
        <v>12330</v>
      </c>
      <c r="H3014">
        <v>2025</v>
      </c>
      <c r="I3014">
        <v>2026</v>
      </c>
      <c r="J3014">
        <f t="shared" ref="J3014:J3077" si="94">1+(I3014-H3014)</f>
        <v>2</v>
      </c>
      <c r="K3014" s="1" t="s">
        <v>4668</v>
      </c>
      <c r="L3014" s="1" t="s">
        <v>659</v>
      </c>
      <c r="M3014">
        <f t="shared" ref="M3014:M3077" si="95">IF(I3014=0,0,$B$2-I3014)</f>
        <v>0</v>
      </c>
    </row>
    <row r="3015" spans="1:14" hidden="1" x14ac:dyDescent="0.3">
      <c r="A3015" s="1" t="s">
        <v>5232</v>
      </c>
      <c r="B3015" s="1" t="s">
        <v>1205</v>
      </c>
      <c r="C3015" s="1" t="s">
        <v>5233</v>
      </c>
      <c r="D3015" s="1" t="s">
        <v>1242</v>
      </c>
      <c r="E3015" s="1" t="s">
        <v>4250</v>
      </c>
      <c r="F3015" s="1" t="s">
        <v>4251</v>
      </c>
      <c r="G3015" s="1" t="s">
        <v>5189</v>
      </c>
      <c r="H3015">
        <v>2016</v>
      </c>
      <c r="I3015">
        <v>2022</v>
      </c>
      <c r="J3015">
        <f t="shared" si="94"/>
        <v>7</v>
      </c>
      <c r="K3015" s="1" t="s">
        <v>4668</v>
      </c>
      <c r="L3015" s="1" t="s">
        <v>666</v>
      </c>
      <c r="M3015">
        <f t="shared" si="95"/>
        <v>4</v>
      </c>
      <c r="N3015" t="s">
        <v>650</v>
      </c>
    </row>
    <row r="3016" spans="1:14" hidden="1" x14ac:dyDescent="0.3">
      <c r="A3016" s="1" t="s">
        <v>5234</v>
      </c>
      <c r="B3016" s="1" t="s">
        <v>1205</v>
      </c>
      <c r="C3016" s="1" t="s">
        <v>5235</v>
      </c>
      <c r="D3016" s="1" t="s">
        <v>1242</v>
      </c>
      <c r="E3016" s="1" t="s">
        <v>4250</v>
      </c>
      <c r="F3016" s="1" t="s">
        <v>4251</v>
      </c>
      <c r="G3016" s="1" t="s">
        <v>5189</v>
      </c>
      <c r="H3016">
        <v>2006</v>
      </c>
      <c r="I3016">
        <v>2012</v>
      </c>
      <c r="J3016">
        <f t="shared" si="94"/>
        <v>7</v>
      </c>
      <c r="K3016" s="1" t="s">
        <v>4668</v>
      </c>
      <c r="L3016" s="1" t="s">
        <v>666</v>
      </c>
      <c r="M3016">
        <f t="shared" si="95"/>
        <v>14</v>
      </c>
      <c r="N3016" t="s">
        <v>650</v>
      </c>
    </row>
    <row r="3017" spans="1:14" hidden="1" x14ac:dyDescent="0.3">
      <c r="A3017" s="1" t="s">
        <v>5236</v>
      </c>
      <c r="B3017" s="1" t="s">
        <v>1205</v>
      </c>
      <c r="C3017" s="1" t="s">
        <v>5237</v>
      </c>
      <c r="D3017" s="1" t="s">
        <v>1242</v>
      </c>
      <c r="E3017" s="1" t="s">
        <v>4250</v>
      </c>
      <c r="F3017" s="1" t="s">
        <v>4251</v>
      </c>
      <c r="G3017" s="1" t="s">
        <v>5189</v>
      </c>
      <c r="H3017">
        <v>2012</v>
      </c>
      <c r="I3017">
        <v>2015</v>
      </c>
      <c r="J3017">
        <f t="shared" si="94"/>
        <v>4</v>
      </c>
      <c r="K3017" s="1" t="s">
        <v>4668</v>
      </c>
      <c r="L3017" s="1" t="s">
        <v>666</v>
      </c>
      <c r="M3017">
        <f t="shared" si="95"/>
        <v>11</v>
      </c>
      <c r="N3017" t="s">
        <v>650</v>
      </c>
    </row>
    <row r="3018" spans="1:14" x14ac:dyDescent="0.3">
      <c r="A3018" s="1" t="s">
        <v>8405</v>
      </c>
      <c r="B3018" s="1" t="s">
        <v>1205</v>
      </c>
      <c r="C3018" s="1" t="s">
        <v>8406</v>
      </c>
      <c r="D3018" s="1" t="s">
        <v>1242</v>
      </c>
      <c r="E3018" s="1" t="s">
        <v>6076</v>
      </c>
      <c r="F3018" s="1" t="s">
        <v>6076</v>
      </c>
      <c r="G3018" s="1" t="s">
        <v>5189</v>
      </c>
      <c r="H3018">
        <v>1992</v>
      </c>
      <c r="I3018">
        <v>1995</v>
      </c>
      <c r="J3018">
        <f t="shared" si="94"/>
        <v>4</v>
      </c>
      <c r="K3018" s="1" t="s">
        <v>6076</v>
      </c>
      <c r="L3018" s="1" t="s">
        <v>6076</v>
      </c>
      <c r="M3018">
        <f t="shared" si="95"/>
        <v>31</v>
      </c>
      <c r="N3018" t="s">
        <v>640</v>
      </c>
    </row>
    <row r="3019" spans="1:14" hidden="1" x14ac:dyDescent="0.3">
      <c r="A3019" t="s">
        <v>12343</v>
      </c>
      <c r="B3019" t="s">
        <v>1205</v>
      </c>
      <c r="C3019" t="s">
        <v>12344</v>
      </c>
      <c r="D3019" s="1" t="s">
        <v>1242</v>
      </c>
      <c r="E3019" s="1" t="s">
        <v>4250</v>
      </c>
      <c r="F3019" s="1" t="e">
        <v>#N/A</v>
      </c>
      <c r="G3019" s="1" t="s">
        <v>12330</v>
      </c>
      <c r="H3019">
        <v>2025</v>
      </c>
      <c r="I3019">
        <v>2026</v>
      </c>
      <c r="J3019">
        <f t="shared" si="94"/>
        <v>2</v>
      </c>
      <c r="K3019" s="1" t="s">
        <v>4668</v>
      </c>
      <c r="L3019" s="1" t="s">
        <v>659</v>
      </c>
      <c r="M3019">
        <f t="shared" si="95"/>
        <v>0</v>
      </c>
    </row>
    <row r="3020" spans="1:14" hidden="1" x14ac:dyDescent="0.3">
      <c r="A3020" s="1" t="s">
        <v>5238</v>
      </c>
      <c r="B3020" s="1" t="s">
        <v>1205</v>
      </c>
      <c r="C3020" s="1" t="s">
        <v>5239</v>
      </c>
      <c r="D3020" s="1" t="s">
        <v>1242</v>
      </c>
      <c r="E3020" s="1" t="s">
        <v>4250</v>
      </c>
      <c r="F3020" s="1" t="s">
        <v>4251</v>
      </c>
      <c r="G3020" s="1" t="s">
        <v>5189</v>
      </c>
      <c r="H3020">
        <v>2016</v>
      </c>
      <c r="I3020">
        <v>2022</v>
      </c>
      <c r="J3020">
        <f t="shared" si="94"/>
        <v>7</v>
      </c>
      <c r="K3020" s="1" t="s">
        <v>4668</v>
      </c>
      <c r="L3020" s="1" t="s">
        <v>666</v>
      </c>
      <c r="M3020">
        <f t="shared" si="95"/>
        <v>4</v>
      </c>
      <c r="N3020" t="s">
        <v>650</v>
      </c>
    </row>
    <row r="3021" spans="1:14" hidden="1" x14ac:dyDescent="0.3">
      <c r="A3021" s="1" t="s">
        <v>5240</v>
      </c>
      <c r="B3021" s="1" t="s">
        <v>1205</v>
      </c>
      <c r="C3021" s="1" t="s">
        <v>5241</v>
      </c>
      <c r="D3021" s="1" t="s">
        <v>1242</v>
      </c>
      <c r="E3021" s="1" t="s">
        <v>4250</v>
      </c>
      <c r="F3021" s="1" t="s">
        <v>4251</v>
      </c>
      <c r="G3021" s="1" t="s">
        <v>5189</v>
      </c>
      <c r="H3021">
        <v>2006</v>
      </c>
      <c r="I3021">
        <v>2011</v>
      </c>
      <c r="J3021">
        <f t="shared" si="94"/>
        <v>6</v>
      </c>
      <c r="K3021" s="1" t="s">
        <v>4668</v>
      </c>
      <c r="L3021" s="1" t="s">
        <v>666</v>
      </c>
      <c r="M3021">
        <f t="shared" si="95"/>
        <v>15</v>
      </c>
      <c r="N3021" t="s">
        <v>650</v>
      </c>
    </row>
    <row r="3022" spans="1:14" hidden="1" x14ac:dyDescent="0.3">
      <c r="A3022" s="1" t="s">
        <v>5242</v>
      </c>
      <c r="B3022" s="1" t="s">
        <v>1205</v>
      </c>
      <c r="C3022" s="1" t="s">
        <v>5243</v>
      </c>
      <c r="D3022" s="1" t="s">
        <v>1242</v>
      </c>
      <c r="E3022" s="1" t="s">
        <v>4250</v>
      </c>
      <c r="F3022" s="1" t="s">
        <v>4251</v>
      </c>
      <c r="G3022" s="1" t="s">
        <v>5189</v>
      </c>
      <c r="H3022">
        <v>2006</v>
      </c>
      <c r="I3022">
        <v>2012</v>
      </c>
      <c r="J3022">
        <f t="shared" si="94"/>
        <v>7</v>
      </c>
      <c r="K3022" s="1" t="s">
        <v>4668</v>
      </c>
      <c r="L3022" s="1" t="s">
        <v>666</v>
      </c>
      <c r="M3022">
        <f t="shared" si="95"/>
        <v>14</v>
      </c>
      <c r="N3022" t="s">
        <v>650</v>
      </c>
    </row>
    <row r="3023" spans="1:14" hidden="1" x14ac:dyDescent="0.3">
      <c r="A3023" s="1" t="s">
        <v>5244</v>
      </c>
      <c r="B3023" s="1" t="s">
        <v>1205</v>
      </c>
      <c r="C3023" s="1" t="s">
        <v>5245</v>
      </c>
      <c r="D3023" s="1" t="s">
        <v>1242</v>
      </c>
      <c r="E3023" s="1" t="s">
        <v>4250</v>
      </c>
      <c r="F3023" s="1" t="s">
        <v>4251</v>
      </c>
      <c r="G3023" s="1" t="s">
        <v>5189</v>
      </c>
      <c r="H3023">
        <v>2012</v>
      </c>
      <c r="I3023">
        <v>2015</v>
      </c>
      <c r="J3023">
        <f t="shared" si="94"/>
        <v>4</v>
      </c>
      <c r="K3023" s="1" t="s">
        <v>4668</v>
      </c>
      <c r="L3023" s="1" t="s">
        <v>666</v>
      </c>
      <c r="M3023">
        <f t="shared" si="95"/>
        <v>11</v>
      </c>
      <c r="N3023" t="s">
        <v>650</v>
      </c>
    </row>
    <row r="3024" spans="1:14" x14ac:dyDescent="0.3">
      <c r="A3024" s="1" t="s">
        <v>8407</v>
      </c>
      <c r="B3024" s="1" t="s">
        <v>1205</v>
      </c>
      <c r="C3024" s="1" t="s">
        <v>8408</v>
      </c>
      <c r="D3024" s="1" t="s">
        <v>1242</v>
      </c>
      <c r="E3024" s="1" t="s">
        <v>6076</v>
      </c>
      <c r="F3024" s="1" t="s">
        <v>6076</v>
      </c>
      <c r="G3024" s="1" t="s">
        <v>5189</v>
      </c>
      <c r="H3024">
        <v>1997</v>
      </c>
      <c r="I3024">
        <v>1999</v>
      </c>
      <c r="J3024">
        <f t="shared" si="94"/>
        <v>3</v>
      </c>
      <c r="K3024" s="1" t="s">
        <v>6076</v>
      </c>
      <c r="L3024" s="1" t="s">
        <v>6076</v>
      </c>
      <c r="M3024">
        <f t="shared" si="95"/>
        <v>27</v>
      </c>
      <c r="N3024" t="s">
        <v>640</v>
      </c>
    </row>
    <row r="3025" spans="1:14" x14ac:dyDescent="0.3">
      <c r="A3025" s="1" t="s">
        <v>8409</v>
      </c>
      <c r="B3025" s="1" t="s">
        <v>1205</v>
      </c>
      <c r="C3025" s="1" t="s">
        <v>8410</v>
      </c>
      <c r="D3025" s="1" t="s">
        <v>1242</v>
      </c>
      <c r="E3025" s="1" t="s">
        <v>6076</v>
      </c>
      <c r="F3025" s="1" t="s">
        <v>6076</v>
      </c>
      <c r="G3025" s="1" t="s">
        <v>5189</v>
      </c>
      <c r="H3025">
        <v>1997</v>
      </c>
      <c r="I3025">
        <v>1999</v>
      </c>
      <c r="J3025">
        <f t="shared" si="94"/>
        <v>3</v>
      </c>
      <c r="K3025" s="1" t="s">
        <v>6076</v>
      </c>
      <c r="L3025" s="1" t="s">
        <v>6076</v>
      </c>
      <c r="M3025">
        <f t="shared" si="95"/>
        <v>27</v>
      </c>
      <c r="N3025" t="s">
        <v>640</v>
      </c>
    </row>
    <row r="3026" spans="1:14" x14ac:dyDescent="0.3">
      <c r="A3026" s="1" t="s">
        <v>8411</v>
      </c>
      <c r="B3026" s="1" t="s">
        <v>1205</v>
      </c>
      <c r="C3026" s="1" t="s">
        <v>8412</v>
      </c>
      <c r="D3026" s="1" t="s">
        <v>1242</v>
      </c>
      <c r="E3026" s="1" t="s">
        <v>6076</v>
      </c>
      <c r="F3026" s="1" t="s">
        <v>6076</v>
      </c>
      <c r="G3026" s="1" t="s">
        <v>5189</v>
      </c>
      <c r="H3026">
        <v>2002</v>
      </c>
      <c r="I3026">
        <v>2003</v>
      </c>
      <c r="J3026">
        <f t="shared" si="94"/>
        <v>2</v>
      </c>
      <c r="K3026" s="1" t="s">
        <v>6076</v>
      </c>
      <c r="L3026" s="1" t="s">
        <v>6076</v>
      </c>
      <c r="M3026">
        <f t="shared" si="95"/>
        <v>23</v>
      </c>
      <c r="N3026" t="s">
        <v>650</v>
      </c>
    </row>
    <row r="3027" spans="1:14" x14ac:dyDescent="0.3">
      <c r="A3027" s="1" t="s">
        <v>8413</v>
      </c>
      <c r="B3027" s="1" t="s">
        <v>1205</v>
      </c>
      <c r="C3027" s="1" t="s">
        <v>8414</v>
      </c>
      <c r="D3027" s="1" t="s">
        <v>1242</v>
      </c>
      <c r="E3027" s="1" t="s">
        <v>6076</v>
      </c>
      <c r="F3027" s="1" t="s">
        <v>6076</v>
      </c>
      <c r="G3027" s="1" t="s">
        <v>5189</v>
      </c>
      <c r="H3027">
        <v>2002</v>
      </c>
      <c r="I3027">
        <v>2005</v>
      </c>
      <c r="J3027">
        <f t="shared" si="94"/>
        <v>4</v>
      </c>
      <c r="K3027" s="1" t="s">
        <v>6076</v>
      </c>
      <c r="L3027" s="1" t="s">
        <v>6076</v>
      </c>
      <c r="M3027">
        <f t="shared" si="95"/>
        <v>21</v>
      </c>
      <c r="N3027" t="s">
        <v>650</v>
      </c>
    </row>
    <row r="3028" spans="1:14" x14ac:dyDescent="0.3">
      <c r="A3028" s="1" t="s">
        <v>8415</v>
      </c>
      <c r="B3028" s="1" t="s">
        <v>1205</v>
      </c>
      <c r="C3028" s="1" t="s">
        <v>8416</v>
      </c>
      <c r="D3028" s="1" t="s">
        <v>1242</v>
      </c>
      <c r="E3028" s="1" t="s">
        <v>6076</v>
      </c>
      <c r="F3028" s="1" t="s">
        <v>6076</v>
      </c>
      <c r="G3028" s="1" t="s">
        <v>5189</v>
      </c>
      <c r="H3028">
        <v>2002</v>
      </c>
      <c r="I3028">
        <v>2005</v>
      </c>
      <c r="J3028">
        <f t="shared" si="94"/>
        <v>4</v>
      </c>
      <c r="K3028" s="1" t="s">
        <v>6076</v>
      </c>
      <c r="L3028" s="1" t="s">
        <v>6076</v>
      </c>
      <c r="M3028">
        <f t="shared" si="95"/>
        <v>21</v>
      </c>
      <c r="N3028" t="s">
        <v>650</v>
      </c>
    </row>
    <row r="3029" spans="1:14" x14ac:dyDescent="0.3">
      <c r="A3029" s="1" t="s">
        <v>8417</v>
      </c>
      <c r="B3029" s="1" t="s">
        <v>1205</v>
      </c>
      <c r="C3029" s="1" t="s">
        <v>8418</v>
      </c>
      <c r="D3029" s="1" t="s">
        <v>1242</v>
      </c>
      <c r="E3029" s="1" t="s">
        <v>6076</v>
      </c>
      <c r="F3029" s="1" t="s">
        <v>6076</v>
      </c>
      <c r="G3029" s="1" t="s">
        <v>5189</v>
      </c>
      <c r="H3029">
        <v>1997</v>
      </c>
      <c r="I3029">
        <v>2001</v>
      </c>
      <c r="J3029">
        <f t="shared" si="94"/>
        <v>5</v>
      </c>
      <c r="K3029" s="1" t="s">
        <v>6076</v>
      </c>
      <c r="L3029" s="1" t="s">
        <v>6076</v>
      </c>
      <c r="M3029">
        <f t="shared" si="95"/>
        <v>25</v>
      </c>
      <c r="N3029" t="s">
        <v>640</v>
      </c>
    </row>
    <row r="3030" spans="1:14" x14ac:dyDescent="0.3">
      <c r="A3030" s="1" t="s">
        <v>8419</v>
      </c>
      <c r="B3030" s="1" t="s">
        <v>1205</v>
      </c>
      <c r="C3030" s="1" t="s">
        <v>8420</v>
      </c>
      <c r="D3030" s="1" t="s">
        <v>1242</v>
      </c>
      <c r="E3030" s="1" t="s">
        <v>6076</v>
      </c>
      <c r="F3030" s="1" t="s">
        <v>6076</v>
      </c>
      <c r="G3030" s="1" t="s">
        <v>5189</v>
      </c>
      <c r="H3030">
        <v>2002</v>
      </c>
      <c r="I3030">
        <v>2002</v>
      </c>
      <c r="J3030">
        <f t="shared" si="94"/>
        <v>1</v>
      </c>
      <c r="K3030" s="1" t="s">
        <v>6076</v>
      </c>
      <c r="L3030" s="1" t="s">
        <v>6076</v>
      </c>
      <c r="M3030">
        <f t="shared" si="95"/>
        <v>24</v>
      </c>
      <c r="N3030" t="s">
        <v>650</v>
      </c>
    </row>
    <row r="3031" spans="1:14" x14ac:dyDescent="0.3">
      <c r="A3031" s="1" t="s">
        <v>8421</v>
      </c>
      <c r="B3031" s="1" t="s">
        <v>1205</v>
      </c>
      <c r="C3031" s="1" t="s">
        <v>8422</v>
      </c>
      <c r="D3031" s="1" t="s">
        <v>1395</v>
      </c>
      <c r="E3031" s="1" t="s">
        <v>6076</v>
      </c>
      <c r="F3031" s="1" t="s">
        <v>6076</v>
      </c>
      <c r="G3031" s="1" t="s">
        <v>5189</v>
      </c>
      <c r="H3031">
        <v>1996</v>
      </c>
      <c r="I3031">
        <v>2000</v>
      </c>
      <c r="J3031">
        <f t="shared" si="94"/>
        <v>5</v>
      </c>
      <c r="K3031" s="1" t="s">
        <v>6076</v>
      </c>
      <c r="L3031" s="1" t="s">
        <v>6076</v>
      </c>
      <c r="M3031">
        <f t="shared" si="95"/>
        <v>26</v>
      </c>
      <c r="N3031" t="s">
        <v>640</v>
      </c>
    </row>
    <row r="3032" spans="1:14" x14ac:dyDescent="0.3">
      <c r="A3032" s="1" t="s">
        <v>8423</v>
      </c>
      <c r="B3032" s="1" t="s">
        <v>1205</v>
      </c>
      <c r="C3032" s="1" t="s">
        <v>8424</v>
      </c>
      <c r="D3032" s="1" t="s">
        <v>1395</v>
      </c>
      <c r="E3032" s="1" t="s">
        <v>6076</v>
      </c>
      <c r="F3032" s="1" t="s">
        <v>6076</v>
      </c>
      <c r="G3032" s="1" t="s">
        <v>5189</v>
      </c>
      <c r="H3032">
        <v>1997</v>
      </c>
      <c r="I3032">
        <v>2001</v>
      </c>
      <c r="J3032">
        <f t="shared" si="94"/>
        <v>5</v>
      </c>
      <c r="K3032" s="1" t="s">
        <v>6076</v>
      </c>
      <c r="L3032" s="1" t="s">
        <v>6076</v>
      </c>
      <c r="M3032">
        <f t="shared" si="95"/>
        <v>25</v>
      </c>
      <c r="N3032" t="s">
        <v>640</v>
      </c>
    </row>
    <row r="3033" spans="1:14" x14ac:dyDescent="0.3">
      <c r="A3033" s="1" t="s">
        <v>8425</v>
      </c>
      <c r="B3033" s="1" t="s">
        <v>1205</v>
      </c>
      <c r="C3033" s="1" t="s">
        <v>8426</v>
      </c>
      <c r="D3033" s="1" t="s">
        <v>1395</v>
      </c>
      <c r="E3033" s="1" t="s">
        <v>6076</v>
      </c>
      <c r="F3033" s="1" t="s">
        <v>6076</v>
      </c>
      <c r="G3033" s="1" t="s">
        <v>5189</v>
      </c>
      <c r="H3033">
        <v>1993</v>
      </c>
      <c r="I3033">
        <v>1996</v>
      </c>
      <c r="J3033">
        <f t="shared" si="94"/>
        <v>4</v>
      </c>
      <c r="K3033" s="1" t="s">
        <v>6076</v>
      </c>
      <c r="L3033" s="1" t="s">
        <v>6076</v>
      </c>
      <c r="M3033">
        <f t="shared" si="95"/>
        <v>30</v>
      </c>
      <c r="N3033" t="s">
        <v>640</v>
      </c>
    </row>
    <row r="3034" spans="1:14" x14ac:dyDescent="0.3">
      <c r="A3034" s="1" t="s">
        <v>8427</v>
      </c>
      <c r="B3034" s="1" t="s">
        <v>1205</v>
      </c>
      <c r="C3034" s="1" t="s">
        <v>8428</v>
      </c>
      <c r="D3034" s="1" t="s">
        <v>1395</v>
      </c>
      <c r="E3034" s="1" t="s">
        <v>6076</v>
      </c>
      <c r="F3034" s="1" t="s">
        <v>6076</v>
      </c>
      <c r="G3034" s="1" t="s">
        <v>5189</v>
      </c>
      <c r="H3034">
        <v>1992</v>
      </c>
      <c r="I3034">
        <v>1996</v>
      </c>
      <c r="J3034">
        <f t="shared" si="94"/>
        <v>5</v>
      </c>
      <c r="K3034" s="1" t="s">
        <v>6076</v>
      </c>
      <c r="L3034" s="1" t="s">
        <v>6076</v>
      </c>
      <c r="M3034">
        <f t="shared" si="95"/>
        <v>30</v>
      </c>
      <c r="N3034" t="s">
        <v>640</v>
      </c>
    </row>
    <row r="3035" spans="1:14" x14ac:dyDescent="0.3">
      <c r="A3035" s="1" t="s">
        <v>8429</v>
      </c>
      <c r="B3035" s="1" t="s">
        <v>1205</v>
      </c>
      <c r="C3035" s="1" t="s">
        <v>8430</v>
      </c>
      <c r="D3035" s="1" t="s">
        <v>1395</v>
      </c>
      <c r="E3035" s="1" t="s">
        <v>6076</v>
      </c>
      <c r="F3035" s="1" t="s">
        <v>6076</v>
      </c>
      <c r="G3035" s="1" t="s">
        <v>5189</v>
      </c>
      <c r="H3035">
        <v>1993</v>
      </c>
      <c r="I3035">
        <v>1996</v>
      </c>
      <c r="J3035">
        <f t="shared" si="94"/>
        <v>4</v>
      </c>
      <c r="K3035" s="1" t="s">
        <v>6076</v>
      </c>
      <c r="L3035" s="1" t="s">
        <v>6076</v>
      </c>
      <c r="M3035">
        <f t="shared" si="95"/>
        <v>30</v>
      </c>
      <c r="N3035" t="s">
        <v>640</v>
      </c>
    </row>
    <row r="3036" spans="1:14" x14ac:dyDescent="0.3">
      <c r="A3036" s="1" t="s">
        <v>8431</v>
      </c>
      <c r="B3036" s="1" t="s">
        <v>1205</v>
      </c>
      <c r="C3036" s="1" t="s">
        <v>8432</v>
      </c>
      <c r="D3036" s="1" t="s">
        <v>1395</v>
      </c>
      <c r="E3036" s="1" t="s">
        <v>6076</v>
      </c>
      <c r="F3036" s="1" t="s">
        <v>6076</v>
      </c>
      <c r="G3036" s="1" t="s">
        <v>5189</v>
      </c>
      <c r="H3036">
        <v>1994</v>
      </c>
      <c r="I3036">
        <v>2001</v>
      </c>
      <c r="J3036">
        <f t="shared" si="94"/>
        <v>8</v>
      </c>
      <c r="K3036" s="1" t="s">
        <v>6076</v>
      </c>
      <c r="L3036" s="1" t="s">
        <v>6076</v>
      </c>
      <c r="M3036">
        <f t="shared" si="95"/>
        <v>25</v>
      </c>
      <c r="N3036" t="s">
        <v>640</v>
      </c>
    </row>
    <row r="3037" spans="1:14" x14ac:dyDescent="0.3">
      <c r="A3037" s="1" t="s">
        <v>8433</v>
      </c>
      <c r="B3037" s="1" t="s">
        <v>1205</v>
      </c>
      <c r="C3037" s="1" t="s">
        <v>8434</v>
      </c>
      <c r="D3037" s="1" t="s">
        <v>1395</v>
      </c>
      <c r="E3037" s="1" t="s">
        <v>6076</v>
      </c>
      <c r="F3037" s="1" t="s">
        <v>6076</v>
      </c>
      <c r="G3037" s="1" t="s">
        <v>5189</v>
      </c>
      <c r="H3037">
        <v>1997</v>
      </c>
      <c r="I3037">
        <v>2002</v>
      </c>
      <c r="J3037">
        <f t="shared" si="94"/>
        <v>6</v>
      </c>
      <c r="K3037" s="1" t="s">
        <v>6076</v>
      </c>
      <c r="L3037" s="1" t="s">
        <v>6076</v>
      </c>
      <c r="M3037">
        <f t="shared" si="95"/>
        <v>24</v>
      </c>
      <c r="N3037" t="s">
        <v>640</v>
      </c>
    </row>
    <row r="3038" spans="1:14" hidden="1" x14ac:dyDescent="0.3">
      <c r="A3038" s="1" t="s">
        <v>5246</v>
      </c>
      <c r="B3038" s="1" t="s">
        <v>1205</v>
      </c>
      <c r="C3038" s="1" t="s">
        <v>5247</v>
      </c>
      <c r="D3038" s="1" t="s">
        <v>1395</v>
      </c>
      <c r="E3038" s="1" t="s">
        <v>4087</v>
      </c>
      <c r="F3038" s="1" t="s">
        <v>4088</v>
      </c>
      <c r="G3038" s="1" t="s">
        <v>5189</v>
      </c>
      <c r="H3038">
        <v>2022</v>
      </c>
      <c r="I3038">
        <v>2022</v>
      </c>
      <c r="J3038">
        <f t="shared" si="94"/>
        <v>1</v>
      </c>
      <c r="K3038" s="1" t="s">
        <v>4668</v>
      </c>
      <c r="L3038" s="1" t="s">
        <v>666</v>
      </c>
      <c r="M3038">
        <f t="shared" si="95"/>
        <v>4</v>
      </c>
      <c r="N3038" t="s">
        <v>650</v>
      </c>
    </row>
    <row r="3039" spans="1:14" hidden="1" x14ac:dyDescent="0.3">
      <c r="A3039" s="1" t="s">
        <v>5248</v>
      </c>
      <c r="B3039" s="1" t="s">
        <v>1205</v>
      </c>
      <c r="C3039" s="1" t="s">
        <v>5249</v>
      </c>
      <c r="D3039" s="1" t="s">
        <v>1395</v>
      </c>
      <c r="E3039" s="1" t="s">
        <v>4087</v>
      </c>
      <c r="F3039" s="1" t="s">
        <v>4088</v>
      </c>
      <c r="G3039" s="1" t="s">
        <v>5189</v>
      </c>
      <c r="H3039">
        <v>2022</v>
      </c>
      <c r="I3039">
        <v>2022</v>
      </c>
      <c r="J3039">
        <f t="shared" si="94"/>
        <v>1</v>
      </c>
      <c r="K3039" s="1" t="s">
        <v>4668</v>
      </c>
      <c r="L3039" s="1" t="s">
        <v>666</v>
      </c>
      <c r="M3039">
        <f t="shared" si="95"/>
        <v>4</v>
      </c>
      <c r="N3039" t="s">
        <v>650</v>
      </c>
    </row>
    <row r="3040" spans="1:14" hidden="1" x14ac:dyDescent="0.3">
      <c r="A3040" s="1" t="s">
        <v>5250</v>
      </c>
      <c r="B3040" s="1" t="s">
        <v>1205</v>
      </c>
      <c r="C3040" s="1" t="s">
        <v>5251</v>
      </c>
      <c r="D3040" s="1" t="s">
        <v>1395</v>
      </c>
      <c r="E3040" s="1" t="s">
        <v>4087</v>
      </c>
      <c r="F3040" s="1" t="s">
        <v>4088</v>
      </c>
      <c r="G3040" s="1" t="s">
        <v>5189</v>
      </c>
      <c r="H3040">
        <v>2009</v>
      </c>
      <c r="I3040">
        <v>2022</v>
      </c>
      <c r="J3040">
        <f t="shared" si="94"/>
        <v>14</v>
      </c>
      <c r="K3040" s="1" t="s">
        <v>4668</v>
      </c>
      <c r="L3040" s="1" t="s">
        <v>666</v>
      </c>
      <c r="M3040">
        <f t="shared" si="95"/>
        <v>4</v>
      </c>
      <c r="N3040" t="s">
        <v>650</v>
      </c>
    </row>
    <row r="3041" spans="1:14" hidden="1" x14ac:dyDescent="0.3">
      <c r="A3041" s="1" t="s">
        <v>5252</v>
      </c>
      <c r="B3041" s="1" t="s">
        <v>1205</v>
      </c>
      <c r="C3041" s="1" t="s">
        <v>5253</v>
      </c>
      <c r="D3041" s="1" t="s">
        <v>1395</v>
      </c>
      <c r="E3041" s="1" t="s">
        <v>4087</v>
      </c>
      <c r="F3041" s="1" t="s">
        <v>4088</v>
      </c>
      <c r="G3041" s="1" t="s">
        <v>5189</v>
      </c>
      <c r="H3041">
        <v>2009</v>
      </c>
      <c r="I3041">
        <v>2018</v>
      </c>
      <c r="J3041">
        <f t="shared" si="94"/>
        <v>10</v>
      </c>
      <c r="K3041" s="1" t="s">
        <v>4668</v>
      </c>
      <c r="L3041" s="1" t="s">
        <v>666</v>
      </c>
      <c r="M3041">
        <f t="shared" si="95"/>
        <v>8</v>
      </c>
      <c r="N3041" t="s">
        <v>650</v>
      </c>
    </row>
    <row r="3042" spans="1:14" hidden="1" x14ac:dyDescent="0.3">
      <c r="A3042" s="1" t="s">
        <v>5254</v>
      </c>
      <c r="B3042" s="1" t="s">
        <v>1205</v>
      </c>
      <c r="C3042" s="1" t="s">
        <v>5255</v>
      </c>
      <c r="D3042" s="1" t="s">
        <v>1395</v>
      </c>
      <c r="E3042" s="1" t="s">
        <v>4087</v>
      </c>
      <c r="F3042" s="1" t="s">
        <v>4088</v>
      </c>
      <c r="G3042" s="1" t="s">
        <v>5189</v>
      </c>
      <c r="H3042">
        <v>2012</v>
      </c>
      <c r="I3042">
        <v>2015</v>
      </c>
      <c r="J3042">
        <f t="shared" si="94"/>
        <v>4</v>
      </c>
      <c r="K3042" s="1" t="s">
        <v>4668</v>
      </c>
      <c r="L3042" s="1" t="s">
        <v>666</v>
      </c>
      <c r="M3042">
        <f t="shared" si="95"/>
        <v>11</v>
      </c>
      <c r="N3042" t="s">
        <v>650</v>
      </c>
    </row>
    <row r="3043" spans="1:14" hidden="1" x14ac:dyDescent="0.3">
      <c r="A3043" s="1" t="s">
        <v>5256</v>
      </c>
      <c r="B3043" s="1" t="s">
        <v>1205</v>
      </c>
      <c r="C3043" s="1" t="s">
        <v>5257</v>
      </c>
      <c r="D3043" s="1" t="s">
        <v>1395</v>
      </c>
      <c r="E3043" s="1" t="s">
        <v>4087</v>
      </c>
      <c r="F3043" s="1" t="s">
        <v>4088</v>
      </c>
      <c r="G3043" s="1" t="s">
        <v>5189</v>
      </c>
      <c r="H3043">
        <v>2018</v>
      </c>
      <c r="I3043">
        <v>2022</v>
      </c>
      <c r="J3043">
        <f t="shared" si="94"/>
        <v>5</v>
      </c>
      <c r="K3043" s="1" t="s">
        <v>4668</v>
      </c>
      <c r="L3043" s="1" t="s">
        <v>666</v>
      </c>
      <c r="M3043">
        <f t="shared" si="95"/>
        <v>4</v>
      </c>
      <c r="N3043" t="s">
        <v>650</v>
      </c>
    </row>
    <row r="3044" spans="1:14" hidden="1" x14ac:dyDescent="0.3">
      <c r="A3044" s="1" t="s">
        <v>5258</v>
      </c>
      <c r="B3044" s="1" t="s">
        <v>1205</v>
      </c>
      <c r="C3044" s="1" t="s">
        <v>5259</v>
      </c>
      <c r="D3044" s="1" t="s">
        <v>1395</v>
      </c>
      <c r="E3044" s="1" t="s">
        <v>4087</v>
      </c>
      <c r="F3044" s="1" t="s">
        <v>4088</v>
      </c>
      <c r="G3044" s="1" t="s">
        <v>5189</v>
      </c>
      <c r="H3044">
        <v>2009</v>
      </c>
      <c r="I3044">
        <v>2013</v>
      </c>
      <c r="J3044">
        <f t="shared" si="94"/>
        <v>5</v>
      </c>
      <c r="K3044" s="1" t="s">
        <v>4668</v>
      </c>
      <c r="L3044" s="1" t="s">
        <v>666</v>
      </c>
      <c r="M3044">
        <f t="shared" si="95"/>
        <v>13</v>
      </c>
      <c r="N3044" t="s">
        <v>650</v>
      </c>
    </row>
    <row r="3045" spans="1:14" hidden="1" x14ac:dyDescent="0.3">
      <c r="A3045" s="1" t="s">
        <v>5260</v>
      </c>
      <c r="B3045" s="1" t="s">
        <v>1205</v>
      </c>
      <c r="C3045" s="1" t="s">
        <v>5261</v>
      </c>
      <c r="D3045" s="1" t="s">
        <v>1395</v>
      </c>
      <c r="E3045" s="1" t="s">
        <v>4087</v>
      </c>
      <c r="F3045" s="1" t="s">
        <v>4088</v>
      </c>
      <c r="G3045" s="1" t="s">
        <v>5189</v>
      </c>
      <c r="H3045">
        <v>2006</v>
      </c>
      <c r="I3045">
        <v>2010</v>
      </c>
      <c r="J3045">
        <f t="shared" si="94"/>
        <v>5</v>
      </c>
      <c r="K3045" s="1" t="s">
        <v>4668</v>
      </c>
      <c r="L3045" s="1" t="s">
        <v>666</v>
      </c>
      <c r="M3045">
        <f t="shared" si="95"/>
        <v>16</v>
      </c>
      <c r="N3045" t="s">
        <v>650</v>
      </c>
    </row>
    <row r="3046" spans="1:14" hidden="1" x14ac:dyDescent="0.3">
      <c r="A3046" s="1" t="s">
        <v>5262</v>
      </c>
      <c r="B3046" s="1" t="s">
        <v>1205</v>
      </c>
      <c r="C3046" s="1" t="s">
        <v>5263</v>
      </c>
      <c r="D3046" s="1" t="s">
        <v>1395</v>
      </c>
      <c r="E3046" s="1" t="s">
        <v>4087</v>
      </c>
      <c r="F3046" s="1" t="s">
        <v>4088</v>
      </c>
      <c r="G3046" s="1" t="s">
        <v>5189</v>
      </c>
      <c r="H3046">
        <v>2006</v>
      </c>
      <c r="I3046">
        <v>2010</v>
      </c>
      <c r="J3046">
        <f t="shared" si="94"/>
        <v>5</v>
      </c>
      <c r="K3046" s="1" t="s">
        <v>4668</v>
      </c>
      <c r="L3046" s="1" t="s">
        <v>666</v>
      </c>
      <c r="M3046">
        <f t="shared" si="95"/>
        <v>16</v>
      </c>
      <c r="N3046" t="s">
        <v>650</v>
      </c>
    </row>
    <row r="3047" spans="1:14" hidden="1" x14ac:dyDescent="0.3">
      <c r="A3047" s="1" t="s">
        <v>5264</v>
      </c>
      <c r="B3047" s="1" t="s">
        <v>1205</v>
      </c>
      <c r="C3047" s="1" t="s">
        <v>5265</v>
      </c>
      <c r="D3047" s="1" t="s">
        <v>1395</v>
      </c>
      <c r="E3047" s="1" t="s">
        <v>4087</v>
      </c>
      <c r="F3047" s="1" t="s">
        <v>4088</v>
      </c>
      <c r="G3047" s="1" t="s">
        <v>5189</v>
      </c>
      <c r="H3047">
        <v>2016</v>
      </c>
      <c r="I3047">
        <v>2022</v>
      </c>
      <c r="J3047">
        <f t="shared" si="94"/>
        <v>7</v>
      </c>
      <c r="K3047" s="1" t="s">
        <v>4668</v>
      </c>
      <c r="L3047" s="1" t="s">
        <v>666</v>
      </c>
      <c r="M3047">
        <f t="shared" si="95"/>
        <v>4</v>
      </c>
      <c r="N3047" t="s">
        <v>650</v>
      </c>
    </row>
    <row r="3048" spans="1:14" hidden="1" x14ac:dyDescent="0.3">
      <c r="A3048" s="1" t="s">
        <v>5266</v>
      </c>
      <c r="B3048" s="1" t="s">
        <v>1205</v>
      </c>
      <c r="C3048" s="1" t="s">
        <v>5267</v>
      </c>
      <c r="D3048" s="1" t="s">
        <v>1395</v>
      </c>
      <c r="E3048" s="1" t="s">
        <v>4087</v>
      </c>
      <c r="F3048" s="1" t="s">
        <v>4088</v>
      </c>
      <c r="G3048" s="1" t="s">
        <v>5189</v>
      </c>
      <c r="H3048">
        <v>2016</v>
      </c>
      <c r="I3048">
        <v>2017</v>
      </c>
      <c r="J3048">
        <f t="shared" si="94"/>
        <v>2</v>
      </c>
      <c r="K3048" s="1" t="s">
        <v>4668</v>
      </c>
      <c r="L3048" s="1" t="s">
        <v>666</v>
      </c>
      <c r="M3048">
        <f t="shared" si="95"/>
        <v>9</v>
      </c>
      <c r="N3048" t="s">
        <v>650</v>
      </c>
    </row>
    <row r="3049" spans="1:14" hidden="1" x14ac:dyDescent="0.3">
      <c r="A3049" s="1" t="s">
        <v>5268</v>
      </c>
      <c r="B3049" s="1" t="s">
        <v>1205</v>
      </c>
      <c r="C3049" s="1" t="s">
        <v>5269</v>
      </c>
      <c r="D3049" s="1" t="s">
        <v>1395</v>
      </c>
      <c r="E3049" s="1" t="s">
        <v>4087</v>
      </c>
      <c r="F3049" s="1" t="s">
        <v>4088</v>
      </c>
      <c r="G3049" s="1" t="s">
        <v>5189</v>
      </c>
      <c r="H3049">
        <v>2019</v>
      </c>
      <c r="I3049">
        <v>2022</v>
      </c>
      <c r="J3049">
        <f t="shared" si="94"/>
        <v>4</v>
      </c>
      <c r="K3049" s="1" t="s">
        <v>4668</v>
      </c>
      <c r="L3049" s="1" t="s">
        <v>666</v>
      </c>
      <c r="M3049">
        <f t="shared" si="95"/>
        <v>4</v>
      </c>
      <c r="N3049" t="s">
        <v>650</v>
      </c>
    </row>
    <row r="3050" spans="1:14" hidden="1" x14ac:dyDescent="0.3">
      <c r="A3050" t="s">
        <v>12345</v>
      </c>
      <c r="B3050" t="s">
        <v>1205</v>
      </c>
      <c r="C3050" t="s">
        <v>12346</v>
      </c>
      <c r="E3050" s="1" t="e">
        <v>#N/A</v>
      </c>
      <c r="F3050" s="1" t="e">
        <v>#N/A</v>
      </c>
      <c r="G3050" s="1" t="s">
        <v>12330</v>
      </c>
      <c r="H3050">
        <v>2024</v>
      </c>
      <c r="I3050">
        <v>2026</v>
      </c>
      <c r="J3050">
        <f t="shared" si="94"/>
        <v>3</v>
      </c>
      <c r="K3050" s="1" t="s">
        <v>4668</v>
      </c>
      <c r="L3050" s="1" t="s">
        <v>659</v>
      </c>
      <c r="M3050">
        <f t="shared" si="95"/>
        <v>0</v>
      </c>
    </row>
    <row r="3051" spans="1:14" hidden="1" x14ac:dyDescent="0.3">
      <c r="A3051" s="1" t="s">
        <v>4489</v>
      </c>
      <c r="B3051" s="1" t="s">
        <v>642</v>
      </c>
      <c r="C3051" s="1" t="s">
        <v>4490</v>
      </c>
      <c r="D3051" s="1" t="s">
        <v>1242</v>
      </c>
      <c r="E3051" s="1" t="s">
        <v>1243</v>
      </c>
      <c r="F3051" s="1" t="s">
        <v>1244</v>
      </c>
      <c r="G3051" s="1" t="s">
        <v>4491</v>
      </c>
      <c r="H3051">
        <v>2014</v>
      </c>
      <c r="I3051">
        <v>2014</v>
      </c>
      <c r="J3051">
        <f t="shared" si="94"/>
        <v>1</v>
      </c>
      <c r="K3051" s="1" t="s">
        <v>3665</v>
      </c>
      <c r="L3051" s="1" t="s">
        <v>659</v>
      </c>
      <c r="M3051">
        <f t="shared" si="95"/>
        <v>12</v>
      </c>
      <c r="N3051" t="s">
        <v>650</v>
      </c>
    </row>
    <row r="3052" spans="1:14" hidden="1" x14ac:dyDescent="0.3">
      <c r="A3052" s="1" t="s">
        <v>4492</v>
      </c>
      <c r="B3052" s="1" t="s">
        <v>642</v>
      </c>
      <c r="C3052" s="1" t="s">
        <v>4493</v>
      </c>
      <c r="D3052" s="1" t="s">
        <v>1242</v>
      </c>
      <c r="E3052" s="1" t="s">
        <v>1243</v>
      </c>
      <c r="F3052" s="1" t="s">
        <v>1244</v>
      </c>
      <c r="G3052" s="1" t="s">
        <v>4491</v>
      </c>
      <c r="H3052">
        <v>2014</v>
      </c>
      <c r="I3052">
        <v>2014</v>
      </c>
      <c r="J3052">
        <f t="shared" si="94"/>
        <v>1</v>
      </c>
      <c r="K3052" s="1" t="s">
        <v>3665</v>
      </c>
      <c r="L3052" s="1" t="s">
        <v>659</v>
      </c>
      <c r="M3052">
        <f t="shared" si="95"/>
        <v>12</v>
      </c>
      <c r="N3052" t="s">
        <v>650</v>
      </c>
    </row>
    <row r="3053" spans="1:14" hidden="1" x14ac:dyDescent="0.3">
      <c r="A3053" s="1" t="s">
        <v>4494</v>
      </c>
      <c r="B3053" s="1" t="s">
        <v>642</v>
      </c>
      <c r="C3053" s="1" t="s">
        <v>4495</v>
      </c>
      <c r="D3053" s="1" t="s">
        <v>1242</v>
      </c>
      <c r="E3053" s="1" t="s">
        <v>1243</v>
      </c>
      <c r="F3053" s="1" t="s">
        <v>1244</v>
      </c>
      <c r="G3053" s="1" t="s">
        <v>4491</v>
      </c>
      <c r="H3053">
        <v>2010</v>
      </c>
      <c r="I3053">
        <v>2014</v>
      </c>
      <c r="J3053">
        <f t="shared" si="94"/>
        <v>5</v>
      </c>
      <c r="K3053" s="1" t="s">
        <v>3665</v>
      </c>
      <c r="L3053" s="1" t="s">
        <v>659</v>
      </c>
      <c r="M3053">
        <f t="shared" si="95"/>
        <v>12</v>
      </c>
      <c r="N3053" t="s">
        <v>650</v>
      </c>
    </row>
    <row r="3054" spans="1:14" hidden="1" x14ac:dyDescent="0.3">
      <c r="A3054" s="1" t="s">
        <v>4496</v>
      </c>
      <c r="B3054" s="1" t="s">
        <v>642</v>
      </c>
      <c r="C3054" s="1" t="s">
        <v>4497</v>
      </c>
      <c r="D3054" s="1" t="s">
        <v>1242</v>
      </c>
      <c r="E3054" s="1" t="s">
        <v>1243</v>
      </c>
      <c r="F3054" s="1" t="s">
        <v>1244</v>
      </c>
      <c r="G3054" s="1" t="s">
        <v>4491</v>
      </c>
      <c r="H3054">
        <v>2011</v>
      </c>
      <c r="I3054">
        <v>2014</v>
      </c>
      <c r="J3054">
        <f t="shared" si="94"/>
        <v>4</v>
      </c>
      <c r="K3054" s="1" t="s">
        <v>3665</v>
      </c>
      <c r="L3054" s="1" t="s">
        <v>659</v>
      </c>
      <c r="M3054">
        <f t="shared" si="95"/>
        <v>12</v>
      </c>
      <c r="N3054" t="s">
        <v>650</v>
      </c>
    </row>
    <row r="3055" spans="1:14" hidden="1" x14ac:dyDescent="0.3">
      <c r="A3055" s="1" t="s">
        <v>4498</v>
      </c>
      <c r="B3055" s="1" t="s">
        <v>642</v>
      </c>
      <c r="C3055" s="1" t="s">
        <v>4499</v>
      </c>
      <c r="D3055" s="1" t="s">
        <v>1242</v>
      </c>
      <c r="E3055" s="1" t="s">
        <v>1243</v>
      </c>
      <c r="F3055" s="1" t="s">
        <v>1244</v>
      </c>
      <c r="G3055" s="1" t="s">
        <v>4491</v>
      </c>
      <c r="H3055">
        <v>2010</v>
      </c>
      <c r="I3055">
        <v>2013</v>
      </c>
      <c r="J3055">
        <f t="shared" si="94"/>
        <v>4</v>
      </c>
      <c r="K3055" s="1" t="s">
        <v>3665</v>
      </c>
      <c r="L3055" s="1" t="s">
        <v>659</v>
      </c>
      <c r="M3055">
        <f t="shared" si="95"/>
        <v>13</v>
      </c>
      <c r="N3055" t="s">
        <v>650</v>
      </c>
    </row>
    <row r="3056" spans="1:14" hidden="1" x14ac:dyDescent="0.3">
      <c r="A3056" t="s">
        <v>11650</v>
      </c>
      <c r="B3056" t="s">
        <v>1849</v>
      </c>
      <c r="C3056" t="s">
        <v>11651</v>
      </c>
      <c r="E3056" s="1" t="e">
        <v>#N/A</v>
      </c>
      <c r="F3056" s="1" t="e">
        <v>#N/A</v>
      </c>
      <c r="G3056" s="1" t="s">
        <v>5272</v>
      </c>
      <c r="H3056">
        <v>2024</v>
      </c>
      <c r="I3056">
        <v>2026</v>
      </c>
      <c r="J3056">
        <f t="shared" si="94"/>
        <v>3</v>
      </c>
      <c r="K3056" s="1" t="s">
        <v>4668</v>
      </c>
      <c r="L3056" s="1" t="s">
        <v>798</v>
      </c>
      <c r="M3056">
        <f t="shared" si="95"/>
        <v>0</v>
      </c>
    </row>
    <row r="3057" spans="1:14" hidden="1" x14ac:dyDescent="0.3">
      <c r="A3057" s="1" t="s">
        <v>5270</v>
      </c>
      <c r="B3057" s="1" t="s">
        <v>1849</v>
      </c>
      <c r="C3057" s="1" t="s">
        <v>5271</v>
      </c>
      <c r="D3057" s="1" t="s">
        <v>644</v>
      </c>
      <c r="E3057" s="1" t="s">
        <v>4870</v>
      </c>
      <c r="F3057" s="1" t="s">
        <v>4871</v>
      </c>
      <c r="G3057" s="1" t="s">
        <v>5272</v>
      </c>
      <c r="H3057">
        <v>2005</v>
      </c>
      <c r="I3057">
        <v>2022</v>
      </c>
      <c r="J3057">
        <f t="shared" si="94"/>
        <v>18</v>
      </c>
      <c r="K3057" s="1" t="s">
        <v>4668</v>
      </c>
      <c r="L3057" s="1" t="s">
        <v>798</v>
      </c>
      <c r="M3057">
        <f t="shared" si="95"/>
        <v>4</v>
      </c>
      <c r="N3057" t="s">
        <v>650</v>
      </c>
    </row>
    <row r="3058" spans="1:14" hidden="1" x14ac:dyDescent="0.3">
      <c r="A3058" t="s">
        <v>11566</v>
      </c>
      <c r="B3058" t="s">
        <v>910</v>
      </c>
      <c r="C3058" t="s">
        <v>11567</v>
      </c>
      <c r="E3058" s="1" t="e">
        <v>#N/A</v>
      </c>
      <c r="F3058" s="1" t="e">
        <v>#N/A</v>
      </c>
      <c r="G3058" s="1" t="s">
        <v>4502</v>
      </c>
      <c r="H3058">
        <v>2023</v>
      </c>
      <c r="I3058">
        <v>2026</v>
      </c>
      <c r="J3058">
        <f t="shared" si="94"/>
        <v>4</v>
      </c>
      <c r="K3058" s="1" t="s">
        <v>3665</v>
      </c>
      <c r="L3058" s="1" t="s">
        <v>649</v>
      </c>
      <c r="M3058">
        <f t="shared" si="95"/>
        <v>0</v>
      </c>
    </row>
    <row r="3059" spans="1:14" hidden="1" x14ac:dyDescent="0.3">
      <c r="A3059" t="s">
        <v>11568</v>
      </c>
      <c r="B3059" t="s">
        <v>910</v>
      </c>
      <c r="C3059" t="s">
        <v>11569</v>
      </c>
      <c r="E3059" s="1" t="e">
        <v>#N/A</v>
      </c>
      <c r="F3059" s="1" t="e">
        <v>#N/A</v>
      </c>
      <c r="G3059" s="1" t="s">
        <v>4502</v>
      </c>
      <c r="H3059">
        <v>2023</v>
      </c>
      <c r="I3059">
        <v>2026</v>
      </c>
      <c r="J3059">
        <f t="shared" si="94"/>
        <v>4</v>
      </c>
      <c r="K3059" s="1" t="s">
        <v>3665</v>
      </c>
      <c r="L3059" s="1" t="s">
        <v>649</v>
      </c>
      <c r="M3059">
        <f t="shared" si="95"/>
        <v>0</v>
      </c>
    </row>
    <row r="3060" spans="1:14" hidden="1" x14ac:dyDescent="0.3">
      <c r="A3060" s="1" t="s">
        <v>4500</v>
      </c>
      <c r="B3060" s="1" t="s">
        <v>910</v>
      </c>
      <c r="C3060" s="1" t="s">
        <v>4501</v>
      </c>
      <c r="D3060" s="1" t="s">
        <v>1395</v>
      </c>
      <c r="E3060" s="1" t="s">
        <v>1396</v>
      </c>
      <c r="F3060" s="1" t="s">
        <v>1397</v>
      </c>
      <c r="G3060" s="1" t="s">
        <v>4502</v>
      </c>
      <c r="H3060">
        <v>2016</v>
      </c>
      <c r="I3060">
        <v>2022</v>
      </c>
      <c r="J3060">
        <f t="shared" si="94"/>
        <v>7</v>
      </c>
      <c r="K3060" s="1" t="s">
        <v>3665</v>
      </c>
      <c r="L3060" s="1" t="s">
        <v>649</v>
      </c>
      <c r="M3060">
        <f t="shared" si="95"/>
        <v>4</v>
      </c>
      <c r="N3060" t="s">
        <v>650</v>
      </c>
    </row>
    <row r="3061" spans="1:14" hidden="1" x14ac:dyDescent="0.3">
      <c r="A3061" t="s">
        <v>11570</v>
      </c>
      <c r="B3061" t="s">
        <v>910</v>
      </c>
      <c r="C3061" t="s">
        <v>11571</v>
      </c>
      <c r="E3061" s="1" t="e">
        <v>#N/A</v>
      </c>
      <c r="F3061" s="1" t="e">
        <v>#N/A</v>
      </c>
      <c r="G3061" s="1" t="s">
        <v>4502</v>
      </c>
      <c r="H3061">
        <v>2023</v>
      </c>
      <c r="I3061">
        <v>2026</v>
      </c>
      <c r="J3061">
        <f t="shared" si="94"/>
        <v>4</v>
      </c>
      <c r="K3061" s="1" t="s">
        <v>3665</v>
      </c>
      <c r="L3061" s="1" t="s">
        <v>649</v>
      </c>
      <c r="M3061">
        <f t="shared" si="95"/>
        <v>0</v>
      </c>
    </row>
    <row r="3062" spans="1:14" hidden="1" x14ac:dyDescent="0.3">
      <c r="A3062" s="1" t="s">
        <v>4503</v>
      </c>
      <c r="B3062" s="1" t="s">
        <v>910</v>
      </c>
      <c r="C3062" s="1" t="s">
        <v>4504</v>
      </c>
      <c r="D3062" s="1" t="s">
        <v>1395</v>
      </c>
      <c r="E3062" s="1" t="s">
        <v>1396</v>
      </c>
      <c r="F3062" s="1" t="s">
        <v>1397</v>
      </c>
      <c r="G3062" s="1" t="s">
        <v>4502</v>
      </c>
      <c r="H3062">
        <v>2016</v>
      </c>
      <c r="I3062">
        <v>2022</v>
      </c>
      <c r="J3062">
        <f t="shared" si="94"/>
        <v>7</v>
      </c>
      <c r="K3062" s="1" t="s">
        <v>3665</v>
      </c>
      <c r="L3062" s="1" t="s">
        <v>649</v>
      </c>
      <c r="M3062">
        <f t="shared" si="95"/>
        <v>4</v>
      </c>
      <c r="N3062" t="s">
        <v>650</v>
      </c>
    </row>
    <row r="3063" spans="1:14" hidden="1" x14ac:dyDescent="0.3">
      <c r="A3063" s="1" t="s">
        <v>4505</v>
      </c>
      <c r="B3063" s="1" t="s">
        <v>910</v>
      </c>
      <c r="C3063" s="1" t="s">
        <v>4506</v>
      </c>
      <c r="D3063" s="1" t="s">
        <v>1395</v>
      </c>
      <c r="E3063" s="1" t="s">
        <v>1396</v>
      </c>
      <c r="F3063" s="1" t="s">
        <v>1397</v>
      </c>
      <c r="G3063" s="1" t="s">
        <v>4502</v>
      </c>
      <c r="H3063">
        <v>2016</v>
      </c>
      <c r="I3063">
        <v>2022</v>
      </c>
      <c r="J3063">
        <f t="shared" si="94"/>
        <v>7</v>
      </c>
      <c r="K3063" s="1" t="s">
        <v>3665</v>
      </c>
      <c r="L3063" s="1" t="s">
        <v>649</v>
      </c>
      <c r="M3063">
        <f t="shared" si="95"/>
        <v>4</v>
      </c>
      <c r="N3063" t="s">
        <v>650</v>
      </c>
    </row>
    <row r="3064" spans="1:14" hidden="1" x14ac:dyDescent="0.3">
      <c r="A3064" s="1" t="s">
        <v>4507</v>
      </c>
      <c r="B3064" s="1" t="s">
        <v>910</v>
      </c>
      <c r="C3064" s="1" t="s">
        <v>4508</v>
      </c>
      <c r="D3064" s="1" t="s">
        <v>1395</v>
      </c>
      <c r="E3064" s="1" t="s">
        <v>1396</v>
      </c>
      <c r="F3064" s="1" t="s">
        <v>1397</v>
      </c>
      <c r="G3064" s="1" t="s">
        <v>4502</v>
      </c>
      <c r="H3064">
        <v>2016</v>
      </c>
      <c r="I3064">
        <v>2018</v>
      </c>
      <c r="J3064">
        <f t="shared" si="94"/>
        <v>3</v>
      </c>
      <c r="K3064" s="1" t="s">
        <v>3665</v>
      </c>
      <c r="L3064" s="1" t="s">
        <v>649</v>
      </c>
      <c r="M3064">
        <f t="shared" si="95"/>
        <v>8</v>
      </c>
      <c r="N3064" t="s">
        <v>650</v>
      </c>
    </row>
    <row r="3065" spans="1:14" hidden="1" x14ac:dyDescent="0.3">
      <c r="A3065" s="1" t="s">
        <v>4509</v>
      </c>
      <c r="B3065" s="1" t="s">
        <v>910</v>
      </c>
      <c r="C3065" s="1" t="s">
        <v>4510</v>
      </c>
      <c r="D3065" s="1" t="s">
        <v>1395</v>
      </c>
      <c r="E3065" s="1" t="s">
        <v>1396</v>
      </c>
      <c r="F3065" s="1" t="s">
        <v>1397</v>
      </c>
      <c r="G3065" s="1" t="s">
        <v>4502</v>
      </c>
      <c r="H3065">
        <v>2020</v>
      </c>
      <c r="I3065">
        <v>2022</v>
      </c>
      <c r="J3065">
        <f t="shared" si="94"/>
        <v>3</v>
      </c>
      <c r="K3065" s="1" t="s">
        <v>3665</v>
      </c>
      <c r="L3065" s="1" t="s">
        <v>649</v>
      </c>
      <c r="M3065">
        <f t="shared" si="95"/>
        <v>4</v>
      </c>
      <c r="N3065" t="s">
        <v>650</v>
      </c>
    </row>
    <row r="3066" spans="1:14" hidden="1" x14ac:dyDescent="0.3">
      <c r="A3066" s="1" t="s">
        <v>4511</v>
      </c>
      <c r="B3066" s="1" t="s">
        <v>910</v>
      </c>
      <c r="C3066" s="1" t="s">
        <v>4512</v>
      </c>
      <c r="D3066" s="1" t="s">
        <v>1395</v>
      </c>
      <c r="E3066" s="1" t="s">
        <v>1396</v>
      </c>
      <c r="F3066" s="1" t="s">
        <v>1397</v>
      </c>
      <c r="G3066" s="1" t="s">
        <v>4502</v>
      </c>
      <c r="H3066">
        <v>2017</v>
      </c>
      <c r="I3066">
        <v>2018</v>
      </c>
      <c r="J3066">
        <f t="shared" si="94"/>
        <v>2</v>
      </c>
      <c r="K3066" s="1" t="s">
        <v>3665</v>
      </c>
      <c r="L3066" s="1" t="s">
        <v>649</v>
      </c>
      <c r="M3066">
        <f t="shared" si="95"/>
        <v>8</v>
      </c>
      <c r="N3066" t="s">
        <v>650</v>
      </c>
    </row>
    <row r="3067" spans="1:14" x14ac:dyDescent="0.3">
      <c r="A3067" t="s">
        <v>11678</v>
      </c>
      <c r="B3067" t="s">
        <v>5289</v>
      </c>
      <c r="C3067" t="s">
        <v>11679</v>
      </c>
      <c r="E3067" s="1" t="s">
        <v>6076</v>
      </c>
      <c r="F3067" s="1" t="s">
        <v>6076</v>
      </c>
      <c r="G3067" s="1" t="s">
        <v>12841</v>
      </c>
      <c r="H3067">
        <v>2025</v>
      </c>
      <c r="I3067">
        <v>2026</v>
      </c>
      <c r="J3067">
        <f t="shared" si="94"/>
        <v>2</v>
      </c>
      <c r="K3067" s="1" t="s">
        <v>6076</v>
      </c>
      <c r="L3067" s="1" t="s">
        <v>6076</v>
      </c>
      <c r="M3067">
        <f t="shared" si="95"/>
        <v>0</v>
      </c>
    </row>
    <row r="3068" spans="1:14" x14ac:dyDescent="0.3">
      <c r="A3068" t="s">
        <v>11680</v>
      </c>
      <c r="B3068" t="s">
        <v>5289</v>
      </c>
      <c r="C3068" t="s">
        <v>11681</v>
      </c>
      <c r="E3068" s="1" t="s">
        <v>6076</v>
      </c>
      <c r="F3068" s="1" t="s">
        <v>6076</v>
      </c>
      <c r="G3068" s="1" t="s">
        <v>12841</v>
      </c>
      <c r="H3068">
        <v>2024</v>
      </c>
      <c r="I3068">
        <v>2026</v>
      </c>
      <c r="J3068">
        <f t="shared" si="94"/>
        <v>3</v>
      </c>
      <c r="K3068" s="1" t="s">
        <v>6076</v>
      </c>
      <c r="L3068" s="1" t="s">
        <v>6076</v>
      </c>
      <c r="M3068">
        <f t="shared" si="95"/>
        <v>0</v>
      </c>
    </row>
    <row r="3069" spans="1:14" x14ac:dyDescent="0.3">
      <c r="A3069" t="s">
        <v>11682</v>
      </c>
      <c r="B3069" t="s">
        <v>5289</v>
      </c>
      <c r="C3069" t="s">
        <v>11683</v>
      </c>
      <c r="E3069" s="1" t="s">
        <v>6076</v>
      </c>
      <c r="F3069" s="1" t="s">
        <v>6076</v>
      </c>
      <c r="G3069" s="1" t="s">
        <v>12841</v>
      </c>
      <c r="H3069">
        <v>2025</v>
      </c>
      <c r="I3069">
        <v>2026</v>
      </c>
      <c r="J3069">
        <f t="shared" si="94"/>
        <v>2</v>
      </c>
      <c r="K3069" s="1" t="s">
        <v>6076</v>
      </c>
      <c r="L3069" s="1" t="s">
        <v>6076</v>
      </c>
      <c r="M3069">
        <f t="shared" si="95"/>
        <v>0</v>
      </c>
    </row>
    <row r="3070" spans="1:14" x14ac:dyDescent="0.3">
      <c r="A3070" s="1" t="s">
        <v>8435</v>
      </c>
      <c r="B3070" s="1" t="s">
        <v>5913</v>
      </c>
      <c r="C3070" s="1" t="s">
        <v>8436</v>
      </c>
      <c r="D3070" s="1" t="s">
        <v>746</v>
      </c>
      <c r="E3070" s="1" t="s">
        <v>6076</v>
      </c>
      <c r="F3070" s="1" t="s">
        <v>6076</v>
      </c>
      <c r="G3070" s="1" t="s">
        <v>8437</v>
      </c>
      <c r="H3070">
        <v>2020</v>
      </c>
      <c r="I3070">
        <v>2021</v>
      </c>
      <c r="J3070">
        <f t="shared" si="94"/>
        <v>2</v>
      </c>
      <c r="K3070" s="1" t="s">
        <v>6076</v>
      </c>
      <c r="L3070" s="1" t="s">
        <v>6076</v>
      </c>
      <c r="M3070">
        <f t="shared" si="95"/>
        <v>5</v>
      </c>
    </row>
    <row r="3071" spans="1:14" x14ac:dyDescent="0.3">
      <c r="A3071" s="1" t="s">
        <v>8438</v>
      </c>
      <c r="B3071" s="1" t="s">
        <v>5913</v>
      </c>
      <c r="C3071" s="1" t="s">
        <v>8439</v>
      </c>
      <c r="D3071" s="1" t="s">
        <v>746</v>
      </c>
      <c r="E3071" s="1" t="s">
        <v>6076</v>
      </c>
      <c r="F3071" s="1" t="s">
        <v>6076</v>
      </c>
      <c r="G3071" s="1" t="s">
        <v>8437</v>
      </c>
      <c r="H3071">
        <v>2020</v>
      </c>
      <c r="I3071">
        <v>2021</v>
      </c>
      <c r="J3071">
        <f t="shared" si="94"/>
        <v>2</v>
      </c>
      <c r="K3071" s="1" t="s">
        <v>6076</v>
      </c>
      <c r="L3071" s="1" t="s">
        <v>6076</v>
      </c>
      <c r="M3071">
        <f t="shared" si="95"/>
        <v>5</v>
      </c>
    </row>
    <row r="3072" spans="1:14" x14ac:dyDescent="0.3">
      <c r="A3072" s="1" t="s">
        <v>8440</v>
      </c>
      <c r="B3072" s="1" t="s">
        <v>5913</v>
      </c>
      <c r="C3072" s="1" t="s">
        <v>8441</v>
      </c>
      <c r="D3072" s="1" t="s">
        <v>746</v>
      </c>
      <c r="E3072" s="1" t="s">
        <v>6076</v>
      </c>
      <c r="F3072" s="1" t="s">
        <v>6076</v>
      </c>
      <c r="G3072" s="1" t="s">
        <v>8437</v>
      </c>
      <c r="H3072">
        <v>2020</v>
      </c>
      <c r="I3072">
        <v>2021</v>
      </c>
      <c r="J3072">
        <f t="shared" si="94"/>
        <v>2</v>
      </c>
      <c r="K3072" s="1" t="s">
        <v>6076</v>
      </c>
      <c r="L3072" s="1" t="s">
        <v>6076</v>
      </c>
      <c r="M3072">
        <f t="shared" si="95"/>
        <v>5</v>
      </c>
    </row>
    <row r="3073" spans="1:14" x14ac:dyDescent="0.3">
      <c r="A3073" t="s">
        <v>10930</v>
      </c>
      <c r="B3073" t="s">
        <v>5913</v>
      </c>
      <c r="C3073" t="s">
        <v>10931</v>
      </c>
      <c r="E3073" s="1" t="s">
        <v>6076</v>
      </c>
      <c r="F3073" s="1" t="s">
        <v>6076</v>
      </c>
      <c r="G3073" s="1" t="s">
        <v>8437</v>
      </c>
      <c r="H3073">
        <v>2022</v>
      </c>
      <c r="I3073">
        <v>2022</v>
      </c>
      <c r="J3073">
        <f t="shared" si="94"/>
        <v>1</v>
      </c>
      <c r="K3073" s="1" t="s">
        <v>6076</v>
      </c>
      <c r="L3073" s="1" t="s">
        <v>6076</v>
      </c>
      <c r="M3073">
        <f t="shared" si="95"/>
        <v>4</v>
      </c>
    </row>
    <row r="3074" spans="1:14" x14ac:dyDescent="0.3">
      <c r="A3074" s="1" t="s">
        <v>8442</v>
      </c>
      <c r="B3074" s="1" t="s">
        <v>5913</v>
      </c>
      <c r="C3074" s="1" t="s">
        <v>8443</v>
      </c>
      <c r="D3074" s="1" t="s">
        <v>746</v>
      </c>
      <c r="E3074" s="1" t="s">
        <v>6076</v>
      </c>
      <c r="F3074" s="1" t="s">
        <v>6076</v>
      </c>
      <c r="G3074" s="1" t="s">
        <v>8437</v>
      </c>
      <c r="H3074">
        <v>2015</v>
      </c>
      <c r="I3074">
        <v>2016</v>
      </c>
      <c r="J3074">
        <f t="shared" si="94"/>
        <v>2</v>
      </c>
      <c r="K3074" s="1" t="s">
        <v>6076</v>
      </c>
      <c r="L3074" s="1" t="s">
        <v>6076</v>
      </c>
      <c r="M3074">
        <f t="shared" si="95"/>
        <v>10</v>
      </c>
    </row>
    <row r="3075" spans="1:14" x14ac:dyDescent="0.3">
      <c r="A3075" s="1" t="s">
        <v>8444</v>
      </c>
      <c r="B3075" s="1" t="s">
        <v>5913</v>
      </c>
      <c r="C3075" s="1" t="s">
        <v>8445</v>
      </c>
      <c r="D3075" s="1" t="s">
        <v>746</v>
      </c>
      <c r="E3075" s="1" t="s">
        <v>6076</v>
      </c>
      <c r="F3075" s="1" t="s">
        <v>6076</v>
      </c>
      <c r="G3075" s="1" t="s">
        <v>8437</v>
      </c>
      <c r="H3075">
        <v>2020</v>
      </c>
      <c r="I3075">
        <v>2020</v>
      </c>
      <c r="J3075">
        <f t="shared" si="94"/>
        <v>1</v>
      </c>
      <c r="K3075" s="1" t="s">
        <v>6076</v>
      </c>
      <c r="L3075" s="1" t="s">
        <v>6076</v>
      </c>
      <c r="M3075">
        <f t="shared" si="95"/>
        <v>6</v>
      </c>
    </row>
    <row r="3076" spans="1:14" x14ac:dyDescent="0.3">
      <c r="A3076" s="1" t="s">
        <v>8446</v>
      </c>
      <c r="B3076" s="1" t="s">
        <v>5913</v>
      </c>
      <c r="C3076" s="1" t="s">
        <v>8447</v>
      </c>
      <c r="D3076" s="1" t="s">
        <v>746</v>
      </c>
      <c r="E3076" s="1" t="s">
        <v>6076</v>
      </c>
      <c r="F3076" s="1" t="s">
        <v>6076</v>
      </c>
      <c r="G3076" s="1" t="s">
        <v>8437</v>
      </c>
      <c r="H3076">
        <v>2015</v>
      </c>
      <c r="I3076">
        <v>2020</v>
      </c>
      <c r="J3076">
        <f t="shared" si="94"/>
        <v>6</v>
      </c>
      <c r="K3076" s="1" t="s">
        <v>6076</v>
      </c>
      <c r="L3076" s="1" t="s">
        <v>6076</v>
      </c>
      <c r="M3076">
        <f t="shared" si="95"/>
        <v>6</v>
      </c>
    </row>
    <row r="3077" spans="1:14" hidden="1" x14ac:dyDescent="0.3">
      <c r="A3077" s="1" t="s">
        <v>4513</v>
      </c>
      <c r="B3077" s="1" t="s">
        <v>1849</v>
      </c>
      <c r="C3077" s="1" t="s">
        <v>4514</v>
      </c>
      <c r="D3077" s="1" t="s">
        <v>746</v>
      </c>
      <c r="E3077" s="1" t="s">
        <v>1358</v>
      </c>
      <c r="F3077" s="1" t="s">
        <v>1359</v>
      </c>
      <c r="G3077" s="1" t="s">
        <v>4515</v>
      </c>
      <c r="H3077">
        <v>2012</v>
      </c>
      <c r="I3077">
        <v>2014</v>
      </c>
      <c r="J3077">
        <f t="shared" si="94"/>
        <v>3</v>
      </c>
      <c r="K3077" s="1" t="s">
        <v>3665</v>
      </c>
      <c r="L3077" s="1" t="s">
        <v>798</v>
      </c>
      <c r="M3077">
        <f t="shared" si="95"/>
        <v>12</v>
      </c>
      <c r="N3077" t="s">
        <v>650</v>
      </c>
    </row>
    <row r="3078" spans="1:14" hidden="1" x14ac:dyDescent="0.3">
      <c r="A3078" s="1" t="s">
        <v>4516</v>
      </c>
      <c r="B3078" s="1" t="s">
        <v>1849</v>
      </c>
      <c r="C3078" s="1" t="s">
        <v>4517</v>
      </c>
      <c r="D3078" s="1" t="s">
        <v>746</v>
      </c>
      <c r="E3078" s="1" t="s">
        <v>1358</v>
      </c>
      <c r="F3078" s="1" t="s">
        <v>1359</v>
      </c>
      <c r="G3078" s="1" t="s">
        <v>4515</v>
      </c>
      <c r="H3078">
        <v>2013</v>
      </c>
      <c r="I3078">
        <v>2016</v>
      </c>
      <c r="J3078">
        <f t="shared" ref="J3078:J3141" si="96">1+(I3078-H3078)</f>
        <v>4</v>
      </c>
      <c r="K3078" s="1" t="s">
        <v>3665</v>
      </c>
      <c r="L3078" s="1" t="s">
        <v>798</v>
      </c>
      <c r="M3078">
        <f t="shared" ref="M3078:M3141" si="97">IF(I3078=0,0,$B$2-I3078)</f>
        <v>10</v>
      </c>
      <c r="N3078" t="s">
        <v>650</v>
      </c>
    </row>
    <row r="3079" spans="1:14" hidden="1" x14ac:dyDescent="0.3">
      <c r="A3079" s="1" t="s">
        <v>4518</v>
      </c>
      <c r="B3079" s="1" t="s">
        <v>1849</v>
      </c>
      <c r="C3079" s="1" t="s">
        <v>4519</v>
      </c>
      <c r="D3079" s="1" t="s">
        <v>746</v>
      </c>
      <c r="E3079" s="1" t="s">
        <v>1358</v>
      </c>
      <c r="F3079" s="1" t="s">
        <v>1359</v>
      </c>
      <c r="G3079" s="1" t="s">
        <v>4515</v>
      </c>
      <c r="H3079">
        <v>2009</v>
      </c>
      <c r="I3079">
        <v>2012</v>
      </c>
      <c r="J3079">
        <f t="shared" si="96"/>
        <v>4</v>
      </c>
      <c r="K3079" s="1" t="s">
        <v>3665</v>
      </c>
      <c r="L3079" s="1" t="s">
        <v>798</v>
      </c>
      <c r="M3079">
        <f t="shared" si="97"/>
        <v>14</v>
      </c>
      <c r="N3079" t="s">
        <v>650</v>
      </c>
    </row>
    <row r="3080" spans="1:14" hidden="1" x14ac:dyDescent="0.3">
      <c r="A3080" s="1" t="s">
        <v>4520</v>
      </c>
      <c r="B3080" s="1" t="s">
        <v>1849</v>
      </c>
      <c r="C3080" s="1" t="s">
        <v>4521</v>
      </c>
      <c r="D3080" s="1" t="s">
        <v>746</v>
      </c>
      <c r="E3080" s="1" t="s">
        <v>1358</v>
      </c>
      <c r="F3080" s="1" t="s">
        <v>1359</v>
      </c>
      <c r="G3080" s="1" t="s">
        <v>4515</v>
      </c>
      <c r="H3080">
        <v>2009</v>
      </c>
      <c r="I3080">
        <v>2012</v>
      </c>
      <c r="J3080">
        <f t="shared" si="96"/>
        <v>4</v>
      </c>
      <c r="K3080" s="1" t="s">
        <v>3665</v>
      </c>
      <c r="L3080" s="1" t="s">
        <v>798</v>
      </c>
      <c r="M3080">
        <f t="shared" si="97"/>
        <v>14</v>
      </c>
      <c r="N3080" t="s">
        <v>650</v>
      </c>
    </row>
    <row r="3081" spans="1:14" x14ac:dyDescent="0.3">
      <c r="A3081" s="1" t="s">
        <v>8448</v>
      </c>
      <c r="B3081" s="1" t="s">
        <v>1849</v>
      </c>
      <c r="C3081" s="1" t="s">
        <v>8449</v>
      </c>
      <c r="D3081" s="1" t="s">
        <v>746</v>
      </c>
      <c r="E3081" s="1" t="s">
        <v>6076</v>
      </c>
      <c r="F3081" s="1" t="s">
        <v>6076</v>
      </c>
      <c r="G3081" s="1" t="s">
        <v>4515</v>
      </c>
      <c r="H3081">
        <v>2015</v>
      </c>
      <c r="I3081">
        <v>2015</v>
      </c>
      <c r="J3081">
        <f t="shared" si="96"/>
        <v>1</v>
      </c>
      <c r="K3081" s="1" t="s">
        <v>6076</v>
      </c>
      <c r="L3081" s="1" t="s">
        <v>6076</v>
      </c>
      <c r="M3081">
        <f t="shared" si="97"/>
        <v>11</v>
      </c>
      <c r="N3081" t="s">
        <v>650</v>
      </c>
    </row>
    <row r="3082" spans="1:14" hidden="1" x14ac:dyDescent="0.3">
      <c r="A3082" s="1" t="s">
        <v>4522</v>
      </c>
      <c r="B3082" s="1" t="s">
        <v>1849</v>
      </c>
      <c r="C3082" s="1" t="s">
        <v>4523</v>
      </c>
      <c r="D3082" s="1" t="s">
        <v>738</v>
      </c>
      <c r="E3082" s="1" t="s">
        <v>812</v>
      </c>
      <c r="F3082" s="1" t="s">
        <v>3803</v>
      </c>
      <c r="G3082" s="1" t="s">
        <v>4515</v>
      </c>
      <c r="H3082">
        <v>2011</v>
      </c>
      <c r="I3082">
        <v>2012</v>
      </c>
      <c r="J3082">
        <f t="shared" si="96"/>
        <v>2</v>
      </c>
      <c r="K3082" s="1" t="s">
        <v>3665</v>
      </c>
      <c r="L3082" s="1" t="s">
        <v>798</v>
      </c>
      <c r="M3082">
        <f t="shared" si="97"/>
        <v>14</v>
      </c>
      <c r="N3082" t="s">
        <v>650</v>
      </c>
    </row>
    <row r="3083" spans="1:14" hidden="1" x14ac:dyDescent="0.3">
      <c r="A3083" s="1" t="s">
        <v>4524</v>
      </c>
      <c r="B3083" s="1" t="s">
        <v>1849</v>
      </c>
      <c r="C3083" s="1" t="s">
        <v>4525</v>
      </c>
      <c r="D3083" s="1" t="s">
        <v>738</v>
      </c>
      <c r="E3083" s="1" t="s">
        <v>812</v>
      </c>
      <c r="F3083" s="1" t="s">
        <v>3803</v>
      </c>
      <c r="G3083" s="1" t="s">
        <v>4515</v>
      </c>
      <c r="H3083">
        <v>2011</v>
      </c>
      <c r="I3083">
        <v>2012</v>
      </c>
      <c r="J3083">
        <f t="shared" si="96"/>
        <v>2</v>
      </c>
      <c r="K3083" s="1" t="s">
        <v>3665</v>
      </c>
      <c r="L3083" s="1" t="s">
        <v>798</v>
      </c>
      <c r="M3083">
        <f t="shared" si="97"/>
        <v>14</v>
      </c>
      <c r="N3083" t="s">
        <v>650</v>
      </c>
    </row>
    <row r="3084" spans="1:14" x14ac:dyDescent="0.3">
      <c r="A3084" t="s">
        <v>10932</v>
      </c>
      <c r="B3084" t="s">
        <v>5913</v>
      </c>
      <c r="C3084" t="s">
        <v>10933</v>
      </c>
      <c r="E3084" s="1" t="s">
        <v>6076</v>
      </c>
      <c r="F3084" s="1" t="s">
        <v>6076</v>
      </c>
      <c r="G3084" s="1" t="s">
        <v>12769</v>
      </c>
      <c r="H3084">
        <v>2023</v>
      </c>
      <c r="I3084">
        <v>2026</v>
      </c>
      <c r="J3084">
        <f t="shared" si="96"/>
        <v>4</v>
      </c>
      <c r="K3084" s="1" t="s">
        <v>6076</v>
      </c>
      <c r="L3084" s="1" t="s">
        <v>6076</v>
      </c>
      <c r="M3084">
        <f t="shared" si="97"/>
        <v>0</v>
      </c>
    </row>
    <row r="3085" spans="1:14" x14ac:dyDescent="0.3">
      <c r="A3085" t="s">
        <v>10934</v>
      </c>
      <c r="B3085" t="s">
        <v>5913</v>
      </c>
      <c r="C3085" t="s">
        <v>10935</v>
      </c>
      <c r="E3085" s="1" t="s">
        <v>6076</v>
      </c>
      <c r="F3085" s="1" t="s">
        <v>6076</v>
      </c>
      <c r="G3085" s="1" t="s">
        <v>12769</v>
      </c>
      <c r="H3085">
        <v>2023</v>
      </c>
      <c r="I3085">
        <v>2026</v>
      </c>
      <c r="J3085">
        <f t="shared" si="96"/>
        <v>4</v>
      </c>
      <c r="K3085" s="1" t="s">
        <v>6076</v>
      </c>
      <c r="L3085" s="1" t="s">
        <v>6076</v>
      </c>
      <c r="M3085">
        <f t="shared" si="97"/>
        <v>0</v>
      </c>
    </row>
    <row r="3086" spans="1:14" x14ac:dyDescent="0.3">
      <c r="A3086" t="s">
        <v>10936</v>
      </c>
      <c r="B3086" t="s">
        <v>5913</v>
      </c>
      <c r="C3086" t="s">
        <v>10937</v>
      </c>
      <c r="E3086" s="1" t="s">
        <v>6076</v>
      </c>
      <c r="F3086" s="1" t="s">
        <v>6076</v>
      </c>
      <c r="G3086" s="1" t="s">
        <v>12769</v>
      </c>
      <c r="H3086">
        <v>2023</v>
      </c>
      <c r="I3086">
        <v>2026</v>
      </c>
      <c r="J3086">
        <f t="shared" si="96"/>
        <v>4</v>
      </c>
      <c r="K3086" s="1" t="s">
        <v>6076</v>
      </c>
      <c r="L3086" s="1" t="s">
        <v>6076</v>
      </c>
      <c r="M3086">
        <f t="shared" si="97"/>
        <v>0</v>
      </c>
    </row>
    <row r="3087" spans="1:14" x14ac:dyDescent="0.3">
      <c r="A3087" t="s">
        <v>10938</v>
      </c>
      <c r="B3087" t="s">
        <v>5913</v>
      </c>
      <c r="C3087" t="s">
        <v>10939</v>
      </c>
      <c r="E3087" s="1" t="s">
        <v>6076</v>
      </c>
      <c r="F3087" s="1" t="s">
        <v>6076</v>
      </c>
      <c r="G3087" s="1" t="s">
        <v>12770</v>
      </c>
      <c r="H3087">
        <v>2024</v>
      </c>
      <c r="I3087">
        <v>2026</v>
      </c>
      <c r="J3087">
        <f t="shared" si="96"/>
        <v>3</v>
      </c>
      <c r="K3087" s="1" t="s">
        <v>6076</v>
      </c>
      <c r="L3087" s="1" t="s">
        <v>6076</v>
      </c>
      <c r="M3087">
        <f t="shared" si="97"/>
        <v>0</v>
      </c>
    </row>
    <row r="3088" spans="1:14" x14ac:dyDescent="0.3">
      <c r="A3088" t="s">
        <v>10940</v>
      </c>
      <c r="B3088" t="s">
        <v>5913</v>
      </c>
      <c r="C3088" t="s">
        <v>10941</v>
      </c>
      <c r="E3088" s="1" t="s">
        <v>6076</v>
      </c>
      <c r="F3088" s="1" t="s">
        <v>6076</v>
      </c>
      <c r="G3088" s="1" t="s">
        <v>12771</v>
      </c>
      <c r="H3088">
        <v>2024</v>
      </c>
      <c r="I3088">
        <v>2026</v>
      </c>
      <c r="J3088">
        <f t="shared" si="96"/>
        <v>3</v>
      </c>
      <c r="K3088" s="1" t="s">
        <v>6076</v>
      </c>
      <c r="L3088" s="1" t="s">
        <v>6076</v>
      </c>
      <c r="M3088">
        <f t="shared" si="97"/>
        <v>0</v>
      </c>
    </row>
    <row r="3089" spans="1:14" x14ac:dyDescent="0.3">
      <c r="A3089" s="1" t="s">
        <v>8450</v>
      </c>
      <c r="B3089" s="1" t="s">
        <v>5913</v>
      </c>
      <c r="C3089" s="1" t="s">
        <v>8451</v>
      </c>
      <c r="D3089" s="1" t="s">
        <v>3850</v>
      </c>
      <c r="E3089" s="1" t="s">
        <v>6076</v>
      </c>
      <c r="F3089" s="1" t="s">
        <v>6076</v>
      </c>
      <c r="G3089" s="1" t="s">
        <v>8452</v>
      </c>
      <c r="H3089">
        <v>2015</v>
      </c>
      <c r="I3089">
        <v>2020</v>
      </c>
      <c r="J3089">
        <f t="shared" si="96"/>
        <v>6</v>
      </c>
      <c r="K3089" s="1" t="s">
        <v>6076</v>
      </c>
      <c r="L3089" s="1" t="s">
        <v>6076</v>
      </c>
      <c r="M3089">
        <f t="shared" si="97"/>
        <v>6</v>
      </c>
    </row>
    <row r="3090" spans="1:14" x14ac:dyDescent="0.3">
      <c r="A3090" s="1" t="s">
        <v>8453</v>
      </c>
      <c r="B3090" s="1" t="s">
        <v>5913</v>
      </c>
      <c r="C3090" s="1" t="s">
        <v>8454</v>
      </c>
      <c r="D3090" s="1" t="s">
        <v>3850</v>
      </c>
      <c r="E3090" s="1" t="s">
        <v>6076</v>
      </c>
      <c r="F3090" s="1" t="s">
        <v>6076</v>
      </c>
      <c r="G3090" s="1" t="s">
        <v>8452</v>
      </c>
      <c r="H3090">
        <v>2019</v>
      </c>
      <c r="I3090">
        <v>2020</v>
      </c>
      <c r="J3090">
        <f t="shared" si="96"/>
        <v>2</v>
      </c>
      <c r="K3090" s="1" t="s">
        <v>6076</v>
      </c>
      <c r="L3090" s="1" t="s">
        <v>6076</v>
      </c>
      <c r="M3090">
        <f t="shared" si="97"/>
        <v>6</v>
      </c>
    </row>
    <row r="3091" spans="1:14" x14ac:dyDescent="0.3">
      <c r="A3091" s="1" t="s">
        <v>8455</v>
      </c>
      <c r="B3091" s="1" t="s">
        <v>1451</v>
      </c>
      <c r="C3091" s="1" t="s">
        <v>8456</v>
      </c>
      <c r="D3091" s="1" t="s">
        <v>1395</v>
      </c>
      <c r="E3091" s="1" t="s">
        <v>6076</v>
      </c>
      <c r="F3091" s="1" t="s">
        <v>6076</v>
      </c>
      <c r="G3091" s="1" t="s">
        <v>8457</v>
      </c>
      <c r="H3091">
        <v>1986</v>
      </c>
      <c r="I3091">
        <v>1989</v>
      </c>
      <c r="J3091">
        <f t="shared" si="96"/>
        <v>4</v>
      </c>
      <c r="K3091" s="1" t="s">
        <v>6076</v>
      </c>
      <c r="L3091" s="1" t="s">
        <v>6076</v>
      </c>
      <c r="M3091">
        <f t="shared" si="97"/>
        <v>37</v>
      </c>
      <c r="N3091" t="s">
        <v>640</v>
      </c>
    </row>
    <row r="3092" spans="1:14" x14ac:dyDescent="0.3">
      <c r="A3092" s="1" t="s">
        <v>8458</v>
      </c>
      <c r="B3092" s="1" t="s">
        <v>1451</v>
      </c>
      <c r="C3092" s="1" t="s">
        <v>8459</v>
      </c>
      <c r="D3092" s="1" t="s">
        <v>1395</v>
      </c>
      <c r="E3092" s="1" t="s">
        <v>6076</v>
      </c>
      <c r="F3092" s="1" t="s">
        <v>6076</v>
      </c>
      <c r="G3092" s="1" t="s">
        <v>8457</v>
      </c>
      <c r="H3092">
        <v>1986</v>
      </c>
      <c r="I3092">
        <v>1995</v>
      </c>
      <c r="J3092">
        <f t="shared" si="96"/>
        <v>10</v>
      </c>
      <c r="K3092" s="1" t="s">
        <v>6076</v>
      </c>
      <c r="L3092" s="1" t="s">
        <v>6076</v>
      </c>
      <c r="M3092">
        <f t="shared" si="97"/>
        <v>31</v>
      </c>
      <c r="N3092" t="s">
        <v>640</v>
      </c>
    </row>
    <row r="3093" spans="1:14" x14ac:dyDescent="0.3">
      <c r="A3093" t="s">
        <v>11039</v>
      </c>
      <c r="B3093" t="s">
        <v>3790</v>
      </c>
      <c r="C3093" t="s">
        <v>11040</v>
      </c>
      <c r="E3093" s="1" t="s">
        <v>6076</v>
      </c>
      <c r="F3093" s="1" t="s">
        <v>6076</v>
      </c>
      <c r="G3093" s="1" t="s">
        <v>12783</v>
      </c>
      <c r="H3093">
        <v>2022</v>
      </c>
      <c r="I3093">
        <v>2023</v>
      </c>
      <c r="J3093">
        <f t="shared" si="96"/>
        <v>2</v>
      </c>
      <c r="K3093" s="1" t="s">
        <v>6076</v>
      </c>
      <c r="L3093" s="1" t="s">
        <v>6076</v>
      </c>
      <c r="M3093">
        <f t="shared" si="97"/>
        <v>3</v>
      </c>
    </row>
    <row r="3094" spans="1:14" hidden="1" x14ac:dyDescent="0.3">
      <c r="A3094" s="1" t="s">
        <v>2020</v>
      </c>
      <c r="B3094" s="1" t="s">
        <v>802</v>
      </c>
      <c r="C3094" s="1" t="s">
        <v>2021</v>
      </c>
      <c r="D3094" s="1" t="s">
        <v>738</v>
      </c>
      <c r="E3094" s="1" t="s">
        <v>739</v>
      </c>
      <c r="F3094" s="1" t="s">
        <v>740</v>
      </c>
      <c r="G3094" s="1" t="s">
        <v>2022</v>
      </c>
      <c r="H3094">
        <v>2016</v>
      </c>
      <c r="I3094">
        <v>2016</v>
      </c>
      <c r="J3094">
        <f t="shared" si="96"/>
        <v>1</v>
      </c>
      <c r="K3094" s="1" t="s">
        <v>741</v>
      </c>
      <c r="L3094" s="1" t="s">
        <v>666</v>
      </c>
      <c r="M3094">
        <f t="shared" si="97"/>
        <v>10</v>
      </c>
      <c r="N3094" t="s">
        <v>650</v>
      </c>
    </row>
    <row r="3095" spans="1:14" hidden="1" x14ac:dyDescent="0.3">
      <c r="A3095" s="1" t="s">
        <v>2023</v>
      </c>
      <c r="B3095" s="1" t="s">
        <v>802</v>
      </c>
      <c r="C3095" s="1" t="s">
        <v>2024</v>
      </c>
      <c r="D3095" s="1" t="s">
        <v>738</v>
      </c>
      <c r="E3095" s="1" t="s">
        <v>739</v>
      </c>
      <c r="F3095" s="1" t="s">
        <v>740</v>
      </c>
      <c r="G3095" s="1" t="s">
        <v>2022</v>
      </c>
      <c r="H3095">
        <v>2010</v>
      </c>
      <c r="I3095">
        <v>2010</v>
      </c>
      <c r="J3095">
        <f t="shared" si="96"/>
        <v>1</v>
      </c>
      <c r="K3095" s="1" t="s">
        <v>741</v>
      </c>
      <c r="L3095" s="1" t="s">
        <v>666</v>
      </c>
      <c r="M3095">
        <f t="shared" si="97"/>
        <v>16</v>
      </c>
      <c r="N3095" t="s">
        <v>650</v>
      </c>
    </row>
    <row r="3096" spans="1:14" hidden="1" x14ac:dyDescent="0.3">
      <c r="A3096" s="1" t="s">
        <v>2025</v>
      </c>
      <c r="B3096" s="1" t="s">
        <v>802</v>
      </c>
      <c r="C3096" s="1" t="s">
        <v>2026</v>
      </c>
      <c r="D3096" s="1" t="s">
        <v>738</v>
      </c>
      <c r="E3096" s="1" t="s">
        <v>739</v>
      </c>
      <c r="F3096" s="1" t="s">
        <v>740</v>
      </c>
      <c r="G3096" s="1" t="s">
        <v>2022</v>
      </c>
      <c r="H3096">
        <v>2016</v>
      </c>
      <c r="I3096">
        <v>2016</v>
      </c>
      <c r="J3096">
        <f t="shared" si="96"/>
        <v>1</v>
      </c>
      <c r="K3096" s="1" t="s">
        <v>741</v>
      </c>
      <c r="L3096" s="1" t="s">
        <v>666</v>
      </c>
      <c r="M3096">
        <f t="shared" si="97"/>
        <v>10</v>
      </c>
      <c r="N3096" t="s">
        <v>650</v>
      </c>
    </row>
    <row r="3097" spans="1:14" hidden="1" x14ac:dyDescent="0.3">
      <c r="A3097" s="1" t="s">
        <v>2027</v>
      </c>
      <c r="B3097" s="1" t="s">
        <v>802</v>
      </c>
      <c r="C3097" s="1" t="s">
        <v>2028</v>
      </c>
      <c r="D3097" s="1" t="s">
        <v>738</v>
      </c>
      <c r="E3097" s="1" t="s">
        <v>739</v>
      </c>
      <c r="F3097" s="1" t="s">
        <v>740</v>
      </c>
      <c r="G3097" s="1" t="s">
        <v>2022</v>
      </c>
      <c r="H3097">
        <v>2007</v>
      </c>
      <c r="I3097">
        <v>2007</v>
      </c>
      <c r="J3097">
        <f t="shared" si="96"/>
        <v>1</v>
      </c>
      <c r="K3097" s="1" t="s">
        <v>741</v>
      </c>
      <c r="L3097" s="1" t="s">
        <v>666</v>
      </c>
      <c r="M3097">
        <f t="shared" si="97"/>
        <v>19</v>
      </c>
      <c r="N3097" t="s">
        <v>650</v>
      </c>
    </row>
    <row r="3098" spans="1:14" hidden="1" x14ac:dyDescent="0.3">
      <c r="A3098" s="1" t="s">
        <v>2029</v>
      </c>
      <c r="B3098" s="1" t="s">
        <v>802</v>
      </c>
      <c r="C3098" s="1" t="s">
        <v>2030</v>
      </c>
      <c r="D3098" s="1" t="s">
        <v>738</v>
      </c>
      <c r="E3098" s="1" t="s">
        <v>739</v>
      </c>
      <c r="F3098" s="1" t="s">
        <v>740</v>
      </c>
      <c r="G3098" s="1" t="s">
        <v>2022</v>
      </c>
      <c r="H3098">
        <v>2011</v>
      </c>
      <c r="I3098">
        <v>2011</v>
      </c>
      <c r="J3098">
        <f t="shared" si="96"/>
        <v>1</v>
      </c>
      <c r="K3098" s="1" t="s">
        <v>741</v>
      </c>
      <c r="L3098" s="1" t="s">
        <v>666</v>
      </c>
      <c r="M3098">
        <f t="shared" si="97"/>
        <v>15</v>
      </c>
      <c r="N3098" t="s">
        <v>650</v>
      </c>
    </row>
    <row r="3099" spans="1:14" hidden="1" x14ac:dyDescent="0.3">
      <c r="A3099" s="1" t="s">
        <v>2031</v>
      </c>
      <c r="B3099" s="1" t="s">
        <v>802</v>
      </c>
      <c r="C3099" s="1" t="s">
        <v>2032</v>
      </c>
      <c r="D3099" s="1" t="s">
        <v>738</v>
      </c>
      <c r="E3099" s="1" t="s">
        <v>739</v>
      </c>
      <c r="F3099" s="1" t="s">
        <v>740</v>
      </c>
      <c r="G3099" s="1" t="s">
        <v>2022</v>
      </c>
      <c r="H3099">
        <v>2006</v>
      </c>
      <c r="I3099">
        <v>2010</v>
      </c>
      <c r="J3099">
        <f t="shared" si="96"/>
        <v>5</v>
      </c>
      <c r="K3099" s="1" t="s">
        <v>741</v>
      </c>
      <c r="L3099" s="1" t="s">
        <v>666</v>
      </c>
      <c r="M3099">
        <f t="shared" si="97"/>
        <v>16</v>
      </c>
      <c r="N3099" t="s">
        <v>650</v>
      </c>
    </row>
    <row r="3100" spans="1:14" hidden="1" x14ac:dyDescent="0.3">
      <c r="A3100" s="1" t="s">
        <v>2033</v>
      </c>
      <c r="B3100" s="1" t="s">
        <v>802</v>
      </c>
      <c r="C3100" s="1" t="s">
        <v>2034</v>
      </c>
      <c r="D3100" s="1" t="s">
        <v>738</v>
      </c>
      <c r="E3100" s="1" t="s">
        <v>739</v>
      </c>
      <c r="F3100" s="1" t="s">
        <v>740</v>
      </c>
      <c r="G3100" s="1" t="s">
        <v>2022</v>
      </c>
      <c r="H3100">
        <v>2010</v>
      </c>
      <c r="I3100">
        <v>2010</v>
      </c>
      <c r="J3100">
        <f t="shared" si="96"/>
        <v>1</v>
      </c>
      <c r="K3100" s="1" t="s">
        <v>741</v>
      </c>
      <c r="L3100" s="1" t="s">
        <v>666</v>
      </c>
      <c r="M3100">
        <f t="shared" si="97"/>
        <v>16</v>
      </c>
      <c r="N3100" t="s">
        <v>650</v>
      </c>
    </row>
    <row r="3101" spans="1:14" hidden="1" x14ac:dyDescent="0.3">
      <c r="A3101" s="1" t="s">
        <v>2035</v>
      </c>
      <c r="B3101" s="1" t="s">
        <v>802</v>
      </c>
      <c r="C3101" s="1" t="s">
        <v>2036</v>
      </c>
      <c r="D3101" s="1" t="s">
        <v>738</v>
      </c>
      <c r="E3101" s="1" t="s">
        <v>739</v>
      </c>
      <c r="F3101" s="1" t="s">
        <v>740</v>
      </c>
      <c r="G3101" s="1" t="s">
        <v>2022</v>
      </c>
      <c r="H3101">
        <v>2011</v>
      </c>
      <c r="I3101">
        <v>2011</v>
      </c>
      <c r="J3101">
        <f t="shared" si="96"/>
        <v>1</v>
      </c>
      <c r="K3101" s="1" t="s">
        <v>741</v>
      </c>
      <c r="L3101" s="1" t="s">
        <v>666</v>
      </c>
      <c r="M3101">
        <f t="shared" si="97"/>
        <v>15</v>
      </c>
      <c r="N3101" t="s">
        <v>650</v>
      </c>
    </row>
    <row r="3102" spans="1:14" hidden="1" x14ac:dyDescent="0.3">
      <c r="A3102" s="1" t="s">
        <v>2037</v>
      </c>
      <c r="B3102" s="1" t="s">
        <v>802</v>
      </c>
      <c r="C3102" s="1" t="s">
        <v>2038</v>
      </c>
      <c r="D3102" s="1" t="s">
        <v>738</v>
      </c>
      <c r="E3102" s="1" t="s">
        <v>739</v>
      </c>
      <c r="F3102" s="1" t="s">
        <v>740</v>
      </c>
      <c r="G3102" s="1" t="s">
        <v>2022</v>
      </c>
      <c r="H3102">
        <v>2014</v>
      </c>
      <c r="I3102">
        <v>2014</v>
      </c>
      <c r="J3102">
        <f t="shared" si="96"/>
        <v>1</v>
      </c>
      <c r="K3102" s="1" t="s">
        <v>741</v>
      </c>
      <c r="L3102" s="1" t="s">
        <v>666</v>
      </c>
      <c r="M3102">
        <f t="shared" si="97"/>
        <v>12</v>
      </c>
      <c r="N3102" t="s">
        <v>650</v>
      </c>
    </row>
    <row r="3103" spans="1:14" hidden="1" x14ac:dyDescent="0.3">
      <c r="A3103" s="1" t="s">
        <v>2039</v>
      </c>
      <c r="B3103" s="1" t="s">
        <v>802</v>
      </c>
      <c r="C3103" s="1" t="s">
        <v>2040</v>
      </c>
      <c r="D3103" s="1" t="s">
        <v>738</v>
      </c>
      <c r="E3103" s="1" t="s">
        <v>739</v>
      </c>
      <c r="F3103" s="1" t="s">
        <v>740</v>
      </c>
      <c r="G3103" s="1" t="s">
        <v>2022</v>
      </c>
      <c r="H3103">
        <v>2014</v>
      </c>
      <c r="I3103">
        <v>2016</v>
      </c>
      <c r="J3103">
        <f t="shared" si="96"/>
        <v>3</v>
      </c>
      <c r="K3103" s="1" t="s">
        <v>741</v>
      </c>
      <c r="L3103" s="1" t="s">
        <v>666</v>
      </c>
      <c r="M3103">
        <f t="shared" si="97"/>
        <v>10</v>
      </c>
      <c r="N3103" t="s">
        <v>650</v>
      </c>
    </row>
    <row r="3104" spans="1:14" hidden="1" x14ac:dyDescent="0.3">
      <c r="A3104" s="1" t="s">
        <v>2041</v>
      </c>
      <c r="B3104" s="1" t="s">
        <v>802</v>
      </c>
      <c r="C3104" s="1" t="s">
        <v>2042</v>
      </c>
      <c r="D3104" s="1" t="s">
        <v>738</v>
      </c>
      <c r="E3104" s="1" t="s">
        <v>739</v>
      </c>
      <c r="F3104" s="1" t="s">
        <v>740</v>
      </c>
      <c r="G3104" s="1" t="s">
        <v>2022</v>
      </c>
      <c r="H3104">
        <v>2014</v>
      </c>
      <c r="I3104">
        <v>2016</v>
      </c>
      <c r="J3104">
        <f t="shared" si="96"/>
        <v>3</v>
      </c>
      <c r="K3104" s="1" t="s">
        <v>741</v>
      </c>
      <c r="L3104" s="1" t="s">
        <v>666</v>
      </c>
      <c r="M3104">
        <f t="shared" si="97"/>
        <v>10</v>
      </c>
      <c r="N3104" t="s">
        <v>650</v>
      </c>
    </row>
    <row r="3105" spans="1:14" hidden="1" x14ac:dyDescent="0.3">
      <c r="A3105" s="1" t="s">
        <v>2043</v>
      </c>
      <c r="B3105" s="1" t="s">
        <v>802</v>
      </c>
      <c r="C3105" s="1" t="s">
        <v>2044</v>
      </c>
      <c r="D3105" s="1" t="s">
        <v>738</v>
      </c>
      <c r="E3105" s="1" t="s">
        <v>739</v>
      </c>
      <c r="F3105" s="1" t="s">
        <v>740</v>
      </c>
      <c r="G3105" s="1" t="s">
        <v>2022</v>
      </c>
      <c r="H3105">
        <v>2006</v>
      </c>
      <c r="I3105">
        <v>2006</v>
      </c>
      <c r="J3105">
        <f t="shared" si="96"/>
        <v>1</v>
      </c>
      <c r="K3105" s="1" t="s">
        <v>741</v>
      </c>
      <c r="L3105" s="1" t="s">
        <v>666</v>
      </c>
      <c r="M3105">
        <f t="shared" si="97"/>
        <v>20</v>
      </c>
      <c r="N3105" t="s">
        <v>640</v>
      </c>
    </row>
    <row r="3106" spans="1:14" hidden="1" x14ac:dyDescent="0.3">
      <c r="A3106" s="1" t="s">
        <v>2045</v>
      </c>
      <c r="B3106" s="1" t="s">
        <v>802</v>
      </c>
      <c r="C3106" s="1" t="s">
        <v>2046</v>
      </c>
      <c r="D3106" s="1" t="s">
        <v>738</v>
      </c>
      <c r="E3106" s="1" t="s">
        <v>739</v>
      </c>
      <c r="F3106" s="1" t="s">
        <v>740</v>
      </c>
      <c r="G3106" s="1" t="s">
        <v>2022</v>
      </c>
      <c r="H3106">
        <v>2011</v>
      </c>
      <c r="I3106">
        <v>2011</v>
      </c>
      <c r="J3106">
        <f t="shared" si="96"/>
        <v>1</v>
      </c>
      <c r="K3106" s="1" t="s">
        <v>741</v>
      </c>
      <c r="L3106" s="1" t="s">
        <v>666</v>
      </c>
      <c r="M3106">
        <f t="shared" si="97"/>
        <v>15</v>
      </c>
      <c r="N3106" t="s">
        <v>650</v>
      </c>
    </row>
    <row r="3107" spans="1:14" hidden="1" x14ac:dyDescent="0.3">
      <c r="A3107" s="1" t="s">
        <v>2047</v>
      </c>
      <c r="B3107" s="1" t="s">
        <v>802</v>
      </c>
      <c r="C3107" s="1" t="s">
        <v>2048</v>
      </c>
      <c r="D3107" s="1" t="s">
        <v>738</v>
      </c>
      <c r="E3107" s="1" t="s">
        <v>739</v>
      </c>
      <c r="F3107" s="1" t="s">
        <v>740</v>
      </c>
      <c r="G3107" s="1" t="s">
        <v>2022</v>
      </c>
      <c r="H3107">
        <v>2011</v>
      </c>
      <c r="I3107">
        <v>2011</v>
      </c>
      <c r="J3107">
        <f t="shared" si="96"/>
        <v>1</v>
      </c>
      <c r="K3107" s="1" t="s">
        <v>741</v>
      </c>
      <c r="L3107" s="1" t="s">
        <v>666</v>
      </c>
      <c r="M3107">
        <f t="shared" si="97"/>
        <v>15</v>
      </c>
      <c r="N3107" t="s">
        <v>650</v>
      </c>
    </row>
    <row r="3108" spans="1:14" x14ac:dyDescent="0.3">
      <c r="A3108" s="1" t="s">
        <v>8460</v>
      </c>
      <c r="B3108" s="1" t="s">
        <v>5289</v>
      </c>
      <c r="C3108" s="1" t="s">
        <v>8461</v>
      </c>
      <c r="D3108" s="1" t="s">
        <v>746</v>
      </c>
      <c r="E3108" s="1" t="s">
        <v>6076</v>
      </c>
      <c r="F3108" s="1" t="s">
        <v>6076</v>
      </c>
      <c r="G3108" s="1" t="s">
        <v>8462</v>
      </c>
      <c r="H3108">
        <v>2020</v>
      </c>
      <c r="I3108">
        <v>2022</v>
      </c>
      <c r="J3108">
        <f t="shared" si="96"/>
        <v>3</v>
      </c>
      <c r="K3108" s="1" t="s">
        <v>6076</v>
      </c>
      <c r="L3108" s="1" t="s">
        <v>6076</v>
      </c>
      <c r="M3108">
        <f t="shared" si="97"/>
        <v>4</v>
      </c>
      <c r="N3108" t="s">
        <v>650</v>
      </c>
    </row>
    <row r="3109" spans="1:14" x14ac:dyDescent="0.3">
      <c r="A3109" s="1" t="s">
        <v>8463</v>
      </c>
      <c r="B3109" s="1" t="s">
        <v>5289</v>
      </c>
      <c r="C3109" s="1" t="s">
        <v>8464</v>
      </c>
      <c r="D3109" s="1" t="s">
        <v>1242</v>
      </c>
      <c r="E3109" s="1" t="s">
        <v>6076</v>
      </c>
      <c r="F3109" s="1" t="s">
        <v>6076</v>
      </c>
      <c r="G3109" s="1" t="s">
        <v>8462</v>
      </c>
      <c r="H3109">
        <v>2020</v>
      </c>
      <c r="I3109">
        <v>2022</v>
      </c>
      <c r="J3109">
        <f t="shared" si="96"/>
        <v>3</v>
      </c>
      <c r="K3109" s="1" t="s">
        <v>6076</v>
      </c>
      <c r="L3109" s="1" t="s">
        <v>6076</v>
      </c>
      <c r="M3109">
        <f t="shared" si="97"/>
        <v>4</v>
      </c>
      <c r="N3109" t="s">
        <v>650</v>
      </c>
    </row>
    <row r="3110" spans="1:14" x14ac:dyDescent="0.3">
      <c r="A3110" s="1" t="s">
        <v>8465</v>
      </c>
      <c r="B3110" s="1" t="s">
        <v>5289</v>
      </c>
      <c r="C3110" s="1" t="s">
        <v>8466</v>
      </c>
      <c r="D3110" s="1" t="s">
        <v>746</v>
      </c>
      <c r="E3110" s="1" t="s">
        <v>6076</v>
      </c>
      <c r="F3110" s="1" t="s">
        <v>6076</v>
      </c>
      <c r="G3110" s="1" t="s">
        <v>8462</v>
      </c>
      <c r="H3110">
        <v>2022</v>
      </c>
      <c r="I3110">
        <v>2022</v>
      </c>
      <c r="J3110">
        <f t="shared" si="96"/>
        <v>1</v>
      </c>
      <c r="K3110" s="1" t="s">
        <v>6076</v>
      </c>
      <c r="L3110" s="1" t="s">
        <v>6076</v>
      </c>
      <c r="M3110">
        <f t="shared" si="97"/>
        <v>4</v>
      </c>
      <c r="N3110" t="s">
        <v>650</v>
      </c>
    </row>
    <row r="3111" spans="1:14" x14ac:dyDescent="0.3">
      <c r="A3111" s="1" t="s">
        <v>8467</v>
      </c>
      <c r="B3111" s="1" t="s">
        <v>5289</v>
      </c>
      <c r="C3111" s="1" t="s">
        <v>8468</v>
      </c>
      <c r="D3111" s="1" t="s">
        <v>746</v>
      </c>
      <c r="E3111" s="1" t="s">
        <v>6076</v>
      </c>
      <c r="F3111" s="1" t="s">
        <v>6076</v>
      </c>
      <c r="G3111" s="1" t="s">
        <v>8462</v>
      </c>
      <c r="H3111">
        <v>2020</v>
      </c>
      <c r="I3111">
        <v>2022</v>
      </c>
      <c r="J3111">
        <f t="shared" si="96"/>
        <v>3</v>
      </c>
      <c r="K3111" s="1" t="s">
        <v>6076</v>
      </c>
      <c r="L3111" s="1" t="s">
        <v>6076</v>
      </c>
      <c r="M3111">
        <f t="shared" si="97"/>
        <v>4</v>
      </c>
      <c r="N3111" t="s">
        <v>650</v>
      </c>
    </row>
    <row r="3112" spans="1:14" x14ac:dyDescent="0.3">
      <c r="A3112" s="1" t="s">
        <v>8469</v>
      </c>
      <c r="B3112" s="1" t="s">
        <v>5289</v>
      </c>
      <c r="C3112" s="1" t="s">
        <v>8470</v>
      </c>
      <c r="D3112" s="1" t="s">
        <v>644</v>
      </c>
      <c r="E3112" s="1" t="s">
        <v>6076</v>
      </c>
      <c r="F3112" s="1" t="s">
        <v>6076</v>
      </c>
      <c r="G3112" s="1" t="s">
        <v>8462</v>
      </c>
      <c r="H3112">
        <v>2022</v>
      </c>
      <c r="I3112">
        <v>2022</v>
      </c>
      <c r="J3112">
        <f t="shared" si="96"/>
        <v>1</v>
      </c>
      <c r="K3112" s="1" t="s">
        <v>6076</v>
      </c>
      <c r="L3112" s="1" t="s">
        <v>6076</v>
      </c>
      <c r="M3112">
        <f t="shared" si="97"/>
        <v>4</v>
      </c>
      <c r="N3112" t="s">
        <v>650</v>
      </c>
    </row>
    <row r="3113" spans="1:14" x14ac:dyDescent="0.3">
      <c r="A3113" s="1" t="s">
        <v>8471</v>
      </c>
      <c r="B3113" s="1" t="s">
        <v>4665</v>
      </c>
      <c r="C3113" s="1" t="s">
        <v>8472</v>
      </c>
      <c r="D3113" s="1" t="s">
        <v>1395</v>
      </c>
      <c r="E3113" s="1" t="s">
        <v>6076</v>
      </c>
      <c r="F3113" s="1" t="s">
        <v>6076</v>
      </c>
      <c r="G3113" s="1" t="s">
        <v>8473</v>
      </c>
      <c r="H3113">
        <v>2003</v>
      </c>
      <c r="I3113">
        <v>2003</v>
      </c>
      <c r="J3113">
        <f t="shared" si="96"/>
        <v>1</v>
      </c>
      <c r="K3113" s="1" t="s">
        <v>6076</v>
      </c>
      <c r="L3113" s="1" t="s">
        <v>6076</v>
      </c>
      <c r="M3113">
        <f t="shared" si="97"/>
        <v>23</v>
      </c>
      <c r="N3113" t="s">
        <v>640</v>
      </c>
    </row>
    <row r="3114" spans="1:14" x14ac:dyDescent="0.3">
      <c r="A3114" s="1" t="s">
        <v>8474</v>
      </c>
      <c r="B3114" s="1" t="s">
        <v>4665</v>
      </c>
      <c r="C3114" s="1" t="s">
        <v>8475</v>
      </c>
      <c r="D3114" s="1" t="s">
        <v>1395</v>
      </c>
      <c r="E3114" s="1" t="s">
        <v>6076</v>
      </c>
      <c r="F3114" s="1" t="s">
        <v>6076</v>
      </c>
      <c r="G3114" s="1" t="s">
        <v>8473</v>
      </c>
      <c r="H3114">
        <v>2003</v>
      </c>
      <c r="I3114">
        <v>2003</v>
      </c>
      <c r="J3114">
        <f t="shared" si="96"/>
        <v>1</v>
      </c>
      <c r="K3114" s="1" t="s">
        <v>6076</v>
      </c>
      <c r="L3114" s="1" t="s">
        <v>6076</v>
      </c>
      <c r="M3114">
        <f t="shared" si="97"/>
        <v>23</v>
      </c>
      <c r="N3114" t="s">
        <v>640</v>
      </c>
    </row>
    <row r="3115" spans="1:14" x14ac:dyDescent="0.3">
      <c r="A3115" s="1" t="s">
        <v>8476</v>
      </c>
      <c r="B3115" s="1" t="s">
        <v>4665</v>
      </c>
      <c r="C3115" s="1" t="s">
        <v>8477</v>
      </c>
      <c r="D3115" s="1" t="s">
        <v>1395</v>
      </c>
      <c r="E3115" s="1" t="s">
        <v>6076</v>
      </c>
      <c r="F3115" s="1" t="s">
        <v>6076</v>
      </c>
      <c r="G3115" s="1" t="s">
        <v>8473</v>
      </c>
      <c r="H3115">
        <v>2003</v>
      </c>
      <c r="I3115">
        <v>2003</v>
      </c>
      <c r="J3115">
        <f t="shared" si="96"/>
        <v>1</v>
      </c>
      <c r="K3115" s="1" t="s">
        <v>6076</v>
      </c>
      <c r="L3115" s="1" t="s">
        <v>6076</v>
      </c>
      <c r="M3115">
        <f t="shared" si="97"/>
        <v>23</v>
      </c>
      <c r="N3115" t="s">
        <v>640</v>
      </c>
    </row>
    <row r="3116" spans="1:14" x14ac:dyDescent="0.3">
      <c r="A3116" s="1" t="s">
        <v>8478</v>
      </c>
      <c r="B3116" s="1" t="s">
        <v>7986</v>
      </c>
      <c r="C3116" s="1" t="s">
        <v>8479</v>
      </c>
      <c r="D3116" s="1" t="s">
        <v>746</v>
      </c>
      <c r="E3116" s="1" t="s">
        <v>6076</v>
      </c>
      <c r="F3116" s="1" t="s">
        <v>6076</v>
      </c>
      <c r="G3116" s="1" t="s">
        <v>8480</v>
      </c>
      <c r="H3116">
        <v>2008</v>
      </c>
      <c r="I3116">
        <v>2009</v>
      </c>
      <c r="J3116">
        <f t="shared" si="96"/>
        <v>2</v>
      </c>
      <c r="K3116" s="1" t="s">
        <v>6076</v>
      </c>
      <c r="L3116" s="1" t="s">
        <v>6076</v>
      </c>
      <c r="M3116">
        <f t="shared" si="97"/>
        <v>17</v>
      </c>
    </row>
    <row r="3117" spans="1:14" x14ac:dyDescent="0.3">
      <c r="A3117" s="1" t="s">
        <v>8481</v>
      </c>
      <c r="B3117" s="1" t="s">
        <v>7986</v>
      </c>
      <c r="C3117" s="1" t="s">
        <v>8482</v>
      </c>
      <c r="D3117" s="1" t="s">
        <v>746</v>
      </c>
      <c r="E3117" s="1" t="s">
        <v>6076</v>
      </c>
      <c r="F3117" s="1" t="s">
        <v>6076</v>
      </c>
      <c r="G3117" s="1" t="s">
        <v>8480</v>
      </c>
      <c r="H3117">
        <v>2008</v>
      </c>
      <c r="I3117">
        <v>2009</v>
      </c>
      <c r="J3117">
        <f t="shared" si="96"/>
        <v>2</v>
      </c>
      <c r="K3117" s="1" t="s">
        <v>6076</v>
      </c>
      <c r="L3117" s="1" t="s">
        <v>6076</v>
      </c>
      <c r="M3117">
        <f t="shared" si="97"/>
        <v>17</v>
      </c>
    </row>
    <row r="3118" spans="1:14" x14ac:dyDescent="0.3">
      <c r="A3118" s="1" t="s">
        <v>8483</v>
      </c>
      <c r="B3118" s="1" t="s">
        <v>7986</v>
      </c>
      <c r="C3118" s="1" t="s">
        <v>8484</v>
      </c>
      <c r="D3118" s="1" t="s">
        <v>746</v>
      </c>
      <c r="E3118" s="1" t="s">
        <v>6076</v>
      </c>
      <c r="F3118" s="1" t="s">
        <v>6076</v>
      </c>
      <c r="G3118" s="1" t="s">
        <v>8480</v>
      </c>
      <c r="H3118">
        <v>2008</v>
      </c>
      <c r="I3118">
        <v>2011</v>
      </c>
      <c r="J3118">
        <f t="shared" si="96"/>
        <v>4</v>
      </c>
      <c r="K3118" s="1" t="s">
        <v>6076</v>
      </c>
      <c r="L3118" s="1" t="s">
        <v>6076</v>
      </c>
      <c r="M3118">
        <f t="shared" si="97"/>
        <v>15</v>
      </c>
    </row>
    <row r="3119" spans="1:14" x14ac:dyDescent="0.3">
      <c r="A3119" s="1" t="s">
        <v>8485</v>
      </c>
      <c r="B3119" s="1" t="s">
        <v>7986</v>
      </c>
      <c r="C3119" s="1" t="s">
        <v>8486</v>
      </c>
      <c r="D3119" s="1" t="s">
        <v>746</v>
      </c>
      <c r="E3119" s="1" t="s">
        <v>6076</v>
      </c>
      <c r="F3119" s="1" t="s">
        <v>6076</v>
      </c>
      <c r="G3119" s="1" t="s">
        <v>8480</v>
      </c>
      <c r="H3119">
        <v>2008</v>
      </c>
      <c r="I3119">
        <v>2011</v>
      </c>
      <c r="J3119">
        <f t="shared" si="96"/>
        <v>4</v>
      </c>
      <c r="K3119" s="1" t="s">
        <v>6076</v>
      </c>
      <c r="L3119" s="1" t="s">
        <v>6076</v>
      </c>
      <c r="M3119">
        <f t="shared" si="97"/>
        <v>15</v>
      </c>
    </row>
    <row r="3120" spans="1:14" x14ac:dyDescent="0.3">
      <c r="A3120" s="1" t="s">
        <v>8487</v>
      </c>
      <c r="B3120" s="1" t="s">
        <v>7986</v>
      </c>
      <c r="C3120" s="1" t="s">
        <v>8488</v>
      </c>
      <c r="D3120" s="1" t="s">
        <v>738</v>
      </c>
      <c r="E3120" s="1" t="s">
        <v>6076</v>
      </c>
      <c r="F3120" s="1" t="s">
        <v>6076</v>
      </c>
      <c r="G3120" s="1" t="s">
        <v>8480</v>
      </c>
      <c r="H3120">
        <v>1993</v>
      </c>
      <c r="I3120">
        <v>1997</v>
      </c>
      <c r="J3120">
        <f t="shared" si="96"/>
        <v>5</v>
      </c>
      <c r="K3120" s="1" t="s">
        <v>6076</v>
      </c>
      <c r="L3120" s="1" t="s">
        <v>6076</v>
      </c>
      <c r="M3120">
        <f t="shared" si="97"/>
        <v>29</v>
      </c>
    </row>
    <row r="3121" spans="1:13" x14ac:dyDescent="0.3">
      <c r="A3121" s="1" t="s">
        <v>8489</v>
      </c>
      <c r="B3121" s="1" t="s">
        <v>7986</v>
      </c>
      <c r="C3121" s="1" t="s">
        <v>8490</v>
      </c>
      <c r="D3121" s="1" t="s">
        <v>738</v>
      </c>
      <c r="E3121" s="1" t="s">
        <v>6076</v>
      </c>
      <c r="F3121" s="1" t="s">
        <v>6076</v>
      </c>
      <c r="G3121" s="1" t="s">
        <v>8480</v>
      </c>
      <c r="H3121">
        <v>1995</v>
      </c>
      <c r="I3121">
        <v>1998</v>
      </c>
      <c r="J3121">
        <f t="shared" si="96"/>
        <v>4</v>
      </c>
      <c r="K3121" s="1" t="s">
        <v>6076</v>
      </c>
      <c r="L3121" s="1" t="s">
        <v>6076</v>
      </c>
      <c r="M3121">
        <f t="shared" si="97"/>
        <v>28</v>
      </c>
    </row>
    <row r="3122" spans="1:13" x14ac:dyDescent="0.3">
      <c r="A3122" s="1" t="s">
        <v>8491</v>
      </c>
      <c r="B3122" s="1" t="s">
        <v>7986</v>
      </c>
      <c r="C3122" s="1" t="s">
        <v>8492</v>
      </c>
      <c r="D3122" s="1" t="s">
        <v>738</v>
      </c>
      <c r="E3122" s="1" t="s">
        <v>6076</v>
      </c>
      <c r="F3122" s="1" t="s">
        <v>6076</v>
      </c>
      <c r="G3122" s="1" t="s">
        <v>8480</v>
      </c>
      <c r="H3122">
        <v>1995</v>
      </c>
      <c r="I3122">
        <v>1998</v>
      </c>
      <c r="J3122">
        <f t="shared" si="96"/>
        <v>4</v>
      </c>
      <c r="K3122" s="1" t="s">
        <v>6076</v>
      </c>
      <c r="L3122" s="1" t="s">
        <v>6076</v>
      </c>
      <c r="M3122">
        <f t="shared" si="97"/>
        <v>28</v>
      </c>
    </row>
    <row r="3123" spans="1:13" x14ac:dyDescent="0.3">
      <c r="A3123" s="1" t="s">
        <v>8493</v>
      </c>
      <c r="B3123" s="1" t="s">
        <v>7986</v>
      </c>
      <c r="C3123" s="1" t="s">
        <v>8494</v>
      </c>
      <c r="D3123" s="1" t="s">
        <v>738</v>
      </c>
      <c r="E3123" s="1" t="s">
        <v>6076</v>
      </c>
      <c r="F3123" s="1" t="s">
        <v>6076</v>
      </c>
      <c r="G3123" s="1" t="s">
        <v>8480</v>
      </c>
      <c r="H3123">
        <v>1997</v>
      </c>
      <c r="I3123">
        <v>2000</v>
      </c>
      <c r="J3123">
        <f t="shared" si="96"/>
        <v>4</v>
      </c>
      <c r="K3123" s="1" t="s">
        <v>6076</v>
      </c>
      <c r="L3123" s="1" t="s">
        <v>6076</v>
      </c>
      <c r="M3123">
        <f t="shared" si="97"/>
        <v>26</v>
      </c>
    </row>
    <row r="3124" spans="1:13" x14ac:dyDescent="0.3">
      <c r="A3124" s="1" t="s">
        <v>8495</v>
      </c>
      <c r="B3124" s="1" t="s">
        <v>7986</v>
      </c>
      <c r="C3124" s="1" t="s">
        <v>8496</v>
      </c>
      <c r="D3124" s="1" t="s">
        <v>738</v>
      </c>
      <c r="E3124" s="1" t="s">
        <v>6076</v>
      </c>
      <c r="F3124" s="1" t="s">
        <v>6076</v>
      </c>
      <c r="G3124" s="1" t="s">
        <v>8480</v>
      </c>
      <c r="H3124">
        <v>1995</v>
      </c>
      <c r="I3124">
        <v>2000</v>
      </c>
      <c r="J3124">
        <f t="shared" si="96"/>
        <v>6</v>
      </c>
      <c r="K3124" s="1" t="s">
        <v>6076</v>
      </c>
      <c r="L3124" s="1" t="s">
        <v>6076</v>
      </c>
      <c r="M3124">
        <f t="shared" si="97"/>
        <v>26</v>
      </c>
    </row>
    <row r="3125" spans="1:13" x14ac:dyDescent="0.3">
      <c r="A3125" s="1" t="s">
        <v>8497</v>
      </c>
      <c r="B3125" s="1" t="s">
        <v>7986</v>
      </c>
      <c r="C3125" s="1" t="s">
        <v>8498</v>
      </c>
      <c r="D3125" s="1" t="s">
        <v>738</v>
      </c>
      <c r="E3125" s="1" t="s">
        <v>6076</v>
      </c>
      <c r="F3125" s="1" t="s">
        <v>6076</v>
      </c>
      <c r="G3125" s="1" t="s">
        <v>8480</v>
      </c>
      <c r="H3125">
        <v>1993</v>
      </c>
      <c r="I3125">
        <v>1997</v>
      </c>
      <c r="J3125">
        <f t="shared" si="96"/>
        <v>5</v>
      </c>
      <c r="K3125" s="1" t="s">
        <v>6076</v>
      </c>
      <c r="L3125" s="1" t="s">
        <v>6076</v>
      </c>
      <c r="M3125">
        <f t="shared" si="97"/>
        <v>29</v>
      </c>
    </row>
    <row r="3126" spans="1:13" x14ac:dyDescent="0.3">
      <c r="A3126" s="1" t="s">
        <v>8499</v>
      </c>
      <c r="B3126" s="1" t="s">
        <v>7986</v>
      </c>
      <c r="C3126" s="1" t="s">
        <v>8500</v>
      </c>
      <c r="D3126" s="1" t="s">
        <v>738</v>
      </c>
      <c r="E3126" s="1" t="s">
        <v>6076</v>
      </c>
      <c r="F3126" s="1" t="s">
        <v>6076</v>
      </c>
      <c r="G3126" s="1" t="s">
        <v>8480</v>
      </c>
      <c r="H3126">
        <v>1995</v>
      </c>
      <c r="I3126">
        <v>2000</v>
      </c>
      <c r="J3126">
        <f t="shared" si="96"/>
        <v>6</v>
      </c>
      <c r="K3126" s="1" t="s">
        <v>6076</v>
      </c>
      <c r="L3126" s="1" t="s">
        <v>6076</v>
      </c>
      <c r="M3126">
        <f t="shared" si="97"/>
        <v>26</v>
      </c>
    </row>
    <row r="3127" spans="1:13" x14ac:dyDescent="0.3">
      <c r="A3127" s="1" t="s">
        <v>8501</v>
      </c>
      <c r="B3127" s="1" t="s">
        <v>7986</v>
      </c>
      <c r="C3127" s="1" t="s">
        <v>8502</v>
      </c>
      <c r="D3127" s="1" t="s">
        <v>738</v>
      </c>
      <c r="E3127" s="1" t="s">
        <v>6076</v>
      </c>
      <c r="F3127" s="1" t="s">
        <v>6076</v>
      </c>
      <c r="G3127" s="1" t="s">
        <v>8480</v>
      </c>
      <c r="H3127">
        <v>1994</v>
      </c>
      <c r="I3127">
        <v>2001</v>
      </c>
      <c r="J3127">
        <f t="shared" si="96"/>
        <v>8</v>
      </c>
      <c r="K3127" s="1" t="s">
        <v>6076</v>
      </c>
      <c r="L3127" s="1" t="s">
        <v>6076</v>
      </c>
      <c r="M3127">
        <f t="shared" si="97"/>
        <v>25</v>
      </c>
    </row>
    <row r="3128" spans="1:13" x14ac:dyDescent="0.3">
      <c r="A3128" s="1" t="s">
        <v>8503</v>
      </c>
      <c r="B3128" s="1" t="s">
        <v>7986</v>
      </c>
      <c r="C3128" s="1" t="s">
        <v>8504</v>
      </c>
      <c r="D3128" s="1" t="s">
        <v>738</v>
      </c>
      <c r="E3128" s="1" t="s">
        <v>6076</v>
      </c>
      <c r="F3128" s="1" t="s">
        <v>6076</v>
      </c>
      <c r="G3128" s="1" t="s">
        <v>8480</v>
      </c>
      <c r="H3128">
        <v>2009</v>
      </c>
      <c r="I3128">
        <v>2011</v>
      </c>
      <c r="J3128">
        <f t="shared" si="96"/>
        <v>3</v>
      </c>
      <c r="K3128" s="1" t="s">
        <v>6076</v>
      </c>
      <c r="L3128" s="1" t="s">
        <v>6076</v>
      </c>
      <c r="M3128">
        <f t="shared" si="97"/>
        <v>15</v>
      </c>
    </row>
    <row r="3129" spans="1:13" x14ac:dyDescent="0.3">
      <c r="A3129" s="1" t="s">
        <v>8505</v>
      </c>
      <c r="B3129" s="1" t="s">
        <v>7986</v>
      </c>
      <c r="C3129" s="1" t="s">
        <v>8506</v>
      </c>
      <c r="D3129" s="1" t="s">
        <v>738</v>
      </c>
      <c r="E3129" s="1" t="s">
        <v>6076</v>
      </c>
      <c r="F3129" s="1" t="s">
        <v>6076</v>
      </c>
      <c r="G3129" s="1" t="s">
        <v>8480</v>
      </c>
      <c r="H3129">
        <v>2012</v>
      </c>
      <c r="I3129">
        <v>2016</v>
      </c>
      <c r="J3129">
        <f t="shared" si="96"/>
        <v>5</v>
      </c>
      <c r="K3129" s="1" t="s">
        <v>6076</v>
      </c>
      <c r="L3129" s="1" t="s">
        <v>6076</v>
      </c>
      <c r="M3129">
        <f t="shared" si="97"/>
        <v>10</v>
      </c>
    </row>
    <row r="3130" spans="1:13" x14ac:dyDescent="0.3">
      <c r="A3130" s="1" t="s">
        <v>8507</v>
      </c>
      <c r="B3130" s="1" t="s">
        <v>7986</v>
      </c>
      <c r="C3130" s="1" t="s">
        <v>8508</v>
      </c>
      <c r="D3130" s="1" t="s">
        <v>738</v>
      </c>
      <c r="E3130" s="1" t="s">
        <v>6076</v>
      </c>
      <c r="F3130" s="1" t="s">
        <v>6076</v>
      </c>
      <c r="G3130" s="1" t="s">
        <v>8480</v>
      </c>
      <c r="H3130">
        <v>2001</v>
      </c>
      <c r="I3130">
        <v>2002</v>
      </c>
      <c r="J3130">
        <f t="shared" si="96"/>
        <v>2</v>
      </c>
      <c r="K3130" s="1" t="s">
        <v>6076</v>
      </c>
      <c r="L3130" s="1" t="s">
        <v>6076</v>
      </c>
      <c r="M3130">
        <f t="shared" si="97"/>
        <v>24</v>
      </c>
    </row>
    <row r="3131" spans="1:13" x14ac:dyDescent="0.3">
      <c r="A3131" s="1" t="s">
        <v>8509</v>
      </c>
      <c r="B3131" s="1" t="s">
        <v>7986</v>
      </c>
      <c r="C3131" s="1" t="s">
        <v>8510</v>
      </c>
      <c r="D3131" s="1" t="s">
        <v>738</v>
      </c>
      <c r="E3131" s="1" t="s">
        <v>6076</v>
      </c>
      <c r="F3131" s="1" t="s">
        <v>6076</v>
      </c>
      <c r="G3131" s="1" t="s">
        <v>8480</v>
      </c>
      <c r="H3131">
        <v>2000</v>
      </c>
      <c r="I3131">
        <v>2000</v>
      </c>
      <c r="J3131">
        <f t="shared" si="96"/>
        <v>1</v>
      </c>
      <c r="K3131" s="1" t="s">
        <v>6076</v>
      </c>
      <c r="L3131" s="1" t="s">
        <v>6076</v>
      </c>
      <c r="M3131">
        <f t="shared" si="97"/>
        <v>26</v>
      </c>
    </row>
    <row r="3132" spans="1:13" x14ac:dyDescent="0.3">
      <c r="A3132" s="1" t="s">
        <v>8511</v>
      </c>
      <c r="B3132" s="1" t="s">
        <v>7986</v>
      </c>
      <c r="C3132" s="1" t="s">
        <v>8512</v>
      </c>
      <c r="D3132" s="1" t="s">
        <v>738</v>
      </c>
      <c r="E3132" s="1" t="s">
        <v>6076</v>
      </c>
      <c r="F3132" s="1" t="s">
        <v>6076</v>
      </c>
      <c r="G3132" s="1" t="s">
        <v>8480</v>
      </c>
      <c r="H3132">
        <v>2003</v>
      </c>
      <c r="I3132">
        <v>2020</v>
      </c>
      <c r="J3132">
        <f t="shared" si="96"/>
        <v>18</v>
      </c>
      <c r="K3132" s="1" t="s">
        <v>6076</v>
      </c>
      <c r="L3132" s="1" t="s">
        <v>6076</v>
      </c>
      <c r="M3132">
        <f t="shared" si="97"/>
        <v>6</v>
      </c>
    </row>
    <row r="3133" spans="1:13" x14ac:dyDescent="0.3">
      <c r="A3133" s="1" t="s">
        <v>8513</v>
      </c>
      <c r="B3133" s="1" t="s">
        <v>7986</v>
      </c>
      <c r="C3133" s="1" t="s">
        <v>8514</v>
      </c>
      <c r="D3133" s="1" t="s">
        <v>738</v>
      </c>
      <c r="E3133" s="1" t="s">
        <v>6076</v>
      </c>
      <c r="F3133" s="1" t="s">
        <v>6076</v>
      </c>
      <c r="G3133" s="1" t="s">
        <v>8480</v>
      </c>
      <c r="H3133">
        <v>2001</v>
      </c>
      <c r="I3133">
        <v>2022</v>
      </c>
      <c r="J3133">
        <f t="shared" si="96"/>
        <v>22</v>
      </c>
      <c r="K3133" s="1" t="s">
        <v>6076</v>
      </c>
      <c r="L3133" s="1" t="s">
        <v>6076</v>
      </c>
      <c r="M3133">
        <f t="shared" si="97"/>
        <v>4</v>
      </c>
    </row>
    <row r="3134" spans="1:13" x14ac:dyDescent="0.3">
      <c r="A3134" s="1" t="s">
        <v>8515</v>
      </c>
      <c r="B3134" s="1" t="s">
        <v>7986</v>
      </c>
      <c r="C3134" s="1" t="s">
        <v>8516</v>
      </c>
      <c r="D3134" s="1" t="s">
        <v>738</v>
      </c>
      <c r="E3134" s="1" t="s">
        <v>6076</v>
      </c>
      <c r="F3134" s="1" t="s">
        <v>6076</v>
      </c>
      <c r="G3134" s="1" t="s">
        <v>8480</v>
      </c>
      <c r="H3134">
        <v>2007</v>
      </c>
      <c r="I3134">
        <v>2014</v>
      </c>
      <c r="J3134">
        <f t="shared" si="96"/>
        <v>8</v>
      </c>
      <c r="K3134" s="1" t="s">
        <v>6076</v>
      </c>
      <c r="L3134" s="1" t="s">
        <v>6076</v>
      </c>
      <c r="M3134">
        <f t="shared" si="97"/>
        <v>12</v>
      </c>
    </row>
    <row r="3135" spans="1:13" x14ac:dyDescent="0.3">
      <c r="A3135" s="1" t="s">
        <v>8517</v>
      </c>
      <c r="B3135" s="1" t="s">
        <v>7986</v>
      </c>
      <c r="C3135" s="1" t="s">
        <v>8518</v>
      </c>
      <c r="D3135" s="1" t="s">
        <v>738</v>
      </c>
      <c r="E3135" s="1" t="s">
        <v>6076</v>
      </c>
      <c r="F3135" s="1" t="s">
        <v>6076</v>
      </c>
      <c r="G3135" s="1" t="s">
        <v>8480</v>
      </c>
      <c r="H3135">
        <v>2006</v>
      </c>
      <c r="I3135">
        <v>2014</v>
      </c>
      <c r="J3135">
        <f t="shared" si="96"/>
        <v>9</v>
      </c>
      <c r="K3135" s="1" t="s">
        <v>6076</v>
      </c>
      <c r="L3135" s="1" t="s">
        <v>6076</v>
      </c>
      <c r="M3135">
        <f t="shared" si="97"/>
        <v>12</v>
      </c>
    </row>
    <row r="3136" spans="1:13" x14ac:dyDescent="0.3">
      <c r="A3136" s="1" t="s">
        <v>8519</v>
      </c>
      <c r="B3136" s="1" t="s">
        <v>7986</v>
      </c>
      <c r="C3136" s="1" t="s">
        <v>8520</v>
      </c>
      <c r="D3136" s="1" t="s">
        <v>738</v>
      </c>
      <c r="E3136" s="1" t="s">
        <v>6076</v>
      </c>
      <c r="F3136" s="1" t="s">
        <v>6076</v>
      </c>
      <c r="G3136" s="1" t="s">
        <v>8480</v>
      </c>
      <c r="H3136">
        <v>1993</v>
      </c>
      <c r="I3136">
        <v>2001</v>
      </c>
      <c r="J3136">
        <f t="shared" si="96"/>
        <v>9</v>
      </c>
      <c r="K3136" s="1" t="s">
        <v>6076</v>
      </c>
      <c r="L3136" s="1" t="s">
        <v>6076</v>
      </c>
      <c r="M3136">
        <f t="shared" si="97"/>
        <v>25</v>
      </c>
    </row>
    <row r="3137" spans="1:14" x14ac:dyDescent="0.3">
      <c r="A3137" s="1" t="s">
        <v>8521</v>
      </c>
      <c r="B3137" s="1" t="s">
        <v>7986</v>
      </c>
      <c r="C3137" s="1" t="s">
        <v>8522</v>
      </c>
      <c r="D3137" s="1" t="s">
        <v>738</v>
      </c>
      <c r="E3137" s="1" t="s">
        <v>6076</v>
      </c>
      <c r="F3137" s="1" t="s">
        <v>6076</v>
      </c>
      <c r="G3137" s="1" t="s">
        <v>8480</v>
      </c>
      <c r="H3137">
        <v>2001</v>
      </c>
      <c r="I3137">
        <v>2002</v>
      </c>
      <c r="J3137">
        <f t="shared" si="96"/>
        <v>2</v>
      </c>
      <c r="K3137" s="1" t="s">
        <v>6076</v>
      </c>
      <c r="L3137" s="1" t="s">
        <v>6076</v>
      </c>
      <c r="M3137">
        <f t="shared" si="97"/>
        <v>24</v>
      </c>
    </row>
    <row r="3138" spans="1:14" x14ac:dyDescent="0.3">
      <c r="A3138" s="1" t="s">
        <v>8523</v>
      </c>
      <c r="B3138" s="1" t="s">
        <v>7986</v>
      </c>
      <c r="C3138" s="1" t="s">
        <v>8524</v>
      </c>
      <c r="D3138" s="1" t="s">
        <v>738</v>
      </c>
      <c r="E3138" s="1" t="s">
        <v>6076</v>
      </c>
      <c r="F3138" s="1" t="s">
        <v>6076</v>
      </c>
      <c r="G3138" s="1" t="s">
        <v>8480</v>
      </c>
      <c r="H3138">
        <v>2001</v>
      </c>
      <c r="I3138">
        <v>2002</v>
      </c>
      <c r="J3138">
        <f t="shared" si="96"/>
        <v>2</v>
      </c>
      <c r="K3138" s="1" t="s">
        <v>6076</v>
      </c>
      <c r="L3138" s="1" t="s">
        <v>6076</v>
      </c>
      <c r="M3138">
        <f t="shared" si="97"/>
        <v>24</v>
      </c>
    </row>
    <row r="3139" spans="1:14" x14ac:dyDescent="0.3">
      <c r="A3139" s="1" t="s">
        <v>8525</v>
      </c>
      <c r="B3139" s="1" t="s">
        <v>7986</v>
      </c>
      <c r="C3139" s="1" t="s">
        <v>8526</v>
      </c>
      <c r="D3139" s="1" t="s">
        <v>738</v>
      </c>
      <c r="E3139" s="1" t="s">
        <v>6076</v>
      </c>
      <c r="F3139" s="1" t="s">
        <v>6076</v>
      </c>
      <c r="G3139" s="1" t="s">
        <v>8480</v>
      </c>
      <c r="H3139">
        <v>2001</v>
      </c>
      <c r="I3139">
        <v>2005</v>
      </c>
      <c r="J3139">
        <f t="shared" si="96"/>
        <v>5</v>
      </c>
      <c r="K3139" s="1" t="s">
        <v>6076</v>
      </c>
      <c r="L3139" s="1" t="s">
        <v>6076</v>
      </c>
      <c r="M3139">
        <f t="shared" si="97"/>
        <v>21</v>
      </c>
    </row>
    <row r="3140" spans="1:14" x14ac:dyDescent="0.3">
      <c r="A3140" s="1" t="s">
        <v>8527</v>
      </c>
      <c r="B3140" s="1" t="s">
        <v>7986</v>
      </c>
      <c r="C3140" s="1" t="s">
        <v>8528</v>
      </c>
      <c r="D3140" s="1" t="s">
        <v>738</v>
      </c>
      <c r="E3140" s="1" t="s">
        <v>6076</v>
      </c>
      <c r="F3140" s="1" t="s">
        <v>6076</v>
      </c>
      <c r="G3140" s="1" t="s">
        <v>8480</v>
      </c>
      <c r="H3140">
        <v>2006</v>
      </c>
      <c r="I3140">
        <v>2007</v>
      </c>
      <c r="J3140">
        <f t="shared" si="96"/>
        <v>2</v>
      </c>
      <c r="K3140" s="1" t="s">
        <v>6076</v>
      </c>
      <c r="L3140" s="1" t="s">
        <v>6076</v>
      </c>
      <c r="M3140">
        <f t="shared" si="97"/>
        <v>19</v>
      </c>
    </row>
    <row r="3141" spans="1:14" x14ac:dyDescent="0.3">
      <c r="A3141" s="1" t="s">
        <v>8529</v>
      </c>
      <c r="B3141" s="1" t="s">
        <v>7986</v>
      </c>
      <c r="C3141" s="1" t="s">
        <v>8530</v>
      </c>
      <c r="D3141" s="1" t="s">
        <v>3850</v>
      </c>
      <c r="E3141" s="1" t="s">
        <v>6076</v>
      </c>
      <c r="F3141" s="1" t="s">
        <v>6076</v>
      </c>
      <c r="G3141" s="1" t="s">
        <v>8480</v>
      </c>
      <c r="H3141">
        <v>2007</v>
      </c>
      <c r="I3141">
        <v>2012</v>
      </c>
      <c r="J3141">
        <f t="shared" si="96"/>
        <v>6</v>
      </c>
      <c r="K3141" s="1" t="s">
        <v>6076</v>
      </c>
      <c r="L3141" s="1" t="s">
        <v>6076</v>
      </c>
      <c r="M3141">
        <f t="shared" si="97"/>
        <v>14</v>
      </c>
    </row>
    <row r="3142" spans="1:14" x14ac:dyDescent="0.3">
      <c r="A3142" s="1" t="s">
        <v>8531</v>
      </c>
      <c r="B3142" s="1" t="s">
        <v>7986</v>
      </c>
      <c r="C3142" s="1" t="s">
        <v>8532</v>
      </c>
      <c r="D3142" s="1" t="s">
        <v>3850</v>
      </c>
      <c r="E3142" s="1" t="s">
        <v>6076</v>
      </c>
      <c r="F3142" s="1" t="s">
        <v>6076</v>
      </c>
      <c r="G3142" s="1" t="s">
        <v>8480</v>
      </c>
      <c r="H3142">
        <v>2009</v>
      </c>
      <c r="I3142">
        <v>2014</v>
      </c>
      <c r="J3142">
        <f t="shared" ref="J3142:J3205" si="98">1+(I3142-H3142)</f>
        <v>6</v>
      </c>
      <c r="K3142" s="1" t="s">
        <v>6076</v>
      </c>
      <c r="L3142" s="1" t="s">
        <v>6076</v>
      </c>
      <c r="M3142">
        <f t="shared" ref="M3142:M3205" si="99">IF(I3142=0,0,$B$2-I3142)</f>
        <v>12</v>
      </c>
    </row>
    <row r="3143" spans="1:14" x14ac:dyDescent="0.3">
      <c r="A3143" s="1" t="s">
        <v>8533</v>
      </c>
      <c r="B3143" s="1" t="s">
        <v>7986</v>
      </c>
      <c r="C3143" s="1" t="s">
        <v>8534</v>
      </c>
      <c r="D3143" s="1" t="s">
        <v>738</v>
      </c>
      <c r="E3143" s="1" t="s">
        <v>6076</v>
      </c>
      <c r="F3143" s="1" t="s">
        <v>6076</v>
      </c>
      <c r="G3143" s="1" t="s">
        <v>8480</v>
      </c>
      <c r="H3143">
        <v>2011</v>
      </c>
      <c r="I3143">
        <v>2011</v>
      </c>
      <c r="J3143">
        <f t="shared" si="98"/>
        <v>1</v>
      </c>
      <c r="K3143" s="1" t="s">
        <v>6076</v>
      </c>
      <c r="L3143" s="1" t="s">
        <v>6076</v>
      </c>
      <c r="M3143">
        <f t="shared" si="99"/>
        <v>15</v>
      </c>
    </row>
    <row r="3144" spans="1:14" x14ac:dyDescent="0.3">
      <c r="A3144" s="1" t="s">
        <v>8535</v>
      </c>
      <c r="B3144" s="1" t="s">
        <v>7986</v>
      </c>
      <c r="C3144" s="1" t="s">
        <v>8536</v>
      </c>
      <c r="D3144" s="1" t="s">
        <v>738</v>
      </c>
      <c r="E3144" s="1" t="s">
        <v>6076</v>
      </c>
      <c r="F3144" s="1" t="s">
        <v>6076</v>
      </c>
      <c r="G3144" s="1" t="s">
        <v>8480</v>
      </c>
      <c r="H3144">
        <v>2011</v>
      </c>
      <c r="I3144">
        <v>2011</v>
      </c>
      <c r="J3144">
        <f t="shared" si="98"/>
        <v>1</v>
      </c>
      <c r="K3144" s="1" t="s">
        <v>6076</v>
      </c>
      <c r="L3144" s="1" t="s">
        <v>6076</v>
      </c>
      <c r="M3144">
        <f t="shared" si="99"/>
        <v>15</v>
      </c>
    </row>
    <row r="3145" spans="1:14" x14ac:dyDescent="0.3">
      <c r="A3145" s="1" t="s">
        <v>8537</v>
      </c>
      <c r="B3145" s="1" t="s">
        <v>2154</v>
      </c>
      <c r="C3145" s="1" t="s">
        <v>8538</v>
      </c>
      <c r="D3145" s="1" t="s">
        <v>1395</v>
      </c>
      <c r="E3145" s="1" t="s">
        <v>6076</v>
      </c>
      <c r="F3145" s="1" t="s">
        <v>6076</v>
      </c>
      <c r="G3145" s="1" t="s">
        <v>8539</v>
      </c>
      <c r="H3145">
        <v>1991</v>
      </c>
      <c r="I3145">
        <v>1992</v>
      </c>
      <c r="J3145">
        <f t="shared" si="98"/>
        <v>2</v>
      </c>
      <c r="K3145" s="1" t="s">
        <v>6076</v>
      </c>
      <c r="L3145" s="1" t="s">
        <v>6076</v>
      </c>
      <c r="M3145">
        <f t="shared" si="99"/>
        <v>34</v>
      </c>
      <c r="N3145" t="s">
        <v>640</v>
      </c>
    </row>
    <row r="3146" spans="1:14" x14ac:dyDescent="0.3">
      <c r="A3146" t="s">
        <v>11283</v>
      </c>
      <c r="B3146" t="s">
        <v>10998</v>
      </c>
      <c r="C3146" t="s">
        <v>11284</v>
      </c>
      <c r="E3146" s="1" t="s">
        <v>6076</v>
      </c>
      <c r="F3146" s="1" t="s">
        <v>6076</v>
      </c>
      <c r="G3146" s="1" t="s">
        <v>12805</v>
      </c>
      <c r="H3146">
        <v>1993</v>
      </c>
      <c r="I3146">
        <v>1993</v>
      </c>
      <c r="J3146">
        <f t="shared" si="98"/>
        <v>1</v>
      </c>
      <c r="K3146" s="1" t="s">
        <v>6076</v>
      </c>
      <c r="L3146" s="1" t="s">
        <v>6076</v>
      </c>
      <c r="M3146">
        <f t="shared" si="99"/>
        <v>33</v>
      </c>
    </row>
    <row r="3147" spans="1:14" hidden="1" x14ac:dyDescent="0.3">
      <c r="A3147" t="s">
        <v>11652</v>
      </c>
      <c r="B3147" t="s">
        <v>1849</v>
      </c>
      <c r="C3147" t="s">
        <v>11653</v>
      </c>
      <c r="E3147" s="1" t="e">
        <v>#N/A</v>
      </c>
      <c r="F3147" s="1" t="e">
        <v>#N/A</v>
      </c>
      <c r="G3147" s="1" t="s">
        <v>12838</v>
      </c>
      <c r="H3147">
        <v>2022</v>
      </c>
      <c r="I3147">
        <v>2026</v>
      </c>
      <c r="J3147">
        <f t="shared" si="98"/>
        <v>5</v>
      </c>
      <c r="K3147" s="1" t="s">
        <v>12912</v>
      </c>
      <c r="L3147" s="1" t="s">
        <v>12912</v>
      </c>
      <c r="M3147">
        <f t="shared" si="99"/>
        <v>0</v>
      </c>
    </row>
    <row r="3148" spans="1:14" hidden="1" x14ac:dyDescent="0.3">
      <c r="A3148" t="s">
        <v>11654</v>
      </c>
      <c r="B3148" t="s">
        <v>1849</v>
      </c>
      <c r="C3148" t="s">
        <v>11655</v>
      </c>
      <c r="E3148" s="1" t="e">
        <v>#N/A</v>
      </c>
      <c r="F3148" s="1" t="e">
        <v>#N/A</v>
      </c>
      <c r="G3148" s="1" t="s">
        <v>12838</v>
      </c>
      <c r="H3148">
        <v>2025</v>
      </c>
      <c r="I3148">
        <v>2026</v>
      </c>
      <c r="J3148">
        <f t="shared" si="98"/>
        <v>2</v>
      </c>
      <c r="K3148" s="1" t="s">
        <v>12912</v>
      </c>
      <c r="L3148" s="1" t="s">
        <v>12912</v>
      </c>
      <c r="M3148">
        <f t="shared" si="99"/>
        <v>0</v>
      </c>
    </row>
    <row r="3149" spans="1:14" x14ac:dyDescent="0.3">
      <c r="A3149" s="1" t="s">
        <v>8540</v>
      </c>
      <c r="B3149" s="1" t="s">
        <v>795</v>
      </c>
      <c r="C3149" s="1" t="s">
        <v>8541</v>
      </c>
      <c r="D3149" s="1" t="s">
        <v>738</v>
      </c>
      <c r="E3149" s="1" t="s">
        <v>6076</v>
      </c>
      <c r="F3149" s="1" t="s">
        <v>6076</v>
      </c>
      <c r="G3149" s="1" t="s">
        <v>8542</v>
      </c>
      <c r="H3149">
        <v>1990</v>
      </c>
      <c r="I3149">
        <v>1998</v>
      </c>
      <c r="J3149">
        <f t="shared" si="98"/>
        <v>9</v>
      </c>
      <c r="K3149" s="1" t="s">
        <v>6076</v>
      </c>
      <c r="L3149" s="1" t="s">
        <v>6076</v>
      </c>
      <c r="M3149">
        <f t="shared" si="99"/>
        <v>28</v>
      </c>
      <c r="N3149" t="s">
        <v>640</v>
      </c>
    </row>
    <row r="3150" spans="1:14" x14ac:dyDescent="0.3">
      <c r="A3150" s="1" t="s">
        <v>8543</v>
      </c>
      <c r="B3150" s="1" t="s">
        <v>795</v>
      </c>
      <c r="C3150" s="1" t="s">
        <v>8544</v>
      </c>
      <c r="D3150" s="1" t="s">
        <v>738</v>
      </c>
      <c r="E3150" s="1" t="s">
        <v>6076</v>
      </c>
      <c r="F3150" s="1" t="s">
        <v>6076</v>
      </c>
      <c r="G3150" s="1" t="s">
        <v>8542</v>
      </c>
      <c r="H3150">
        <v>1994</v>
      </c>
      <c r="I3150">
        <v>1998</v>
      </c>
      <c r="J3150">
        <f t="shared" si="98"/>
        <v>5</v>
      </c>
      <c r="K3150" s="1" t="s">
        <v>6076</v>
      </c>
      <c r="L3150" s="1" t="s">
        <v>6076</v>
      </c>
      <c r="M3150">
        <f t="shared" si="99"/>
        <v>28</v>
      </c>
      <c r="N3150" t="s">
        <v>640</v>
      </c>
    </row>
    <row r="3151" spans="1:14" x14ac:dyDescent="0.3">
      <c r="A3151" s="1" t="s">
        <v>8545</v>
      </c>
      <c r="B3151" s="1" t="s">
        <v>795</v>
      </c>
      <c r="C3151" s="1" t="s">
        <v>8546</v>
      </c>
      <c r="D3151" s="1" t="s">
        <v>738</v>
      </c>
      <c r="E3151" s="1" t="s">
        <v>6076</v>
      </c>
      <c r="F3151" s="1" t="s">
        <v>6076</v>
      </c>
      <c r="G3151" s="1" t="s">
        <v>8542</v>
      </c>
      <c r="H3151">
        <v>1989</v>
      </c>
      <c r="I3151">
        <v>1995</v>
      </c>
      <c r="J3151">
        <f t="shared" si="98"/>
        <v>7</v>
      </c>
      <c r="K3151" s="1" t="s">
        <v>6076</v>
      </c>
      <c r="L3151" s="1" t="s">
        <v>6076</v>
      </c>
      <c r="M3151">
        <f t="shared" si="99"/>
        <v>31</v>
      </c>
      <c r="N3151" t="s">
        <v>640</v>
      </c>
    </row>
    <row r="3152" spans="1:14" x14ac:dyDescent="0.3">
      <c r="A3152" t="s">
        <v>10942</v>
      </c>
      <c r="B3152" t="s">
        <v>5913</v>
      </c>
      <c r="C3152" t="s">
        <v>10943</v>
      </c>
      <c r="E3152" s="1" t="s">
        <v>6076</v>
      </c>
      <c r="F3152" s="1" t="s">
        <v>6076</v>
      </c>
      <c r="G3152" s="1" t="s">
        <v>12772</v>
      </c>
      <c r="H3152">
        <v>2024</v>
      </c>
      <c r="I3152">
        <v>2026</v>
      </c>
      <c r="J3152">
        <f t="shared" si="98"/>
        <v>3</v>
      </c>
      <c r="K3152" s="1" t="s">
        <v>6076</v>
      </c>
      <c r="L3152" s="1" t="s">
        <v>6076</v>
      </c>
      <c r="M3152">
        <f t="shared" si="99"/>
        <v>0</v>
      </c>
    </row>
    <row r="3153" spans="1:14" x14ac:dyDescent="0.3">
      <c r="A3153" t="s">
        <v>10944</v>
      </c>
      <c r="B3153" t="s">
        <v>5913</v>
      </c>
      <c r="C3153" t="s">
        <v>10945</v>
      </c>
      <c r="E3153" s="1" t="s">
        <v>6076</v>
      </c>
      <c r="F3153" s="1" t="s">
        <v>6076</v>
      </c>
      <c r="G3153" s="1" t="s">
        <v>12772</v>
      </c>
      <c r="H3153">
        <v>2024</v>
      </c>
      <c r="I3153">
        <v>2026</v>
      </c>
      <c r="J3153">
        <f t="shared" si="98"/>
        <v>3</v>
      </c>
      <c r="K3153" s="1" t="s">
        <v>6076</v>
      </c>
      <c r="L3153" s="1" t="s">
        <v>6076</v>
      </c>
      <c r="M3153">
        <f t="shared" si="99"/>
        <v>0</v>
      </c>
    </row>
    <row r="3154" spans="1:14" x14ac:dyDescent="0.3">
      <c r="A3154" t="s">
        <v>10946</v>
      </c>
      <c r="B3154" t="s">
        <v>5913</v>
      </c>
      <c r="C3154" t="s">
        <v>10947</v>
      </c>
      <c r="E3154" s="1" t="s">
        <v>6076</v>
      </c>
      <c r="F3154" s="1" t="s">
        <v>6076</v>
      </c>
      <c r="G3154" s="1" t="s">
        <v>12772</v>
      </c>
      <c r="H3154">
        <v>2024</v>
      </c>
      <c r="I3154">
        <v>2026</v>
      </c>
      <c r="J3154">
        <f t="shared" si="98"/>
        <v>3</v>
      </c>
      <c r="K3154" s="1" t="s">
        <v>6076</v>
      </c>
      <c r="L3154" s="1" t="s">
        <v>6076</v>
      </c>
      <c r="M3154">
        <f t="shared" si="99"/>
        <v>0</v>
      </c>
    </row>
    <row r="3155" spans="1:14" x14ac:dyDescent="0.3">
      <c r="A3155" t="s">
        <v>10948</v>
      </c>
      <c r="B3155" t="s">
        <v>5913</v>
      </c>
      <c r="C3155" t="s">
        <v>10949</v>
      </c>
      <c r="E3155" s="1" t="s">
        <v>6076</v>
      </c>
      <c r="F3155" s="1" t="s">
        <v>6076</v>
      </c>
      <c r="G3155" s="1" t="s">
        <v>12772</v>
      </c>
      <c r="H3155">
        <v>2022</v>
      </c>
      <c r="I3155">
        <v>2026</v>
      </c>
      <c r="J3155">
        <f t="shared" si="98"/>
        <v>5</v>
      </c>
      <c r="K3155" s="1" t="s">
        <v>6076</v>
      </c>
      <c r="L3155" s="1" t="s">
        <v>6076</v>
      </c>
      <c r="M3155">
        <f t="shared" si="99"/>
        <v>0</v>
      </c>
    </row>
    <row r="3156" spans="1:14" x14ac:dyDescent="0.3">
      <c r="A3156" t="s">
        <v>10950</v>
      </c>
      <c r="B3156" t="s">
        <v>5913</v>
      </c>
      <c r="C3156" t="s">
        <v>10951</v>
      </c>
      <c r="E3156" s="1" t="s">
        <v>6076</v>
      </c>
      <c r="F3156" s="1" t="s">
        <v>6076</v>
      </c>
      <c r="G3156" s="1" t="s">
        <v>12772</v>
      </c>
      <c r="H3156">
        <v>2023</v>
      </c>
      <c r="I3156">
        <v>2026</v>
      </c>
      <c r="J3156">
        <f t="shared" si="98"/>
        <v>4</v>
      </c>
      <c r="K3156" s="1" t="s">
        <v>6076</v>
      </c>
      <c r="L3156" s="1" t="s">
        <v>6076</v>
      </c>
      <c r="M3156">
        <f t="shared" si="99"/>
        <v>0</v>
      </c>
    </row>
    <row r="3157" spans="1:14" x14ac:dyDescent="0.3">
      <c r="A3157" t="s">
        <v>10952</v>
      </c>
      <c r="B3157" t="s">
        <v>5913</v>
      </c>
      <c r="C3157" t="s">
        <v>10953</v>
      </c>
      <c r="E3157" s="1" t="s">
        <v>6076</v>
      </c>
      <c r="F3157" s="1" t="s">
        <v>6076</v>
      </c>
      <c r="G3157" s="1" t="s">
        <v>12772</v>
      </c>
      <c r="H3157">
        <v>2022</v>
      </c>
      <c r="I3157">
        <v>2026</v>
      </c>
      <c r="J3157">
        <f t="shared" si="98"/>
        <v>5</v>
      </c>
      <c r="K3157" s="1" t="s">
        <v>6076</v>
      </c>
      <c r="L3157" s="1" t="s">
        <v>6076</v>
      </c>
      <c r="M3157">
        <f t="shared" si="99"/>
        <v>0</v>
      </c>
    </row>
    <row r="3158" spans="1:14" x14ac:dyDescent="0.3">
      <c r="A3158" t="s">
        <v>10954</v>
      </c>
      <c r="B3158" t="s">
        <v>5913</v>
      </c>
      <c r="C3158" t="s">
        <v>10955</v>
      </c>
      <c r="E3158" s="1" t="s">
        <v>6076</v>
      </c>
      <c r="F3158" s="1" t="s">
        <v>6076</v>
      </c>
      <c r="G3158" s="1" t="s">
        <v>12772</v>
      </c>
      <c r="H3158">
        <v>2022</v>
      </c>
      <c r="I3158">
        <v>2026</v>
      </c>
      <c r="J3158">
        <f t="shared" si="98"/>
        <v>5</v>
      </c>
      <c r="K3158" s="1" t="s">
        <v>6076</v>
      </c>
      <c r="L3158" s="1" t="s">
        <v>6076</v>
      </c>
      <c r="M3158">
        <f t="shared" si="99"/>
        <v>0</v>
      </c>
    </row>
    <row r="3159" spans="1:14" hidden="1" x14ac:dyDescent="0.3">
      <c r="A3159" s="1" t="s">
        <v>5273</v>
      </c>
      <c r="B3159" s="1" t="s">
        <v>1849</v>
      </c>
      <c r="C3159" s="1" t="s">
        <v>5274</v>
      </c>
      <c r="D3159" s="1" t="s">
        <v>1395</v>
      </c>
      <c r="E3159" s="1" t="s">
        <v>3905</v>
      </c>
      <c r="F3159" s="1" t="s">
        <v>3906</v>
      </c>
      <c r="G3159" s="1" t="s">
        <v>5275</v>
      </c>
      <c r="H3159">
        <v>2010</v>
      </c>
      <c r="I3159">
        <v>2013</v>
      </c>
      <c r="J3159">
        <f t="shared" si="98"/>
        <v>4</v>
      </c>
      <c r="K3159" s="1" t="s">
        <v>4668</v>
      </c>
      <c r="L3159" s="1" t="s">
        <v>649</v>
      </c>
      <c r="M3159">
        <f t="shared" si="99"/>
        <v>13</v>
      </c>
      <c r="N3159" t="s">
        <v>650</v>
      </c>
    </row>
    <row r="3160" spans="1:14" hidden="1" x14ac:dyDescent="0.3">
      <c r="A3160" s="1" t="s">
        <v>5276</v>
      </c>
      <c r="B3160" s="1" t="s">
        <v>1849</v>
      </c>
      <c r="C3160" s="1" t="s">
        <v>5277</v>
      </c>
      <c r="D3160" s="1" t="s">
        <v>1395</v>
      </c>
      <c r="E3160" s="1" t="s">
        <v>3905</v>
      </c>
      <c r="F3160" s="1" t="s">
        <v>3906</v>
      </c>
      <c r="G3160" s="1" t="s">
        <v>5275</v>
      </c>
      <c r="H3160">
        <v>2010</v>
      </c>
      <c r="I3160">
        <v>2012</v>
      </c>
      <c r="J3160">
        <f t="shared" si="98"/>
        <v>3</v>
      </c>
      <c r="K3160" s="1" t="s">
        <v>4668</v>
      </c>
      <c r="L3160" s="1" t="s">
        <v>649</v>
      </c>
      <c r="M3160">
        <f t="shared" si="99"/>
        <v>14</v>
      </c>
      <c r="N3160" t="s">
        <v>650</v>
      </c>
    </row>
    <row r="3161" spans="1:14" hidden="1" x14ac:dyDescent="0.3">
      <c r="A3161" s="1" t="s">
        <v>5278</v>
      </c>
      <c r="B3161" s="1" t="s">
        <v>1849</v>
      </c>
      <c r="C3161" s="1" t="s">
        <v>5279</v>
      </c>
      <c r="D3161" s="1" t="s">
        <v>1395</v>
      </c>
      <c r="E3161" s="1" t="s">
        <v>3905</v>
      </c>
      <c r="F3161" s="1" t="s">
        <v>3906</v>
      </c>
      <c r="G3161" s="1" t="s">
        <v>5275</v>
      </c>
      <c r="H3161">
        <v>2017</v>
      </c>
      <c r="I3161">
        <v>2021</v>
      </c>
      <c r="J3161">
        <f t="shared" si="98"/>
        <v>5</v>
      </c>
      <c r="K3161" s="1" t="s">
        <v>4668</v>
      </c>
      <c r="L3161" s="1" t="s">
        <v>649</v>
      </c>
      <c r="M3161">
        <f t="shared" si="99"/>
        <v>5</v>
      </c>
      <c r="N3161" t="s">
        <v>650</v>
      </c>
    </row>
    <row r="3162" spans="1:14" hidden="1" x14ac:dyDescent="0.3">
      <c r="A3162" s="1" t="s">
        <v>5280</v>
      </c>
      <c r="B3162" s="1" t="s">
        <v>1849</v>
      </c>
      <c r="C3162" s="1" t="s">
        <v>5281</v>
      </c>
      <c r="D3162" s="1" t="s">
        <v>1395</v>
      </c>
      <c r="E3162" s="1" t="s">
        <v>3905</v>
      </c>
      <c r="F3162" s="1" t="s">
        <v>3906</v>
      </c>
      <c r="G3162" s="1" t="s">
        <v>5275</v>
      </c>
      <c r="H3162">
        <v>2012</v>
      </c>
      <c r="I3162">
        <v>2014</v>
      </c>
      <c r="J3162">
        <f t="shared" si="98"/>
        <v>3</v>
      </c>
      <c r="K3162" s="1" t="s">
        <v>4668</v>
      </c>
      <c r="L3162" s="1" t="s">
        <v>649</v>
      </c>
      <c r="M3162">
        <f t="shared" si="99"/>
        <v>12</v>
      </c>
      <c r="N3162" t="s">
        <v>650</v>
      </c>
    </row>
    <row r="3163" spans="1:14" hidden="1" x14ac:dyDescent="0.3">
      <c r="A3163" s="1" t="s">
        <v>5282</v>
      </c>
      <c r="B3163" s="1" t="s">
        <v>1849</v>
      </c>
      <c r="C3163" s="1" t="s">
        <v>5283</v>
      </c>
      <c r="D3163" s="1" t="s">
        <v>1395</v>
      </c>
      <c r="E3163" s="1" t="s">
        <v>3905</v>
      </c>
      <c r="F3163" s="1" t="s">
        <v>3906</v>
      </c>
      <c r="G3163" s="1" t="s">
        <v>5275</v>
      </c>
      <c r="H3163">
        <v>2012</v>
      </c>
      <c r="I3163">
        <v>2014</v>
      </c>
      <c r="J3163">
        <f t="shared" si="98"/>
        <v>3</v>
      </c>
      <c r="K3163" s="1" t="s">
        <v>4668</v>
      </c>
      <c r="L3163" s="1" t="s">
        <v>649</v>
      </c>
      <c r="M3163">
        <f t="shared" si="99"/>
        <v>12</v>
      </c>
      <c r="N3163" t="s">
        <v>650</v>
      </c>
    </row>
    <row r="3164" spans="1:14" hidden="1" x14ac:dyDescent="0.3">
      <c r="A3164" s="1" t="s">
        <v>5284</v>
      </c>
      <c r="B3164" s="1" t="s">
        <v>1849</v>
      </c>
      <c r="C3164" s="1" t="s">
        <v>5285</v>
      </c>
      <c r="D3164" s="1" t="s">
        <v>1395</v>
      </c>
      <c r="E3164" s="1" t="s">
        <v>3905</v>
      </c>
      <c r="F3164" s="1" t="s">
        <v>3906</v>
      </c>
      <c r="G3164" s="1" t="s">
        <v>5275</v>
      </c>
      <c r="H3164">
        <v>2017</v>
      </c>
      <c r="I3164">
        <v>2021</v>
      </c>
      <c r="J3164">
        <f t="shared" si="98"/>
        <v>5</v>
      </c>
      <c r="K3164" s="1" t="s">
        <v>4668</v>
      </c>
      <c r="L3164" s="1" t="s">
        <v>649</v>
      </c>
      <c r="M3164">
        <f t="shared" si="99"/>
        <v>5</v>
      </c>
      <c r="N3164" t="s">
        <v>650</v>
      </c>
    </row>
    <row r="3165" spans="1:14" hidden="1" x14ac:dyDescent="0.3">
      <c r="A3165" s="1" t="s">
        <v>5286</v>
      </c>
      <c r="B3165" s="1" t="s">
        <v>1849</v>
      </c>
      <c r="C3165" s="1" t="s">
        <v>5287</v>
      </c>
      <c r="D3165" s="1" t="s">
        <v>1395</v>
      </c>
      <c r="E3165" s="1" t="s">
        <v>3905</v>
      </c>
      <c r="F3165" s="1" t="s">
        <v>3906</v>
      </c>
      <c r="G3165" s="1" t="s">
        <v>5275</v>
      </c>
      <c r="H3165">
        <v>2012</v>
      </c>
      <c r="I3165">
        <v>2022</v>
      </c>
      <c r="J3165">
        <f t="shared" si="98"/>
        <v>11</v>
      </c>
      <c r="K3165" s="1" t="s">
        <v>4668</v>
      </c>
      <c r="L3165" s="1" t="s">
        <v>649</v>
      </c>
      <c r="M3165">
        <f t="shared" si="99"/>
        <v>4</v>
      </c>
      <c r="N3165" t="s">
        <v>650</v>
      </c>
    </row>
    <row r="3166" spans="1:14" hidden="1" x14ac:dyDescent="0.3">
      <c r="A3166" s="1" t="s">
        <v>5288</v>
      </c>
      <c r="B3166" s="1" t="s">
        <v>5289</v>
      </c>
      <c r="C3166" s="1" t="s">
        <v>5290</v>
      </c>
      <c r="D3166" s="1" t="s">
        <v>746</v>
      </c>
      <c r="E3166" s="1" t="s">
        <v>747</v>
      </c>
      <c r="F3166" s="1" t="s">
        <v>748</v>
      </c>
      <c r="G3166" s="1" t="s">
        <v>5291</v>
      </c>
      <c r="H3166">
        <v>2012</v>
      </c>
      <c r="I3166">
        <v>2014</v>
      </c>
      <c r="J3166">
        <f t="shared" si="98"/>
        <v>3</v>
      </c>
      <c r="K3166" s="1" t="s">
        <v>4668</v>
      </c>
      <c r="L3166" s="1" t="s">
        <v>659</v>
      </c>
      <c r="M3166">
        <f t="shared" si="99"/>
        <v>12</v>
      </c>
      <c r="N3166" t="s">
        <v>650</v>
      </c>
    </row>
    <row r="3167" spans="1:14" hidden="1" x14ac:dyDescent="0.3">
      <c r="A3167" s="1" t="s">
        <v>5292</v>
      </c>
      <c r="B3167" s="1" t="s">
        <v>5289</v>
      </c>
      <c r="C3167" s="1" t="s">
        <v>5293</v>
      </c>
      <c r="D3167" s="1" t="s">
        <v>746</v>
      </c>
      <c r="E3167" s="1" t="s">
        <v>747</v>
      </c>
      <c r="F3167" s="1" t="s">
        <v>748</v>
      </c>
      <c r="G3167" s="1" t="s">
        <v>5291</v>
      </c>
      <c r="H3167">
        <v>2015</v>
      </c>
      <c r="I3167">
        <v>2016</v>
      </c>
      <c r="J3167">
        <f t="shared" si="98"/>
        <v>2</v>
      </c>
      <c r="K3167" s="1" t="s">
        <v>4668</v>
      </c>
      <c r="L3167" s="1" t="s">
        <v>659</v>
      </c>
      <c r="M3167">
        <f t="shared" si="99"/>
        <v>10</v>
      </c>
      <c r="N3167" t="s">
        <v>650</v>
      </c>
    </row>
    <row r="3168" spans="1:14" hidden="1" x14ac:dyDescent="0.3">
      <c r="A3168" s="1" t="s">
        <v>5294</v>
      </c>
      <c r="B3168" s="1" t="s">
        <v>5289</v>
      </c>
      <c r="C3168" s="1" t="s">
        <v>5295</v>
      </c>
      <c r="D3168" s="1" t="s">
        <v>746</v>
      </c>
      <c r="E3168" s="1" t="s">
        <v>747</v>
      </c>
      <c r="F3168" s="1" t="s">
        <v>748</v>
      </c>
      <c r="G3168" s="1" t="s">
        <v>5291</v>
      </c>
      <c r="H3168">
        <v>2010</v>
      </c>
      <c r="I3168">
        <v>2015</v>
      </c>
      <c r="J3168">
        <f t="shared" si="98"/>
        <v>6</v>
      </c>
      <c r="K3168" s="1" t="s">
        <v>4668</v>
      </c>
      <c r="L3168" s="1" t="s">
        <v>659</v>
      </c>
      <c r="M3168">
        <f t="shared" si="99"/>
        <v>11</v>
      </c>
      <c r="N3168" t="s">
        <v>650</v>
      </c>
    </row>
    <row r="3169" spans="1:14" hidden="1" x14ac:dyDescent="0.3">
      <c r="A3169" s="1" t="s">
        <v>5296</v>
      </c>
      <c r="B3169" s="1" t="s">
        <v>5289</v>
      </c>
      <c r="C3169" s="1" t="s">
        <v>5297</v>
      </c>
      <c r="D3169" s="1" t="s">
        <v>746</v>
      </c>
      <c r="E3169" s="1" t="s">
        <v>747</v>
      </c>
      <c r="F3169" s="1" t="s">
        <v>748</v>
      </c>
      <c r="G3169" s="1" t="s">
        <v>5291</v>
      </c>
      <c r="H3169">
        <v>2012</v>
      </c>
      <c r="I3169">
        <v>2012</v>
      </c>
      <c r="J3169">
        <f t="shared" si="98"/>
        <v>1</v>
      </c>
      <c r="K3169" s="1" t="s">
        <v>4668</v>
      </c>
      <c r="L3169" s="1" t="s">
        <v>659</v>
      </c>
      <c r="M3169">
        <f t="shared" si="99"/>
        <v>14</v>
      </c>
      <c r="N3169" t="s">
        <v>650</v>
      </c>
    </row>
    <row r="3170" spans="1:14" hidden="1" x14ac:dyDescent="0.3">
      <c r="A3170" s="1" t="s">
        <v>5298</v>
      </c>
      <c r="B3170" s="1" t="s">
        <v>5289</v>
      </c>
      <c r="C3170" s="1" t="s">
        <v>5299</v>
      </c>
      <c r="D3170" s="1" t="s">
        <v>746</v>
      </c>
      <c r="E3170" s="1" t="s">
        <v>747</v>
      </c>
      <c r="F3170" s="1" t="s">
        <v>748</v>
      </c>
      <c r="G3170" s="1" t="s">
        <v>5291</v>
      </c>
      <c r="H3170">
        <v>2013</v>
      </c>
      <c r="I3170">
        <v>2015</v>
      </c>
      <c r="J3170">
        <f t="shared" si="98"/>
        <v>3</v>
      </c>
      <c r="K3170" s="1" t="s">
        <v>4668</v>
      </c>
      <c r="L3170" s="1" t="s">
        <v>659</v>
      </c>
      <c r="M3170">
        <f t="shared" si="99"/>
        <v>11</v>
      </c>
      <c r="N3170" t="s">
        <v>650</v>
      </c>
    </row>
    <row r="3171" spans="1:14" hidden="1" x14ac:dyDescent="0.3">
      <c r="A3171" s="1" t="s">
        <v>5300</v>
      </c>
      <c r="B3171" s="1" t="s">
        <v>5289</v>
      </c>
      <c r="C3171" s="1" t="s">
        <v>5301</v>
      </c>
      <c r="D3171" s="1" t="s">
        <v>746</v>
      </c>
      <c r="E3171" s="1" t="s">
        <v>747</v>
      </c>
      <c r="F3171" s="1" t="s">
        <v>748</v>
      </c>
      <c r="G3171" s="1" t="s">
        <v>5291</v>
      </c>
      <c r="H3171">
        <v>2014</v>
      </c>
      <c r="I3171">
        <v>2015</v>
      </c>
      <c r="J3171">
        <f t="shared" si="98"/>
        <v>2</v>
      </c>
      <c r="K3171" s="1" t="s">
        <v>4668</v>
      </c>
      <c r="L3171" s="1" t="s">
        <v>659</v>
      </c>
      <c r="M3171">
        <f t="shared" si="99"/>
        <v>11</v>
      </c>
      <c r="N3171" t="s">
        <v>650</v>
      </c>
    </row>
    <row r="3172" spans="1:14" hidden="1" x14ac:dyDescent="0.3">
      <c r="A3172" s="1" t="s">
        <v>5302</v>
      </c>
      <c r="B3172" s="1" t="s">
        <v>5289</v>
      </c>
      <c r="C3172" s="1" t="s">
        <v>5303</v>
      </c>
      <c r="D3172" s="1" t="s">
        <v>738</v>
      </c>
      <c r="E3172" s="1" t="s">
        <v>739</v>
      </c>
      <c r="F3172" s="1" t="s">
        <v>781</v>
      </c>
      <c r="G3172" s="1" t="s">
        <v>5291</v>
      </c>
      <c r="H3172">
        <v>2010</v>
      </c>
      <c r="I3172">
        <v>2015</v>
      </c>
      <c r="J3172">
        <f t="shared" si="98"/>
        <v>6</v>
      </c>
      <c r="K3172" s="1" t="s">
        <v>4668</v>
      </c>
      <c r="L3172" s="1" t="s">
        <v>659</v>
      </c>
      <c r="M3172">
        <f t="shared" si="99"/>
        <v>11</v>
      </c>
      <c r="N3172" t="s">
        <v>650</v>
      </c>
    </row>
    <row r="3173" spans="1:14" hidden="1" x14ac:dyDescent="0.3">
      <c r="A3173" s="1" t="s">
        <v>5304</v>
      </c>
      <c r="B3173" s="1" t="s">
        <v>5289</v>
      </c>
      <c r="C3173" s="1" t="s">
        <v>5305</v>
      </c>
      <c r="D3173" s="1" t="s">
        <v>738</v>
      </c>
      <c r="E3173" s="1" t="s">
        <v>739</v>
      </c>
      <c r="F3173" s="1" t="s">
        <v>781</v>
      </c>
      <c r="G3173" s="1" t="s">
        <v>5291</v>
      </c>
      <c r="H3173">
        <v>2012</v>
      </c>
      <c r="I3173">
        <v>2012</v>
      </c>
      <c r="J3173">
        <f t="shared" si="98"/>
        <v>1</v>
      </c>
      <c r="K3173" s="1" t="s">
        <v>4668</v>
      </c>
      <c r="L3173" s="1" t="s">
        <v>659</v>
      </c>
      <c r="M3173">
        <f t="shared" si="99"/>
        <v>14</v>
      </c>
      <c r="N3173" t="s">
        <v>650</v>
      </c>
    </row>
    <row r="3174" spans="1:14" hidden="1" x14ac:dyDescent="0.3">
      <c r="A3174" s="1" t="s">
        <v>5306</v>
      </c>
      <c r="B3174" s="1" t="s">
        <v>5289</v>
      </c>
      <c r="C3174" s="1" t="s">
        <v>5307</v>
      </c>
      <c r="D3174" s="1" t="s">
        <v>738</v>
      </c>
      <c r="E3174" s="1" t="s">
        <v>812</v>
      </c>
      <c r="F3174" s="1" t="s">
        <v>813</v>
      </c>
      <c r="G3174" s="1" t="s">
        <v>5308</v>
      </c>
      <c r="H3174">
        <v>2010</v>
      </c>
      <c r="I3174">
        <v>2016</v>
      </c>
      <c r="J3174">
        <f t="shared" si="98"/>
        <v>7</v>
      </c>
      <c r="K3174" s="1" t="s">
        <v>4668</v>
      </c>
      <c r="L3174" s="1" t="s">
        <v>659</v>
      </c>
      <c r="M3174">
        <f t="shared" si="99"/>
        <v>10</v>
      </c>
      <c r="N3174" t="s">
        <v>650</v>
      </c>
    </row>
    <row r="3175" spans="1:14" hidden="1" x14ac:dyDescent="0.3">
      <c r="A3175" s="1" t="s">
        <v>5309</v>
      </c>
      <c r="B3175" s="1" t="s">
        <v>5289</v>
      </c>
      <c r="C3175" s="1" t="s">
        <v>5310</v>
      </c>
      <c r="D3175" s="1" t="s">
        <v>738</v>
      </c>
      <c r="E3175" s="1" t="s">
        <v>812</v>
      </c>
      <c r="F3175" s="1" t="s">
        <v>3803</v>
      </c>
      <c r="G3175" s="1" t="s">
        <v>5311</v>
      </c>
      <c r="H3175">
        <v>2010</v>
      </c>
      <c r="I3175">
        <v>2014</v>
      </c>
      <c r="J3175">
        <f t="shared" si="98"/>
        <v>5</v>
      </c>
      <c r="K3175" s="1" t="s">
        <v>4668</v>
      </c>
      <c r="L3175" s="1" t="s">
        <v>659</v>
      </c>
      <c r="M3175">
        <f t="shared" si="99"/>
        <v>12</v>
      </c>
      <c r="N3175" t="s">
        <v>650</v>
      </c>
    </row>
    <row r="3176" spans="1:14" hidden="1" x14ac:dyDescent="0.3">
      <c r="A3176" s="1" t="s">
        <v>5312</v>
      </c>
      <c r="B3176" s="1" t="s">
        <v>5289</v>
      </c>
      <c r="C3176" s="1" t="s">
        <v>5313</v>
      </c>
      <c r="D3176" s="1" t="s">
        <v>738</v>
      </c>
      <c r="E3176" s="1" t="s">
        <v>812</v>
      </c>
      <c r="F3176" s="1" t="s">
        <v>3803</v>
      </c>
      <c r="G3176" s="1" t="s">
        <v>5311</v>
      </c>
      <c r="H3176">
        <v>2015</v>
      </c>
      <c r="I3176">
        <v>2016</v>
      </c>
      <c r="J3176">
        <f t="shared" si="98"/>
        <v>2</v>
      </c>
      <c r="K3176" s="1" t="s">
        <v>4668</v>
      </c>
      <c r="L3176" s="1" t="s">
        <v>659</v>
      </c>
      <c r="M3176">
        <f t="shared" si="99"/>
        <v>10</v>
      </c>
      <c r="N3176" t="s">
        <v>650</v>
      </c>
    </row>
    <row r="3177" spans="1:14" hidden="1" x14ac:dyDescent="0.3">
      <c r="A3177" s="1" t="s">
        <v>5314</v>
      </c>
      <c r="B3177" s="1" t="s">
        <v>810</v>
      </c>
      <c r="C3177" s="1" t="s">
        <v>5315</v>
      </c>
      <c r="D3177" s="1" t="s">
        <v>738</v>
      </c>
      <c r="E3177" s="1" t="s">
        <v>812</v>
      </c>
      <c r="F3177" s="1" t="s">
        <v>813</v>
      </c>
      <c r="G3177" s="1" t="s">
        <v>4528</v>
      </c>
      <c r="H3177">
        <v>2007</v>
      </c>
      <c r="I3177">
        <v>2011</v>
      </c>
      <c r="J3177">
        <f t="shared" si="98"/>
        <v>5</v>
      </c>
      <c r="K3177" s="1" t="s">
        <v>4668</v>
      </c>
      <c r="L3177" s="1" t="s">
        <v>3793</v>
      </c>
      <c r="M3177">
        <f t="shared" si="99"/>
        <v>15</v>
      </c>
      <c r="N3177" t="s">
        <v>650</v>
      </c>
    </row>
    <row r="3178" spans="1:14" hidden="1" x14ac:dyDescent="0.3">
      <c r="A3178" s="1" t="s">
        <v>4526</v>
      </c>
      <c r="B3178" s="1" t="s">
        <v>810</v>
      </c>
      <c r="C3178" s="1" t="s">
        <v>4527</v>
      </c>
      <c r="D3178" s="1" t="s">
        <v>738</v>
      </c>
      <c r="E3178" s="1" t="s">
        <v>812</v>
      </c>
      <c r="F3178" s="1" t="s">
        <v>813</v>
      </c>
      <c r="G3178" s="1" t="s">
        <v>4528</v>
      </c>
      <c r="H3178">
        <v>2018</v>
      </c>
      <c r="I3178">
        <v>2019</v>
      </c>
      <c r="J3178">
        <f t="shared" si="98"/>
        <v>2</v>
      </c>
      <c r="K3178" s="1" t="s">
        <v>3665</v>
      </c>
      <c r="L3178" s="1" t="s">
        <v>649</v>
      </c>
      <c r="M3178">
        <f t="shared" si="99"/>
        <v>7</v>
      </c>
      <c r="N3178" t="s">
        <v>650</v>
      </c>
    </row>
    <row r="3179" spans="1:14" hidden="1" x14ac:dyDescent="0.3">
      <c r="A3179" s="1" t="s">
        <v>4529</v>
      </c>
      <c r="B3179" s="1" t="s">
        <v>810</v>
      </c>
      <c r="C3179" s="1" t="s">
        <v>4530</v>
      </c>
      <c r="D3179" s="1" t="s">
        <v>738</v>
      </c>
      <c r="E3179" s="1" t="s">
        <v>812</v>
      </c>
      <c r="F3179" s="1" t="s">
        <v>813</v>
      </c>
      <c r="G3179" s="1" t="s">
        <v>4528</v>
      </c>
      <c r="H3179">
        <v>2018</v>
      </c>
      <c r="I3179">
        <v>2022</v>
      </c>
      <c r="J3179">
        <f t="shared" si="98"/>
        <v>5</v>
      </c>
      <c r="K3179" s="1" t="s">
        <v>3665</v>
      </c>
      <c r="L3179" s="1" t="s">
        <v>649</v>
      </c>
      <c r="M3179">
        <f t="shared" si="99"/>
        <v>4</v>
      </c>
      <c r="N3179" t="s">
        <v>650</v>
      </c>
    </row>
    <row r="3180" spans="1:14" hidden="1" x14ac:dyDescent="0.3">
      <c r="A3180" s="1" t="s">
        <v>4531</v>
      </c>
      <c r="B3180" s="1" t="s">
        <v>810</v>
      </c>
      <c r="C3180" s="1" t="s">
        <v>4532</v>
      </c>
      <c r="D3180" s="1" t="s">
        <v>738</v>
      </c>
      <c r="E3180" s="1" t="s">
        <v>812</v>
      </c>
      <c r="F3180" s="1" t="s">
        <v>813</v>
      </c>
      <c r="G3180" s="1" t="s">
        <v>4528</v>
      </c>
      <c r="H3180">
        <v>2016</v>
      </c>
      <c r="I3180">
        <v>2018</v>
      </c>
      <c r="J3180">
        <f t="shared" si="98"/>
        <v>3</v>
      </c>
      <c r="K3180" s="1" t="s">
        <v>3665</v>
      </c>
      <c r="L3180" s="1" t="s">
        <v>649</v>
      </c>
      <c r="M3180">
        <f t="shared" si="99"/>
        <v>8</v>
      </c>
      <c r="N3180" t="s">
        <v>650</v>
      </c>
    </row>
    <row r="3181" spans="1:14" hidden="1" x14ac:dyDescent="0.3">
      <c r="A3181" s="1" t="s">
        <v>4533</v>
      </c>
      <c r="B3181" s="1" t="s">
        <v>810</v>
      </c>
      <c r="C3181" s="1" t="s">
        <v>4534</v>
      </c>
      <c r="D3181" s="1" t="s">
        <v>738</v>
      </c>
      <c r="E3181" s="1" t="s">
        <v>812</v>
      </c>
      <c r="F3181" s="1" t="s">
        <v>813</v>
      </c>
      <c r="G3181" s="1" t="s">
        <v>4528</v>
      </c>
      <c r="H3181">
        <v>2011</v>
      </c>
      <c r="I3181">
        <v>2013</v>
      </c>
      <c r="J3181">
        <f t="shared" si="98"/>
        <v>3</v>
      </c>
      <c r="K3181" s="1" t="s">
        <v>3665</v>
      </c>
      <c r="L3181" s="1" t="s">
        <v>649</v>
      </c>
      <c r="M3181">
        <f t="shared" si="99"/>
        <v>13</v>
      </c>
      <c r="N3181" t="s">
        <v>650</v>
      </c>
    </row>
    <row r="3182" spans="1:14" hidden="1" x14ac:dyDescent="0.3">
      <c r="A3182" s="1" t="s">
        <v>4535</v>
      </c>
      <c r="B3182" s="1" t="s">
        <v>810</v>
      </c>
      <c r="C3182" s="1" t="s">
        <v>4536</v>
      </c>
      <c r="D3182" s="1" t="s">
        <v>738</v>
      </c>
      <c r="E3182" s="1" t="s">
        <v>812</v>
      </c>
      <c r="F3182" s="1" t="s">
        <v>813</v>
      </c>
      <c r="G3182" s="1" t="s">
        <v>4528</v>
      </c>
      <c r="H3182">
        <v>2011</v>
      </c>
      <c r="I3182">
        <v>2014</v>
      </c>
      <c r="J3182">
        <f t="shared" si="98"/>
        <v>4</v>
      </c>
      <c r="K3182" s="1" t="s">
        <v>3665</v>
      </c>
      <c r="L3182" s="1" t="s">
        <v>649</v>
      </c>
      <c r="M3182">
        <f t="shared" si="99"/>
        <v>12</v>
      </c>
      <c r="N3182" t="s">
        <v>650</v>
      </c>
    </row>
    <row r="3183" spans="1:14" x14ac:dyDescent="0.3">
      <c r="A3183" s="1" t="s">
        <v>8547</v>
      </c>
      <c r="B3183" s="1" t="s">
        <v>810</v>
      </c>
      <c r="C3183" s="1" t="s">
        <v>8548</v>
      </c>
      <c r="D3183" s="1" t="s">
        <v>738</v>
      </c>
      <c r="E3183" s="1" t="s">
        <v>6076</v>
      </c>
      <c r="F3183" s="1" t="s">
        <v>6076</v>
      </c>
      <c r="G3183" s="1" t="s">
        <v>4528</v>
      </c>
      <c r="H3183">
        <v>2019</v>
      </c>
      <c r="I3183">
        <v>2022</v>
      </c>
      <c r="J3183">
        <f t="shared" si="98"/>
        <v>4</v>
      </c>
      <c r="K3183" s="1" t="s">
        <v>6076</v>
      </c>
      <c r="L3183" s="1" t="s">
        <v>6076</v>
      </c>
      <c r="M3183">
        <f t="shared" si="99"/>
        <v>4</v>
      </c>
      <c r="N3183" t="s">
        <v>650</v>
      </c>
    </row>
    <row r="3184" spans="1:14" x14ac:dyDescent="0.3">
      <c r="A3184" s="1" t="s">
        <v>8549</v>
      </c>
      <c r="B3184" s="1" t="s">
        <v>810</v>
      </c>
      <c r="C3184" s="1" t="s">
        <v>8550</v>
      </c>
      <c r="D3184" s="1" t="s">
        <v>738</v>
      </c>
      <c r="E3184" s="1" t="s">
        <v>6076</v>
      </c>
      <c r="F3184" s="1" t="s">
        <v>6076</v>
      </c>
      <c r="G3184" s="1" t="s">
        <v>4528</v>
      </c>
      <c r="H3184">
        <v>1994</v>
      </c>
      <c r="I3184">
        <v>1995</v>
      </c>
      <c r="J3184">
        <f t="shared" si="98"/>
        <v>2</v>
      </c>
      <c r="K3184" s="1" t="s">
        <v>6076</v>
      </c>
      <c r="L3184" s="1" t="s">
        <v>6076</v>
      </c>
      <c r="M3184">
        <f t="shared" si="99"/>
        <v>31</v>
      </c>
      <c r="N3184" t="s">
        <v>640</v>
      </c>
    </row>
    <row r="3185" spans="1:14" hidden="1" x14ac:dyDescent="0.3">
      <c r="A3185" s="1" t="s">
        <v>5316</v>
      </c>
      <c r="B3185" s="1" t="s">
        <v>810</v>
      </c>
      <c r="C3185" s="1" t="s">
        <v>5317</v>
      </c>
      <c r="D3185" s="1" t="s">
        <v>738</v>
      </c>
      <c r="E3185" s="1" t="s">
        <v>812</v>
      </c>
      <c r="F3185" s="1" t="s">
        <v>813</v>
      </c>
      <c r="G3185" s="1" t="s">
        <v>4528</v>
      </c>
      <c r="H3185">
        <v>2011</v>
      </c>
      <c r="I3185">
        <v>2018</v>
      </c>
      <c r="J3185">
        <f t="shared" si="98"/>
        <v>8</v>
      </c>
      <c r="K3185" s="1" t="s">
        <v>4668</v>
      </c>
      <c r="L3185" s="1" t="s">
        <v>659</v>
      </c>
      <c r="M3185">
        <f t="shared" si="99"/>
        <v>8</v>
      </c>
      <c r="N3185" t="s">
        <v>650</v>
      </c>
    </row>
    <row r="3186" spans="1:14" hidden="1" x14ac:dyDescent="0.3">
      <c r="A3186" s="1" t="s">
        <v>4537</v>
      </c>
      <c r="B3186" s="1" t="s">
        <v>810</v>
      </c>
      <c r="C3186" s="1" t="s">
        <v>4538</v>
      </c>
      <c r="D3186" s="1" t="s">
        <v>738</v>
      </c>
      <c r="E3186" s="1" t="s">
        <v>812</v>
      </c>
      <c r="F3186" s="1" t="s">
        <v>813</v>
      </c>
      <c r="G3186" s="1" t="s">
        <v>4528</v>
      </c>
      <c r="H3186">
        <v>2018</v>
      </c>
      <c r="I3186">
        <v>2022</v>
      </c>
      <c r="J3186">
        <f t="shared" si="98"/>
        <v>5</v>
      </c>
      <c r="K3186" s="1" t="s">
        <v>3665</v>
      </c>
      <c r="L3186" s="1" t="s">
        <v>649</v>
      </c>
      <c r="M3186">
        <f t="shared" si="99"/>
        <v>4</v>
      </c>
      <c r="N3186" t="s">
        <v>650</v>
      </c>
    </row>
    <row r="3187" spans="1:14" hidden="1" x14ac:dyDescent="0.3">
      <c r="A3187" s="1" t="s">
        <v>4539</v>
      </c>
      <c r="B3187" s="1" t="s">
        <v>810</v>
      </c>
      <c r="C3187" s="1" t="s">
        <v>4540</v>
      </c>
      <c r="D3187" s="1" t="s">
        <v>738</v>
      </c>
      <c r="E3187" s="1" t="s">
        <v>812</v>
      </c>
      <c r="F3187" s="1" t="s">
        <v>813</v>
      </c>
      <c r="G3187" s="1" t="s">
        <v>4528</v>
      </c>
      <c r="H3187">
        <v>2016</v>
      </c>
      <c r="I3187">
        <v>2017</v>
      </c>
      <c r="J3187">
        <f t="shared" si="98"/>
        <v>2</v>
      </c>
      <c r="K3187" s="1" t="s">
        <v>3665</v>
      </c>
      <c r="L3187" s="1" t="s">
        <v>649</v>
      </c>
      <c r="M3187">
        <f t="shared" si="99"/>
        <v>9</v>
      </c>
      <c r="N3187" t="s">
        <v>650</v>
      </c>
    </row>
    <row r="3188" spans="1:14" hidden="1" x14ac:dyDescent="0.3">
      <c r="A3188" s="1" t="s">
        <v>4541</v>
      </c>
      <c r="B3188" s="1" t="s">
        <v>810</v>
      </c>
      <c r="C3188" s="1" t="s">
        <v>4542</v>
      </c>
      <c r="D3188" s="1" t="s">
        <v>738</v>
      </c>
      <c r="E3188" s="1" t="s">
        <v>812</v>
      </c>
      <c r="F3188" s="1" t="s">
        <v>813</v>
      </c>
      <c r="G3188" s="1" t="s">
        <v>4528</v>
      </c>
      <c r="H3188">
        <v>2016</v>
      </c>
      <c r="I3188">
        <v>2017</v>
      </c>
      <c r="J3188">
        <f t="shared" si="98"/>
        <v>2</v>
      </c>
      <c r="K3188" s="1" t="s">
        <v>3665</v>
      </c>
      <c r="L3188" s="1" t="s">
        <v>649</v>
      </c>
      <c r="M3188">
        <f t="shared" si="99"/>
        <v>9</v>
      </c>
      <c r="N3188" t="s">
        <v>650</v>
      </c>
    </row>
    <row r="3189" spans="1:14" hidden="1" x14ac:dyDescent="0.3">
      <c r="A3189" s="1" t="s">
        <v>4543</v>
      </c>
      <c r="B3189" s="1" t="s">
        <v>810</v>
      </c>
      <c r="C3189" s="1" t="s">
        <v>4544</v>
      </c>
      <c r="D3189" s="1" t="s">
        <v>738</v>
      </c>
      <c r="E3189" s="1" t="s">
        <v>812</v>
      </c>
      <c r="F3189" s="1" t="s">
        <v>813</v>
      </c>
      <c r="G3189" s="1" t="s">
        <v>4528</v>
      </c>
      <c r="H3189">
        <v>2015</v>
      </c>
      <c r="I3189">
        <v>2016</v>
      </c>
      <c r="J3189">
        <f t="shared" si="98"/>
        <v>2</v>
      </c>
      <c r="K3189" s="1" t="s">
        <v>3665</v>
      </c>
      <c r="L3189" s="1" t="s">
        <v>649</v>
      </c>
      <c r="M3189">
        <f t="shared" si="99"/>
        <v>10</v>
      </c>
      <c r="N3189" t="s">
        <v>650</v>
      </c>
    </row>
    <row r="3190" spans="1:14" hidden="1" x14ac:dyDescent="0.3">
      <c r="A3190" s="1" t="s">
        <v>5318</v>
      </c>
      <c r="B3190" s="1" t="s">
        <v>810</v>
      </c>
      <c r="C3190" s="1" t="s">
        <v>5319</v>
      </c>
      <c r="D3190" s="1" t="s">
        <v>738</v>
      </c>
      <c r="E3190" s="1" t="s">
        <v>812</v>
      </c>
      <c r="F3190" s="1" t="s">
        <v>3803</v>
      </c>
      <c r="G3190" s="1" t="s">
        <v>4528</v>
      </c>
      <c r="H3190">
        <v>2008</v>
      </c>
      <c r="I3190">
        <v>2013</v>
      </c>
      <c r="J3190">
        <f t="shared" si="98"/>
        <v>6</v>
      </c>
      <c r="K3190" s="1" t="s">
        <v>4668</v>
      </c>
      <c r="L3190" s="1" t="s">
        <v>5182</v>
      </c>
      <c r="M3190">
        <f t="shared" si="99"/>
        <v>13</v>
      </c>
      <c r="N3190" t="s">
        <v>650</v>
      </c>
    </row>
    <row r="3191" spans="1:14" x14ac:dyDescent="0.3">
      <c r="A3191" s="1" t="s">
        <v>8551</v>
      </c>
      <c r="B3191" s="1" t="s">
        <v>4665</v>
      </c>
      <c r="C3191" s="1" t="s">
        <v>8552</v>
      </c>
      <c r="D3191" s="1" t="s">
        <v>1242</v>
      </c>
      <c r="E3191" s="1" t="s">
        <v>6076</v>
      </c>
      <c r="F3191" s="1" t="s">
        <v>6076</v>
      </c>
      <c r="G3191" s="1" t="s">
        <v>8553</v>
      </c>
      <c r="H3191">
        <v>2012</v>
      </c>
      <c r="I3191">
        <v>2012</v>
      </c>
      <c r="J3191">
        <f t="shared" si="98"/>
        <v>1</v>
      </c>
      <c r="K3191" s="1" t="s">
        <v>6076</v>
      </c>
      <c r="L3191" s="1" t="s">
        <v>6076</v>
      </c>
      <c r="M3191">
        <f t="shared" si="99"/>
        <v>14</v>
      </c>
      <c r="N3191" t="s">
        <v>650</v>
      </c>
    </row>
    <row r="3192" spans="1:14" x14ac:dyDescent="0.3">
      <c r="A3192" s="1" t="s">
        <v>8554</v>
      </c>
      <c r="B3192" s="1" t="s">
        <v>4665</v>
      </c>
      <c r="C3192" s="1" t="s">
        <v>8555</v>
      </c>
      <c r="D3192" s="1" t="s">
        <v>1242</v>
      </c>
      <c r="E3192" s="1" t="s">
        <v>6076</v>
      </c>
      <c r="F3192" s="1" t="s">
        <v>6076</v>
      </c>
      <c r="G3192" s="1" t="s">
        <v>8553</v>
      </c>
      <c r="H3192">
        <v>2019</v>
      </c>
      <c r="I3192">
        <v>2020</v>
      </c>
      <c r="J3192">
        <f t="shared" si="98"/>
        <v>2</v>
      </c>
      <c r="K3192" s="1" t="s">
        <v>6076</v>
      </c>
      <c r="L3192" s="1" t="s">
        <v>6076</v>
      </c>
      <c r="M3192">
        <f t="shared" si="99"/>
        <v>6</v>
      </c>
      <c r="N3192" t="s">
        <v>650</v>
      </c>
    </row>
    <row r="3193" spans="1:14" x14ac:dyDescent="0.3">
      <c r="A3193" s="1" t="s">
        <v>8556</v>
      </c>
      <c r="B3193" s="1" t="s">
        <v>4665</v>
      </c>
      <c r="C3193" s="1" t="s">
        <v>8557</v>
      </c>
      <c r="D3193" s="1" t="s">
        <v>1242</v>
      </c>
      <c r="E3193" s="1" t="s">
        <v>6076</v>
      </c>
      <c r="F3193" s="1" t="s">
        <v>6076</v>
      </c>
      <c r="G3193" s="1" t="s">
        <v>8553</v>
      </c>
      <c r="H3193">
        <v>2012</v>
      </c>
      <c r="I3193">
        <v>2012</v>
      </c>
      <c r="J3193">
        <f t="shared" si="98"/>
        <v>1</v>
      </c>
      <c r="K3193" s="1" t="s">
        <v>6076</v>
      </c>
      <c r="L3193" s="1" t="s">
        <v>6076</v>
      </c>
      <c r="M3193">
        <f t="shared" si="99"/>
        <v>14</v>
      </c>
      <c r="N3193" t="s">
        <v>650</v>
      </c>
    </row>
    <row r="3194" spans="1:14" x14ac:dyDescent="0.3">
      <c r="A3194" s="1" t="s">
        <v>8558</v>
      </c>
      <c r="B3194" s="1" t="s">
        <v>4665</v>
      </c>
      <c r="C3194" s="1" t="s">
        <v>8559</v>
      </c>
      <c r="D3194" s="1" t="s">
        <v>1242</v>
      </c>
      <c r="E3194" s="1" t="s">
        <v>6076</v>
      </c>
      <c r="F3194" s="1" t="s">
        <v>6076</v>
      </c>
      <c r="G3194" s="1" t="s">
        <v>8553</v>
      </c>
      <c r="H3194">
        <v>2012</v>
      </c>
      <c r="I3194">
        <v>2022</v>
      </c>
      <c r="J3194">
        <f t="shared" si="98"/>
        <v>11</v>
      </c>
      <c r="K3194" s="1" t="s">
        <v>6076</v>
      </c>
      <c r="L3194" s="1" t="s">
        <v>6076</v>
      </c>
      <c r="M3194">
        <f t="shared" si="99"/>
        <v>4</v>
      </c>
      <c r="N3194" t="s">
        <v>650</v>
      </c>
    </row>
    <row r="3195" spans="1:14" x14ac:dyDescent="0.3">
      <c r="A3195" s="1" t="s">
        <v>8560</v>
      </c>
      <c r="B3195" s="1" t="s">
        <v>4665</v>
      </c>
      <c r="C3195" s="1" t="s">
        <v>8561</v>
      </c>
      <c r="D3195" s="1" t="s">
        <v>1242</v>
      </c>
      <c r="E3195" s="1" t="s">
        <v>6076</v>
      </c>
      <c r="F3195" s="1" t="s">
        <v>6076</v>
      </c>
      <c r="G3195" s="1" t="s">
        <v>8553</v>
      </c>
      <c r="H3195">
        <v>2012</v>
      </c>
      <c r="I3195">
        <v>2012</v>
      </c>
      <c r="J3195">
        <f t="shared" si="98"/>
        <v>1</v>
      </c>
      <c r="K3195" s="1" t="s">
        <v>6076</v>
      </c>
      <c r="L3195" s="1" t="s">
        <v>6076</v>
      </c>
      <c r="M3195">
        <f t="shared" si="99"/>
        <v>14</v>
      </c>
      <c r="N3195" t="s">
        <v>650</v>
      </c>
    </row>
    <row r="3196" spans="1:14" x14ac:dyDescent="0.3">
      <c r="A3196" s="1" t="s">
        <v>8562</v>
      </c>
      <c r="B3196" s="1" t="s">
        <v>4665</v>
      </c>
      <c r="C3196" s="1" t="s">
        <v>8563</v>
      </c>
      <c r="D3196" s="1" t="s">
        <v>1242</v>
      </c>
      <c r="E3196" s="1" t="s">
        <v>6076</v>
      </c>
      <c r="F3196" s="1" t="s">
        <v>6076</v>
      </c>
      <c r="G3196" s="1" t="s">
        <v>8553</v>
      </c>
      <c r="H3196">
        <v>2012</v>
      </c>
      <c r="I3196">
        <v>2016</v>
      </c>
      <c r="J3196">
        <f t="shared" si="98"/>
        <v>5</v>
      </c>
      <c r="K3196" s="1" t="s">
        <v>6076</v>
      </c>
      <c r="L3196" s="1" t="s">
        <v>6076</v>
      </c>
      <c r="M3196">
        <f t="shared" si="99"/>
        <v>10</v>
      </c>
      <c r="N3196" t="s">
        <v>650</v>
      </c>
    </row>
    <row r="3197" spans="1:14" x14ac:dyDescent="0.3">
      <c r="A3197" s="1" t="s">
        <v>8564</v>
      </c>
      <c r="B3197" s="1" t="s">
        <v>4665</v>
      </c>
      <c r="C3197" s="1" t="s">
        <v>8565</v>
      </c>
      <c r="D3197" s="1" t="s">
        <v>1242</v>
      </c>
      <c r="E3197" s="1" t="s">
        <v>6076</v>
      </c>
      <c r="F3197" s="1" t="s">
        <v>6076</v>
      </c>
      <c r="G3197" s="1" t="s">
        <v>8553</v>
      </c>
      <c r="H3197">
        <v>2016</v>
      </c>
      <c r="I3197">
        <v>2019</v>
      </c>
      <c r="J3197">
        <f t="shared" si="98"/>
        <v>4</v>
      </c>
      <c r="K3197" s="1" t="s">
        <v>6076</v>
      </c>
      <c r="L3197" s="1" t="s">
        <v>6076</v>
      </c>
      <c r="M3197">
        <f t="shared" si="99"/>
        <v>7</v>
      </c>
      <c r="N3197" t="s">
        <v>650</v>
      </c>
    </row>
    <row r="3198" spans="1:14" x14ac:dyDescent="0.3">
      <c r="A3198" s="1" t="s">
        <v>8566</v>
      </c>
      <c r="B3198" s="1" t="s">
        <v>4665</v>
      </c>
      <c r="C3198" s="1" t="s">
        <v>8567</v>
      </c>
      <c r="D3198" s="1" t="s">
        <v>1242</v>
      </c>
      <c r="E3198" s="1" t="s">
        <v>6076</v>
      </c>
      <c r="F3198" s="1" t="s">
        <v>6076</v>
      </c>
      <c r="G3198" s="1" t="s">
        <v>8553</v>
      </c>
      <c r="H3198">
        <v>2017</v>
      </c>
      <c r="I3198">
        <v>2017</v>
      </c>
      <c r="J3198">
        <f t="shared" si="98"/>
        <v>1</v>
      </c>
      <c r="K3198" s="1" t="s">
        <v>6076</v>
      </c>
      <c r="L3198" s="1" t="s">
        <v>6076</v>
      </c>
      <c r="M3198">
        <f t="shared" si="99"/>
        <v>9</v>
      </c>
      <c r="N3198" t="s">
        <v>650</v>
      </c>
    </row>
    <row r="3199" spans="1:14" x14ac:dyDescent="0.3">
      <c r="A3199" s="1" t="s">
        <v>8568</v>
      </c>
      <c r="B3199" s="1" t="s">
        <v>4665</v>
      </c>
      <c r="C3199" s="1" t="s">
        <v>8569</v>
      </c>
      <c r="D3199" s="1" t="s">
        <v>1242</v>
      </c>
      <c r="E3199" s="1" t="s">
        <v>6076</v>
      </c>
      <c r="F3199" s="1" t="s">
        <v>6076</v>
      </c>
      <c r="G3199" s="1" t="s">
        <v>8553</v>
      </c>
      <c r="H3199">
        <v>2017</v>
      </c>
      <c r="I3199">
        <v>2018</v>
      </c>
      <c r="J3199">
        <f t="shared" si="98"/>
        <v>2</v>
      </c>
      <c r="K3199" s="1" t="s">
        <v>6076</v>
      </c>
      <c r="L3199" s="1" t="s">
        <v>6076</v>
      </c>
      <c r="M3199">
        <f t="shared" si="99"/>
        <v>8</v>
      </c>
      <c r="N3199" t="s">
        <v>650</v>
      </c>
    </row>
    <row r="3200" spans="1:14" x14ac:dyDescent="0.3">
      <c r="A3200" t="s">
        <v>12311</v>
      </c>
      <c r="B3200" t="s">
        <v>4665</v>
      </c>
      <c r="C3200" t="s">
        <v>12312</v>
      </c>
      <c r="E3200" s="1" t="s">
        <v>6076</v>
      </c>
      <c r="F3200" s="1" t="s">
        <v>6076</v>
      </c>
      <c r="G3200" s="1" t="s">
        <v>12882</v>
      </c>
      <c r="H3200">
        <v>2024</v>
      </c>
      <c r="I3200">
        <v>2026</v>
      </c>
      <c r="J3200">
        <f t="shared" si="98"/>
        <v>3</v>
      </c>
      <c r="K3200" s="1" t="s">
        <v>6076</v>
      </c>
      <c r="L3200" s="1" t="s">
        <v>6076</v>
      </c>
      <c r="M3200">
        <f t="shared" si="99"/>
        <v>0</v>
      </c>
    </row>
    <row r="3201" spans="1:14" x14ac:dyDescent="0.3">
      <c r="A3201" t="s">
        <v>12313</v>
      </c>
      <c r="B3201" t="s">
        <v>4665</v>
      </c>
      <c r="C3201" t="s">
        <v>12314</v>
      </c>
      <c r="E3201" s="1" t="s">
        <v>6076</v>
      </c>
      <c r="F3201" s="1" t="s">
        <v>6076</v>
      </c>
      <c r="G3201" s="1" t="s">
        <v>12882</v>
      </c>
      <c r="H3201">
        <v>2023</v>
      </c>
      <c r="I3201">
        <v>2026</v>
      </c>
      <c r="J3201">
        <f t="shared" si="98"/>
        <v>4</v>
      </c>
      <c r="K3201" s="1" t="s">
        <v>6076</v>
      </c>
      <c r="L3201" s="1" t="s">
        <v>6076</v>
      </c>
      <c r="M3201">
        <f t="shared" si="99"/>
        <v>0</v>
      </c>
    </row>
    <row r="3202" spans="1:14" x14ac:dyDescent="0.3">
      <c r="A3202" s="1" t="s">
        <v>8570</v>
      </c>
      <c r="B3202" s="1" t="s">
        <v>4665</v>
      </c>
      <c r="C3202" s="1" t="s">
        <v>8571</v>
      </c>
      <c r="D3202" s="1" t="s">
        <v>1242</v>
      </c>
      <c r="E3202" s="1" t="s">
        <v>6076</v>
      </c>
      <c r="F3202" s="1" t="s">
        <v>6076</v>
      </c>
      <c r="G3202" s="1" t="s">
        <v>8553</v>
      </c>
      <c r="H3202">
        <v>2019</v>
      </c>
      <c r="I3202">
        <v>2022</v>
      </c>
      <c r="J3202">
        <f t="shared" si="98"/>
        <v>4</v>
      </c>
      <c r="K3202" s="1" t="s">
        <v>6076</v>
      </c>
      <c r="L3202" s="1" t="s">
        <v>6076</v>
      </c>
      <c r="M3202">
        <f t="shared" si="99"/>
        <v>4</v>
      </c>
      <c r="N3202" t="s">
        <v>650</v>
      </c>
    </row>
    <row r="3203" spans="1:14" x14ac:dyDescent="0.3">
      <c r="A3203" s="1" t="s">
        <v>8572</v>
      </c>
      <c r="B3203" s="1" t="s">
        <v>4665</v>
      </c>
      <c r="C3203" s="1" t="s">
        <v>8573</v>
      </c>
      <c r="D3203" s="1" t="s">
        <v>1242</v>
      </c>
      <c r="E3203" s="1" t="s">
        <v>6076</v>
      </c>
      <c r="F3203" s="1" t="s">
        <v>6076</v>
      </c>
      <c r="G3203" s="1" t="s">
        <v>8553</v>
      </c>
      <c r="H3203">
        <v>2019</v>
      </c>
      <c r="I3203">
        <v>2022</v>
      </c>
      <c r="J3203">
        <f t="shared" si="98"/>
        <v>4</v>
      </c>
      <c r="K3203" s="1" t="s">
        <v>6076</v>
      </c>
      <c r="L3203" s="1" t="s">
        <v>6076</v>
      </c>
      <c r="M3203">
        <f t="shared" si="99"/>
        <v>4</v>
      </c>
      <c r="N3203" t="s">
        <v>650</v>
      </c>
    </row>
    <row r="3204" spans="1:14" x14ac:dyDescent="0.3">
      <c r="A3204" s="1" t="s">
        <v>8574</v>
      </c>
      <c r="B3204" s="1" t="s">
        <v>4665</v>
      </c>
      <c r="C3204" s="1" t="s">
        <v>8575</v>
      </c>
      <c r="D3204" s="1" t="s">
        <v>1242</v>
      </c>
      <c r="E3204" s="1" t="s">
        <v>6076</v>
      </c>
      <c r="F3204" s="1" t="s">
        <v>6076</v>
      </c>
      <c r="G3204" s="1" t="s">
        <v>8553</v>
      </c>
      <c r="H3204">
        <v>2017</v>
      </c>
      <c r="I3204">
        <v>2017</v>
      </c>
      <c r="J3204">
        <f t="shared" si="98"/>
        <v>1</v>
      </c>
      <c r="K3204" s="1" t="s">
        <v>6076</v>
      </c>
      <c r="L3204" s="1" t="s">
        <v>6076</v>
      </c>
      <c r="M3204">
        <f t="shared" si="99"/>
        <v>9</v>
      </c>
      <c r="N3204" t="s">
        <v>650</v>
      </c>
    </row>
    <row r="3205" spans="1:14" x14ac:dyDescent="0.3">
      <c r="A3205" t="s">
        <v>12315</v>
      </c>
      <c r="B3205" t="s">
        <v>4665</v>
      </c>
      <c r="C3205" t="s">
        <v>12316</v>
      </c>
      <c r="E3205" s="1" t="s">
        <v>6076</v>
      </c>
      <c r="F3205" s="1" t="s">
        <v>6076</v>
      </c>
      <c r="G3205" s="1" t="s">
        <v>12882</v>
      </c>
      <c r="H3205">
        <v>2025</v>
      </c>
      <c r="I3205">
        <v>2026</v>
      </c>
      <c r="J3205">
        <f t="shared" si="98"/>
        <v>2</v>
      </c>
      <c r="K3205" s="1" t="s">
        <v>6076</v>
      </c>
      <c r="L3205" s="1" t="s">
        <v>6076</v>
      </c>
      <c r="M3205">
        <f t="shared" si="99"/>
        <v>0</v>
      </c>
    </row>
    <row r="3206" spans="1:14" x14ac:dyDescent="0.3">
      <c r="A3206" s="1" t="s">
        <v>8576</v>
      </c>
      <c r="B3206" s="1" t="s">
        <v>4665</v>
      </c>
      <c r="C3206" s="1" t="s">
        <v>8577</v>
      </c>
      <c r="D3206" s="1" t="s">
        <v>1242</v>
      </c>
      <c r="E3206" s="1" t="s">
        <v>6076</v>
      </c>
      <c r="F3206" s="1" t="s">
        <v>6076</v>
      </c>
      <c r="G3206" s="1" t="s">
        <v>8553</v>
      </c>
      <c r="H3206">
        <v>1998</v>
      </c>
      <c r="I3206">
        <v>2022</v>
      </c>
      <c r="J3206">
        <f t="shared" ref="J3206:J3269" si="100">1+(I3206-H3206)</f>
        <v>25</v>
      </c>
      <c r="K3206" s="1" t="s">
        <v>6076</v>
      </c>
      <c r="L3206" s="1" t="s">
        <v>6076</v>
      </c>
      <c r="M3206">
        <f t="shared" ref="M3206:M3269" si="101">IF(I3206=0,0,$B$2-I3206)</f>
        <v>4</v>
      </c>
      <c r="N3206" t="s">
        <v>650</v>
      </c>
    </row>
    <row r="3207" spans="1:14" x14ac:dyDescent="0.3">
      <c r="A3207" t="s">
        <v>11285</v>
      </c>
      <c r="B3207" t="s">
        <v>10998</v>
      </c>
      <c r="C3207" t="s">
        <v>11286</v>
      </c>
      <c r="E3207" s="1" t="s">
        <v>6076</v>
      </c>
      <c r="F3207" s="1" t="s">
        <v>6076</v>
      </c>
      <c r="G3207" s="1" t="s">
        <v>12806</v>
      </c>
      <c r="H3207">
        <v>2014</v>
      </c>
      <c r="I3207">
        <v>2015</v>
      </c>
      <c r="J3207">
        <f t="shared" si="100"/>
        <v>2</v>
      </c>
      <c r="K3207" s="1" t="s">
        <v>6076</v>
      </c>
      <c r="L3207" s="1" t="s">
        <v>6076</v>
      </c>
      <c r="M3207">
        <f t="shared" si="101"/>
        <v>11</v>
      </c>
    </row>
    <row r="3208" spans="1:14" x14ac:dyDescent="0.3">
      <c r="A3208" t="s">
        <v>11289</v>
      </c>
      <c r="B3208" t="s">
        <v>10998</v>
      </c>
      <c r="C3208" t="s">
        <v>11290</v>
      </c>
      <c r="E3208" s="1" t="s">
        <v>6076</v>
      </c>
      <c r="F3208" s="1" t="s">
        <v>6076</v>
      </c>
      <c r="G3208" s="1" t="s">
        <v>12806</v>
      </c>
      <c r="H3208">
        <v>2010</v>
      </c>
      <c r="I3208">
        <v>2011</v>
      </c>
      <c r="J3208">
        <f t="shared" si="100"/>
        <v>2</v>
      </c>
      <c r="K3208" s="1" t="s">
        <v>6076</v>
      </c>
      <c r="L3208" s="1" t="s">
        <v>6076</v>
      </c>
      <c r="M3208">
        <f t="shared" si="101"/>
        <v>15</v>
      </c>
    </row>
    <row r="3209" spans="1:14" x14ac:dyDescent="0.3">
      <c r="A3209" t="s">
        <v>11291</v>
      </c>
      <c r="B3209" t="s">
        <v>10998</v>
      </c>
      <c r="C3209" t="s">
        <v>11292</v>
      </c>
      <c r="E3209" s="1" t="s">
        <v>6076</v>
      </c>
      <c r="F3209" s="1" t="s">
        <v>6076</v>
      </c>
      <c r="G3209" s="1" t="s">
        <v>12806</v>
      </c>
      <c r="H3209">
        <v>2014</v>
      </c>
      <c r="I3209">
        <v>2016</v>
      </c>
      <c r="J3209">
        <f t="shared" si="100"/>
        <v>3</v>
      </c>
      <c r="K3209" s="1" t="s">
        <v>6076</v>
      </c>
      <c r="L3209" s="1" t="s">
        <v>6076</v>
      </c>
      <c r="M3209">
        <f t="shared" si="101"/>
        <v>10</v>
      </c>
    </row>
    <row r="3210" spans="1:14" x14ac:dyDescent="0.3">
      <c r="A3210" t="s">
        <v>11287</v>
      </c>
      <c r="B3210" t="s">
        <v>10998</v>
      </c>
      <c r="C3210" t="s">
        <v>11288</v>
      </c>
      <c r="E3210" s="1" t="s">
        <v>6076</v>
      </c>
      <c r="F3210" s="1" t="s">
        <v>6076</v>
      </c>
      <c r="G3210" s="1" t="s">
        <v>12806</v>
      </c>
      <c r="H3210">
        <v>2011</v>
      </c>
      <c r="I3210">
        <v>2018</v>
      </c>
      <c r="J3210">
        <f t="shared" si="100"/>
        <v>8</v>
      </c>
      <c r="K3210" s="1" t="s">
        <v>6076</v>
      </c>
      <c r="L3210" s="1" t="s">
        <v>6076</v>
      </c>
      <c r="M3210">
        <f t="shared" si="101"/>
        <v>8</v>
      </c>
    </row>
    <row r="3211" spans="1:14" x14ac:dyDescent="0.3">
      <c r="A3211" t="s">
        <v>11293</v>
      </c>
      <c r="B3211" t="s">
        <v>10998</v>
      </c>
      <c r="C3211" t="s">
        <v>11294</v>
      </c>
      <c r="E3211" s="1" t="s">
        <v>6076</v>
      </c>
      <c r="F3211" s="1" t="s">
        <v>6076</v>
      </c>
      <c r="G3211" s="1" t="s">
        <v>12806</v>
      </c>
      <c r="H3211">
        <v>2010</v>
      </c>
      <c r="I3211">
        <v>2010</v>
      </c>
      <c r="J3211">
        <f t="shared" si="100"/>
        <v>1</v>
      </c>
      <c r="K3211" s="1" t="s">
        <v>6076</v>
      </c>
      <c r="L3211" s="1" t="s">
        <v>6076</v>
      </c>
      <c r="M3211">
        <f t="shared" si="101"/>
        <v>16</v>
      </c>
    </row>
    <row r="3212" spans="1:14" x14ac:dyDescent="0.3">
      <c r="A3212" t="s">
        <v>11295</v>
      </c>
      <c r="B3212" t="s">
        <v>10998</v>
      </c>
      <c r="C3212" t="s">
        <v>11296</v>
      </c>
      <c r="E3212" s="1" t="s">
        <v>6076</v>
      </c>
      <c r="F3212" s="1" t="s">
        <v>6076</v>
      </c>
      <c r="G3212" s="1" t="s">
        <v>12806</v>
      </c>
      <c r="H3212">
        <v>2009</v>
      </c>
      <c r="I3212">
        <v>2011</v>
      </c>
      <c r="J3212">
        <f t="shared" si="100"/>
        <v>3</v>
      </c>
      <c r="K3212" s="1" t="s">
        <v>6076</v>
      </c>
      <c r="L3212" s="1" t="s">
        <v>6076</v>
      </c>
      <c r="M3212">
        <f t="shared" si="101"/>
        <v>15</v>
      </c>
    </row>
    <row r="3213" spans="1:14" x14ac:dyDescent="0.3">
      <c r="A3213" t="s">
        <v>11297</v>
      </c>
      <c r="B3213" t="s">
        <v>10998</v>
      </c>
      <c r="C3213" t="s">
        <v>11298</v>
      </c>
      <c r="E3213" s="1" t="s">
        <v>6076</v>
      </c>
      <c r="F3213" s="1" t="s">
        <v>6076</v>
      </c>
      <c r="G3213" s="1" t="s">
        <v>12806</v>
      </c>
      <c r="H3213">
        <v>2012</v>
      </c>
      <c r="I3213">
        <v>2015</v>
      </c>
      <c r="J3213">
        <f t="shared" si="100"/>
        <v>4</v>
      </c>
      <c r="K3213" s="1" t="s">
        <v>6076</v>
      </c>
      <c r="L3213" s="1" t="s">
        <v>6076</v>
      </c>
      <c r="M3213">
        <f t="shared" si="101"/>
        <v>11</v>
      </c>
    </row>
    <row r="3214" spans="1:14" hidden="1" x14ac:dyDescent="0.3">
      <c r="A3214" s="1" t="s">
        <v>2049</v>
      </c>
      <c r="B3214" s="1" t="s">
        <v>795</v>
      </c>
      <c r="C3214" s="1" t="s">
        <v>2050</v>
      </c>
      <c r="D3214" s="1" t="s">
        <v>746</v>
      </c>
      <c r="E3214" s="1" t="s">
        <v>747</v>
      </c>
      <c r="F3214" s="1" t="s">
        <v>748</v>
      </c>
      <c r="G3214" s="1" t="s">
        <v>2051</v>
      </c>
      <c r="H3214">
        <v>2020</v>
      </c>
      <c r="I3214">
        <v>2022</v>
      </c>
      <c r="J3214">
        <f t="shared" si="100"/>
        <v>3</v>
      </c>
      <c r="K3214" s="1" t="s">
        <v>741</v>
      </c>
      <c r="L3214" s="1" t="s">
        <v>798</v>
      </c>
      <c r="M3214">
        <f t="shared" si="101"/>
        <v>4</v>
      </c>
      <c r="N3214" t="s">
        <v>650</v>
      </c>
    </row>
    <row r="3215" spans="1:14" hidden="1" x14ac:dyDescent="0.3">
      <c r="A3215" s="1" t="s">
        <v>2052</v>
      </c>
      <c r="B3215" s="1" t="s">
        <v>795</v>
      </c>
      <c r="C3215" s="1" t="s">
        <v>2053</v>
      </c>
      <c r="D3215" s="1" t="s">
        <v>746</v>
      </c>
      <c r="E3215" s="1" t="s">
        <v>747</v>
      </c>
      <c r="F3215" s="1" t="s">
        <v>748</v>
      </c>
      <c r="G3215" s="1" t="s">
        <v>2051</v>
      </c>
      <c r="H3215">
        <v>2020</v>
      </c>
      <c r="I3215">
        <v>2020</v>
      </c>
      <c r="J3215">
        <f t="shared" si="100"/>
        <v>1</v>
      </c>
      <c r="K3215" s="1" t="s">
        <v>741</v>
      </c>
      <c r="L3215" s="1" t="s">
        <v>798</v>
      </c>
      <c r="M3215">
        <f t="shared" si="101"/>
        <v>6</v>
      </c>
      <c r="N3215" t="s">
        <v>650</v>
      </c>
    </row>
    <row r="3216" spans="1:14" hidden="1" x14ac:dyDescent="0.3">
      <c r="A3216" s="1" t="s">
        <v>2054</v>
      </c>
      <c r="B3216" s="1" t="s">
        <v>795</v>
      </c>
      <c r="C3216" s="1" t="s">
        <v>2055</v>
      </c>
      <c r="D3216" s="1" t="s">
        <v>738</v>
      </c>
      <c r="E3216" s="1" t="s">
        <v>739</v>
      </c>
      <c r="F3216" s="1" t="s">
        <v>781</v>
      </c>
      <c r="G3216" s="1" t="s">
        <v>2051</v>
      </c>
      <c r="H3216">
        <v>2020</v>
      </c>
      <c r="I3216">
        <v>2022</v>
      </c>
      <c r="J3216">
        <f t="shared" si="100"/>
        <v>3</v>
      </c>
      <c r="K3216" s="1" t="s">
        <v>741</v>
      </c>
      <c r="L3216" s="1" t="s">
        <v>798</v>
      </c>
      <c r="M3216">
        <f t="shared" si="101"/>
        <v>4</v>
      </c>
      <c r="N3216" t="s">
        <v>650</v>
      </c>
    </row>
    <row r="3217" spans="1:14" hidden="1" x14ac:dyDescent="0.3">
      <c r="A3217" s="1" t="s">
        <v>2056</v>
      </c>
      <c r="B3217" s="1" t="s">
        <v>795</v>
      </c>
      <c r="C3217" s="1" t="s">
        <v>2057</v>
      </c>
      <c r="D3217" s="1" t="s">
        <v>738</v>
      </c>
      <c r="E3217" s="1" t="s">
        <v>739</v>
      </c>
      <c r="F3217" s="1" t="s">
        <v>781</v>
      </c>
      <c r="G3217" s="1" t="s">
        <v>2051</v>
      </c>
      <c r="H3217">
        <v>2020</v>
      </c>
      <c r="I3217">
        <v>2022</v>
      </c>
      <c r="J3217">
        <f t="shared" si="100"/>
        <v>3</v>
      </c>
      <c r="K3217" s="1" t="s">
        <v>741</v>
      </c>
      <c r="L3217" s="1" t="s">
        <v>798</v>
      </c>
      <c r="M3217">
        <f t="shared" si="101"/>
        <v>4</v>
      </c>
      <c r="N3217" t="s">
        <v>650</v>
      </c>
    </row>
    <row r="3218" spans="1:14" hidden="1" x14ac:dyDescent="0.3">
      <c r="A3218" s="1" t="s">
        <v>696</v>
      </c>
      <c r="B3218" s="1" t="s">
        <v>672</v>
      </c>
      <c r="C3218" s="1" t="s">
        <v>697</v>
      </c>
      <c r="D3218" s="1" t="s">
        <v>644</v>
      </c>
      <c r="E3218" s="1" t="s">
        <v>645</v>
      </c>
      <c r="F3218" s="1" t="s">
        <v>646</v>
      </c>
      <c r="G3218" s="1" t="s">
        <v>698</v>
      </c>
      <c r="H3218">
        <v>2022</v>
      </c>
      <c r="I3218">
        <v>2022</v>
      </c>
      <c r="J3218">
        <f t="shared" si="100"/>
        <v>1</v>
      </c>
      <c r="K3218" s="1" t="s">
        <v>648</v>
      </c>
      <c r="L3218" s="1" t="s">
        <v>659</v>
      </c>
      <c r="M3218">
        <f t="shared" si="101"/>
        <v>4</v>
      </c>
      <c r="N3218" t="s">
        <v>650</v>
      </c>
    </row>
    <row r="3219" spans="1:14" hidden="1" x14ac:dyDescent="0.3">
      <c r="A3219" s="1" t="s">
        <v>699</v>
      </c>
      <c r="B3219" s="1" t="s">
        <v>672</v>
      </c>
      <c r="C3219" s="1" t="s">
        <v>700</v>
      </c>
      <c r="D3219" s="1" t="s">
        <v>644</v>
      </c>
      <c r="E3219" s="1" t="s">
        <v>645</v>
      </c>
      <c r="F3219" s="1" t="s">
        <v>646</v>
      </c>
      <c r="G3219" s="1" t="s">
        <v>698</v>
      </c>
      <c r="H3219">
        <v>2018</v>
      </c>
      <c r="I3219">
        <v>2022</v>
      </c>
      <c r="J3219">
        <f t="shared" si="100"/>
        <v>5</v>
      </c>
      <c r="K3219" s="1" t="s">
        <v>648</v>
      </c>
      <c r="L3219" s="1" t="s">
        <v>659</v>
      </c>
      <c r="M3219">
        <f t="shared" si="101"/>
        <v>4</v>
      </c>
      <c r="N3219" t="s">
        <v>650</v>
      </c>
    </row>
    <row r="3220" spans="1:14" hidden="1" x14ac:dyDescent="0.3">
      <c r="A3220" s="1" t="s">
        <v>701</v>
      </c>
      <c r="B3220" s="1" t="s">
        <v>672</v>
      </c>
      <c r="C3220" s="1" t="s">
        <v>702</v>
      </c>
      <c r="D3220" s="1" t="s">
        <v>644</v>
      </c>
      <c r="E3220" s="1" t="s">
        <v>645</v>
      </c>
      <c r="F3220" s="1" t="s">
        <v>646</v>
      </c>
      <c r="G3220" s="1" t="s">
        <v>698</v>
      </c>
      <c r="H3220">
        <v>2019</v>
      </c>
      <c r="I3220">
        <v>2022</v>
      </c>
      <c r="J3220">
        <f t="shared" si="100"/>
        <v>4</v>
      </c>
      <c r="K3220" s="1" t="s">
        <v>648</v>
      </c>
      <c r="L3220" s="1" t="s">
        <v>659</v>
      </c>
      <c r="M3220">
        <f t="shared" si="101"/>
        <v>4</v>
      </c>
      <c r="N3220" t="s">
        <v>650</v>
      </c>
    </row>
    <row r="3221" spans="1:14" hidden="1" x14ac:dyDescent="0.3">
      <c r="A3221" s="1" t="s">
        <v>703</v>
      </c>
      <c r="B3221" s="1" t="s">
        <v>672</v>
      </c>
      <c r="C3221" s="1" t="s">
        <v>704</v>
      </c>
      <c r="D3221" s="1" t="s">
        <v>644</v>
      </c>
      <c r="E3221" s="1" t="s">
        <v>645</v>
      </c>
      <c r="F3221" s="1" t="s">
        <v>646</v>
      </c>
      <c r="G3221" s="1" t="s">
        <v>698</v>
      </c>
      <c r="H3221">
        <v>2010</v>
      </c>
      <c r="I3221">
        <v>2017</v>
      </c>
      <c r="J3221">
        <f t="shared" si="100"/>
        <v>8</v>
      </c>
      <c r="K3221" s="1" t="s">
        <v>648</v>
      </c>
      <c r="L3221" s="1" t="s">
        <v>659</v>
      </c>
      <c r="M3221">
        <f t="shared" si="101"/>
        <v>9</v>
      </c>
      <c r="N3221" t="s">
        <v>650</v>
      </c>
    </row>
    <row r="3222" spans="1:14" hidden="1" x14ac:dyDescent="0.3">
      <c r="A3222" s="1" t="s">
        <v>705</v>
      </c>
      <c r="B3222" s="1" t="s">
        <v>672</v>
      </c>
      <c r="C3222" s="1" t="s">
        <v>706</v>
      </c>
      <c r="D3222" s="1" t="s">
        <v>644</v>
      </c>
      <c r="E3222" s="1" t="s">
        <v>645</v>
      </c>
      <c r="F3222" s="1" t="s">
        <v>646</v>
      </c>
      <c r="G3222" s="1" t="s">
        <v>698</v>
      </c>
      <c r="H3222">
        <v>2010</v>
      </c>
      <c r="I3222">
        <v>2017</v>
      </c>
      <c r="J3222">
        <f t="shared" si="100"/>
        <v>8</v>
      </c>
      <c r="K3222" s="1" t="s">
        <v>648</v>
      </c>
      <c r="L3222" s="1" t="s">
        <v>659</v>
      </c>
      <c r="M3222">
        <f t="shared" si="101"/>
        <v>9</v>
      </c>
      <c r="N3222" t="s">
        <v>650</v>
      </c>
    </row>
    <row r="3223" spans="1:14" hidden="1" x14ac:dyDescent="0.3">
      <c r="A3223" s="1" t="s">
        <v>707</v>
      </c>
      <c r="B3223" s="1" t="s">
        <v>672</v>
      </c>
      <c r="C3223" s="1" t="s">
        <v>708</v>
      </c>
      <c r="D3223" s="1" t="s">
        <v>644</v>
      </c>
      <c r="E3223" s="1" t="s">
        <v>645</v>
      </c>
      <c r="F3223" s="1" t="s">
        <v>646</v>
      </c>
      <c r="G3223" s="1" t="s">
        <v>698</v>
      </c>
      <c r="H3223">
        <v>2011</v>
      </c>
      <c r="I3223">
        <v>2015</v>
      </c>
      <c r="J3223">
        <f t="shared" si="100"/>
        <v>5</v>
      </c>
      <c r="K3223" s="1" t="s">
        <v>648</v>
      </c>
      <c r="L3223" s="1" t="s">
        <v>659</v>
      </c>
      <c r="M3223">
        <f t="shared" si="101"/>
        <v>11</v>
      </c>
      <c r="N3223" t="s">
        <v>650</v>
      </c>
    </row>
    <row r="3224" spans="1:14" hidden="1" x14ac:dyDescent="0.3">
      <c r="A3224" s="1" t="s">
        <v>709</v>
      </c>
      <c r="B3224" s="1" t="s">
        <v>672</v>
      </c>
      <c r="C3224" s="1" t="s">
        <v>710</v>
      </c>
      <c r="D3224" s="1" t="s">
        <v>644</v>
      </c>
      <c r="E3224" s="1" t="s">
        <v>645</v>
      </c>
      <c r="F3224" s="1" t="s">
        <v>646</v>
      </c>
      <c r="G3224" s="1" t="s">
        <v>698</v>
      </c>
      <c r="H3224">
        <v>2011</v>
      </c>
      <c r="I3224">
        <v>2016</v>
      </c>
      <c r="J3224">
        <f t="shared" si="100"/>
        <v>6</v>
      </c>
      <c r="K3224" s="1" t="s">
        <v>648</v>
      </c>
      <c r="L3224" s="1" t="s">
        <v>659</v>
      </c>
      <c r="M3224">
        <f t="shared" si="101"/>
        <v>10</v>
      </c>
      <c r="N3224" t="s">
        <v>650</v>
      </c>
    </row>
    <row r="3225" spans="1:14" x14ac:dyDescent="0.3">
      <c r="A3225" s="1" t="s">
        <v>8578</v>
      </c>
      <c r="B3225" s="1" t="s">
        <v>672</v>
      </c>
      <c r="C3225" s="1" t="s">
        <v>8579</v>
      </c>
      <c r="D3225" s="1" t="s">
        <v>644</v>
      </c>
      <c r="E3225" s="1" t="s">
        <v>6076</v>
      </c>
      <c r="F3225" s="1" t="s">
        <v>6076</v>
      </c>
      <c r="G3225" s="1" t="s">
        <v>698</v>
      </c>
      <c r="H3225">
        <v>1995</v>
      </c>
      <c r="I3225">
        <v>1998</v>
      </c>
      <c r="J3225">
        <f t="shared" si="100"/>
        <v>4</v>
      </c>
      <c r="K3225" s="1" t="s">
        <v>6076</v>
      </c>
      <c r="L3225" s="1" t="s">
        <v>6076</v>
      </c>
      <c r="M3225">
        <f t="shared" si="101"/>
        <v>28</v>
      </c>
      <c r="N3225" t="s">
        <v>640</v>
      </c>
    </row>
    <row r="3226" spans="1:14" hidden="1" x14ac:dyDescent="0.3">
      <c r="A3226" s="1" t="s">
        <v>6071</v>
      </c>
      <c r="B3226" s="1" t="s">
        <v>672</v>
      </c>
      <c r="C3226" s="1" t="s">
        <v>6072</v>
      </c>
      <c r="D3226" s="1" t="s">
        <v>644</v>
      </c>
      <c r="E3226" s="1" t="s">
        <v>645</v>
      </c>
      <c r="F3226" s="1" t="s">
        <v>646</v>
      </c>
      <c r="G3226" s="1" t="s">
        <v>698</v>
      </c>
      <c r="H3226">
        <v>2000</v>
      </c>
      <c r="I3226">
        <v>2009</v>
      </c>
      <c r="J3226">
        <f t="shared" si="100"/>
        <v>10</v>
      </c>
      <c r="K3226" s="1" t="s">
        <v>5909</v>
      </c>
      <c r="L3226" s="1" t="s">
        <v>659</v>
      </c>
      <c r="M3226">
        <f t="shared" si="101"/>
        <v>17</v>
      </c>
      <c r="N3226" t="s">
        <v>640</v>
      </c>
    </row>
    <row r="3227" spans="1:14" x14ac:dyDescent="0.3">
      <c r="A3227" s="1" t="s">
        <v>8580</v>
      </c>
      <c r="B3227" s="1" t="s">
        <v>672</v>
      </c>
      <c r="C3227" s="1" t="s">
        <v>8581</v>
      </c>
      <c r="D3227" s="1" t="s">
        <v>644</v>
      </c>
      <c r="E3227" s="1" t="s">
        <v>6076</v>
      </c>
      <c r="F3227" s="1" t="s">
        <v>6076</v>
      </c>
      <c r="G3227" s="1" t="s">
        <v>698</v>
      </c>
      <c r="H3227">
        <v>2000</v>
      </c>
      <c r="I3227">
        <v>2000</v>
      </c>
      <c r="J3227">
        <f t="shared" si="100"/>
        <v>1</v>
      </c>
      <c r="K3227" s="1" t="s">
        <v>6076</v>
      </c>
      <c r="L3227" s="1" t="s">
        <v>6076</v>
      </c>
      <c r="M3227">
        <f t="shared" si="101"/>
        <v>26</v>
      </c>
      <c r="N3227" t="s">
        <v>640</v>
      </c>
    </row>
    <row r="3228" spans="1:14" x14ac:dyDescent="0.3">
      <c r="A3228" s="1" t="s">
        <v>8582</v>
      </c>
      <c r="B3228" s="1" t="s">
        <v>672</v>
      </c>
      <c r="C3228" s="1" t="s">
        <v>8583</v>
      </c>
      <c r="D3228" s="1" t="s">
        <v>644</v>
      </c>
      <c r="E3228" s="1" t="s">
        <v>6076</v>
      </c>
      <c r="F3228" s="1" t="s">
        <v>6076</v>
      </c>
      <c r="G3228" s="1" t="s">
        <v>698</v>
      </c>
      <c r="H3228">
        <v>2000</v>
      </c>
      <c r="I3228">
        <v>2005</v>
      </c>
      <c r="J3228">
        <f t="shared" si="100"/>
        <v>6</v>
      </c>
      <c r="K3228" s="1" t="s">
        <v>6076</v>
      </c>
      <c r="L3228" s="1" t="s">
        <v>6076</v>
      </c>
      <c r="M3228">
        <f t="shared" si="101"/>
        <v>21</v>
      </c>
      <c r="N3228" t="s">
        <v>640</v>
      </c>
    </row>
    <row r="3229" spans="1:14" hidden="1" x14ac:dyDescent="0.3">
      <c r="A3229" t="s">
        <v>11231</v>
      </c>
      <c r="B3229" t="s">
        <v>672</v>
      </c>
      <c r="C3229" t="s">
        <v>11232</v>
      </c>
      <c r="E3229" s="1" t="e">
        <v>#N/A</v>
      </c>
      <c r="F3229" s="1" t="e">
        <v>#N/A</v>
      </c>
      <c r="G3229" s="1" t="s">
        <v>12800</v>
      </c>
      <c r="H3229">
        <v>2022</v>
      </c>
      <c r="I3229">
        <v>2026</v>
      </c>
      <c r="J3229">
        <f t="shared" si="100"/>
        <v>5</v>
      </c>
      <c r="K3229" s="1" t="s">
        <v>648</v>
      </c>
      <c r="L3229" s="1" t="s">
        <v>659</v>
      </c>
      <c r="M3229">
        <f t="shared" si="101"/>
        <v>0</v>
      </c>
    </row>
    <row r="3230" spans="1:14" hidden="1" x14ac:dyDescent="0.3">
      <c r="A3230" t="s">
        <v>11233</v>
      </c>
      <c r="B3230" t="s">
        <v>672</v>
      </c>
      <c r="C3230" t="s">
        <v>11234</v>
      </c>
      <c r="E3230" s="1" t="e">
        <v>#N/A</v>
      </c>
      <c r="F3230" s="1" t="e">
        <v>#N/A</v>
      </c>
      <c r="G3230" s="1" t="s">
        <v>12800</v>
      </c>
      <c r="H3230">
        <v>2022</v>
      </c>
      <c r="I3230">
        <v>2026</v>
      </c>
      <c r="J3230">
        <f t="shared" si="100"/>
        <v>5</v>
      </c>
      <c r="K3230" s="1" t="s">
        <v>648</v>
      </c>
      <c r="L3230" s="1" t="s">
        <v>659</v>
      </c>
      <c r="M3230">
        <f t="shared" si="101"/>
        <v>0</v>
      </c>
    </row>
    <row r="3231" spans="1:14" hidden="1" x14ac:dyDescent="0.3">
      <c r="A3231" t="s">
        <v>11235</v>
      </c>
      <c r="B3231" t="s">
        <v>672</v>
      </c>
      <c r="C3231" t="s">
        <v>11236</v>
      </c>
      <c r="E3231" s="1" t="e">
        <v>#N/A</v>
      </c>
      <c r="F3231" s="1" t="e">
        <v>#N/A</v>
      </c>
      <c r="G3231" s="1" t="s">
        <v>12800</v>
      </c>
      <c r="H3231">
        <v>2024</v>
      </c>
      <c r="I3231">
        <v>2026</v>
      </c>
      <c r="J3231">
        <f t="shared" si="100"/>
        <v>3</v>
      </c>
      <c r="K3231" s="1" t="s">
        <v>648</v>
      </c>
      <c r="L3231" s="1" t="s">
        <v>659</v>
      </c>
      <c r="M3231">
        <f t="shared" si="101"/>
        <v>0</v>
      </c>
    </row>
    <row r="3232" spans="1:14" hidden="1" x14ac:dyDescent="0.3">
      <c r="A3232" t="s">
        <v>11237</v>
      </c>
      <c r="B3232" t="s">
        <v>672</v>
      </c>
      <c r="C3232" t="s">
        <v>11238</v>
      </c>
      <c r="E3232" s="1" t="e">
        <v>#N/A</v>
      </c>
      <c r="F3232" s="1" t="e">
        <v>#N/A</v>
      </c>
      <c r="G3232" s="1" t="s">
        <v>12800</v>
      </c>
      <c r="H3232">
        <v>2024</v>
      </c>
      <c r="I3232">
        <v>2026</v>
      </c>
      <c r="J3232">
        <f t="shared" si="100"/>
        <v>3</v>
      </c>
      <c r="K3232" s="1" t="s">
        <v>648</v>
      </c>
      <c r="L3232" s="1" t="s">
        <v>659</v>
      </c>
      <c r="M3232">
        <f t="shared" si="101"/>
        <v>0</v>
      </c>
    </row>
    <row r="3233" spans="1:14" hidden="1" x14ac:dyDescent="0.3">
      <c r="A3233" s="1" t="s">
        <v>711</v>
      </c>
      <c r="B3233" s="1" t="s">
        <v>672</v>
      </c>
      <c r="C3233" s="1" t="s">
        <v>712</v>
      </c>
      <c r="D3233" s="1" t="s">
        <v>644</v>
      </c>
      <c r="E3233" s="1" t="s">
        <v>645</v>
      </c>
      <c r="F3233" s="1" t="s">
        <v>646</v>
      </c>
      <c r="G3233" s="1" t="s">
        <v>713</v>
      </c>
      <c r="H3233">
        <v>2018</v>
      </c>
      <c r="I3233">
        <v>2020</v>
      </c>
      <c r="J3233">
        <f t="shared" si="100"/>
        <v>3</v>
      </c>
      <c r="K3233" s="1" t="s">
        <v>648</v>
      </c>
      <c r="L3233" s="1" t="s">
        <v>659</v>
      </c>
      <c r="M3233">
        <f t="shared" si="101"/>
        <v>6</v>
      </c>
      <c r="N3233" t="s">
        <v>650</v>
      </c>
    </row>
    <row r="3234" spans="1:14" hidden="1" x14ac:dyDescent="0.3">
      <c r="A3234" s="1" t="s">
        <v>714</v>
      </c>
      <c r="B3234" s="1" t="s">
        <v>672</v>
      </c>
      <c r="C3234" s="1" t="s">
        <v>715</v>
      </c>
      <c r="D3234" s="1" t="s">
        <v>644</v>
      </c>
      <c r="E3234" s="1" t="s">
        <v>645</v>
      </c>
      <c r="F3234" s="1" t="s">
        <v>646</v>
      </c>
      <c r="G3234" s="1" t="s">
        <v>713</v>
      </c>
      <c r="H3234">
        <v>2018</v>
      </c>
      <c r="I3234">
        <v>2020</v>
      </c>
      <c r="J3234">
        <f t="shared" si="100"/>
        <v>3</v>
      </c>
      <c r="K3234" s="1" t="s">
        <v>648</v>
      </c>
      <c r="L3234" s="1" t="s">
        <v>659</v>
      </c>
      <c r="M3234">
        <f t="shared" si="101"/>
        <v>6</v>
      </c>
      <c r="N3234" t="s">
        <v>650</v>
      </c>
    </row>
    <row r="3235" spans="1:14" hidden="1" x14ac:dyDescent="0.3">
      <c r="A3235" s="1" t="s">
        <v>716</v>
      </c>
      <c r="B3235" s="1" t="s">
        <v>672</v>
      </c>
      <c r="C3235" s="1" t="s">
        <v>717</v>
      </c>
      <c r="D3235" s="1" t="s">
        <v>644</v>
      </c>
      <c r="E3235" s="1" t="s">
        <v>645</v>
      </c>
      <c r="F3235" s="1" t="s">
        <v>646</v>
      </c>
      <c r="G3235" s="1" t="s">
        <v>713</v>
      </c>
      <c r="H3235">
        <v>2018</v>
      </c>
      <c r="I3235">
        <v>2022</v>
      </c>
      <c r="J3235">
        <f t="shared" si="100"/>
        <v>5</v>
      </c>
      <c r="K3235" s="1" t="s">
        <v>648</v>
      </c>
      <c r="L3235" s="1" t="s">
        <v>659</v>
      </c>
      <c r="M3235">
        <f t="shared" si="101"/>
        <v>4</v>
      </c>
      <c r="N3235" t="s">
        <v>650</v>
      </c>
    </row>
    <row r="3236" spans="1:14" hidden="1" x14ac:dyDescent="0.3">
      <c r="A3236" t="s">
        <v>11239</v>
      </c>
      <c r="B3236" t="s">
        <v>672</v>
      </c>
      <c r="C3236" t="s">
        <v>11240</v>
      </c>
      <c r="E3236" s="1" t="e">
        <v>#N/A</v>
      </c>
      <c r="F3236" s="1" t="e">
        <v>#N/A</v>
      </c>
      <c r="G3236" s="1" t="s">
        <v>12801</v>
      </c>
      <c r="H3236">
        <v>2025</v>
      </c>
      <c r="I3236">
        <v>2026</v>
      </c>
      <c r="J3236">
        <f t="shared" si="100"/>
        <v>2</v>
      </c>
      <c r="K3236" s="1" t="s">
        <v>648</v>
      </c>
      <c r="L3236" s="1" t="s">
        <v>659</v>
      </c>
      <c r="M3236">
        <f t="shared" si="101"/>
        <v>0</v>
      </c>
    </row>
    <row r="3237" spans="1:14" hidden="1" x14ac:dyDescent="0.3">
      <c r="A3237" t="s">
        <v>11241</v>
      </c>
      <c r="B3237" t="s">
        <v>672</v>
      </c>
      <c r="C3237" t="s">
        <v>11242</v>
      </c>
      <c r="E3237" s="1" t="e">
        <v>#N/A</v>
      </c>
      <c r="F3237" s="1" t="e">
        <v>#N/A</v>
      </c>
      <c r="G3237" s="1" t="s">
        <v>12801</v>
      </c>
      <c r="H3237">
        <v>2025</v>
      </c>
      <c r="I3237">
        <v>2026</v>
      </c>
      <c r="J3237">
        <f t="shared" si="100"/>
        <v>2</v>
      </c>
      <c r="K3237" s="1" t="s">
        <v>648</v>
      </c>
      <c r="L3237" s="1" t="s">
        <v>659</v>
      </c>
      <c r="M3237">
        <f t="shared" si="101"/>
        <v>0</v>
      </c>
    </row>
    <row r="3238" spans="1:14" hidden="1" x14ac:dyDescent="0.3">
      <c r="A3238" s="1" t="s">
        <v>718</v>
      </c>
      <c r="B3238" s="1" t="s">
        <v>672</v>
      </c>
      <c r="C3238" s="1" t="s">
        <v>719</v>
      </c>
      <c r="D3238" s="1" t="s">
        <v>644</v>
      </c>
      <c r="E3238" s="1" t="s">
        <v>645</v>
      </c>
      <c r="F3238" s="1" t="s">
        <v>646</v>
      </c>
      <c r="G3238" s="1" t="s">
        <v>713</v>
      </c>
      <c r="H3238">
        <v>2022</v>
      </c>
      <c r="I3238">
        <v>2022</v>
      </c>
      <c r="J3238">
        <f t="shared" si="100"/>
        <v>1</v>
      </c>
      <c r="K3238" s="1" t="s">
        <v>648</v>
      </c>
      <c r="L3238" s="1" t="s">
        <v>659</v>
      </c>
      <c r="M3238">
        <f t="shared" si="101"/>
        <v>4</v>
      </c>
      <c r="N3238" t="s">
        <v>650</v>
      </c>
    </row>
    <row r="3239" spans="1:14" hidden="1" x14ac:dyDescent="0.3">
      <c r="A3239" s="1" t="s">
        <v>720</v>
      </c>
      <c r="B3239" s="1" t="s">
        <v>672</v>
      </c>
      <c r="C3239" s="1" t="s">
        <v>721</v>
      </c>
      <c r="D3239" s="1" t="s">
        <v>644</v>
      </c>
      <c r="E3239" s="1" t="s">
        <v>645</v>
      </c>
      <c r="F3239" s="1" t="s">
        <v>646</v>
      </c>
      <c r="G3239" s="1" t="s">
        <v>713</v>
      </c>
      <c r="H3239">
        <v>2022</v>
      </c>
      <c r="I3239">
        <v>2022</v>
      </c>
      <c r="J3239">
        <f t="shared" si="100"/>
        <v>1</v>
      </c>
      <c r="K3239" s="1" t="s">
        <v>648</v>
      </c>
      <c r="L3239" s="1" t="s">
        <v>659</v>
      </c>
      <c r="M3239">
        <f t="shared" si="101"/>
        <v>4</v>
      </c>
      <c r="N3239" t="s">
        <v>650</v>
      </c>
    </row>
    <row r="3240" spans="1:14" hidden="1" x14ac:dyDescent="0.3">
      <c r="A3240" s="1" t="s">
        <v>722</v>
      </c>
      <c r="B3240" s="1" t="s">
        <v>672</v>
      </c>
      <c r="C3240" s="1" t="s">
        <v>723</v>
      </c>
      <c r="D3240" s="1" t="s">
        <v>644</v>
      </c>
      <c r="E3240" s="1" t="s">
        <v>645</v>
      </c>
      <c r="F3240" s="1" t="s">
        <v>646</v>
      </c>
      <c r="G3240" s="1" t="s">
        <v>713</v>
      </c>
      <c r="H3240">
        <v>2021</v>
      </c>
      <c r="I3240">
        <v>2022</v>
      </c>
      <c r="J3240">
        <f t="shared" si="100"/>
        <v>2</v>
      </c>
      <c r="K3240" s="1" t="s">
        <v>648</v>
      </c>
      <c r="L3240" s="1" t="s">
        <v>659</v>
      </c>
      <c r="M3240">
        <f t="shared" si="101"/>
        <v>4</v>
      </c>
      <c r="N3240" t="s">
        <v>650</v>
      </c>
    </row>
    <row r="3241" spans="1:14" x14ac:dyDescent="0.3">
      <c r="A3241" s="1" t="s">
        <v>10729</v>
      </c>
      <c r="B3241" s="1" t="s">
        <v>8765</v>
      </c>
      <c r="C3241" s="1" t="s">
        <v>10730</v>
      </c>
      <c r="D3241" s="1" t="s">
        <v>644</v>
      </c>
      <c r="E3241" s="1" t="s">
        <v>6076</v>
      </c>
      <c r="F3241" s="1" t="s">
        <v>6076</v>
      </c>
      <c r="G3241" s="1" t="s">
        <v>10731</v>
      </c>
      <c r="H3241">
        <v>2016</v>
      </c>
      <c r="I3241">
        <v>2019</v>
      </c>
      <c r="J3241">
        <f t="shared" si="100"/>
        <v>4</v>
      </c>
      <c r="K3241" s="1" t="s">
        <v>6076</v>
      </c>
      <c r="L3241" s="1" t="s">
        <v>6076</v>
      </c>
      <c r="M3241">
        <f t="shared" si="101"/>
        <v>7</v>
      </c>
      <c r="N3241" t="s">
        <v>650</v>
      </c>
    </row>
    <row r="3242" spans="1:14" x14ac:dyDescent="0.3">
      <c r="A3242" s="1" t="s">
        <v>10732</v>
      </c>
      <c r="B3242" s="1" t="s">
        <v>8765</v>
      </c>
      <c r="C3242" s="1" t="s">
        <v>10733</v>
      </c>
      <c r="D3242" s="1" t="s">
        <v>644</v>
      </c>
      <c r="E3242" s="1" t="s">
        <v>6076</v>
      </c>
      <c r="F3242" s="1" t="s">
        <v>6076</v>
      </c>
      <c r="G3242" s="1" t="s">
        <v>10734</v>
      </c>
      <c r="H3242">
        <v>2016</v>
      </c>
      <c r="I3242">
        <v>2019</v>
      </c>
      <c r="J3242">
        <f t="shared" si="100"/>
        <v>4</v>
      </c>
      <c r="K3242" s="1" t="s">
        <v>6076</v>
      </c>
      <c r="L3242" s="1" t="s">
        <v>6076</v>
      </c>
      <c r="M3242">
        <f t="shared" si="101"/>
        <v>7</v>
      </c>
      <c r="N3242" t="s">
        <v>650</v>
      </c>
    </row>
    <row r="3243" spans="1:14" hidden="1" x14ac:dyDescent="0.3">
      <c r="A3243" s="1" t="s">
        <v>2058</v>
      </c>
      <c r="B3243" s="1" t="s">
        <v>1451</v>
      </c>
      <c r="C3243" s="1" t="s">
        <v>2059</v>
      </c>
      <c r="D3243" s="1" t="s">
        <v>746</v>
      </c>
      <c r="E3243" s="1" t="s">
        <v>747</v>
      </c>
      <c r="F3243" s="1" t="s">
        <v>748</v>
      </c>
      <c r="G3243" s="1" t="s">
        <v>2060</v>
      </c>
      <c r="H3243">
        <v>2008</v>
      </c>
      <c r="I3243">
        <v>2013</v>
      </c>
      <c r="J3243">
        <f t="shared" si="100"/>
        <v>6</v>
      </c>
      <c r="K3243" s="1" t="s">
        <v>741</v>
      </c>
      <c r="L3243" s="1" t="s">
        <v>798</v>
      </c>
      <c r="M3243">
        <f t="shared" si="101"/>
        <v>13</v>
      </c>
      <c r="N3243" t="s">
        <v>650</v>
      </c>
    </row>
    <row r="3244" spans="1:14" hidden="1" x14ac:dyDescent="0.3">
      <c r="A3244" s="1" t="s">
        <v>2061</v>
      </c>
      <c r="B3244" s="1" t="s">
        <v>1451</v>
      </c>
      <c r="C3244" s="1" t="s">
        <v>2062</v>
      </c>
      <c r="D3244" s="1" t="s">
        <v>746</v>
      </c>
      <c r="E3244" s="1" t="s">
        <v>747</v>
      </c>
      <c r="F3244" s="1" t="s">
        <v>748</v>
      </c>
      <c r="G3244" s="1" t="s">
        <v>2060</v>
      </c>
      <c r="H3244">
        <v>2020</v>
      </c>
      <c r="I3244">
        <v>2022</v>
      </c>
      <c r="J3244">
        <f t="shared" si="100"/>
        <v>3</v>
      </c>
      <c r="K3244" s="1" t="s">
        <v>741</v>
      </c>
      <c r="L3244" s="1" t="s">
        <v>798</v>
      </c>
      <c r="M3244">
        <f t="shared" si="101"/>
        <v>4</v>
      </c>
      <c r="N3244" t="s">
        <v>650</v>
      </c>
    </row>
    <row r="3245" spans="1:14" hidden="1" x14ac:dyDescent="0.3">
      <c r="A3245" s="1" t="s">
        <v>2063</v>
      </c>
      <c r="B3245" s="1" t="s">
        <v>1451</v>
      </c>
      <c r="C3245" s="1" t="s">
        <v>2064</v>
      </c>
      <c r="D3245" s="1" t="s">
        <v>746</v>
      </c>
      <c r="E3245" s="1" t="s">
        <v>747</v>
      </c>
      <c r="F3245" s="1" t="s">
        <v>748</v>
      </c>
      <c r="G3245" s="1" t="s">
        <v>2060</v>
      </c>
      <c r="H3245">
        <v>2018</v>
      </c>
      <c r="I3245">
        <v>2022</v>
      </c>
      <c r="J3245">
        <f t="shared" si="100"/>
        <v>5</v>
      </c>
      <c r="K3245" s="1" t="s">
        <v>741</v>
      </c>
      <c r="L3245" s="1" t="s">
        <v>798</v>
      </c>
      <c r="M3245">
        <f t="shared" si="101"/>
        <v>4</v>
      </c>
      <c r="N3245" t="s">
        <v>650</v>
      </c>
    </row>
    <row r="3246" spans="1:14" hidden="1" x14ac:dyDescent="0.3">
      <c r="A3246" s="1" t="s">
        <v>2065</v>
      </c>
      <c r="B3246" s="1" t="s">
        <v>1451</v>
      </c>
      <c r="C3246" s="1" t="s">
        <v>2066</v>
      </c>
      <c r="D3246" s="1" t="s">
        <v>738</v>
      </c>
      <c r="E3246" s="1" t="s">
        <v>739</v>
      </c>
      <c r="F3246" s="1" t="s">
        <v>781</v>
      </c>
      <c r="G3246" s="1" t="s">
        <v>2060</v>
      </c>
      <c r="H3246">
        <v>2015</v>
      </c>
      <c r="I3246">
        <v>2022</v>
      </c>
      <c r="J3246">
        <f t="shared" si="100"/>
        <v>8</v>
      </c>
      <c r="K3246" s="1" t="s">
        <v>741</v>
      </c>
      <c r="L3246" s="1" t="s">
        <v>798</v>
      </c>
      <c r="M3246">
        <f t="shared" si="101"/>
        <v>4</v>
      </c>
      <c r="N3246" t="s">
        <v>650</v>
      </c>
    </row>
    <row r="3247" spans="1:14" hidden="1" x14ac:dyDescent="0.3">
      <c r="A3247" s="1" t="s">
        <v>2067</v>
      </c>
      <c r="B3247" s="1" t="s">
        <v>1451</v>
      </c>
      <c r="C3247" s="1" t="s">
        <v>2068</v>
      </c>
      <c r="D3247" s="1" t="s">
        <v>746</v>
      </c>
      <c r="E3247" s="1" t="s">
        <v>747</v>
      </c>
      <c r="F3247" s="1" t="s">
        <v>748</v>
      </c>
      <c r="G3247" s="1" t="s">
        <v>2060</v>
      </c>
      <c r="H3247">
        <v>2015</v>
      </c>
      <c r="I3247">
        <v>2019</v>
      </c>
      <c r="J3247">
        <f t="shared" si="100"/>
        <v>5</v>
      </c>
      <c r="K3247" s="1" t="s">
        <v>741</v>
      </c>
      <c r="L3247" s="1" t="s">
        <v>798</v>
      </c>
      <c r="M3247">
        <f t="shared" si="101"/>
        <v>7</v>
      </c>
      <c r="N3247" t="s">
        <v>650</v>
      </c>
    </row>
    <row r="3248" spans="1:14" hidden="1" x14ac:dyDescent="0.3">
      <c r="A3248" s="1" t="s">
        <v>2069</v>
      </c>
      <c r="B3248" s="1" t="s">
        <v>1451</v>
      </c>
      <c r="C3248" s="1" t="s">
        <v>2070</v>
      </c>
      <c r="D3248" s="1" t="s">
        <v>746</v>
      </c>
      <c r="E3248" s="1" t="s">
        <v>747</v>
      </c>
      <c r="F3248" s="1" t="s">
        <v>748</v>
      </c>
      <c r="G3248" s="1" t="s">
        <v>2060</v>
      </c>
      <c r="H3248">
        <v>2018</v>
      </c>
      <c r="I3248">
        <v>2018</v>
      </c>
      <c r="J3248">
        <f t="shared" si="100"/>
        <v>1</v>
      </c>
      <c r="K3248" s="1" t="s">
        <v>741</v>
      </c>
      <c r="L3248" s="1" t="s">
        <v>798</v>
      </c>
      <c r="M3248">
        <f t="shared" si="101"/>
        <v>8</v>
      </c>
      <c r="N3248" t="s">
        <v>650</v>
      </c>
    </row>
    <row r="3249" spans="1:14" hidden="1" x14ac:dyDescent="0.3">
      <c r="A3249" s="1" t="s">
        <v>2071</v>
      </c>
      <c r="B3249" s="1" t="s">
        <v>1451</v>
      </c>
      <c r="C3249" s="1" t="s">
        <v>2072</v>
      </c>
      <c r="D3249" s="1" t="s">
        <v>746</v>
      </c>
      <c r="E3249" s="1" t="s">
        <v>747</v>
      </c>
      <c r="F3249" s="1" t="s">
        <v>748</v>
      </c>
      <c r="G3249" s="1" t="s">
        <v>2060</v>
      </c>
      <c r="H3249">
        <v>2008</v>
      </c>
      <c r="I3249">
        <v>2011</v>
      </c>
      <c r="J3249">
        <f t="shared" si="100"/>
        <v>4</v>
      </c>
      <c r="K3249" s="1" t="s">
        <v>741</v>
      </c>
      <c r="L3249" s="1" t="s">
        <v>798</v>
      </c>
      <c r="M3249">
        <f t="shared" si="101"/>
        <v>15</v>
      </c>
      <c r="N3249" t="s">
        <v>650</v>
      </c>
    </row>
    <row r="3250" spans="1:14" hidden="1" x14ac:dyDescent="0.3">
      <c r="A3250" s="1" t="s">
        <v>2073</v>
      </c>
      <c r="B3250" s="1" t="s">
        <v>1451</v>
      </c>
      <c r="C3250" s="1" t="s">
        <v>2074</v>
      </c>
      <c r="D3250" s="1" t="s">
        <v>746</v>
      </c>
      <c r="E3250" s="1" t="s">
        <v>747</v>
      </c>
      <c r="F3250" s="1" t="s">
        <v>748</v>
      </c>
      <c r="G3250" s="1" t="s">
        <v>2060</v>
      </c>
      <c r="H3250">
        <v>1997</v>
      </c>
      <c r="I3250">
        <v>2007</v>
      </c>
      <c r="J3250">
        <f t="shared" si="100"/>
        <v>11</v>
      </c>
      <c r="K3250" s="1" t="s">
        <v>741</v>
      </c>
      <c r="L3250" s="1" t="s">
        <v>798</v>
      </c>
      <c r="M3250">
        <f t="shared" si="101"/>
        <v>19</v>
      </c>
      <c r="N3250" t="s">
        <v>650</v>
      </c>
    </row>
    <row r="3251" spans="1:14" hidden="1" x14ac:dyDescent="0.3">
      <c r="A3251" s="1" t="s">
        <v>2075</v>
      </c>
      <c r="B3251" s="1" t="s">
        <v>1451</v>
      </c>
      <c r="C3251" s="1" t="s">
        <v>2076</v>
      </c>
      <c r="D3251" s="1" t="s">
        <v>746</v>
      </c>
      <c r="E3251" s="1" t="s">
        <v>747</v>
      </c>
      <c r="F3251" s="1" t="s">
        <v>748</v>
      </c>
      <c r="G3251" s="1" t="s">
        <v>2060</v>
      </c>
      <c r="H3251">
        <v>2020</v>
      </c>
      <c r="I3251">
        <v>2020</v>
      </c>
      <c r="J3251">
        <f t="shared" si="100"/>
        <v>1</v>
      </c>
      <c r="K3251" s="1" t="s">
        <v>741</v>
      </c>
      <c r="L3251" s="1" t="s">
        <v>798</v>
      </c>
      <c r="M3251">
        <f t="shared" si="101"/>
        <v>6</v>
      </c>
      <c r="N3251" t="s">
        <v>650</v>
      </c>
    </row>
    <row r="3252" spans="1:14" hidden="1" x14ac:dyDescent="0.3">
      <c r="A3252" s="1" t="s">
        <v>2077</v>
      </c>
      <c r="B3252" s="1" t="s">
        <v>1451</v>
      </c>
      <c r="C3252" s="1" t="s">
        <v>2078</v>
      </c>
      <c r="D3252" s="1" t="s">
        <v>746</v>
      </c>
      <c r="E3252" s="1" t="s">
        <v>747</v>
      </c>
      <c r="F3252" s="1" t="s">
        <v>748</v>
      </c>
      <c r="G3252" s="1" t="s">
        <v>2060</v>
      </c>
      <c r="H3252">
        <v>2019</v>
      </c>
      <c r="I3252">
        <v>2022</v>
      </c>
      <c r="J3252">
        <f t="shared" si="100"/>
        <v>4</v>
      </c>
      <c r="K3252" s="1" t="s">
        <v>741</v>
      </c>
      <c r="L3252" s="1" t="s">
        <v>798</v>
      </c>
      <c r="M3252">
        <f t="shared" si="101"/>
        <v>4</v>
      </c>
      <c r="N3252" t="s">
        <v>650</v>
      </c>
    </row>
    <row r="3253" spans="1:14" hidden="1" x14ac:dyDescent="0.3">
      <c r="A3253" s="1" t="s">
        <v>2079</v>
      </c>
      <c r="B3253" s="1" t="s">
        <v>1451</v>
      </c>
      <c r="C3253" s="1" t="s">
        <v>2080</v>
      </c>
      <c r="D3253" s="1" t="s">
        <v>746</v>
      </c>
      <c r="E3253" s="1" t="s">
        <v>747</v>
      </c>
      <c r="F3253" s="1" t="s">
        <v>748</v>
      </c>
      <c r="G3253" s="1" t="s">
        <v>2060</v>
      </c>
      <c r="H3253">
        <v>2019</v>
      </c>
      <c r="I3253">
        <v>2019</v>
      </c>
      <c r="J3253">
        <f t="shared" si="100"/>
        <v>1</v>
      </c>
      <c r="K3253" s="1" t="s">
        <v>741</v>
      </c>
      <c r="L3253" s="1" t="s">
        <v>798</v>
      </c>
      <c r="M3253">
        <f t="shared" si="101"/>
        <v>7</v>
      </c>
      <c r="N3253" t="s">
        <v>650</v>
      </c>
    </row>
    <row r="3254" spans="1:14" hidden="1" x14ac:dyDescent="0.3">
      <c r="A3254" s="1" t="s">
        <v>2081</v>
      </c>
      <c r="B3254" s="1" t="s">
        <v>1451</v>
      </c>
      <c r="C3254" s="1" t="s">
        <v>2082</v>
      </c>
      <c r="D3254" s="1" t="s">
        <v>746</v>
      </c>
      <c r="E3254" s="1" t="s">
        <v>747</v>
      </c>
      <c r="F3254" s="1" t="s">
        <v>748</v>
      </c>
      <c r="G3254" s="1" t="s">
        <v>2060</v>
      </c>
      <c r="H3254">
        <v>2019</v>
      </c>
      <c r="I3254">
        <v>2022</v>
      </c>
      <c r="J3254">
        <f t="shared" si="100"/>
        <v>4</v>
      </c>
      <c r="K3254" s="1" t="s">
        <v>741</v>
      </c>
      <c r="L3254" s="1" t="s">
        <v>798</v>
      </c>
      <c r="M3254">
        <f t="shared" si="101"/>
        <v>4</v>
      </c>
      <c r="N3254" t="s">
        <v>650</v>
      </c>
    </row>
    <row r="3255" spans="1:14" hidden="1" x14ac:dyDescent="0.3">
      <c r="A3255" s="1" t="s">
        <v>2083</v>
      </c>
      <c r="B3255" s="1" t="s">
        <v>1451</v>
      </c>
      <c r="C3255" s="1" t="s">
        <v>2084</v>
      </c>
      <c r="D3255" s="1" t="s">
        <v>746</v>
      </c>
      <c r="E3255" s="1" t="s">
        <v>747</v>
      </c>
      <c r="F3255" s="1" t="s">
        <v>748</v>
      </c>
      <c r="G3255" s="1" t="s">
        <v>2060</v>
      </c>
      <c r="H3255">
        <v>2019</v>
      </c>
      <c r="I3255">
        <v>2019</v>
      </c>
      <c r="J3255">
        <f t="shared" si="100"/>
        <v>1</v>
      </c>
      <c r="K3255" s="1" t="s">
        <v>741</v>
      </c>
      <c r="L3255" s="1" t="s">
        <v>798</v>
      </c>
      <c r="M3255">
        <f t="shared" si="101"/>
        <v>7</v>
      </c>
      <c r="N3255" t="s">
        <v>650</v>
      </c>
    </row>
    <row r="3256" spans="1:14" hidden="1" x14ac:dyDescent="0.3">
      <c r="A3256" s="1" t="s">
        <v>2085</v>
      </c>
      <c r="B3256" s="1" t="s">
        <v>1451</v>
      </c>
      <c r="C3256" s="1" t="s">
        <v>2086</v>
      </c>
      <c r="D3256" s="1" t="s">
        <v>746</v>
      </c>
      <c r="E3256" s="1" t="s">
        <v>747</v>
      </c>
      <c r="F3256" s="1" t="s">
        <v>748</v>
      </c>
      <c r="G3256" s="1" t="s">
        <v>2060</v>
      </c>
      <c r="H3256">
        <v>2019</v>
      </c>
      <c r="I3256">
        <v>2022</v>
      </c>
      <c r="J3256">
        <f t="shared" si="100"/>
        <v>4</v>
      </c>
      <c r="K3256" s="1" t="s">
        <v>741</v>
      </c>
      <c r="L3256" s="1" t="s">
        <v>798</v>
      </c>
      <c r="M3256">
        <f t="shared" si="101"/>
        <v>4</v>
      </c>
      <c r="N3256" t="s">
        <v>650</v>
      </c>
    </row>
    <row r="3257" spans="1:14" hidden="1" x14ac:dyDescent="0.3">
      <c r="A3257" s="1" t="s">
        <v>2087</v>
      </c>
      <c r="B3257" s="1" t="s">
        <v>1451</v>
      </c>
      <c r="C3257" s="1" t="s">
        <v>2088</v>
      </c>
      <c r="D3257" s="1" t="s">
        <v>746</v>
      </c>
      <c r="E3257" s="1" t="s">
        <v>747</v>
      </c>
      <c r="F3257" s="1" t="s">
        <v>748</v>
      </c>
      <c r="G3257" s="1" t="s">
        <v>2060</v>
      </c>
      <c r="H3257">
        <v>2019</v>
      </c>
      <c r="I3257">
        <v>2022</v>
      </c>
      <c r="J3257">
        <f t="shared" si="100"/>
        <v>4</v>
      </c>
      <c r="K3257" s="1" t="s">
        <v>741</v>
      </c>
      <c r="L3257" s="1" t="s">
        <v>798</v>
      </c>
      <c r="M3257">
        <f t="shared" si="101"/>
        <v>4</v>
      </c>
      <c r="N3257" t="s">
        <v>650</v>
      </c>
    </row>
    <row r="3258" spans="1:14" hidden="1" x14ac:dyDescent="0.3">
      <c r="A3258" s="1" t="s">
        <v>2089</v>
      </c>
      <c r="B3258" s="1" t="s">
        <v>1451</v>
      </c>
      <c r="C3258" s="1" t="s">
        <v>2090</v>
      </c>
      <c r="D3258" s="1" t="s">
        <v>738</v>
      </c>
      <c r="E3258" s="1" t="s">
        <v>739</v>
      </c>
      <c r="F3258" s="1" t="s">
        <v>781</v>
      </c>
      <c r="G3258" s="1" t="s">
        <v>2060</v>
      </c>
      <c r="H3258">
        <v>2015</v>
      </c>
      <c r="I3258">
        <v>2018</v>
      </c>
      <c r="J3258">
        <f t="shared" si="100"/>
        <v>4</v>
      </c>
      <c r="K3258" s="1" t="s">
        <v>741</v>
      </c>
      <c r="L3258" s="1" t="s">
        <v>798</v>
      </c>
      <c r="M3258">
        <f t="shared" si="101"/>
        <v>8</v>
      </c>
      <c r="N3258" t="s">
        <v>650</v>
      </c>
    </row>
    <row r="3259" spans="1:14" hidden="1" x14ac:dyDescent="0.3">
      <c r="A3259" s="1" t="s">
        <v>2091</v>
      </c>
      <c r="B3259" s="1" t="s">
        <v>1451</v>
      </c>
      <c r="C3259" s="1" t="s">
        <v>2092</v>
      </c>
      <c r="D3259" s="1" t="s">
        <v>738</v>
      </c>
      <c r="E3259" s="1" t="s">
        <v>739</v>
      </c>
      <c r="F3259" s="1" t="s">
        <v>781</v>
      </c>
      <c r="G3259" s="1" t="s">
        <v>2060</v>
      </c>
      <c r="H3259">
        <v>2019</v>
      </c>
      <c r="I3259">
        <v>2022</v>
      </c>
      <c r="J3259">
        <f t="shared" si="100"/>
        <v>4</v>
      </c>
      <c r="K3259" s="1" t="s">
        <v>741</v>
      </c>
      <c r="L3259" s="1" t="s">
        <v>798</v>
      </c>
      <c r="M3259">
        <f t="shared" si="101"/>
        <v>4</v>
      </c>
      <c r="N3259" t="s">
        <v>650</v>
      </c>
    </row>
    <row r="3260" spans="1:14" hidden="1" x14ac:dyDescent="0.3">
      <c r="A3260" s="1" t="s">
        <v>2093</v>
      </c>
      <c r="B3260" s="1" t="s">
        <v>1451</v>
      </c>
      <c r="C3260" s="1" t="s">
        <v>2094</v>
      </c>
      <c r="D3260" s="1" t="s">
        <v>738</v>
      </c>
      <c r="E3260" s="1" t="s">
        <v>739</v>
      </c>
      <c r="F3260" s="1" t="s">
        <v>781</v>
      </c>
      <c r="G3260" s="1" t="s">
        <v>2060</v>
      </c>
      <c r="H3260">
        <v>2019</v>
      </c>
      <c r="I3260">
        <v>2022</v>
      </c>
      <c r="J3260">
        <f t="shared" si="100"/>
        <v>4</v>
      </c>
      <c r="K3260" s="1" t="s">
        <v>741</v>
      </c>
      <c r="L3260" s="1" t="s">
        <v>798</v>
      </c>
      <c r="M3260">
        <f t="shared" si="101"/>
        <v>4</v>
      </c>
      <c r="N3260" t="s">
        <v>650</v>
      </c>
    </row>
    <row r="3261" spans="1:14" hidden="1" x14ac:dyDescent="0.3">
      <c r="A3261" s="1" t="s">
        <v>2095</v>
      </c>
      <c r="B3261" s="1" t="s">
        <v>1451</v>
      </c>
      <c r="C3261" s="1" t="s">
        <v>2096</v>
      </c>
      <c r="D3261" s="1" t="s">
        <v>738</v>
      </c>
      <c r="E3261" s="1" t="s">
        <v>739</v>
      </c>
      <c r="F3261" s="1" t="s">
        <v>781</v>
      </c>
      <c r="G3261" s="1" t="s">
        <v>2060</v>
      </c>
      <c r="H3261">
        <v>2019</v>
      </c>
      <c r="I3261">
        <v>2022</v>
      </c>
      <c r="J3261">
        <f t="shared" si="100"/>
        <v>4</v>
      </c>
      <c r="K3261" s="1" t="s">
        <v>741</v>
      </c>
      <c r="L3261" s="1" t="s">
        <v>798</v>
      </c>
      <c r="M3261">
        <f t="shared" si="101"/>
        <v>4</v>
      </c>
      <c r="N3261" t="s">
        <v>650</v>
      </c>
    </row>
    <row r="3262" spans="1:14" hidden="1" x14ac:dyDescent="0.3">
      <c r="A3262" s="1" t="s">
        <v>2097</v>
      </c>
      <c r="B3262" s="1" t="s">
        <v>1451</v>
      </c>
      <c r="C3262" s="1" t="s">
        <v>2098</v>
      </c>
      <c r="D3262" s="1" t="s">
        <v>738</v>
      </c>
      <c r="E3262" s="1" t="s">
        <v>739</v>
      </c>
      <c r="F3262" s="1" t="s">
        <v>781</v>
      </c>
      <c r="G3262" s="1" t="s">
        <v>2060</v>
      </c>
      <c r="H3262">
        <v>2019</v>
      </c>
      <c r="I3262">
        <v>2022</v>
      </c>
      <c r="J3262">
        <f t="shared" si="100"/>
        <v>4</v>
      </c>
      <c r="K3262" s="1" t="s">
        <v>741</v>
      </c>
      <c r="L3262" s="1" t="s">
        <v>798</v>
      </c>
      <c r="M3262">
        <f t="shared" si="101"/>
        <v>4</v>
      </c>
      <c r="N3262" t="s">
        <v>650</v>
      </c>
    </row>
    <row r="3263" spans="1:14" hidden="1" x14ac:dyDescent="0.3">
      <c r="A3263" s="1" t="s">
        <v>2099</v>
      </c>
      <c r="B3263" s="1" t="s">
        <v>1451</v>
      </c>
      <c r="C3263" s="1" t="s">
        <v>2100</v>
      </c>
      <c r="D3263" s="1" t="s">
        <v>738</v>
      </c>
      <c r="E3263" s="1" t="s">
        <v>739</v>
      </c>
      <c r="F3263" s="1" t="s">
        <v>781</v>
      </c>
      <c r="G3263" s="1" t="s">
        <v>2060</v>
      </c>
      <c r="H3263">
        <v>2020</v>
      </c>
      <c r="I3263">
        <v>2020</v>
      </c>
      <c r="J3263">
        <f t="shared" si="100"/>
        <v>1</v>
      </c>
      <c r="K3263" s="1" t="s">
        <v>741</v>
      </c>
      <c r="L3263" s="1" t="s">
        <v>798</v>
      </c>
      <c r="M3263">
        <f t="shared" si="101"/>
        <v>6</v>
      </c>
      <c r="N3263" t="s">
        <v>650</v>
      </c>
    </row>
    <row r="3264" spans="1:14" hidden="1" x14ac:dyDescent="0.3">
      <c r="A3264" s="1" t="s">
        <v>2101</v>
      </c>
      <c r="B3264" s="1" t="s">
        <v>1451</v>
      </c>
      <c r="C3264" s="1" t="s">
        <v>2102</v>
      </c>
      <c r="D3264" s="1" t="s">
        <v>738</v>
      </c>
      <c r="E3264" s="1" t="s">
        <v>739</v>
      </c>
      <c r="F3264" s="1" t="s">
        <v>781</v>
      </c>
      <c r="G3264" s="1" t="s">
        <v>2060</v>
      </c>
      <c r="H3264">
        <v>2019</v>
      </c>
      <c r="I3264">
        <v>2019</v>
      </c>
      <c r="J3264">
        <f t="shared" si="100"/>
        <v>1</v>
      </c>
      <c r="K3264" s="1" t="s">
        <v>741</v>
      </c>
      <c r="L3264" s="1" t="s">
        <v>798</v>
      </c>
      <c r="M3264">
        <f t="shared" si="101"/>
        <v>7</v>
      </c>
      <c r="N3264" t="s">
        <v>650</v>
      </c>
    </row>
    <row r="3265" spans="1:14" hidden="1" x14ac:dyDescent="0.3">
      <c r="A3265" s="1" t="s">
        <v>2103</v>
      </c>
      <c r="B3265" s="1" t="s">
        <v>1451</v>
      </c>
      <c r="C3265" s="1" t="s">
        <v>2104</v>
      </c>
      <c r="D3265" s="1" t="s">
        <v>738</v>
      </c>
      <c r="E3265" s="1" t="s">
        <v>739</v>
      </c>
      <c r="F3265" s="1" t="s">
        <v>781</v>
      </c>
      <c r="G3265" s="1" t="s">
        <v>2060</v>
      </c>
      <c r="H3265">
        <v>2019</v>
      </c>
      <c r="I3265">
        <v>2022</v>
      </c>
      <c r="J3265">
        <f t="shared" si="100"/>
        <v>4</v>
      </c>
      <c r="K3265" s="1" t="s">
        <v>741</v>
      </c>
      <c r="L3265" s="1" t="s">
        <v>798</v>
      </c>
      <c r="M3265">
        <f t="shared" si="101"/>
        <v>4</v>
      </c>
      <c r="N3265" t="s">
        <v>650</v>
      </c>
    </row>
    <row r="3266" spans="1:14" hidden="1" x14ac:dyDescent="0.3">
      <c r="A3266" s="1" t="s">
        <v>2105</v>
      </c>
      <c r="B3266" s="1" t="s">
        <v>1451</v>
      </c>
      <c r="C3266" s="1" t="s">
        <v>2106</v>
      </c>
      <c r="D3266" s="1" t="s">
        <v>746</v>
      </c>
      <c r="E3266" s="1" t="s">
        <v>747</v>
      </c>
      <c r="F3266" s="1" t="s">
        <v>748</v>
      </c>
      <c r="G3266" s="1" t="s">
        <v>2060</v>
      </c>
      <c r="H3266">
        <v>2019</v>
      </c>
      <c r="I3266">
        <v>2020</v>
      </c>
      <c r="J3266">
        <f t="shared" si="100"/>
        <v>2</v>
      </c>
      <c r="K3266" s="1" t="s">
        <v>741</v>
      </c>
      <c r="L3266" s="1" t="s">
        <v>798</v>
      </c>
      <c r="M3266">
        <f t="shared" si="101"/>
        <v>6</v>
      </c>
      <c r="N3266" t="s">
        <v>650</v>
      </c>
    </row>
    <row r="3267" spans="1:14" hidden="1" x14ac:dyDescent="0.3">
      <c r="A3267" s="1" t="s">
        <v>2107</v>
      </c>
      <c r="B3267" s="1" t="s">
        <v>1451</v>
      </c>
      <c r="C3267" s="1" t="s">
        <v>2108</v>
      </c>
      <c r="D3267" s="1" t="s">
        <v>746</v>
      </c>
      <c r="E3267" s="1" t="s">
        <v>747</v>
      </c>
      <c r="F3267" s="1" t="s">
        <v>748</v>
      </c>
      <c r="G3267" s="1" t="s">
        <v>2060</v>
      </c>
      <c r="H3267">
        <v>2008</v>
      </c>
      <c r="I3267">
        <v>2011</v>
      </c>
      <c r="J3267">
        <f t="shared" si="100"/>
        <v>4</v>
      </c>
      <c r="K3267" s="1" t="s">
        <v>741</v>
      </c>
      <c r="L3267" s="1" t="s">
        <v>798</v>
      </c>
      <c r="M3267">
        <f t="shared" si="101"/>
        <v>15</v>
      </c>
      <c r="N3267" t="s">
        <v>650</v>
      </c>
    </row>
    <row r="3268" spans="1:14" hidden="1" x14ac:dyDescent="0.3">
      <c r="A3268" s="1" t="s">
        <v>2109</v>
      </c>
      <c r="B3268" s="1" t="s">
        <v>1451</v>
      </c>
      <c r="C3268" s="1" t="s">
        <v>2110</v>
      </c>
      <c r="D3268" s="1" t="s">
        <v>746</v>
      </c>
      <c r="E3268" s="1" t="s">
        <v>747</v>
      </c>
      <c r="F3268" s="1" t="s">
        <v>748</v>
      </c>
      <c r="G3268" s="1" t="s">
        <v>2060</v>
      </c>
      <c r="H3268">
        <v>2009</v>
      </c>
      <c r="I3268">
        <v>2011</v>
      </c>
      <c r="J3268">
        <f t="shared" si="100"/>
        <v>3</v>
      </c>
      <c r="K3268" s="1" t="s">
        <v>741</v>
      </c>
      <c r="L3268" s="1" t="s">
        <v>798</v>
      </c>
      <c r="M3268">
        <f t="shared" si="101"/>
        <v>15</v>
      </c>
      <c r="N3268" t="s">
        <v>650</v>
      </c>
    </row>
    <row r="3269" spans="1:14" hidden="1" x14ac:dyDescent="0.3">
      <c r="A3269" s="1" t="s">
        <v>2111</v>
      </c>
      <c r="B3269" s="1" t="s">
        <v>1451</v>
      </c>
      <c r="C3269" s="1" t="s">
        <v>2112</v>
      </c>
      <c r="D3269" s="1" t="s">
        <v>746</v>
      </c>
      <c r="E3269" s="1" t="s">
        <v>747</v>
      </c>
      <c r="F3269" s="1" t="s">
        <v>748</v>
      </c>
      <c r="G3269" s="1" t="s">
        <v>2060</v>
      </c>
      <c r="H3269">
        <v>2003</v>
      </c>
      <c r="I3269">
        <v>2007</v>
      </c>
      <c r="J3269">
        <f t="shared" si="100"/>
        <v>5</v>
      </c>
      <c r="K3269" s="1" t="s">
        <v>741</v>
      </c>
      <c r="L3269" s="1" t="s">
        <v>798</v>
      </c>
      <c r="M3269">
        <f t="shared" si="101"/>
        <v>19</v>
      </c>
      <c r="N3269" t="s">
        <v>650</v>
      </c>
    </row>
    <row r="3270" spans="1:14" hidden="1" x14ac:dyDescent="0.3">
      <c r="A3270" s="1" t="s">
        <v>2113</v>
      </c>
      <c r="B3270" s="1" t="s">
        <v>1451</v>
      </c>
      <c r="C3270" s="1" t="s">
        <v>2114</v>
      </c>
      <c r="D3270" s="1" t="s">
        <v>746</v>
      </c>
      <c r="E3270" s="1" t="s">
        <v>747</v>
      </c>
      <c r="F3270" s="1" t="s">
        <v>748</v>
      </c>
      <c r="G3270" s="1" t="s">
        <v>2060</v>
      </c>
      <c r="H3270">
        <v>2001</v>
      </c>
      <c r="I3270">
        <v>2001</v>
      </c>
      <c r="J3270">
        <f t="shared" ref="J3270:J3333" si="102">1+(I3270-H3270)</f>
        <v>1</v>
      </c>
      <c r="K3270" s="1" t="s">
        <v>741</v>
      </c>
      <c r="L3270" s="1" t="s">
        <v>666</v>
      </c>
      <c r="M3270">
        <f t="shared" ref="M3270:M3333" si="103">IF(I3270=0,0,$B$2-I3270)</f>
        <v>25</v>
      </c>
      <c r="N3270" t="s">
        <v>640</v>
      </c>
    </row>
    <row r="3271" spans="1:14" hidden="1" x14ac:dyDescent="0.3">
      <c r="A3271" s="1" t="s">
        <v>2115</v>
      </c>
      <c r="B3271" s="1" t="s">
        <v>1451</v>
      </c>
      <c r="C3271" s="1" t="s">
        <v>2116</v>
      </c>
      <c r="D3271" s="1" t="s">
        <v>746</v>
      </c>
      <c r="E3271" s="1" t="s">
        <v>747</v>
      </c>
      <c r="F3271" s="1" t="s">
        <v>748</v>
      </c>
      <c r="G3271" s="1" t="s">
        <v>2060</v>
      </c>
      <c r="H3271">
        <v>2001</v>
      </c>
      <c r="I3271">
        <v>2001</v>
      </c>
      <c r="J3271">
        <f t="shared" si="102"/>
        <v>1</v>
      </c>
      <c r="K3271" s="1" t="s">
        <v>741</v>
      </c>
      <c r="L3271" s="1" t="s">
        <v>666</v>
      </c>
      <c r="M3271">
        <f t="shared" si="103"/>
        <v>25</v>
      </c>
      <c r="N3271" t="s">
        <v>640</v>
      </c>
    </row>
    <row r="3272" spans="1:14" hidden="1" x14ac:dyDescent="0.3">
      <c r="A3272" s="1" t="s">
        <v>2117</v>
      </c>
      <c r="B3272" s="1" t="s">
        <v>1451</v>
      </c>
      <c r="C3272" s="1" t="s">
        <v>2118</v>
      </c>
      <c r="D3272" s="1" t="s">
        <v>746</v>
      </c>
      <c r="E3272" s="1" t="s">
        <v>747</v>
      </c>
      <c r="F3272" s="1" t="s">
        <v>748</v>
      </c>
      <c r="G3272" s="1" t="s">
        <v>2060</v>
      </c>
      <c r="H3272">
        <v>1997</v>
      </c>
      <c r="I3272">
        <v>2000</v>
      </c>
      <c r="J3272">
        <f t="shared" si="102"/>
        <v>4</v>
      </c>
      <c r="K3272" s="1" t="s">
        <v>741</v>
      </c>
      <c r="L3272" s="1" t="s">
        <v>666</v>
      </c>
      <c r="M3272">
        <f t="shared" si="103"/>
        <v>26</v>
      </c>
      <c r="N3272" t="s">
        <v>640</v>
      </c>
    </row>
    <row r="3273" spans="1:14" hidden="1" x14ac:dyDescent="0.3">
      <c r="A3273" s="1" t="s">
        <v>2119</v>
      </c>
      <c r="B3273" s="1" t="s">
        <v>1451</v>
      </c>
      <c r="C3273" s="1" t="s">
        <v>2120</v>
      </c>
      <c r="D3273" s="1" t="s">
        <v>746</v>
      </c>
      <c r="E3273" s="1" t="s">
        <v>747</v>
      </c>
      <c r="F3273" s="1" t="s">
        <v>748</v>
      </c>
      <c r="G3273" s="1" t="s">
        <v>2060</v>
      </c>
      <c r="H3273">
        <v>2000</v>
      </c>
      <c r="I3273">
        <v>2008</v>
      </c>
      <c r="J3273">
        <f t="shared" si="102"/>
        <v>9</v>
      </c>
      <c r="K3273" s="1" t="s">
        <v>741</v>
      </c>
      <c r="L3273" s="1" t="s">
        <v>798</v>
      </c>
      <c r="M3273">
        <f t="shared" si="103"/>
        <v>18</v>
      </c>
      <c r="N3273" t="s">
        <v>650</v>
      </c>
    </row>
    <row r="3274" spans="1:14" hidden="1" x14ac:dyDescent="0.3">
      <c r="A3274" s="1" t="s">
        <v>2121</v>
      </c>
      <c r="B3274" s="1" t="s">
        <v>1451</v>
      </c>
      <c r="C3274" s="1" t="s">
        <v>2122</v>
      </c>
      <c r="D3274" s="1" t="s">
        <v>746</v>
      </c>
      <c r="E3274" s="1" t="s">
        <v>747</v>
      </c>
      <c r="F3274" s="1" t="s">
        <v>748</v>
      </c>
      <c r="G3274" s="1" t="s">
        <v>2060</v>
      </c>
      <c r="H3274">
        <v>2000</v>
      </c>
      <c r="I3274">
        <v>2003</v>
      </c>
      <c r="J3274">
        <f t="shared" si="102"/>
        <v>4</v>
      </c>
      <c r="K3274" s="1" t="s">
        <v>741</v>
      </c>
      <c r="L3274" s="1" t="s">
        <v>666</v>
      </c>
      <c r="M3274">
        <f t="shared" si="103"/>
        <v>23</v>
      </c>
      <c r="N3274" t="s">
        <v>650</v>
      </c>
    </row>
    <row r="3275" spans="1:14" hidden="1" x14ac:dyDescent="0.3">
      <c r="A3275" s="1" t="s">
        <v>2123</v>
      </c>
      <c r="B3275" s="1" t="s">
        <v>1451</v>
      </c>
      <c r="C3275" s="1" t="s">
        <v>2124</v>
      </c>
      <c r="D3275" s="1" t="s">
        <v>746</v>
      </c>
      <c r="E3275" s="1" t="s">
        <v>747</v>
      </c>
      <c r="F3275" s="1" t="s">
        <v>748</v>
      </c>
      <c r="G3275" s="1" t="s">
        <v>2060</v>
      </c>
      <c r="H3275">
        <v>1998</v>
      </c>
      <c r="I3275">
        <v>2000</v>
      </c>
      <c r="J3275">
        <f t="shared" si="102"/>
        <v>3</v>
      </c>
      <c r="K3275" s="1" t="s">
        <v>741</v>
      </c>
      <c r="L3275" s="1" t="s">
        <v>666</v>
      </c>
      <c r="M3275">
        <f t="shared" si="103"/>
        <v>26</v>
      </c>
      <c r="N3275" t="s">
        <v>640</v>
      </c>
    </row>
    <row r="3276" spans="1:14" hidden="1" x14ac:dyDescent="0.3">
      <c r="A3276" s="1" t="s">
        <v>2125</v>
      </c>
      <c r="B3276" s="1" t="s">
        <v>1451</v>
      </c>
      <c r="C3276" s="1" t="s">
        <v>2126</v>
      </c>
      <c r="D3276" s="1" t="s">
        <v>746</v>
      </c>
      <c r="E3276" s="1" t="s">
        <v>747</v>
      </c>
      <c r="F3276" s="1" t="s">
        <v>748</v>
      </c>
      <c r="G3276" s="1" t="s">
        <v>2060</v>
      </c>
      <c r="H3276">
        <v>2006</v>
      </c>
      <c r="I3276">
        <v>2007</v>
      </c>
      <c r="J3276">
        <f t="shared" si="102"/>
        <v>2</v>
      </c>
      <c r="K3276" s="1" t="s">
        <v>741</v>
      </c>
      <c r="L3276" s="1" t="s">
        <v>798</v>
      </c>
      <c r="M3276">
        <f t="shared" si="103"/>
        <v>19</v>
      </c>
      <c r="N3276" t="s">
        <v>650</v>
      </c>
    </row>
    <row r="3277" spans="1:14" hidden="1" x14ac:dyDescent="0.3">
      <c r="A3277" s="1" t="s">
        <v>2127</v>
      </c>
      <c r="B3277" s="1" t="s">
        <v>1451</v>
      </c>
      <c r="C3277" s="1" t="s">
        <v>2128</v>
      </c>
      <c r="D3277" s="1" t="s">
        <v>746</v>
      </c>
      <c r="E3277" s="1" t="s">
        <v>747</v>
      </c>
      <c r="F3277" s="1" t="s">
        <v>748</v>
      </c>
      <c r="G3277" s="1" t="s">
        <v>2060</v>
      </c>
      <c r="H3277">
        <v>2006</v>
      </c>
      <c r="I3277">
        <v>2007</v>
      </c>
      <c r="J3277">
        <f t="shared" si="102"/>
        <v>2</v>
      </c>
      <c r="K3277" s="1" t="s">
        <v>741</v>
      </c>
      <c r="L3277" s="1" t="s">
        <v>798</v>
      </c>
      <c r="M3277">
        <f t="shared" si="103"/>
        <v>19</v>
      </c>
      <c r="N3277" t="s">
        <v>650</v>
      </c>
    </row>
    <row r="3278" spans="1:14" hidden="1" x14ac:dyDescent="0.3">
      <c r="A3278" s="1" t="s">
        <v>2129</v>
      </c>
      <c r="B3278" s="1" t="s">
        <v>1451</v>
      </c>
      <c r="C3278" s="1" t="s">
        <v>2130</v>
      </c>
      <c r="D3278" s="1" t="s">
        <v>746</v>
      </c>
      <c r="E3278" s="1" t="s">
        <v>747</v>
      </c>
      <c r="F3278" s="1" t="s">
        <v>748</v>
      </c>
      <c r="G3278" s="1" t="s">
        <v>2060</v>
      </c>
      <c r="H3278">
        <v>2015</v>
      </c>
      <c r="I3278">
        <v>2018</v>
      </c>
      <c r="J3278">
        <f t="shared" si="102"/>
        <v>4</v>
      </c>
      <c r="K3278" s="1" t="s">
        <v>741</v>
      </c>
      <c r="L3278" s="1" t="s">
        <v>798</v>
      </c>
      <c r="M3278">
        <f t="shared" si="103"/>
        <v>8</v>
      </c>
      <c r="N3278" t="s">
        <v>650</v>
      </c>
    </row>
    <row r="3279" spans="1:14" hidden="1" x14ac:dyDescent="0.3">
      <c r="A3279" s="1" t="s">
        <v>2131</v>
      </c>
      <c r="B3279" s="1" t="s">
        <v>1451</v>
      </c>
      <c r="C3279" s="1" t="s">
        <v>2132</v>
      </c>
      <c r="D3279" s="1" t="s">
        <v>746</v>
      </c>
      <c r="E3279" s="1" t="s">
        <v>747</v>
      </c>
      <c r="F3279" s="1" t="s">
        <v>748</v>
      </c>
      <c r="G3279" s="1" t="s">
        <v>2060</v>
      </c>
      <c r="H3279">
        <v>2012</v>
      </c>
      <c r="I3279">
        <v>2013</v>
      </c>
      <c r="J3279">
        <f t="shared" si="102"/>
        <v>2</v>
      </c>
      <c r="K3279" s="1" t="s">
        <v>741</v>
      </c>
      <c r="L3279" s="1" t="s">
        <v>798</v>
      </c>
      <c r="M3279">
        <f t="shared" si="103"/>
        <v>13</v>
      </c>
      <c r="N3279" t="s">
        <v>650</v>
      </c>
    </row>
    <row r="3280" spans="1:14" hidden="1" x14ac:dyDescent="0.3">
      <c r="A3280" s="1" t="s">
        <v>2133</v>
      </c>
      <c r="B3280" s="1" t="s">
        <v>1451</v>
      </c>
      <c r="C3280" s="1" t="s">
        <v>2134</v>
      </c>
      <c r="D3280" s="1" t="s">
        <v>746</v>
      </c>
      <c r="E3280" s="1" t="s">
        <v>747</v>
      </c>
      <c r="F3280" s="1" t="s">
        <v>748</v>
      </c>
      <c r="G3280" s="1" t="s">
        <v>2060</v>
      </c>
      <c r="H3280">
        <v>1998</v>
      </c>
      <c r="I3280">
        <v>1999</v>
      </c>
      <c r="J3280">
        <f t="shared" si="102"/>
        <v>2</v>
      </c>
      <c r="K3280" s="1" t="s">
        <v>741</v>
      </c>
      <c r="L3280" s="1" t="s">
        <v>666</v>
      </c>
      <c r="M3280">
        <f t="shared" si="103"/>
        <v>27</v>
      </c>
      <c r="N3280" t="s">
        <v>640</v>
      </c>
    </row>
    <row r="3281" spans="1:14" hidden="1" x14ac:dyDescent="0.3">
      <c r="A3281" s="1" t="s">
        <v>2135</v>
      </c>
      <c r="B3281" s="1" t="s">
        <v>1451</v>
      </c>
      <c r="C3281" s="1" t="s">
        <v>2136</v>
      </c>
      <c r="D3281" s="1" t="s">
        <v>746</v>
      </c>
      <c r="E3281" s="1" t="s">
        <v>747</v>
      </c>
      <c r="F3281" s="1" t="s">
        <v>748</v>
      </c>
      <c r="G3281" s="1" t="s">
        <v>2060</v>
      </c>
      <c r="H3281">
        <v>2000</v>
      </c>
      <c r="I3281">
        <v>2000</v>
      </c>
      <c r="J3281">
        <f t="shared" si="102"/>
        <v>1</v>
      </c>
      <c r="K3281" s="1" t="s">
        <v>741</v>
      </c>
      <c r="L3281" s="1" t="s">
        <v>666</v>
      </c>
      <c r="M3281">
        <f t="shared" si="103"/>
        <v>26</v>
      </c>
      <c r="N3281" t="s">
        <v>640</v>
      </c>
    </row>
    <row r="3282" spans="1:14" hidden="1" x14ac:dyDescent="0.3">
      <c r="A3282" s="1" t="s">
        <v>2137</v>
      </c>
      <c r="B3282" s="1" t="s">
        <v>1451</v>
      </c>
      <c r="C3282" s="1" t="s">
        <v>2138</v>
      </c>
      <c r="D3282" s="1" t="s">
        <v>746</v>
      </c>
      <c r="E3282" s="1" t="s">
        <v>747</v>
      </c>
      <c r="F3282" s="1" t="s">
        <v>748</v>
      </c>
      <c r="G3282" s="1" t="s">
        <v>2060</v>
      </c>
      <c r="H3282">
        <v>2017</v>
      </c>
      <c r="I3282">
        <v>2018</v>
      </c>
      <c r="J3282">
        <f t="shared" si="102"/>
        <v>2</v>
      </c>
      <c r="K3282" s="1" t="s">
        <v>741</v>
      </c>
      <c r="L3282" s="1" t="s">
        <v>798</v>
      </c>
      <c r="M3282">
        <f t="shared" si="103"/>
        <v>8</v>
      </c>
      <c r="N3282" t="s">
        <v>650</v>
      </c>
    </row>
    <row r="3283" spans="1:14" hidden="1" x14ac:dyDescent="0.3">
      <c r="A3283" s="1" t="s">
        <v>2139</v>
      </c>
      <c r="B3283" s="1" t="s">
        <v>1451</v>
      </c>
      <c r="C3283" s="1" t="s">
        <v>2140</v>
      </c>
      <c r="D3283" s="1" t="s">
        <v>746</v>
      </c>
      <c r="E3283" s="1" t="s">
        <v>747</v>
      </c>
      <c r="F3283" s="1" t="s">
        <v>748</v>
      </c>
      <c r="G3283" s="1" t="s">
        <v>2060</v>
      </c>
      <c r="H3283">
        <v>2017</v>
      </c>
      <c r="I3283">
        <v>2018</v>
      </c>
      <c r="J3283">
        <f t="shared" si="102"/>
        <v>2</v>
      </c>
      <c r="K3283" s="1" t="s">
        <v>741</v>
      </c>
      <c r="L3283" s="1" t="s">
        <v>798</v>
      </c>
      <c r="M3283">
        <f t="shared" si="103"/>
        <v>8</v>
      </c>
      <c r="N3283" t="s">
        <v>650</v>
      </c>
    </row>
    <row r="3284" spans="1:14" hidden="1" x14ac:dyDescent="0.3">
      <c r="A3284" s="1" t="s">
        <v>2141</v>
      </c>
      <c r="B3284" s="1" t="s">
        <v>1451</v>
      </c>
      <c r="C3284" s="1" t="s">
        <v>2142</v>
      </c>
      <c r="D3284" s="1" t="s">
        <v>746</v>
      </c>
      <c r="E3284" s="1" t="s">
        <v>747</v>
      </c>
      <c r="F3284" s="1" t="s">
        <v>748</v>
      </c>
      <c r="G3284" s="1" t="s">
        <v>2060</v>
      </c>
      <c r="H3284">
        <v>2001</v>
      </c>
      <c r="I3284">
        <v>2007</v>
      </c>
      <c r="J3284">
        <f t="shared" si="102"/>
        <v>7</v>
      </c>
      <c r="K3284" s="1" t="s">
        <v>741</v>
      </c>
      <c r="L3284" s="1" t="s">
        <v>798</v>
      </c>
      <c r="M3284">
        <f t="shared" si="103"/>
        <v>19</v>
      </c>
      <c r="N3284" t="s">
        <v>650</v>
      </c>
    </row>
    <row r="3285" spans="1:14" hidden="1" x14ac:dyDescent="0.3">
      <c r="A3285" s="1" t="s">
        <v>2143</v>
      </c>
      <c r="B3285" s="1" t="s">
        <v>1451</v>
      </c>
      <c r="C3285" s="1" t="s">
        <v>2144</v>
      </c>
      <c r="D3285" s="1" t="s">
        <v>738</v>
      </c>
      <c r="E3285" s="1" t="s">
        <v>739</v>
      </c>
      <c r="F3285" s="1" t="s">
        <v>781</v>
      </c>
      <c r="G3285" s="1" t="s">
        <v>2060</v>
      </c>
      <c r="H3285">
        <v>2015</v>
      </c>
      <c r="I3285">
        <v>2022</v>
      </c>
      <c r="J3285">
        <f t="shared" si="102"/>
        <v>8</v>
      </c>
      <c r="K3285" s="1" t="s">
        <v>741</v>
      </c>
      <c r="L3285" s="1" t="s">
        <v>798</v>
      </c>
      <c r="M3285">
        <f t="shared" si="103"/>
        <v>4</v>
      </c>
      <c r="N3285" t="s">
        <v>650</v>
      </c>
    </row>
    <row r="3286" spans="1:14" hidden="1" x14ac:dyDescent="0.3">
      <c r="A3286" s="1" t="s">
        <v>2145</v>
      </c>
      <c r="B3286" s="1" t="s">
        <v>1451</v>
      </c>
      <c r="C3286" s="1" t="s">
        <v>2146</v>
      </c>
      <c r="D3286" s="1" t="s">
        <v>738</v>
      </c>
      <c r="E3286" s="1" t="s">
        <v>739</v>
      </c>
      <c r="F3286" s="1" t="s">
        <v>781</v>
      </c>
      <c r="G3286" s="1" t="s">
        <v>2060</v>
      </c>
      <c r="H3286">
        <v>2015</v>
      </c>
      <c r="I3286">
        <v>2019</v>
      </c>
      <c r="J3286">
        <f t="shared" si="102"/>
        <v>5</v>
      </c>
      <c r="K3286" s="1" t="s">
        <v>741</v>
      </c>
      <c r="L3286" s="1" t="s">
        <v>798</v>
      </c>
      <c r="M3286">
        <f t="shared" si="103"/>
        <v>7</v>
      </c>
      <c r="N3286" t="s">
        <v>650</v>
      </c>
    </row>
    <row r="3287" spans="1:14" hidden="1" x14ac:dyDescent="0.3">
      <c r="A3287" s="1" t="s">
        <v>2147</v>
      </c>
      <c r="B3287" s="1" t="s">
        <v>1451</v>
      </c>
      <c r="C3287" s="1" t="s">
        <v>2148</v>
      </c>
      <c r="D3287" s="1" t="s">
        <v>738</v>
      </c>
      <c r="E3287" s="1" t="s">
        <v>739</v>
      </c>
      <c r="F3287" s="1" t="s">
        <v>781</v>
      </c>
      <c r="G3287" s="1" t="s">
        <v>2060</v>
      </c>
      <c r="H3287">
        <v>2018</v>
      </c>
      <c r="I3287">
        <v>2018</v>
      </c>
      <c r="J3287">
        <f t="shared" si="102"/>
        <v>1</v>
      </c>
      <c r="K3287" s="1" t="s">
        <v>741</v>
      </c>
      <c r="L3287" s="1" t="s">
        <v>798</v>
      </c>
      <c r="M3287">
        <f t="shared" si="103"/>
        <v>8</v>
      </c>
      <c r="N3287" t="s">
        <v>650</v>
      </c>
    </row>
    <row r="3288" spans="1:14" hidden="1" x14ac:dyDescent="0.3">
      <c r="A3288" s="1" t="s">
        <v>2149</v>
      </c>
      <c r="B3288" s="1" t="s">
        <v>1451</v>
      </c>
      <c r="C3288" s="1" t="s">
        <v>2150</v>
      </c>
      <c r="D3288" s="1" t="s">
        <v>738</v>
      </c>
      <c r="E3288" s="1" t="s">
        <v>739</v>
      </c>
      <c r="F3288" s="1" t="s">
        <v>781</v>
      </c>
      <c r="G3288" s="1" t="s">
        <v>2060</v>
      </c>
      <c r="H3288">
        <v>2015</v>
      </c>
      <c r="I3288">
        <v>2018</v>
      </c>
      <c r="J3288">
        <f t="shared" si="102"/>
        <v>4</v>
      </c>
      <c r="K3288" s="1" t="s">
        <v>741</v>
      </c>
      <c r="L3288" s="1" t="s">
        <v>798</v>
      </c>
      <c r="M3288">
        <f t="shared" si="103"/>
        <v>8</v>
      </c>
      <c r="N3288" t="s">
        <v>650</v>
      </c>
    </row>
    <row r="3289" spans="1:14" hidden="1" x14ac:dyDescent="0.3">
      <c r="A3289" s="1" t="s">
        <v>2151</v>
      </c>
      <c r="B3289" s="1" t="s">
        <v>1451</v>
      </c>
      <c r="C3289" s="1" t="s">
        <v>2152</v>
      </c>
      <c r="D3289" s="1" t="s">
        <v>738</v>
      </c>
      <c r="E3289" s="1" t="s">
        <v>739</v>
      </c>
      <c r="F3289" s="1" t="s">
        <v>781</v>
      </c>
      <c r="G3289" s="1" t="s">
        <v>2060</v>
      </c>
      <c r="H3289">
        <v>2015</v>
      </c>
      <c r="I3289">
        <v>2018</v>
      </c>
      <c r="J3289">
        <f t="shared" si="102"/>
        <v>4</v>
      </c>
      <c r="K3289" s="1" t="s">
        <v>741</v>
      </c>
      <c r="L3289" s="1" t="s">
        <v>798</v>
      </c>
      <c r="M3289">
        <f t="shared" si="103"/>
        <v>8</v>
      </c>
      <c r="N3289" t="s">
        <v>650</v>
      </c>
    </row>
    <row r="3290" spans="1:14" x14ac:dyDescent="0.3">
      <c r="A3290" s="1" t="s">
        <v>8584</v>
      </c>
      <c r="B3290" s="1" t="s">
        <v>795</v>
      </c>
      <c r="C3290" s="1" t="s">
        <v>8585</v>
      </c>
      <c r="D3290" s="1" t="s">
        <v>746</v>
      </c>
      <c r="E3290" s="1" t="s">
        <v>6076</v>
      </c>
      <c r="F3290" s="1" t="s">
        <v>6076</v>
      </c>
      <c r="G3290" s="1" t="s">
        <v>8586</v>
      </c>
      <c r="H3290">
        <v>1994</v>
      </c>
      <c r="I3290">
        <v>1998</v>
      </c>
      <c r="J3290">
        <f t="shared" si="102"/>
        <v>5</v>
      </c>
      <c r="K3290" s="1" t="s">
        <v>6076</v>
      </c>
      <c r="L3290" s="1" t="s">
        <v>6076</v>
      </c>
      <c r="M3290">
        <f t="shared" si="103"/>
        <v>28</v>
      </c>
      <c r="N3290" t="s">
        <v>640</v>
      </c>
    </row>
    <row r="3291" spans="1:14" x14ac:dyDescent="0.3">
      <c r="A3291" s="1" t="s">
        <v>8587</v>
      </c>
      <c r="B3291" s="1" t="s">
        <v>795</v>
      </c>
      <c r="C3291" s="1" t="s">
        <v>8588</v>
      </c>
      <c r="D3291" s="1" t="s">
        <v>746</v>
      </c>
      <c r="E3291" s="1" t="s">
        <v>6076</v>
      </c>
      <c r="F3291" s="1" t="s">
        <v>6076</v>
      </c>
      <c r="G3291" s="1" t="s">
        <v>8586</v>
      </c>
      <c r="H3291">
        <v>1989</v>
      </c>
      <c r="I3291">
        <v>1998</v>
      </c>
      <c r="J3291">
        <f t="shared" si="102"/>
        <v>10</v>
      </c>
      <c r="K3291" s="1" t="s">
        <v>6076</v>
      </c>
      <c r="L3291" s="1" t="s">
        <v>6076</v>
      </c>
      <c r="M3291">
        <f t="shared" si="103"/>
        <v>28</v>
      </c>
      <c r="N3291" t="s">
        <v>640</v>
      </c>
    </row>
    <row r="3292" spans="1:14" x14ac:dyDescent="0.3">
      <c r="A3292" s="1" t="s">
        <v>8589</v>
      </c>
      <c r="B3292" s="1" t="s">
        <v>795</v>
      </c>
      <c r="C3292" s="1" t="s">
        <v>8590</v>
      </c>
      <c r="D3292" s="1" t="s">
        <v>746</v>
      </c>
      <c r="E3292" s="1" t="s">
        <v>6076</v>
      </c>
      <c r="F3292" s="1" t="s">
        <v>6076</v>
      </c>
      <c r="G3292" s="1" t="s">
        <v>8586</v>
      </c>
      <c r="H3292">
        <v>1989</v>
      </c>
      <c r="I3292">
        <v>1995</v>
      </c>
      <c r="J3292">
        <f t="shared" si="102"/>
        <v>7</v>
      </c>
      <c r="K3292" s="1" t="s">
        <v>6076</v>
      </c>
      <c r="L3292" s="1" t="s">
        <v>6076</v>
      </c>
      <c r="M3292">
        <f t="shared" si="103"/>
        <v>31</v>
      </c>
      <c r="N3292" t="s">
        <v>640</v>
      </c>
    </row>
    <row r="3293" spans="1:14" x14ac:dyDescent="0.3">
      <c r="A3293" s="1" t="s">
        <v>8591</v>
      </c>
      <c r="B3293" s="1" t="s">
        <v>795</v>
      </c>
      <c r="C3293" s="1" t="s">
        <v>8592</v>
      </c>
      <c r="D3293" s="1" t="s">
        <v>746</v>
      </c>
      <c r="E3293" s="1" t="s">
        <v>6076</v>
      </c>
      <c r="F3293" s="1" t="s">
        <v>6076</v>
      </c>
      <c r="G3293" s="1" t="s">
        <v>8586</v>
      </c>
      <c r="H3293">
        <v>1997</v>
      </c>
      <c r="I3293">
        <v>1998</v>
      </c>
      <c r="J3293">
        <f t="shared" si="102"/>
        <v>2</v>
      </c>
      <c r="K3293" s="1" t="s">
        <v>6076</v>
      </c>
      <c r="L3293" s="1" t="s">
        <v>6076</v>
      </c>
      <c r="M3293">
        <f t="shared" si="103"/>
        <v>28</v>
      </c>
      <c r="N3293" t="s">
        <v>640</v>
      </c>
    </row>
    <row r="3294" spans="1:14" x14ac:dyDescent="0.3">
      <c r="A3294" s="1" t="s">
        <v>8593</v>
      </c>
      <c r="B3294" s="1" t="s">
        <v>795</v>
      </c>
      <c r="C3294" s="1" t="s">
        <v>8594</v>
      </c>
      <c r="D3294" s="1" t="s">
        <v>746</v>
      </c>
      <c r="E3294" s="1" t="s">
        <v>6076</v>
      </c>
      <c r="F3294" s="1" t="s">
        <v>6076</v>
      </c>
      <c r="G3294" s="1" t="s">
        <v>8586</v>
      </c>
      <c r="H3294">
        <v>1989</v>
      </c>
      <c r="I3294">
        <v>1995</v>
      </c>
      <c r="J3294">
        <f t="shared" si="102"/>
        <v>7</v>
      </c>
      <c r="K3294" s="1" t="s">
        <v>6076</v>
      </c>
      <c r="L3294" s="1" t="s">
        <v>6076</v>
      </c>
      <c r="M3294">
        <f t="shared" si="103"/>
        <v>31</v>
      </c>
      <c r="N3294" t="s">
        <v>640</v>
      </c>
    </row>
    <row r="3295" spans="1:14" x14ac:dyDescent="0.3">
      <c r="A3295" s="1" t="s">
        <v>8595</v>
      </c>
      <c r="B3295" s="1" t="s">
        <v>795</v>
      </c>
      <c r="C3295" s="1" t="s">
        <v>8596</v>
      </c>
      <c r="D3295" s="1" t="s">
        <v>746</v>
      </c>
      <c r="E3295" s="1" t="s">
        <v>6076</v>
      </c>
      <c r="F3295" s="1" t="s">
        <v>6076</v>
      </c>
      <c r="G3295" s="1" t="s">
        <v>8586</v>
      </c>
      <c r="H3295">
        <v>1992</v>
      </c>
      <c r="I3295">
        <v>1995</v>
      </c>
      <c r="J3295">
        <f t="shared" si="102"/>
        <v>4</v>
      </c>
      <c r="K3295" s="1" t="s">
        <v>6076</v>
      </c>
      <c r="L3295" s="1" t="s">
        <v>6076</v>
      </c>
      <c r="M3295">
        <f t="shared" si="103"/>
        <v>31</v>
      </c>
      <c r="N3295" t="s">
        <v>640</v>
      </c>
    </row>
    <row r="3296" spans="1:14" x14ac:dyDescent="0.3">
      <c r="A3296" s="1" t="s">
        <v>8597</v>
      </c>
      <c r="B3296" s="1" t="s">
        <v>795</v>
      </c>
      <c r="C3296" s="1" t="s">
        <v>8598</v>
      </c>
      <c r="D3296" s="1" t="s">
        <v>746</v>
      </c>
      <c r="E3296" s="1" t="s">
        <v>6076</v>
      </c>
      <c r="F3296" s="1" t="s">
        <v>6076</v>
      </c>
      <c r="G3296" s="1" t="s">
        <v>8586</v>
      </c>
      <c r="H3296">
        <v>1995</v>
      </c>
      <c r="I3296">
        <v>1998</v>
      </c>
      <c r="J3296">
        <f t="shared" si="102"/>
        <v>4</v>
      </c>
      <c r="K3296" s="1" t="s">
        <v>6076</v>
      </c>
      <c r="L3296" s="1" t="s">
        <v>6076</v>
      </c>
      <c r="M3296">
        <f t="shared" si="103"/>
        <v>28</v>
      </c>
      <c r="N3296" t="s">
        <v>640</v>
      </c>
    </row>
    <row r="3297" spans="1:14" hidden="1" x14ac:dyDescent="0.3">
      <c r="A3297" t="s">
        <v>12263</v>
      </c>
      <c r="B3297" t="s">
        <v>12756</v>
      </c>
      <c r="C3297" t="s">
        <v>12264</v>
      </c>
      <c r="E3297" s="1" t="e">
        <v>#N/A</v>
      </c>
      <c r="F3297" s="1" t="e">
        <v>#N/A</v>
      </c>
      <c r="G3297" s="1" t="s">
        <v>12288</v>
      </c>
      <c r="H3297">
        <v>2025</v>
      </c>
      <c r="I3297">
        <v>2026</v>
      </c>
      <c r="J3297">
        <f t="shared" si="102"/>
        <v>2</v>
      </c>
      <c r="K3297" s="1" t="s">
        <v>648</v>
      </c>
      <c r="L3297" s="1" t="s">
        <v>666</v>
      </c>
      <c r="M3297">
        <f t="shared" si="103"/>
        <v>0</v>
      </c>
    </row>
    <row r="3298" spans="1:14" hidden="1" x14ac:dyDescent="0.3">
      <c r="A3298" s="1" t="s">
        <v>724</v>
      </c>
      <c r="B3298" s="1" t="s">
        <v>12756</v>
      </c>
      <c r="C3298" s="1" t="s">
        <v>725</v>
      </c>
      <c r="D3298" s="1" t="s">
        <v>644</v>
      </c>
      <c r="E3298" s="1" t="s">
        <v>674</v>
      </c>
      <c r="F3298" s="1" t="s">
        <v>675</v>
      </c>
      <c r="G3298" s="1" t="s">
        <v>679</v>
      </c>
      <c r="H3298">
        <v>2005</v>
      </c>
      <c r="I3298">
        <v>2007</v>
      </c>
      <c r="J3298">
        <f t="shared" si="102"/>
        <v>3</v>
      </c>
      <c r="K3298" s="1" t="s">
        <v>648</v>
      </c>
      <c r="L3298" s="1" t="s">
        <v>666</v>
      </c>
      <c r="M3298">
        <f t="shared" si="103"/>
        <v>19</v>
      </c>
      <c r="N3298" t="s">
        <v>650</v>
      </c>
    </row>
    <row r="3299" spans="1:14" hidden="1" x14ac:dyDescent="0.3">
      <c r="A3299" s="1" t="s">
        <v>726</v>
      </c>
      <c r="B3299" s="1" t="s">
        <v>12756</v>
      </c>
      <c r="C3299" s="1" t="s">
        <v>727</v>
      </c>
      <c r="D3299" s="1" t="s">
        <v>644</v>
      </c>
      <c r="E3299" s="1" t="s">
        <v>674</v>
      </c>
      <c r="F3299" s="1" t="s">
        <v>675</v>
      </c>
      <c r="G3299" s="1" t="s">
        <v>679</v>
      </c>
      <c r="H3299">
        <v>2007</v>
      </c>
      <c r="I3299">
        <v>2011</v>
      </c>
      <c r="J3299">
        <f t="shared" si="102"/>
        <v>5</v>
      </c>
      <c r="K3299" s="1" t="s">
        <v>648</v>
      </c>
      <c r="L3299" s="1" t="s">
        <v>666</v>
      </c>
      <c r="M3299">
        <f t="shared" si="103"/>
        <v>15</v>
      </c>
      <c r="N3299" t="s">
        <v>650</v>
      </c>
    </row>
    <row r="3300" spans="1:14" hidden="1" x14ac:dyDescent="0.3">
      <c r="A3300" t="s">
        <v>12265</v>
      </c>
      <c r="B3300" t="s">
        <v>12756</v>
      </c>
      <c r="C3300" t="s">
        <v>12266</v>
      </c>
      <c r="E3300" s="1" t="e">
        <v>#N/A</v>
      </c>
      <c r="F3300" s="1" t="e">
        <v>#N/A</v>
      </c>
      <c r="G3300" s="1" t="s">
        <v>12288</v>
      </c>
      <c r="H3300">
        <v>2024</v>
      </c>
      <c r="I3300">
        <v>2026</v>
      </c>
      <c r="J3300">
        <f t="shared" si="102"/>
        <v>3</v>
      </c>
      <c r="K3300" s="1" t="s">
        <v>648</v>
      </c>
      <c r="L3300" s="1" t="s">
        <v>666</v>
      </c>
      <c r="M3300">
        <f t="shared" si="103"/>
        <v>0</v>
      </c>
    </row>
    <row r="3301" spans="1:14" hidden="1" x14ac:dyDescent="0.3">
      <c r="A3301" s="1" t="s">
        <v>728</v>
      </c>
      <c r="B3301" s="1" t="s">
        <v>12756</v>
      </c>
      <c r="C3301" s="1" t="s">
        <v>729</v>
      </c>
      <c r="D3301" s="1" t="s">
        <v>644</v>
      </c>
      <c r="E3301" s="1" t="s">
        <v>674</v>
      </c>
      <c r="F3301" s="1" t="s">
        <v>675</v>
      </c>
      <c r="G3301" s="1" t="s">
        <v>679</v>
      </c>
      <c r="H3301">
        <v>2007</v>
      </c>
      <c r="I3301">
        <v>2011</v>
      </c>
      <c r="J3301">
        <f t="shared" si="102"/>
        <v>5</v>
      </c>
      <c r="K3301" s="1" t="s">
        <v>648</v>
      </c>
      <c r="L3301" s="1" t="s">
        <v>666</v>
      </c>
      <c r="M3301">
        <f t="shared" si="103"/>
        <v>15</v>
      </c>
      <c r="N3301" t="s">
        <v>650</v>
      </c>
    </row>
    <row r="3302" spans="1:14" hidden="1" x14ac:dyDescent="0.3">
      <c r="A3302" s="1" t="s">
        <v>730</v>
      </c>
      <c r="B3302" s="1" t="s">
        <v>12756</v>
      </c>
      <c r="C3302" s="1" t="s">
        <v>731</v>
      </c>
      <c r="D3302" s="1" t="s">
        <v>644</v>
      </c>
      <c r="E3302" s="1" t="s">
        <v>674</v>
      </c>
      <c r="F3302" s="1" t="s">
        <v>675</v>
      </c>
      <c r="G3302" s="1" t="s">
        <v>679</v>
      </c>
      <c r="H3302">
        <v>2007</v>
      </c>
      <c r="I3302">
        <v>2018</v>
      </c>
      <c r="J3302">
        <f t="shared" si="102"/>
        <v>12</v>
      </c>
      <c r="K3302" s="1" t="s">
        <v>648</v>
      </c>
      <c r="L3302" s="1" t="s">
        <v>666</v>
      </c>
      <c r="M3302">
        <f t="shared" si="103"/>
        <v>8</v>
      </c>
      <c r="N3302" t="s">
        <v>650</v>
      </c>
    </row>
    <row r="3303" spans="1:14" hidden="1" x14ac:dyDescent="0.3">
      <c r="A3303" s="1" t="s">
        <v>677</v>
      </c>
      <c r="B3303" s="1" t="s">
        <v>12756</v>
      </c>
      <c r="C3303" s="1" t="s">
        <v>678</v>
      </c>
      <c r="D3303" s="1" t="s">
        <v>644</v>
      </c>
      <c r="E3303" s="1" t="s">
        <v>674</v>
      </c>
      <c r="F3303" s="1" t="s">
        <v>675</v>
      </c>
      <c r="G3303" s="1" t="s">
        <v>679</v>
      </c>
      <c r="H3303">
        <v>2000</v>
      </c>
      <c r="I3303">
        <v>2005</v>
      </c>
      <c r="J3303">
        <f t="shared" si="102"/>
        <v>6</v>
      </c>
      <c r="K3303" s="1" t="s">
        <v>648</v>
      </c>
      <c r="L3303" s="1" t="s">
        <v>649</v>
      </c>
      <c r="M3303">
        <f t="shared" si="103"/>
        <v>21</v>
      </c>
      <c r="N3303" t="s">
        <v>640</v>
      </c>
    </row>
    <row r="3304" spans="1:14" hidden="1" x14ac:dyDescent="0.3">
      <c r="A3304" s="1" t="s">
        <v>680</v>
      </c>
      <c r="B3304" s="1" t="s">
        <v>12756</v>
      </c>
      <c r="C3304" s="1" t="s">
        <v>681</v>
      </c>
      <c r="D3304" s="1" t="s">
        <v>644</v>
      </c>
      <c r="E3304" s="1" t="s">
        <v>674</v>
      </c>
      <c r="F3304" s="1" t="s">
        <v>675</v>
      </c>
      <c r="G3304" s="1" t="s">
        <v>679</v>
      </c>
      <c r="H3304">
        <v>2000</v>
      </c>
      <c r="I3304">
        <v>2005</v>
      </c>
      <c r="J3304">
        <f t="shared" si="102"/>
        <v>6</v>
      </c>
      <c r="K3304" s="1" t="s">
        <v>648</v>
      </c>
      <c r="L3304" s="1" t="s">
        <v>649</v>
      </c>
      <c r="M3304">
        <f t="shared" si="103"/>
        <v>21</v>
      </c>
      <c r="N3304" t="s">
        <v>640</v>
      </c>
    </row>
    <row r="3305" spans="1:14" hidden="1" x14ac:dyDescent="0.3">
      <c r="A3305" s="1" t="s">
        <v>732</v>
      </c>
      <c r="B3305" s="1" t="s">
        <v>12756</v>
      </c>
      <c r="C3305" s="1" t="s">
        <v>733</v>
      </c>
      <c r="D3305" s="1" t="s">
        <v>644</v>
      </c>
      <c r="E3305" s="1" t="s">
        <v>674</v>
      </c>
      <c r="F3305" s="1" t="s">
        <v>675</v>
      </c>
      <c r="G3305" s="1" t="s">
        <v>679</v>
      </c>
      <c r="H3305">
        <v>2007</v>
      </c>
      <c r="I3305">
        <v>2008</v>
      </c>
      <c r="J3305">
        <f t="shared" si="102"/>
        <v>2</v>
      </c>
      <c r="K3305" s="1" t="s">
        <v>648</v>
      </c>
      <c r="L3305" s="1" t="s">
        <v>666</v>
      </c>
      <c r="M3305">
        <f t="shared" si="103"/>
        <v>18</v>
      </c>
      <c r="N3305" t="s">
        <v>650</v>
      </c>
    </row>
    <row r="3306" spans="1:14" hidden="1" x14ac:dyDescent="0.3">
      <c r="A3306" s="1" t="s">
        <v>682</v>
      </c>
      <c r="B3306" s="1" t="s">
        <v>12756</v>
      </c>
      <c r="C3306" s="1" t="s">
        <v>683</v>
      </c>
      <c r="D3306" s="1" t="s">
        <v>644</v>
      </c>
      <c r="E3306" s="1" t="s">
        <v>674</v>
      </c>
      <c r="F3306" s="1" t="s">
        <v>675</v>
      </c>
      <c r="G3306" s="1" t="s">
        <v>679</v>
      </c>
      <c r="H3306">
        <v>2000</v>
      </c>
      <c r="I3306">
        <v>2002</v>
      </c>
      <c r="J3306">
        <f t="shared" si="102"/>
        <v>3</v>
      </c>
      <c r="K3306" s="1" t="s">
        <v>648</v>
      </c>
      <c r="L3306" s="1" t="s">
        <v>649</v>
      </c>
      <c r="M3306">
        <f t="shared" si="103"/>
        <v>24</v>
      </c>
      <c r="N3306" t="s">
        <v>640</v>
      </c>
    </row>
    <row r="3307" spans="1:14" hidden="1" x14ac:dyDescent="0.3">
      <c r="A3307" s="1" t="s">
        <v>684</v>
      </c>
      <c r="B3307" s="1" t="s">
        <v>12756</v>
      </c>
      <c r="C3307" s="1" t="s">
        <v>685</v>
      </c>
      <c r="D3307" s="1" t="s">
        <v>644</v>
      </c>
      <c r="E3307" s="1" t="s">
        <v>674</v>
      </c>
      <c r="F3307" s="1" t="s">
        <v>675</v>
      </c>
      <c r="G3307" s="1" t="s">
        <v>679</v>
      </c>
      <c r="H3307">
        <v>2000</v>
      </c>
      <c r="I3307">
        <v>2003</v>
      </c>
      <c r="J3307">
        <f t="shared" si="102"/>
        <v>4</v>
      </c>
      <c r="K3307" s="1" t="s">
        <v>648</v>
      </c>
      <c r="L3307" s="1" t="s">
        <v>649</v>
      </c>
      <c r="M3307">
        <f t="shared" si="103"/>
        <v>23</v>
      </c>
      <c r="N3307" t="s">
        <v>640</v>
      </c>
    </row>
    <row r="3308" spans="1:14" hidden="1" x14ac:dyDescent="0.3">
      <c r="A3308" s="1" t="s">
        <v>686</v>
      </c>
      <c r="B3308" s="1" t="s">
        <v>12756</v>
      </c>
      <c r="C3308" s="1" t="s">
        <v>687</v>
      </c>
      <c r="D3308" s="1" t="s">
        <v>644</v>
      </c>
      <c r="E3308" s="1" t="s">
        <v>674</v>
      </c>
      <c r="F3308" s="1" t="s">
        <v>675</v>
      </c>
      <c r="G3308" s="1" t="s">
        <v>679</v>
      </c>
      <c r="H3308">
        <v>2003</v>
      </c>
      <c r="I3308">
        <v>2004</v>
      </c>
      <c r="J3308">
        <f t="shared" si="102"/>
        <v>2</v>
      </c>
      <c r="K3308" s="1" t="s">
        <v>648</v>
      </c>
      <c r="L3308" s="1" t="s">
        <v>649</v>
      </c>
      <c r="M3308">
        <f t="shared" si="103"/>
        <v>22</v>
      </c>
      <c r="N3308" t="s">
        <v>640</v>
      </c>
    </row>
    <row r="3309" spans="1:14" hidden="1" x14ac:dyDescent="0.3">
      <c r="A3309" s="1" t="s">
        <v>688</v>
      </c>
      <c r="B3309" s="1" t="s">
        <v>12756</v>
      </c>
      <c r="C3309" s="1" t="s">
        <v>689</v>
      </c>
      <c r="D3309" s="1" t="s">
        <v>644</v>
      </c>
      <c r="E3309" s="1" t="s">
        <v>674</v>
      </c>
      <c r="F3309" s="1" t="s">
        <v>675</v>
      </c>
      <c r="G3309" s="1" t="s">
        <v>679</v>
      </c>
      <c r="H3309">
        <v>2003</v>
      </c>
      <c r="I3309">
        <v>2004</v>
      </c>
      <c r="J3309">
        <f t="shared" si="102"/>
        <v>2</v>
      </c>
      <c r="K3309" s="1" t="s">
        <v>648</v>
      </c>
      <c r="L3309" s="1" t="s">
        <v>649</v>
      </c>
      <c r="M3309">
        <f t="shared" si="103"/>
        <v>22</v>
      </c>
      <c r="N3309" t="s">
        <v>640</v>
      </c>
    </row>
    <row r="3310" spans="1:14" hidden="1" x14ac:dyDescent="0.3">
      <c r="A3310" s="1" t="s">
        <v>690</v>
      </c>
      <c r="B3310" s="1" t="s">
        <v>12756</v>
      </c>
      <c r="C3310" s="1" t="s">
        <v>691</v>
      </c>
      <c r="D3310" s="1" t="s">
        <v>644</v>
      </c>
      <c r="E3310" s="1" t="s">
        <v>674</v>
      </c>
      <c r="F3310" s="1" t="s">
        <v>675</v>
      </c>
      <c r="G3310" s="1" t="s">
        <v>679</v>
      </c>
      <c r="H3310">
        <v>2003</v>
      </c>
      <c r="I3310">
        <v>2005</v>
      </c>
      <c r="J3310">
        <f t="shared" si="102"/>
        <v>3</v>
      </c>
      <c r="K3310" s="1" t="s">
        <v>648</v>
      </c>
      <c r="L3310" s="1" t="s">
        <v>649</v>
      </c>
      <c r="M3310">
        <f t="shared" si="103"/>
        <v>21</v>
      </c>
      <c r="N3310" t="s">
        <v>640</v>
      </c>
    </row>
    <row r="3311" spans="1:14" hidden="1" x14ac:dyDescent="0.3">
      <c r="A3311" s="1" t="s">
        <v>734</v>
      </c>
      <c r="B3311" s="1" t="s">
        <v>12756</v>
      </c>
      <c r="C3311" s="1" t="s">
        <v>735</v>
      </c>
      <c r="D3311" s="1" t="s">
        <v>644</v>
      </c>
      <c r="E3311" s="1" t="s">
        <v>674</v>
      </c>
      <c r="F3311" s="1" t="s">
        <v>675</v>
      </c>
      <c r="G3311" s="1" t="s">
        <v>679</v>
      </c>
      <c r="H3311">
        <v>2000</v>
      </c>
      <c r="I3311">
        <v>2007</v>
      </c>
      <c r="J3311">
        <f t="shared" si="102"/>
        <v>8</v>
      </c>
      <c r="K3311" s="1" t="s">
        <v>648</v>
      </c>
      <c r="L3311" s="1" t="s">
        <v>666</v>
      </c>
      <c r="M3311">
        <f t="shared" si="103"/>
        <v>19</v>
      </c>
      <c r="N3311" t="s">
        <v>650</v>
      </c>
    </row>
    <row r="3312" spans="1:14" hidden="1" x14ac:dyDescent="0.3">
      <c r="A3312" s="1" t="s">
        <v>692</v>
      </c>
      <c r="B3312" s="1" t="s">
        <v>12756</v>
      </c>
      <c r="C3312" s="1" t="s">
        <v>693</v>
      </c>
      <c r="D3312" s="1" t="s">
        <v>644</v>
      </c>
      <c r="E3312" s="1" t="s">
        <v>674</v>
      </c>
      <c r="F3312" s="1" t="s">
        <v>675</v>
      </c>
      <c r="G3312" s="1" t="s">
        <v>679</v>
      </c>
      <c r="H3312">
        <v>2003</v>
      </c>
      <c r="I3312">
        <v>2004</v>
      </c>
      <c r="J3312">
        <f t="shared" si="102"/>
        <v>2</v>
      </c>
      <c r="K3312" s="1" t="s">
        <v>648</v>
      </c>
      <c r="L3312" s="1" t="s">
        <v>649</v>
      </c>
      <c r="M3312">
        <f t="shared" si="103"/>
        <v>22</v>
      </c>
      <c r="N3312" t="s">
        <v>640</v>
      </c>
    </row>
    <row r="3313" spans="1:14" hidden="1" x14ac:dyDescent="0.3">
      <c r="A3313" s="1" t="s">
        <v>694</v>
      </c>
      <c r="B3313" s="1" t="s">
        <v>12756</v>
      </c>
      <c r="C3313" s="1" t="s">
        <v>695</v>
      </c>
      <c r="D3313" s="1" t="s">
        <v>644</v>
      </c>
      <c r="E3313" s="1" t="s">
        <v>674</v>
      </c>
      <c r="F3313" s="1" t="s">
        <v>675</v>
      </c>
      <c r="G3313" s="1" t="s">
        <v>679</v>
      </c>
      <c r="H3313">
        <v>2003</v>
      </c>
      <c r="I3313">
        <v>2004</v>
      </c>
      <c r="J3313">
        <f t="shared" si="102"/>
        <v>2</v>
      </c>
      <c r="K3313" s="1" t="s">
        <v>648</v>
      </c>
      <c r="L3313" s="1" t="s">
        <v>649</v>
      </c>
      <c r="M3313">
        <f t="shared" si="103"/>
        <v>22</v>
      </c>
      <c r="N3313" t="s">
        <v>640</v>
      </c>
    </row>
    <row r="3314" spans="1:14" hidden="1" x14ac:dyDescent="0.3">
      <c r="A3314" t="s">
        <v>12268</v>
      </c>
      <c r="B3314" t="s">
        <v>12756</v>
      </c>
      <c r="C3314" t="s">
        <v>12269</v>
      </c>
      <c r="E3314" s="1" t="e">
        <v>#N/A</v>
      </c>
      <c r="F3314" s="1" t="e">
        <v>#N/A</v>
      </c>
      <c r="G3314" s="1" t="s">
        <v>12288</v>
      </c>
      <c r="H3314">
        <v>2022</v>
      </c>
      <c r="I3314">
        <v>2023</v>
      </c>
      <c r="J3314">
        <f t="shared" si="102"/>
        <v>2</v>
      </c>
      <c r="K3314" s="1" t="s">
        <v>648</v>
      </c>
      <c r="L3314" s="1" t="s">
        <v>666</v>
      </c>
      <c r="M3314">
        <f t="shared" si="103"/>
        <v>3</v>
      </c>
    </row>
    <row r="3315" spans="1:14" hidden="1" x14ac:dyDescent="0.3">
      <c r="A3315" t="s">
        <v>12270</v>
      </c>
      <c r="B3315" t="s">
        <v>12756</v>
      </c>
      <c r="C3315" t="s">
        <v>12271</v>
      </c>
      <c r="E3315" s="1" t="e">
        <v>#N/A</v>
      </c>
      <c r="F3315" s="1" t="e">
        <v>#N/A</v>
      </c>
      <c r="G3315" s="1" t="s">
        <v>12267</v>
      </c>
      <c r="H3315">
        <v>2025</v>
      </c>
      <c r="I3315">
        <v>2026</v>
      </c>
      <c r="J3315">
        <f t="shared" si="102"/>
        <v>2</v>
      </c>
      <c r="K3315" s="1" t="s">
        <v>741</v>
      </c>
      <c r="L3315" s="1" t="s">
        <v>666</v>
      </c>
      <c r="M3315">
        <f t="shared" si="103"/>
        <v>0</v>
      </c>
    </row>
    <row r="3316" spans="1:14" hidden="1" x14ac:dyDescent="0.3">
      <c r="A3316" t="s">
        <v>12272</v>
      </c>
      <c r="B3316" t="s">
        <v>12756</v>
      </c>
      <c r="C3316" t="s">
        <v>12273</v>
      </c>
      <c r="E3316" s="1" t="e">
        <v>#N/A</v>
      </c>
      <c r="F3316" s="1" t="e">
        <v>#N/A</v>
      </c>
      <c r="G3316" s="1" t="s">
        <v>12267</v>
      </c>
      <c r="H3316">
        <v>2024</v>
      </c>
      <c r="I3316">
        <v>2026</v>
      </c>
      <c r="J3316">
        <f t="shared" si="102"/>
        <v>3</v>
      </c>
      <c r="K3316" s="1" t="s">
        <v>741</v>
      </c>
      <c r="L3316" s="1" t="s">
        <v>666</v>
      </c>
      <c r="M3316">
        <f t="shared" si="103"/>
        <v>0</v>
      </c>
    </row>
    <row r="3317" spans="1:14" hidden="1" x14ac:dyDescent="0.3">
      <c r="A3317" t="s">
        <v>12274</v>
      </c>
      <c r="B3317" t="s">
        <v>12756</v>
      </c>
      <c r="C3317" t="s">
        <v>12275</v>
      </c>
      <c r="E3317" s="1" t="e">
        <v>#N/A</v>
      </c>
      <c r="F3317" s="1" t="e">
        <v>#N/A</v>
      </c>
      <c r="G3317" s="1" t="s">
        <v>12267</v>
      </c>
      <c r="H3317">
        <v>2025</v>
      </c>
      <c r="I3317">
        <v>2026</v>
      </c>
      <c r="J3317">
        <f t="shared" si="102"/>
        <v>2</v>
      </c>
      <c r="K3317" s="1" t="s">
        <v>741</v>
      </c>
      <c r="L3317" s="1" t="s">
        <v>666</v>
      </c>
      <c r="M3317">
        <f t="shared" si="103"/>
        <v>0</v>
      </c>
    </row>
    <row r="3318" spans="1:14" hidden="1" x14ac:dyDescent="0.3">
      <c r="A3318" t="s">
        <v>12276</v>
      </c>
      <c r="B3318" t="s">
        <v>12756</v>
      </c>
      <c r="C3318" t="s">
        <v>12277</v>
      </c>
      <c r="E3318" s="1" t="e">
        <v>#N/A</v>
      </c>
      <c r="F3318" s="1" t="e">
        <v>#N/A</v>
      </c>
      <c r="G3318" s="1" t="s">
        <v>12267</v>
      </c>
      <c r="H3318">
        <v>2025</v>
      </c>
      <c r="I3318">
        <v>2026</v>
      </c>
      <c r="J3318">
        <f t="shared" si="102"/>
        <v>2</v>
      </c>
      <c r="K3318" s="1" t="s">
        <v>741</v>
      </c>
      <c r="L3318" s="1" t="s">
        <v>666</v>
      </c>
      <c r="M3318">
        <f t="shared" si="103"/>
        <v>0</v>
      </c>
    </row>
    <row r="3319" spans="1:14" hidden="1" x14ac:dyDescent="0.3">
      <c r="A3319" t="s">
        <v>12278</v>
      </c>
      <c r="B3319" t="s">
        <v>12756</v>
      </c>
      <c r="C3319" t="s">
        <v>12279</v>
      </c>
      <c r="E3319" s="1" t="e">
        <v>#N/A</v>
      </c>
      <c r="F3319" s="1" t="e">
        <v>#N/A</v>
      </c>
      <c r="G3319" s="1" t="s">
        <v>12267</v>
      </c>
      <c r="H3319">
        <v>2024</v>
      </c>
      <c r="I3319">
        <v>2026</v>
      </c>
      <c r="J3319">
        <f t="shared" si="102"/>
        <v>3</v>
      </c>
      <c r="K3319" s="1" t="s">
        <v>741</v>
      </c>
      <c r="L3319" s="1" t="s">
        <v>666</v>
      </c>
      <c r="M3319">
        <f t="shared" si="103"/>
        <v>0</v>
      </c>
    </row>
    <row r="3320" spans="1:14" hidden="1" x14ac:dyDescent="0.3">
      <c r="A3320" t="s">
        <v>12280</v>
      </c>
      <c r="B3320" t="s">
        <v>12756</v>
      </c>
      <c r="C3320" t="s">
        <v>12281</v>
      </c>
      <c r="E3320" s="1" t="e">
        <v>#N/A</v>
      </c>
      <c r="F3320" s="1" t="e">
        <v>#N/A</v>
      </c>
      <c r="G3320" s="1" t="s">
        <v>12267</v>
      </c>
      <c r="H3320">
        <v>2024</v>
      </c>
      <c r="I3320">
        <v>2026</v>
      </c>
      <c r="J3320">
        <f t="shared" si="102"/>
        <v>3</v>
      </c>
      <c r="K3320" s="1" t="s">
        <v>741</v>
      </c>
      <c r="L3320" s="1" t="s">
        <v>666</v>
      </c>
      <c r="M3320">
        <f t="shared" si="103"/>
        <v>0</v>
      </c>
    </row>
    <row r="3321" spans="1:14" hidden="1" x14ac:dyDescent="0.3">
      <c r="A3321" t="s">
        <v>12108</v>
      </c>
      <c r="B3321" t="s">
        <v>2154</v>
      </c>
      <c r="C3321" t="s">
        <v>12109</v>
      </c>
      <c r="E3321" s="1" t="e">
        <v>#N/A</v>
      </c>
      <c r="F3321" s="1" t="e">
        <v>#N/A</v>
      </c>
      <c r="G3321" s="1" t="s">
        <v>2156</v>
      </c>
      <c r="H3321">
        <v>2022</v>
      </c>
      <c r="I3321">
        <v>2026</v>
      </c>
      <c r="J3321">
        <f t="shared" si="102"/>
        <v>5</v>
      </c>
      <c r="K3321" s="1" t="s">
        <v>741</v>
      </c>
      <c r="L3321" s="1" t="s">
        <v>666</v>
      </c>
      <c r="M3321">
        <f t="shared" si="103"/>
        <v>0</v>
      </c>
    </row>
    <row r="3322" spans="1:14" hidden="1" x14ac:dyDescent="0.3">
      <c r="A3322" s="1" t="s">
        <v>2153</v>
      </c>
      <c r="B3322" s="1" t="s">
        <v>2154</v>
      </c>
      <c r="C3322" s="1" t="s">
        <v>2155</v>
      </c>
      <c r="D3322" s="1" t="s">
        <v>1395</v>
      </c>
      <c r="E3322" s="1" t="s">
        <v>1396</v>
      </c>
      <c r="F3322" s="1" t="s">
        <v>1397</v>
      </c>
      <c r="G3322" s="1" t="s">
        <v>2156</v>
      </c>
      <c r="H3322">
        <v>2021</v>
      </c>
      <c r="I3322">
        <v>2022</v>
      </c>
      <c r="J3322">
        <f t="shared" si="102"/>
        <v>2</v>
      </c>
      <c r="K3322" s="1" t="s">
        <v>741</v>
      </c>
      <c r="L3322" s="1" t="s">
        <v>649</v>
      </c>
      <c r="M3322">
        <f t="shared" si="103"/>
        <v>4</v>
      </c>
      <c r="N3322" t="s">
        <v>650</v>
      </c>
    </row>
    <row r="3323" spans="1:14" hidden="1" x14ac:dyDescent="0.3">
      <c r="A3323" t="s">
        <v>12110</v>
      </c>
      <c r="B3323" t="s">
        <v>2154</v>
      </c>
      <c r="C3323" t="s">
        <v>12111</v>
      </c>
      <c r="E3323" s="1" t="e">
        <v>#N/A</v>
      </c>
      <c r="F3323" s="1" t="e">
        <v>#N/A</v>
      </c>
      <c r="G3323" s="1" t="s">
        <v>2156</v>
      </c>
      <c r="H3323">
        <v>2025</v>
      </c>
      <c r="I3323">
        <v>2026</v>
      </c>
      <c r="J3323">
        <f t="shared" si="102"/>
        <v>2</v>
      </c>
      <c r="K3323" s="1" t="s">
        <v>741</v>
      </c>
      <c r="L3323" s="1" t="s">
        <v>666</v>
      </c>
      <c r="M3323">
        <f t="shared" si="103"/>
        <v>0</v>
      </c>
    </row>
    <row r="3324" spans="1:14" hidden="1" x14ac:dyDescent="0.3">
      <c r="A3324" s="1" t="s">
        <v>2157</v>
      </c>
      <c r="B3324" s="1" t="s">
        <v>2154</v>
      </c>
      <c r="C3324" s="1" t="s">
        <v>2158</v>
      </c>
      <c r="D3324" s="1" t="s">
        <v>1395</v>
      </c>
      <c r="E3324" s="1" t="s">
        <v>1396</v>
      </c>
      <c r="F3324" s="1" t="s">
        <v>1397</v>
      </c>
      <c r="G3324" s="1" t="s">
        <v>2156</v>
      </c>
      <c r="H3324">
        <v>2022</v>
      </c>
      <c r="I3324">
        <v>2022</v>
      </c>
      <c r="J3324">
        <f t="shared" si="102"/>
        <v>1</v>
      </c>
      <c r="K3324" s="1" t="s">
        <v>741</v>
      </c>
      <c r="L3324" s="1" t="s">
        <v>649</v>
      </c>
      <c r="M3324">
        <f t="shared" si="103"/>
        <v>4</v>
      </c>
      <c r="N3324" t="s">
        <v>650</v>
      </c>
    </row>
    <row r="3325" spans="1:14" hidden="1" x14ac:dyDescent="0.3">
      <c r="A3325" s="1" t="s">
        <v>2159</v>
      </c>
      <c r="B3325" s="1" t="s">
        <v>2154</v>
      </c>
      <c r="C3325" s="1" t="s">
        <v>2160</v>
      </c>
      <c r="D3325" s="1" t="s">
        <v>1395</v>
      </c>
      <c r="E3325" s="1" t="s">
        <v>1396</v>
      </c>
      <c r="F3325" s="1" t="s">
        <v>1397</v>
      </c>
      <c r="G3325" s="1" t="s">
        <v>2156</v>
      </c>
      <c r="H3325">
        <v>2022</v>
      </c>
      <c r="I3325">
        <v>2022</v>
      </c>
      <c r="J3325">
        <f t="shared" si="102"/>
        <v>1</v>
      </c>
      <c r="K3325" s="1" t="s">
        <v>741</v>
      </c>
      <c r="L3325" s="1" t="s">
        <v>649</v>
      </c>
      <c r="M3325">
        <f t="shared" si="103"/>
        <v>4</v>
      </c>
      <c r="N3325" t="s">
        <v>650</v>
      </c>
    </row>
    <row r="3326" spans="1:14" hidden="1" x14ac:dyDescent="0.3">
      <c r="A3326" t="s">
        <v>12112</v>
      </c>
      <c r="B3326" t="s">
        <v>2154</v>
      </c>
      <c r="C3326" t="s">
        <v>12113</v>
      </c>
      <c r="E3326" s="1" t="e">
        <v>#N/A</v>
      </c>
      <c r="F3326" s="1" t="e">
        <v>#N/A</v>
      </c>
      <c r="G3326" s="1" t="s">
        <v>2156</v>
      </c>
      <c r="H3326">
        <v>2025</v>
      </c>
      <c r="I3326">
        <v>2026</v>
      </c>
      <c r="J3326">
        <f t="shared" si="102"/>
        <v>2</v>
      </c>
      <c r="K3326" s="1" t="s">
        <v>741</v>
      </c>
      <c r="L3326" s="1" t="s">
        <v>666</v>
      </c>
      <c r="M3326">
        <f t="shared" si="103"/>
        <v>0</v>
      </c>
    </row>
    <row r="3327" spans="1:14" hidden="1" x14ac:dyDescent="0.3">
      <c r="A3327" t="s">
        <v>12114</v>
      </c>
      <c r="B3327" t="s">
        <v>2154</v>
      </c>
      <c r="C3327" t="s">
        <v>12115</v>
      </c>
      <c r="E3327" s="1" t="e">
        <v>#N/A</v>
      </c>
      <c r="F3327" s="1" t="e">
        <v>#N/A</v>
      </c>
      <c r="G3327" s="1" t="s">
        <v>2156</v>
      </c>
      <c r="H3327">
        <v>2025</v>
      </c>
      <c r="I3327">
        <v>2026</v>
      </c>
      <c r="J3327">
        <f t="shared" si="102"/>
        <v>2</v>
      </c>
      <c r="K3327" s="1" t="s">
        <v>741</v>
      </c>
      <c r="L3327" s="1" t="s">
        <v>666</v>
      </c>
      <c r="M3327">
        <f t="shared" si="103"/>
        <v>0</v>
      </c>
    </row>
    <row r="3328" spans="1:14" hidden="1" x14ac:dyDescent="0.3">
      <c r="A3328" t="s">
        <v>12116</v>
      </c>
      <c r="B3328" t="s">
        <v>2154</v>
      </c>
      <c r="C3328" t="s">
        <v>12117</v>
      </c>
      <c r="E3328" s="1" t="e">
        <v>#N/A</v>
      </c>
      <c r="F3328" s="1" t="e">
        <v>#N/A</v>
      </c>
      <c r="G3328" s="1" t="s">
        <v>2156</v>
      </c>
      <c r="H3328">
        <v>2025</v>
      </c>
      <c r="I3328">
        <v>2026</v>
      </c>
      <c r="J3328">
        <f t="shared" si="102"/>
        <v>2</v>
      </c>
      <c r="K3328" s="1" t="s">
        <v>741</v>
      </c>
      <c r="L3328" s="1" t="s">
        <v>666</v>
      </c>
      <c r="M3328">
        <f t="shared" si="103"/>
        <v>0</v>
      </c>
    </row>
    <row r="3329" spans="1:14" hidden="1" x14ac:dyDescent="0.3">
      <c r="A3329" t="s">
        <v>12118</v>
      </c>
      <c r="B3329" t="s">
        <v>2154</v>
      </c>
      <c r="C3329" t="s">
        <v>12119</v>
      </c>
      <c r="E3329" s="1" t="e">
        <v>#N/A</v>
      </c>
      <c r="F3329" s="1" t="e">
        <v>#N/A</v>
      </c>
      <c r="G3329" s="1" t="s">
        <v>2156</v>
      </c>
      <c r="H3329">
        <v>2025</v>
      </c>
      <c r="I3329">
        <v>2026</v>
      </c>
      <c r="J3329">
        <f t="shared" si="102"/>
        <v>2</v>
      </c>
      <c r="K3329" s="1" t="s">
        <v>741</v>
      </c>
      <c r="L3329" s="1" t="s">
        <v>666</v>
      </c>
      <c r="M3329">
        <f t="shared" si="103"/>
        <v>0</v>
      </c>
    </row>
    <row r="3330" spans="1:14" hidden="1" x14ac:dyDescent="0.3">
      <c r="A3330" t="s">
        <v>12120</v>
      </c>
      <c r="B3330" t="s">
        <v>2154</v>
      </c>
      <c r="C3330" t="s">
        <v>12121</v>
      </c>
      <c r="E3330" s="1" t="e">
        <v>#N/A</v>
      </c>
      <c r="F3330" s="1" t="e">
        <v>#N/A</v>
      </c>
      <c r="G3330" s="1" t="s">
        <v>2156</v>
      </c>
      <c r="H3330">
        <v>2025</v>
      </c>
      <c r="I3330">
        <v>2026</v>
      </c>
      <c r="J3330">
        <f t="shared" si="102"/>
        <v>2</v>
      </c>
      <c r="K3330" s="1" t="s">
        <v>741</v>
      </c>
      <c r="L3330" s="1" t="s">
        <v>666</v>
      </c>
      <c r="M3330">
        <f t="shared" si="103"/>
        <v>0</v>
      </c>
    </row>
    <row r="3331" spans="1:14" hidden="1" x14ac:dyDescent="0.3">
      <c r="A3331" s="1" t="s">
        <v>2161</v>
      </c>
      <c r="B3331" s="1" t="s">
        <v>2154</v>
      </c>
      <c r="C3331" s="1" t="s">
        <v>2162</v>
      </c>
      <c r="D3331" s="1" t="s">
        <v>1395</v>
      </c>
      <c r="E3331" s="1" t="s">
        <v>1396</v>
      </c>
      <c r="F3331" s="1" t="s">
        <v>1397</v>
      </c>
      <c r="G3331" s="1" t="s">
        <v>2156</v>
      </c>
      <c r="H3331">
        <v>2017</v>
      </c>
      <c r="I3331">
        <v>2017</v>
      </c>
      <c r="J3331">
        <f t="shared" si="102"/>
        <v>1</v>
      </c>
      <c r="K3331" s="1" t="s">
        <v>741</v>
      </c>
      <c r="L3331" s="1" t="s">
        <v>659</v>
      </c>
      <c r="M3331">
        <f t="shared" si="103"/>
        <v>9</v>
      </c>
      <c r="N3331" t="s">
        <v>650</v>
      </c>
    </row>
    <row r="3332" spans="1:14" hidden="1" x14ac:dyDescent="0.3">
      <c r="A3332" s="1" t="s">
        <v>2163</v>
      </c>
      <c r="B3332" s="1" t="s">
        <v>2154</v>
      </c>
      <c r="C3332" s="1" t="s">
        <v>2164</v>
      </c>
      <c r="D3332" s="1" t="s">
        <v>1395</v>
      </c>
      <c r="E3332" s="1" t="s">
        <v>1396</v>
      </c>
      <c r="F3332" s="1" t="s">
        <v>1397</v>
      </c>
      <c r="G3332" s="1" t="s">
        <v>2156</v>
      </c>
      <c r="H3332">
        <v>2018</v>
      </c>
      <c r="I3332">
        <v>2022</v>
      </c>
      <c r="J3332">
        <f t="shared" si="102"/>
        <v>5</v>
      </c>
      <c r="K3332" s="1" t="s">
        <v>741</v>
      </c>
      <c r="L3332" s="1" t="s">
        <v>649</v>
      </c>
      <c r="M3332">
        <f t="shared" si="103"/>
        <v>4</v>
      </c>
      <c r="N3332" t="s">
        <v>650</v>
      </c>
    </row>
    <row r="3333" spans="1:14" hidden="1" x14ac:dyDescent="0.3">
      <c r="A3333" s="1" t="s">
        <v>2165</v>
      </c>
      <c r="B3333" s="1" t="s">
        <v>2154</v>
      </c>
      <c r="C3333" s="1" t="s">
        <v>2166</v>
      </c>
      <c r="D3333" s="1" t="s">
        <v>1395</v>
      </c>
      <c r="E3333" s="1" t="s">
        <v>1396</v>
      </c>
      <c r="F3333" s="1" t="s">
        <v>1397</v>
      </c>
      <c r="G3333" s="1" t="s">
        <v>2156</v>
      </c>
      <c r="H3333">
        <v>2018</v>
      </c>
      <c r="I3333">
        <v>2022</v>
      </c>
      <c r="J3333">
        <f t="shared" si="102"/>
        <v>5</v>
      </c>
      <c r="K3333" s="1" t="s">
        <v>741</v>
      </c>
      <c r="L3333" s="1" t="s">
        <v>649</v>
      </c>
      <c r="M3333">
        <f t="shared" si="103"/>
        <v>4</v>
      </c>
      <c r="N3333" t="s">
        <v>650</v>
      </c>
    </row>
    <row r="3334" spans="1:14" hidden="1" x14ac:dyDescent="0.3">
      <c r="A3334" s="1" t="s">
        <v>2167</v>
      </c>
      <c r="B3334" s="1" t="s">
        <v>2154</v>
      </c>
      <c r="C3334" s="1" t="s">
        <v>2168</v>
      </c>
      <c r="D3334" s="1" t="s">
        <v>1395</v>
      </c>
      <c r="E3334" s="1" t="s">
        <v>1396</v>
      </c>
      <c r="F3334" s="1" t="s">
        <v>1397</v>
      </c>
      <c r="G3334" s="1" t="s">
        <v>2156</v>
      </c>
      <c r="H3334">
        <v>2018</v>
      </c>
      <c r="I3334">
        <v>2022</v>
      </c>
      <c r="J3334">
        <f t="shared" ref="J3334:J3397" si="104">1+(I3334-H3334)</f>
        <v>5</v>
      </c>
      <c r="K3334" s="1" t="s">
        <v>741</v>
      </c>
      <c r="L3334" s="1" t="s">
        <v>649</v>
      </c>
      <c r="M3334">
        <f t="shared" ref="M3334:M3397" si="105">IF(I3334=0,0,$B$2-I3334)</f>
        <v>4</v>
      </c>
      <c r="N3334" t="s">
        <v>650</v>
      </c>
    </row>
    <row r="3335" spans="1:14" hidden="1" x14ac:dyDescent="0.3">
      <c r="A3335" t="s">
        <v>12122</v>
      </c>
      <c r="B3335" t="s">
        <v>2154</v>
      </c>
      <c r="C3335" t="s">
        <v>12123</v>
      </c>
      <c r="E3335" s="1" t="e">
        <v>#N/A</v>
      </c>
      <c r="F3335" s="1" t="e">
        <v>#N/A</v>
      </c>
      <c r="G3335" s="1" t="s">
        <v>2156</v>
      </c>
      <c r="H3335">
        <v>2025</v>
      </c>
      <c r="I3335">
        <v>2026</v>
      </c>
      <c r="J3335">
        <f t="shared" si="104"/>
        <v>2</v>
      </c>
      <c r="K3335" s="1" t="s">
        <v>741</v>
      </c>
      <c r="L3335" s="1" t="s">
        <v>666</v>
      </c>
      <c r="M3335">
        <f t="shared" si="105"/>
        <v>0</v>
      </c>
    </row>
    <row r="3336" spans="1:14" hidden="1" x14ac:dyDescent="0.3">
      <c r="A3336" s="1" t="s">
        <v>2169</v>
      </c>
      <c r="B3336" s="1" t="s">
        <v>2154</v>
      </c>
      <c r="C3336" s="1" t="s">
        <v>2170</v>
      </c>
      <c r="D3336" s="1" t="s">
        <v>1395</v>
      </c>
      <c r="E3336" s="1" t="s">
        <v>1396</v>
      </c>
      <c r="F3336" s="1" t="s">
        <v>1397</v>
      </c>
      <c r="G3336" s="1" t="s">
        <v>2156</v>
      </c>
      <c r="H3336">
        <v>2022</v>
      </c>
      <c r="I3336">
        <v>2022</v>
      </c>
      <c r="J3336">
        <f t="shared" si="104"/>
        <v>1</v>
      </c>
      <c r="K3336" s="1" t="s">
        <v>741</v>
      </c>
      <c r="L3336" s="1" t="s">
        <v>649</v>
      </c>
      <c r="M3336">
        <f t="shared" si="105"/>
        <v>4</v>
      </c>
      <c r="N3336" t="s">
        <v>650</v>
      </c>
    </row>
    <row r="3337" spans="1:14" hidden="1" x14ac:dyDescent="0.3">
      <c r="A3337" s="1" t="s">
        <v>2171</v>
      </c>
      <c r="B3337" s="1" t="s">
        <v>2154</v>
      </c>
      <c r="C3337" s="1" t="s">
        <v>2172</v>
      </c>
      <c r="D3337" s="1" t="s">
        <v>1395</v>
      </c>
      <c r="E3337" s="1" t="s">
        <v>1396</v>
      </c>
      <c r="F3337" s="1" t="s">
        <v>1397</v>
      </c>
      <c r="G3337" s="1" t="s">
        <v>2156</v>
      </c>
      <c r="H3337">
        <v>2022</v>
      </c>
      <c r="I3337">
        <v>2022</v>
      </c>
      <c r="J3337">
        <f t="shared" si="104"/>
        <v>1</v>
      </c>
      <c r="K3337" s="1" t="s">
        <v>741</v>
      </c>
      <c r="L3337" s="1" t="s">
        <v>649</v>
      </c>
      <c r="M3337">
        <f t="shared" si="105"/>
        <v>4</v>
      </c>
      <c r="N3337" t="s">
        <v>650</v>
      </c>
    </row>
    <row r="3338" spans="1:14" hidden="1" x14ac:dyDescent="0.3">
      <c r="A3338" s="1" t="s">
        <v>2173</v>
      </c>
      <c r="B3338" s="1" t="s">
        <v>2154</v>
      </c>
      <c r="C3338" s="1" t="s">
        <v>2174</v>
      </c>
      <c r="D3338" s="1" t="s">
        <v>1395</v>
      </c>
      <c r="E3338" s="1" t="s">
        <v>1396</v>
      </c>
      <c r="F3338" s="1" t="s">
        <v>1397</v>
      </c>
      <c r="G3338" s="1" t="s">
        <v>2156</v>
      </c>
      <c r="H3338">
        <v>2017</v>
      </c>
      <c r="I3338">
        <v>2022</v>
      </c>
      <c r="J3338">
        <f t="shared" si="104"/>
        <v>6</v>
      </c>
      <c r="K3338" s="1" t="s">
        <v>741</v>
      </c>
      <c r="L3338" s="1" t="s">
        <v>649</v>
      </c>
      <c r="M3338">
        <f t="shared" si="105"/>
        <v>4</v>
      </c>
      <c r="N3338" t="s">
        <v>650</v>
      </c>
    </row>
    <row r="3339" spans="1:14" hidden="1" x14ac:dyDescent="0.3">
      <c r="A3339" s="1" t="s">
        <v>2175</v>
      </c>
      <c r="B3339" s="1" t="s">
        <v>2154</v>
      </c>
      <c r="C3339" s="1" t="s">
        <v>2176</v>
      </c>
      <c r="D3339" s="1" t="s">
        <v>1395</v>
      </c>
      <c r="E3339" s="1" t="s">
        <v>1396</v>
      </c>
      <c r="F3339" s="1" t="s">
        <v>1397</v>
      </c>
      <c r="G3339" s="1" t="s">
        <v>2156</v>
      </c>
      <c r="H3339">
        <v>2020</v>
      </c>
      <c r="I3339">
        <v>2020</v>
      </c>
      <c r="J3339">
        <f t="shared" si="104"/>
        <v>1</v>
      </c>
      <c r="K3339" s="1" t="s">
        <v>741</v>
      </c>
      <c r="L3339" s="1" t="s">
        <v>659</v>
      </c>
      <c r="M3339">
        <f t="shared" si="105"/>
        <v>6</v>
      </c>
      <c r="N3339" t="s">
        <v>650</v>
      </c>
    </row>
    <row r="3340" spans="1:14" hidden="1" x14ac:dyDescent="0.3">
      <c r="A3340" s="1" t="s">
        <v>2177</v>
      </c>
      <c r="B3340" s="1" t="s">
        <v>2154</v>
      </c>
      <c r="C3340" s="1" t="s">
        <v>2178</v>
      </c>
      <c r="D3340" s="1" t="s">
        <v>1395</v>
      </c>
      <c r="E3340" s="1" t="s">
        <v>1396</v>
      </c>
      <c r="F3340" s="1" t="s">
        <v>1397</v>
      </c>
      <c r="G3340" s="1" t="s">
        <v>2156</v>
      </c>
      <c r="H3340">
        <v>2020</v>
      </c>
      <c r="I3340">
        <v>2020</v>
      </c>
      <c r="J3340">
        <f t="shared" si="104"/>
        <v>1</v>
      </c>
      <c r="K3340" s="1" t="s">
        <v>741</v>
      </c>
      <c r="L3340" s="1" t="s">
        <v>659</v>
      </c>
      <c r="M3340">
        <f t="shared" si="105"/>
        <v>6</v>
      </c>
      <c r="N3340" t="s">
        <v>650</v>
      </c>
    </row>
    <row r="3341" spans="1:14" hidden="1" x14ac:dyDescent="0.3">
      <c r="A3341" s="1" t="s">
        <v>2179</v>
      </c>
      <c r="B3341" s="1" t="s">
        <v>2154</v>
      </c>
      <c r="C3341" s="1" t="s">
        <v>2180</v>
      </c>
      <c r="D3341" s="1" t="s">
        <v>1395</v>
      </c>
      <c r="E3341" s="1" t="s">
        <v>1396</v>
      </c>
      <c r="F3341" s="1" t="s">
        <v>1397</v>
      </c>
      <c r="G3341" s="1" t="s">
        <v>2156</v>
      </c>
      <c r="H3341">
        <v>2018</v>
      </c>
      <c r="I3341">
        <v>2021</v>
      </c>
      <c r="J3341">
        <f t="shared" si="104"/>
        <v>4</v>
      </c>
      <c r="K3341" s="1" t="s">
        <v>741</v>
      </c>
      <c r="L3341" s="1" t="s">
        <v>649</v>
      </c>
      <c r="M3341">
        <f t="shared" si="105"/>
        <v>5</v>
      </c>
      <c r="N3341" t="s">
        <v>650</v>
      </c>
    </row>
    <row r="3342" spans="1:14" hidden="1" x14ac:dyDescent="0.3">
      <c r="A3342" s="1" t="s">
        <v>2181</v>
      </c>
      <c r="B3342" s="1" t="s">
        <v>2154</v>
      </c>
      <c r="C3342" s="1" t="s">
        <v>2182</v>
      </c>
      <c r="D3342" s="1" t="s">
        <v>1395</v>
      </c>
      <c r="E3342" s="1" t="s">
        <v>1396</v>
      </c>
      <c r="F3342" s="1" t="s">
        <v>1397</v>
      </c>
      <c r="G3342" s="1" t="s">
        <v>2156</v>
      </c>
      <c r="H3342">
        <v>2018</v>
      </c>
      <c r="I3342">
        <v>2022</v>
      </c>
      <c r="J3342">
        <f t="shared" si="104"/>
        <v>5</v>
      </c>
      <c r="K3342" s="1" t="s">
        <v>741</v>
      </c>
      <c r="L3342" s="1" t="s">
        <v>649</v>
      </c>
      <c r="M3342">
        <f t="shared" si="105"/>
        <v>4</v>
      </c>
      <c r="N3342" t="s">
        <v>650</v>
      </c>
    </row>
    <row r="3343" spans="1:14" hidden="1" x14ac:dyDescent="0.3">
      <c r="A3343" s="1" t="s">
        <v>2183</v>
      </c>
      <c r="B3343" s="1" t="s">
        <v>2154</v>
      </c>
      <c r="C3343" s="1" t="s">
        <v>2184</v>
      </c>
      <c r="D3343" s="1" t="s">
        <v>1395</v>
      </c>
      <c r="E3343" s="1" t="s">
        <v>1396</v>
      </c>
      <c r="F3343" s="1" t="s">
        <v>1397</v>
      </c>
      <c r="G3343" s="1" t="s">
        <v>2156</v>
      </c>
      <c r="H3343">
        <v>2019</v>
      </c>
      <c r="I3343">
        <v>2022</v>
      </c>
      <c r="J3343">
        <f t="shared" si="104"/>
        <v>4</v>
      </c>
      <c r="K3343" s="1" t="s">
        <v>741</v>
      </c>
      <c r="L3343" s="1" t="s">
        <v>649</v>
      </c>
      <c r="M3343">
        <f t="shared" si="105"/>
        <v>4</v>
      </c>
      <c r="N3343" t="s">
        <v>650</v>
      </c>
    </row>
    <row r="3344" spans="1:14" hidden="1" x14ac:dyDescent="0.3">
      <c r="A3344" s="1" t="s">
        <v>2185</v>
      </c>
      <c r="B3344" s="1" t="s">
        <v>2154</v>
      </c>
      <c r="C3344" s="1" t="s">
        <v>2186</v>
      </c>
      <c r="D3344" s="1" t="s">
        <v>1395</v>
      </c>
      <c r="E3344" s="1" t="s">
        <v>1396</v>
      </c>
      <c r="F3344" s="1" t="s">
        <v>1397</v>
      </c>
      <c r="G3344" s="1" t="s">
        <v>2156</v>
      </c>
      <c r="H3344">
        <v>2022</v>
      </c>
      <c r="I3344">
        <v>2022</v>
      </c>
      <c r="J3344">
        <f t="shared" si="104"/>
        <v>1</v>
      </c>
      <c r="K3344" s="1" t="s">
        <v>741</v>
      </c>
      <c r="L3344" s="1" t="s">
        <v>649</v>
      </c>
      <c r="M3344">
        <f t="shared" si="105"/>
        <v>4</v>
      </c>
      <c r="N3344" t="s">
        <v>650</v>
      </c>
    </row>
    <row r="3345" spans="1:14" x14ac:dyDescent="0.3">
      <c r="A3345" t="s">
        <v>11013</v>
      </c>
      <c r="B3345" t="s">
        <v>10996</v>
      </c>
      <c r="C3345" t="s">
        <v>11014</v>
      </c>
      <c r="E3345" s="1" t="s">
        <v>6076</v>
      </c>
      <c r="F3345" s="1" t="s">
        <v>6076</v>
      </c>
      <c r="G3345" s="1" t="s">
        <v>12777</v>
      </c>
      <c r="H3345">
        <v>2025</v>
      </c>
      <c r="I3345">
        <v>2026</v>
      </c>
      <c r="J3345">
        <f t="shared" si="104"/>
        <v>2</v>
      </c>
      <c r="K3345" s="1" t="s">
        <v>6076</v>
      </c>
      <c r="L3345" s="1" t="s">
        <v>6076</v>
      </c>
      <c r="M3345">
        <f t="shared" si="105"/>
        <v>0</v>
      </c>
    </row>
    <row r="3346" spans="1:14" x14ac:dyDescent="0.3">
      <c r="A3346" t="s">
        <v>11015</v>
      </c>
      <c r="B3346" t="s">
        <v>10996</v>
      </c>
      <c r="C3346" t="s">
        <v>11016</v>
      </c>
      <c r="E3346" s="1" t="s">
        <v>6076</v>
      </c>
      <c r="F3346" s="1" t="s">
        <v>6076</v>
      </c>
      <c r="G3346" s="1" t="s">
        <v>12777</v>
      </c>
      <c r="H3346">
        <v>2025</v>
      </c>
      <c r="I3346">
        <v>2026</v>
      </c>
      <c r="J3346">
        <f t="shared" si="104"/>
        <v>2</v>
      </c>
      <c r="K3346" s="1" t="s">
        <v>6076</v>
      </c>
      <c r="L3346" s="1" t="s">
        <v>6076</v>
      </c>
      <c r="M3346">
        <f t="shared" si="105"/>
        <v>0</v>
      </c>
    </row>
    <row r="3347" spans="1:14" x14ac:dyDescent="0.3">
      <c r="A3347" s="1" t="s">
        <v>8599</v>
      </c>
      <c r="B3347" s="1" t="s">
        <v>2154</v>
      </c>
      <c r="C3347" s="1" t="s">
        <v>8600</v>
      </c>
      <c r="D3347" s="1" t="s">
        <v>1242</v>
      </c>
      <c r="E3347" s="1" t="s">
        <v>6076</v>
      </c>
      <c r="F3347" s="1" t="s">
        <v>6076</v>
      </c>
      <c r="G3347" s="1" t="s">
        <v>8601</v>
      </c>
      <c r="H3347">
        <v>1992</v>
      </c>
      <c r="I3347">
        <v>1995</v>
      </c>
      <c r="J3347">
        <f t="shared" si="104"/>
        <v>4</v>
      </c>
      <c r="K3347" s="1" t="s">
        <v>6076</v>
      </c>
      <c r="L3347" s="1" t="s">
        <v>6076</v>
      </c>
      <c r="M3347">
        <f t="shared" si="105"/>
        <v>31</v>
      </c>
      <c r="N3347" t="s">
        <v>640</v>
      </c>
    </row>
    <row r="3348" spans="1:14" x14ac:dyDescent="0.3">
      <c r="A3348" s="1" t="s">
        <v>8602</v>
      </c>
      <c r="B3348" s="1" t="s">
        <v>810</v>
      </c>
      <c r="C3348" s="1" t="s">
        <v>8603</v>
      </c>
      <c r="D3348" s="1" t="s">
        <v>644</v>
      </c>
      <c r="E3348" s="1" t="s">
        <v>6076</v>
      </c>
      <c r="F3348" s="1" t="s">
        <v>6076</v>
      </c>
      <c r="G3348" s="1" t="s">
        <v>4549</v>
      </c>
      <c r="H3348">
        <v>1997</v>
      </c>
      <c r="I3348">
        <v>2002</v>
      </c>
      <c r="J3348">
        <f t="shared" si="104"/>
        <v>6</v>
      </c>
      <c r="K3348" s="1" t="s">
        <v>6076</v>
      </c>
      <c r="L3348" s="1" t="s">
        <v>6076</v>
      </c>
      <c r="M3348">
        <f t="shared" si="105"/>
        <v>24</v>
      </c>
      <c r="N3348" t="s">
        <v>640</v>
      </c>
    </row>
    <row r="3349" spans="1:14" x14ac:dyDescent="0.3">
      <c r="A3349" s="1" t="s">
        <v>8604</v>
      </c>
      <c r="B3349" s="1" t="s">
        <v>810</v>
      </c>
      <c r="C3349" s="1" t="s">
        <v>8605</v>
      </c>
      <c r="D3349" s="1" t="s">
        <v>644</v>
      </c>
      <c r="E3349" s="1" t="s">
        <v>6076</v>
      </c>
      <c r="F3349" s="1" t="s">
        <v>6076</v>
      </c>
      <c r="G3349" s="1" t="s">
        <v>4549</v>
      </c>
      <c r="H3349">
        <v>1999</v>
      </c>
      <c r="I3349">
        <v>2006</v>
      </c>
      <c r="J3349">
        <f t="shared" si="104"/>
        <v>8</v>
      </c>
      <c r="K3349" s="1" t="s">
        <v>6076</v>
      </c>
      <c r="L3349" s="1" t="s">
        <v>6076</v>
      </c>
      <c r="M3349">
        <f t="shared" si="105"/>
        <v>20</v>
      </c>
      <c r="N3349" t="s">
        <v>650</v>
      </c>
    </row>
    <row r="3350" spans="1:14" hidden="1" x14ac:dyDescent="0.3">
      <c r="A3350" s="1" t="s">
        <v>4545</v>
      </c>
      <c r="B3350" s="1" t="s">
        <v>810</v>
      </c>
      <c r="C3350" s="1" t="s">
        <v>4546</v>
      </c>
      <c r="D3350" s="1" t="s">
        <v>644</v>
      </c>
      <c r="E3350" s="1" t="s">
        <v>4547</v>
      </c>
      <c r="F3350" s="1" t="s">
        <v>4548</v>
      </c>
      <c r="G3350" s="1" t="s">
        <v>4549</v>
      </c>
      <c r="H3350">
        <v>2006</v>
      </c>
      <c r="I3350">
        <v>2014</v>
      </c>
      <c r="J3350">
        <f t="shared" si="104"/>
        <v>9</v>
      </c>
      <c r="K3350" s="1" t="s">
        <v>3665</v>
      </c>
      <c r="L3350" s="1" t="s">
        <v>659</v>
      </c>
      <c r="M3350">
        <f t="shared" si="105"/>
        <v>12</v>
      </c>
      <c r="N3350" t="s">
        <v>650</v>
      </c>
    </row>
    <row r="3351" spans="1:14" x14ac:dyDescent="0.3">
      <c r="A3351" s="1" t="s">
        <v>8606</v>
      </c>
      <c r="B3351" s="1" t="s">
        <v>810</v>
      </c>
      <c r="C3351" s="1" t="s">
        <v>8607</v>
      </c>
      <c r="D3351" s="1" t="s">
        <v>644</v>
      </c>
      <c r="E3351" s="1" t="s">
        <v>6076</v>
      </c>
      <c r="F3351" s="1" t="s">
        <v>6076</v>
      </c>
      <c r="G3351" s="1" t="s">
        <v>4549</v>
      </c>
      <c r="H3351">
        <v>1985</v>
      </c>
      <c r="I3351">
        <v>2006</v>
      </c>
      <c r="J3351">
        <f t="shared" si="104"/>
        <v>22</v>
      </c>
      <c r="K3351" s="1" t="s">
        <v>6076</v>
      </c>
      <c r="L3351" s="1" t="s">
        <v>6076</v>
      </c>
      <c r="M3351">
        <f t="shared" si="105"/>
        <v>20</v>
      </c>
      <c r="N3351" t="s">
        <v>650</v>
      </c>
    </row>
    <row r="3352" spans="1:14" hidden="1" x14ac:dyDescent="0.3">
      <c r="A3352" s="1" t="s">
        <v>4550</v>
      </c>
      <c r="B3352" s="1" t="s">
        <v>810</v>
      </c>
      <c r="C3352" s="1" t="s">
        <v>4551</v>
      </c>
      <c r="D3352" s="1" t="s">
        <v>644</v>
      </c>
      <c r="E3352" s="1" t="s">
        <v>4547</v>
      </c>
      <c r="F3352" s="1" t="s">
        <v>4548</v>
      </c>
      <c r="G3352" s="1" t="s">
        <v>4549</v>
      </c>
      <c r="H3352">
        <v>2006</v>
      </c>
      <c r="I3352">
        <v>2014</v>
      </c>
      <c r="J3352">
        <f t="shared" si="104"/>
        <v>9</v>
      </c>
      <c r="K3352" s="1" t="s">
        <v>3665</v>
      </c>
      <c r="L3352" s="1" t="s">
        <v>659</v>
      </c>
      <c r="M3352">
        <f t="shared" si="105"/>
        <v>12</v>
      </c>
      <c r="N3352" t="s">
        <v>650</v>
      </c>
    </row>
    <row r="3353" spans="1:14" x14ac:dyDescent="0.3">
      <c r="A3353" s="1" t="s">
        <v>8608</v>
      </c>
      <c r="B3353" s="1" t="s">
        <v>810</v>
      </c>
      <c r="C3353" s="1" t="s">
        <v>8609</v>
      </c>
      <c r="D3353" s="1" t="s">
        <v>644</v>
      </c>
      <c r="E3353" s="1" t="s">
        <v>6076</v>
      </c>
      <c r="F3353" s="1" t="s">
        <v>6076</v>
      </c>
      <c r="G3353" s="1" t="s">
        <v>4549</v>
      </c>
      <c r="H3353">
        <v>1985</v>
      </c>
      <c r="I3353">
        <v>1985</v>
      </c>
      <c r="J3353">
        <f t="shared" si="104"/>
        <v>1</v>
      </c>
      <c r="K3353" s="1" t="s">
        <v>6076</v>
      </c>
      <c r="L3353" s="1" t="s">
        <v>6076</v>
      </c>
      <c r="M3353">
        <f t="shared" si="105"/>
        <v>41</v>
      </c>
      <c r="N3353" t="s">
        <v>640</v>
      </c>
    </row>
    <row r="3354" spans="1:14" x14ac:dyDescent="0.3">
      <c r="A3354" s="1" t="s">
        <v>8610</v>
      </c>
      <c r="B3354" s="1" t="s">
        <v>810</v>
      </c>
      <c r="C3354" s="1" t="s">
        <v>8611</v>
      </c>
      <c r="D3354" s="1" t="s">
        <v>644</v>
      </c>
      <c r="E3354" s="1" t="s">
        <v>6076</v>
      </c>
      <c r="F3354" s="1" t="s">
        <v>6076</v>
      </c>
      <c r="G3354" s="1" t="s">
        <v>4549</v>
      </c>
      <c r="H3354">
        <v>2014</v>
      </c>
      <c r="I3354">
        <v>2014</v>
      </c>
      <c r="J3354">
        <f t="shared" si="104"/>
        <v>1</v>
      </c>
      <c r="K3354" s="1" t="s">
        <v>6076</v>
      </c>
      <c r="L3354" s="1" t="s">
        <v>6076</v>
      </c>
      <c r="M3354">
        <f t="shared" si="105"/>
        <v>12</v>
      </c>
      <c r="N3354" t="s">
        <v>650</v>
      </c>
    </row>
    <row r="3355" spans="1:14" hidden="1" x14ac:dyDescent="0.3">
      <c r="A3355" s="1" t="s">
        <v>4552</v>
      </c>
      <c r="B3355" s="1" t="s">
        <v>810</v>
      </c>
      <c r="C3355" s="1" t="s">
        <v>4553</v>
      </c>
      <c r="D3355" s="1" t="s">
        <v>644</v>
      </c>
      <c r="E3355" s="1" t="s">
        <v>4547</v>
      </c>
      <c r="F3355" s="1" t="s">
        <v>4548</v>
      </c>
      <c r="G3355" s="1" t="s">
        <v>4549</v>
      </c>
      <c r="H3355">
        <v>1999</v>
      </c>
      <c r="I3355">
        <v>2006</v>
      </c>
      <c r="J3355">
        <f t="shared" si="104"/>
        <v>8</v>
      </c>
      <c r="K3355" s="1" t="s">
        <v>3665</v>
      </c>
      <c r="L3355" s="1" t="s">
        <v>659</v>
      </c>
      <c r="M3355">
        <f t="shared" si="105"/>
        <v>20</v>
      </c>
      <c r="N3355" t="s">
        <v>650</v>
      </c>
    </row>
    <row r="3356" spans="1:14" hidden="1" x14ac:dyDescent="0.3">
      <c r="A3356" s="1" t="s">
        <v>4554</v>
      </c>
      <c r="B3356" s="1" t="s">
        <v>810</v>
      </c>
      <c r="C3356" s="1" t="s">
        <v>4555</v>
      </c>
      <c r="D3356" s="1" t="s">
        <v>644</v>
      </c>
      <c r="E3356" s="1" t="s">
        <v>4547</v>
      </c>
      <c r="F3356" s="1" t="s">
        <v>4548</v>
      </c>
      <c r="G3356" s="1" t="s">
        <v>4549</v>
      </c>
      <c r="H3356">
        <v>1999</v>
      </c>
      <c r="I3356">
        <v>2006</v>
      </c>
      <c r="J3356">
        <f t="shared" si="104"/>
        <v>8</v>
      </c>
      <c r="K3356" s="1" t="s">
        <v>3665</v>
      </c>
      <c r="L3356" s="1" t="s">
        <v>659</v>
      </c>
      <c r="M3356">
        <f t="shared" si="105"/>
        <v>20</v>
      </c>
      <c r="N3356" t="s">
        <v>650</v>
      </c>
    </row>
    <row r="3357" spans="1:14" x14ac:dyDescent="0.3">
      <c r="A3357" s="1" t="s">
        <v>8612</v>
      </c>
      <c r="B3357" s="1" t="s">
        <v>810</v>
      </c>
      <c r="C3357" s="1" t="s">
        <v>8613</v>
      </c>
      <c r="D3357" s="1" t="s">
        <v>644</v>
      </c>
      <c r="E3357" s="1" t="s">
        <v>6076</v>
      </c>
      <c r="F3357" s="1" t="s">
        <v>6076</v>
      </c>
      <c r="G3357" s="1" t="s">
        <v>4549</v>
      </c>
      <c r="H3357">
        <v>1985</v>
      </c>
      <c r="I3357">
        <v>2000</v>
      </c>
      <c r="J3357">
        <f t="shared" si="104"/>
        <v>16</v>
      </c>
      <c r="K3357" s="1" t="s">
        <v>6076</v>
      </c>
      <c r="L3357" s="1" t="s">
        <v>6076</v>
      </c>
      <c r="M3357">
        <f t="shared" si="105"/>
        <v>26</v>
      </c>
      <c r="N3357" t="s">
        <v>640</v>
      </c>
    </row>
    <row r="3358" spans="1:14" x14ac:dyDescent="0.3">
      <c r="A3358" s="1" t="s">
        <v>8614</v>
      </c>
      <c r="B3358" s="1" t="s">
        <v>810</v>
      </c>
      <c r="C3358" s="1" t="s">
        <v>8615</v>
      </c>
      <c r="D3358" s="1" t="s">
        <v>644</v>
      </c>
      <c r="E3358" s="1" t="s">
        <v>6076</v>
      </c>
      <c r="F3358" s="1" t="s">
        <v>6076</v>
      </c>
      <c r="G3358" s="1" t="s">
        <v>4549</v>
      </c>
      <c r="H3358">
        <v>1985</v>
      </c>
      <c r="I3358">
        <v>1985</v>
      </c>
      <c r="J3358">
        <f t="shared" si="104"/>
        <v>1</v>
      </c>
      <c r="K3358" s="1" t="s">
        <v>6076</v>
      </c>
      <c r="L3358" s="1" t="s">
        <v>6076</v>
      </c>
      <c r="M3358">
        <f t="shared" si="105"/>
        <v>41</v>
      </c>
      <c r="N3358" t="s">
        <v>640</v>
      </c>
    </row>
    <row r="3359" spans="1:14" hidden="1" x14ac:dyDescent="0.3">
      <c r="A3359" s="1" t="s">
        <v>4556</v>
      </c>
      <c r="B3359" s="1" t="s">
        <v>810</v>
      </c>
      <c r="C3359" s="1" t="s">
        <v>4557</v>
      </c>
      <c r="D3359" s="1" t="s">
        <v>644</v>
      </c>
      <c r="E3359" s="1" t="s">
        <v>4547</v>
      </c>
      <c r="F3359" s="1" t="s">
        <v>4548</v>
      </c>
      <c r="G3359" s="1" t="s">
        <v>4549</v>
      </c>
      <c r="H3359">
        <v>2006</v>
      </c>
      <c r="I3359">
        <v>2014</v>
      </c>
      <c r="J3359">
        <f t="shared" si="104"/>
        <v>9</v>
      </c>
      <c r="K3359" s="1" t="s">
        <v>3665</v>
      </c>
      <c r="L3359" s="1" t="s">
        <v>659</v>
      </c>
      <c r="M3359">
        <f t="shared" si="105"/>
        <v>12</v>
      </c>
      <c r="N3359" t="s">
        <v>650</v>
      </c>
    </row>
    <row r="3360" spans="1:14" x14ac:dyDescent="0.3">
      <c r="A3360" s="1" t="s">
        <v>8616</v>
      </c>
      <c r="B3360" s="1" t="s">
        <v>810</v>
      </c>
      <c r="C3360" s="1" t="s">
        <v>8617</v>
      </c>
      <c r="D3360" s="1" t="s">
        <v>644</v>
      </c>
      <c r="E3360" s="1" t="s">
        <v>6076</v>
      </c>
      <c r="F3360" s="1" t="s">
        <v>6076</v>
      </c>
      <c r="G3360" s="1" t="s">
        <v>4549</v>
      </c>
      <c r="H3360">
        <v>1985</v>
      </c>
      <c r="I3360">
        <v>2006</v>
      </c>
      <c r="J3360">
        <f t="shared" si="104"/>
        <v>22</v>
      </c>
      <c r="K3360" s="1" t="s">
        <v>6076</v>
      </c>
      <c r="L3360" s="1" t="s">
        <v>6076</v>
      </c>
      <c r="M3360">
        <f t="shared" si="105"/>
        <v>20</v>
      </c>
      <c r="N3360" t="s">
        <v>650</v>
      </c>
    </row>
    <row r="3361" spans="1:14" hidden="1" x14ac:dyDescent="0.3">
      <c r="A3361" t="s">
        <v>11656</v>
      </c>
      <c r="B3361" t="s">
        <v>1849</v>
      </c>
      <c r="C3361" t="s">
        <v>11657</v>
      </c>
      <c r="E3361" s="1" t="e">
        <v>#N/A</v>
      </c>
      <c r="F3361" s="1" t="e">
        <v>#N/A</v>
      </c>
      <c r="G3361" s="1" t="s">
        <v>12839</v>
      </c>
      <c r="H3361">
        <v>2024</v>
      </c>
      <c r="I3361">
        <v>2026</v>
      </c>
      <c r="J3361">
        <f t="shared" si="104"/>
        <v>3</v>
      </c>
      <c r="K3361" s="1" t="s">
        <v>12912</v>
      </c>
      <c r="L3361" s="1" t="s">
        <v>12912</v>
      </c>
      <c r="M3361">
        <f t="shared" si="105"/>
        <v>0</v>
      </c>
    </row>
    <row r="3362" spans="1:14" hidden="1" x14ac:dyDescent="0.3">
      <c r="A3362" t="s">
        <v>11658</v>
      </c>
      <c r="B3362" t="s">
        <v>1849</v>
      </c>
      <c r="C3362" t="s">
        <v>11659</v>
      </c>
      <c r="E3362" s="1" t="e">
        <v>#N/A</v>
      </c>
      <c r="F3362" s="1" t="e">
        <v>#N/A</v>
      </c>
      <c r="G3362" s="1" t="s">
        <v>12839</v>
      </c>
      <c r="H3362">
        <v>2024</v>
      </c>
      <c r="I3362">
        <v>2026</v>
      </c>
      <c r="J3362">
        <f t="shared" si="104"/>
        <v>3</v>
      </c>
      <c r="K3362" s="1" t="s">
        <v>12912</v>
      </c>
      <c r="L3362" s="1" t="s">
        <v>12912</v>
      </c>
      <c r="M3362">
        <f t="shared" si="105"/>
        <v>0</v>
      </c>
    </row>
    <row r="3363" spans="1:14" hidden="1" x14ac:dyDescent="0.3">
      <c r="A3363" t="s">
        <v>11660</v>
      </c>
      <c r="B3363" t="s">
        <v>1849</v>
      </c>
      <c r="C3363" t="s">
        <v>11661</v>
      </c>
      <c r="E3363" s="1" t="e">
        <v>#N/A</v>
      </c>
      <c r="F3363" s="1" t="e">
        <v>#N/A</v>
      </c>
      <c r="G3363" s="1" t="s">
        <v>12839</v>
      </c>
      <c r="H3363">
        <v>2025</v>
      </c>
      <c r="I3363">
        <v>2026</v>
      </c>
      <c r="J3363">
        <f t="shared" si="104"/>
        <v>2</v>
      </c>
      <c r="K3363" s="1" t="s">
        <v>12912</v>
      </c>
      <c r="L3363" s="1" t="s">
        <v>12912</v>
      </c>
      <c r="M3363">
        <f t="shared" si="105"/>
        <v>0</v>
      </c>
    </row>
    <row r="3364" spans="1:14" hidden="1" x14ac:dyDescent="0.3">
      <c r="A3364" t="s">
        <v>11662</v>
      </c>
      <c r="B3364" t="s">
        <v>1849</v>
      </c>
      <c r="C3364" t="s">
        <v>11663</v>
      </c>
      <c r="E3364" s="1" t="e">
        <v>#N/A</v>
      </c>
      <c r="F3364" s="1" t="e">
        <v>#N/A</v>
      </c>
      <c r="G3364" s="1" t="s">
        <v>12839</v>
      </c>
      <c r="H3364">
        <v>2025</v>
      </c>
      <c r="I3364">
        <v>2026</v>
      </c>
      <c r="J3364">
        <f t="shared" si="104"/>
        <v>2</v>
      </c>
      <c r="K3364" s="1" t="s">
        <v>12912</v>
      </c>
      <c r="L3364" s="1" t="s">
        <v>12912</v>
      </c>
      <c r="M3364">
        <f t="shared" si="105"/>
        <v>0</v>
      </c>
    </row>
    <row r="3365" spans="1:14" hidden="1" x14ac:dyDescent="0.3">
      <c r="A3365" s="1" t="s">
        <v>4558</v>
      </c>
      <c r="B3365" s="1" t="s">
        <v>12756</v>
      </c>
      <c r="C3365" s="1" t="s">
        <v>4559</v>
      </c>
      <c r="D3365" s="1" t="s">
        <v>746</v>
      </c>
      <c r="E3365" s="1" t="s">
        <v>747</v>
      </c>
      <c r="F3365" s="1" t="s">
        <v>748</v>
      </c>
      <c r="G3365" s="1" t="s">
        <v>2189</v>
      </c>
      <c r="H3365">
        <v>2020</v>
      </c>
      <c r="I3365">
        <v>2022</v>
      </c>
      <c r="J3365">
        <f t="shared" si="104"/>
        <v>3</v>
      </c>
      <c r="K3365" s="1" t="s">
        <v>3665</v>
      </c>
      <c r="L3365" s="1" t="s">
        <v>659</v>
      </c>
      <c r="M3365">
        <f t="shared" si="105"/>
        <v>4</v>
      </c>
      <c r="N3365" t="s">
        <v>650</v>
      </c>
    </row>
    <row r="3366" spans="1:14" hidden="1" x14ac:dyDescent="0.3">
      <c r="A3366" t="s">
        <v>12282</v>
      </c>
      <c r="B3366" t="s">
        <v>12756</v>
      </c>
      <c r="C3366" t="s">
        <v>12283</v>
      </c>
      <c r="E3366" s="1" t="e">
        <v>#N/A</v>
      </c>
      <c r="F3366" s="1" t="e">
        <v>#N/A</v>
      </c>
      <c r="G3366" s="1" t="s">
        <v>2189</v>
      </c>
      <c r="H3366">
        <v>2025</v>
      </c>
      <c r="I3366">
        <v>2026</v>
      </c>
      <c r="J3366">
        <f t="shared" si="104"/>
        <v>2</v>
      </c>
      <c r="K3366" s="1" t="s">
        <v>12912</v>
      </c>
      <c r="L3366" s="1" t="s">
        <v>12912</v>
      </c>
      <c r="M3366">
        <f t="shared" si="105"/>
        <v>0</v>
      </c>
    </row>
    <row r="3367" spans="1:14" hidden="1" x14ac:dyDescent="0.3">
      <c r="A3367" t="s">
        <v>12284</v>
      </c>
      <c r="B3367" t="s">
        <v>12756</v>
      </c>
      <c r="C3367" t="s">
        <v>12285</v>
      </c>
      <c r="E3367" s="1" t="e">
        <v>#N/A</v>
      </c>
      <c r="F3367" s="1" t="e">
        <v>#N/A</v>
      </c>
      <c r="G3367" s="1" t="s">
        <v>2189</v>
      </c>
      <c r="H3367">
        <v>2025</v>
      </c>
      <c r="I3367">
        <v>2026</v>
      </c>
      <c r="J3367">
        <f t="shared" si="104"/>
        <v>2</v>
      </c>
      <c r="K3367" s="1" t="s">
        <v>12912</v>
      </c>
      <c r="L3367" s="1" t="s">
        <v>12912</v>
      </c>
      <c r="M3367">
        <f t="shared" si="105"/>
        <v>0</v>
      </c>
    </row>
    <row r="3368" spans="1:14" hidden="1" x14ac:dyDescent="0.3">
      <c r="A3368" t="s">
        <v>12286</v>
      </c>
      <c r="B3368" t="s">
        <v>12756</v>
      </c>
      <c r="C3368" t="s">
        <v>12287</v>
      </c>
      <c r="E3368" s="1" t="e">
        <v>#N/A</v>
      </c>
      <c r="F3368" s="1" t="e">
        <v>#N/A</v>
      </c>
      <c r="G3368" s="1" t="s">
        <v>2189</v>
      </c>
      <c r="H3368">
        <v>2023</v>
      </c>
      <c r="I3368">
        <v>2026</v>
      </c>
      <c r="J3368">
        <f t="shared" si="104"/>
        <v>4</v>
      </c>
      <c r="K3368" s="1" t="s">
        <v>12912</v>
      </c>
      <c r="L3368" s="1" t="s">
        <v>12912</v>
      </c>
      <c r="M3368">
        <f t="shared" si="105"/>
        <v>0</v>
      </c>
    </row>
    <row r="3369" spans="1:14" hidden="1" x14ac:dyDescent="0.3">
      <c r="A3369" s="1" t="s">
        <v>2187</v>
      </c>
      <c r="B3369" s="1" t="s">
        <v>12756</v>
      </c>
      <c r="C3369" s="1" t="s">
        <v>2188</v>
      </c>
      <c r="D3369" s="1" t="s">
        <v>746</v>
      </c>
      <c r="E3369" s="1" t="s">
        <v>747</v>
      </c>
      <c r="F3369" s="1" t="s">
        <v>748</v>
      </c>
      <c r="G3369" s="1" t="s">
        <v>2189</v>
      </c>
      <c r="H3369">
        <v>2018</v>
      </c>
      <c r="I3369">
        <v>2022</v>
      </c>
      <c r="J3369">
        <f t="shared" si="104"/>
        <v>5</v>
      </c>
      <c r="K3369" s="1" t="s">
        <v>741</v>
      </c>
      <c r="L3369" s="1" t="s">
        <v>798</v>
      </c>
      <c r="M3369">
        <f t="shared" si="105"/>
        <v>4</v>
      </c>
      <c r="N3369" t="s">
        <v>650</v>
      </c>
    </row>
    <row r="3370" spans="1:14" hidden="1" x14ac:dyDescent="0.3">
      <c r="A3370" s="1" t="s">
        <v>2190</v>
      </c>
      <c r="B3370" s="1" t="s">
        <v>12756</v>
      </c>
      <c r="C3370" s="1" t="s">
        <v>2191</v>
      </c>
      <c r="D3370" s="1" t="s">
        <v>746</v>
      </c>
      <c r="E3370" s="1" t="s">
        <v>747</v>
      </c>
      <c r="F3370" s="1" t="s">
        <v>748</v>
      </c>
      <c r="G3370" s="1" t="s">
        <v>2189</v>
      </c>
      <c r="H3370">
        <v>2018</v>
      </c>
      <c r="I3370">
        <v>2022</v>
      </c>
      <c r="J3370">
        <f t="shared" si="104"/>
        <v>5</v>
      </c>
      <c r="K3370" s="1" t="s">
        <v>741</v>
      </c>
      <c r="L3370" s="1" t="s">
        <v>798</v>
      </c>
      <c r="M3370">
        <f t="shared" si="105"/>
        <v>4</v>
      </c>
      <c r="N3370" t="s">
        <v>650</v>
      </c>
    </row>
    <row r="3371" spans="1:14" hidden="1" x14ac:dyDescent="0.3">
      <c r="A3371" s="1" t="s">
        <v>2192</v>
      </c>
      <c r="B3371" s="1" t="s">
        <v>12756</v>
      </c>
      <c r="C3371" s="1" t="s">
        <v>2193</v>
      </c>
      <c r="D3371" s="1" t="s">
        <v>746</v>
      </c>
      <c r="E3371" s="1" t="s">
        <v>747</v>
      </c>
      <c r="F3371" s="1" t="s">
        <v>748</v>
      </c>
      <c r="G3371" s="1" t="s">
        <v>2189</v>
      </c>
      <c r="H3371">
        <v>2020</v>
      </c>
      <c r="I3371">
        <v>2022</v>
      </c>
      <c r="J3371">
        <f t="shared" si="104"/>
        <v>3</v>
      </c>
      <c r="K3371" s="1" t="s">
        <v>741</v>
      </c>
      <c r="L3371" s="1" t="s">
        <v>798</v>
      </c>
      <c r="M3371">
        <f t="shared" si="105"/>
        <v>4</v>
      </c>
      <c r="N3371" t="s">
        <v>650</v>
      </c>
    </row>
    <row r="3372" spans="1:14" hidden="1" x14ac:dyDescent="0.3">
      <c r="A3372" s="1" t="s">
        <v>2194</v>
      </c>
      <c r="B3372" s="1" t="s">
        <v>12756</v>
      </c>
      <c r="C3372" s="1" t="s">
        <v>2195</v>
      </c>
      <c r="D3372" s="1" t="s">
        <v>746</v>
      </c>
      <c r="E3372" s="1" t="s">
        <v>747</v>
      </c>
      <c r="F3372" s="1" t="s">
        <v>748</v>
      </c>
      <c r="G3372" s="1" t="s">
        <v>2189</v>
      </c>
      <c r="H3372">
        <v>2018</v>
      </c>
      <c r="I3372">
        <v>2022</v>
      </c>
      <c r="J3372">
        <f t="shared" si="104"/>
        <v>5</v>
      </c>
      <c r="K3372" s="1" t="s">
        <v>741</v>
      </c>
      <c r="L3372" s="1" t="s">
        <v>798</v>
      </c>
      <c r="M3372">
        <f t="shared" si="105"/>
        <v>4</v>
      </c>
      <c r="N3372" t="s">
        <v>650</v>
      </c>
    </row>
    <row r="3373" spans="1:14" x14ac:dyDescent="0.3">
      <c r="A3373" s="1" t="s">
        <v>8618</v>
      </c>
      <c r="B3373" s="1" t="s">
        <v>4561</v>
      </c>
      <c r="C3373" s="1" t="s">
        <v>8619</v>
      </c>
      <c r="D3373" s="1" t="s">
        <v>1242</v>
      </c>
      <c r="E3373" s="1" t="s">
        <v>6076</v>
      </c>
      <c r="F3373" s="1" t="s">
        <v>6076</v>
      </c>
      <c r="G3373" s="1" t="s">
        <v>5322</v>
      </c>
      <c r="H3373">
        <v>1992</v>
      </c>
      <c r="I3373">
        <v>1998</v>
      </c>
      <c r="J3373">
        <f t="shared" si="104"/>
        <v>7</v>
      </c>
      <c r="K3373" s="1" t="s">
        <v>6076</v>
      </c>
      <c r="L3373" s="1" t="s">
        <v>6076</v>
      </c>
      <c r="M3373">
        <f t="shared" si="105"/>
        <v>28</v>
      </c>
      <c r="N3373" t="s">
        <v>640</v>
      </c>
    </row>
    <row r="3374" spans="1:14" x14ac:dyDescent="0.3">
      <c r="A3374" s="1" t="s">
        <v>8620</v>
      </c>
      <c r="B3374" s="1" t="s">
        <v>4561</v>
      </c>
      <c r="C3374" s="1" t="s">
        <v>8621</v>
      </c>
      <c r="D3374" s="1" t="s">
        <v>1242</v>
      </c>
      <c r="E3374" s="1" t="s">
        <v>6076</v>
      </c>
      <c r="F3374" s="1" t="s">
        <v>6076</v>
      </c>
      <c r="G3374" s="1" t="s">
        <v>5322</v>
      </c>
      <c r="H3374">
        <v>1991</v>
      </c>
      <c r="I3374">
        <v>1998</v>
      </c>
      <c r="J3374">
        <f t="shared" si="104"/>
        <v>8</v>
      </c>
      <c r="K3374" s="1" t="s">
        <v>6076</v>
      </c>
      <c r="L3374" s="1" t="s">
        <v>6076</v>
      </c>
      <c r="M3374">
        <f t="shared" si="105"/>
        <v>28</v>
      </c>
      <c r="N3374" t="s">
        <v>640</v>
      </c>
    </row>
    <row r="3375" spans="1:14" x14ac:dyDescent="0.3">
      <c r="A3375" s="1" t="s">
        <v>8622</v>
      </c>
      <c r="B3375" s="1" t="s">
        <v>4561</v>
      </c>
      <c r="C3375" s="1" t="s">
        <v>8623</v>
      </c>
      <c r="D3375" s="1" t="s">
        <v>1242</v>
      </c>
      <c r="E3375" s="1" t="s">
        <v>6076</v>
      </c>
      <c r="F3375" s="1" t="s">
        <v>6076</v>
      </c>
      <c r="G3375" s="1" t="s">
        <v>5322</v>
      </c>
      <c r="H3375">
        <v>1999</v>
      </c>
      <c r="I3375">
        <v>2012</v>
      </c>
      <c r="J3375">
        <f t="shared" si="104"/>
        <v>14</v>
      </c>
      <c r="K3375" s="1" t="s">
        <v>6076</v>
      </c>
      <c r="L3375" s="1" t="s">
        <v>6076</v>
      </c>
      <c r="M3375">
        <f t="shared" si="105"/>
        <v>14</v>
      </c>
      <c r="N3375" t="s">
        <v>650</v>
      </c>
    </row>
    <row r="3376" spans="1:14" x14ac:dyDescent="0.3">
      <c r="A3376" s="1" t="s">
        <v>8624</v>
      </c>
      <c r="B3376" s="1" t="s">
        <v>4561</v>
      </c>
      <c r="C3376" s="1" t="s">
        <v>8625</v>
      </c>
      <c r="D3376" s="1" t="s">
        <v>1242</v>
      </c>
      <c r="E3376" s="1" t="s">
        <v>6076</v>
      </c>
      <c r="F3376" s="1" t="s">
        <v>6076</v>
      </c>
      <c r="G3376" s="1" t="s">
        <v>5322</v>
      </c>
      <c r="H3376">
        <v>1999</v>
      </c>
      <c r="I3376">
        <v>2007</v>
      </c>
      <c r="J3376">
        <f t="shared" si="104"/>
        <v>9</v>
      </c>
      <c r="K3376" s="1" t="s">
        <v>6076</v>
      </c>
      <c r="L3376" s="1" t="s">
        <v>6076</v>
      </c>
      <c r="M3376">
        <f t="shared" si="105"/>
        <v>19</v>
      </c>
      <c r="N3376" t="s">
        <v>650</v>
      </c>
    </row>
    <row r="3377" spans="1:14" hidden="1" x14ac:dyDescent="0.3">
      <c r="A3377" s="1" t="s">
        <v>5320</v>
      </c>
      <c r="B3377" s="1" t="s">
        <v>4561</v>
      </c>
      <c r="C3377" s="1" t="s">
        <v>5321</v>
      </c>
      <c r="D3377" s="1" t="s">
        <v>1242</v>
      </c>
      <c r="E3377" s="1" t="s">
        <v>4250</v>
      </c>
      <c r="F3377" s="1" t="s">
        <v>4251</v>
      </c>
      <c r="G3377" s="1" t="s">
        <v>5322</v>
      </c>
      <c r="H3377">
        <v>2003</v>
      </c>
      <c r="I3377">
        <v>2007</v>
      </c>
      <c r="J3377">
        <f t="shared" si="104"/>
        <v>5</v>
      </c>
      <c r="K3377" s="1" t="s">
        <v>4668</v>
      </c>
      <c r="L3377" s="1" t="s">
        <v>666</v>
      </c>
      <c r="M3377">
        <f t="shared" si="105"/>
        <v>19</v>
      </c>
      <c r="N3377" t="s">
        <v>650</v>
      </c>
    </row>
    <row r="3378" spans="1:14" x14ac:dyDescent="0.3">
      <c r="A3378" s="1" t="s">
        <v>8626</v>
      </c>
      <c r="B3378" s="1" t="s">
        <v>4561</v>
      </c>
      <c r="C3378" s="1" t="s">
        <v>8627</v>
      </c>
      <c r="D3378" s="1" t="s">
        <v>1242</v>
      </c>
      <c r="E3378" s="1" t="s">
        <v>6076</v>
      </c>
      <c r="F3378" s="1" t="s">
        <v>6076</v>
      </c>
      <c r="G3378" s="1" t="s">
        <v>5322</v>
      </c>
      <c r="H3378">
        <v>2002</v>
      </c>
      <c r="I3378">
        <v>2003</v>
      </c>
      <c r="J3378">
        <f t="shared" si="104"/>
        <v>2</v>
      </c>
      <c r="K3378" s="1" t="s">
        <v>6076</v>
      </c>
      <c r="L3378" s="1" t="s">
        <v>6076</v>
      </c>
      <c r="M3378">
        <f t="shared" si="105"/>
        <v>23</v>
      </c>
      <c r="N3378" t="s">
        <v>650</v>
      </c>
    </row>
    <row r="3379" spans="1:14" x14ac:dyDescent="0.3">
      <c r="A3379" s="1" t="s">
        <v>8628</v>
      </c>
      <c r="B3379" s="1" t="s">
        <v>4561</v>
      </c>
      <c r="C3379" s="1" t="s">
        <v>8629</v>
      </c>
      <c r="D3379" s="1" t="s">
        <v>1242</v>
      </c>
      <c r="E3379" s="1" t="s">
        <v>6076</v>
      </c>
      <c r="F3379" s="1" t="s">
        <v>6076</v>
      </c>
      <c r="G3379" s="1" t="s">
        <v>5322</v>
      </c>
      <c r="H3379">
        <v>2000</v>
      </c>
      <c r="I3379">
        <v>2005</v>
      </c>
      <c r="J3379">
        <f t="shared" si="104"/>
        <v>6</v>
      </c>
      <c r="K3379" s="1" t="s">
        <v>6076</v>
      </c>
      <c r="L3379" s="1" t="s">
        <v>6076</v>
      </c>
      <c r="M3379">
        <f t="shared" si="105"/>
        <v>21</v>
      </c>
      <c r="N3379" t="s">
        <v>650</v>
      </c>
    </row>
    <row r="3380" spans="1:14" hidden="1" x14ac:dyDescent="0.3">
      <c r="A3380" s="1" t="s">
        <v>5323</v>
      </c>
      <c r="B3380" s="1" t="s">
        <v>4561</v>
      </c>
      <c r="C3380" s="1" t="s">
        <v>5324</v>
      </c>
      <c r="D3380" s="1" t="s">
        <v>1242</v>
      </c>
      <c r="E3380" s="1" t="s">
        <v>4250</v>
      </c>
      <c r="F3380" s="1" t="s">
        <v>4251</v>
      </c>
      <c r="G3380" s="1" t="s">
        <v>5322</v>
      </c>
      <c r="H3380">
        <v>2007</v>
      </c>
      <c r="I3380">
        <v>2012</v>
      </c>
      <c r="J3380">
        <f t="shared" si="104"/>
        <v>6</v>
      </c>
      <c r="K3380" s="1" t="s">
        <v>4668</v>
      </c>
      <c r="L3380" s="1" t="s">
        <v>666</v>
      </c>
      <c r="M3380">
        <f t="shared" si="105"/>
        <v>14</v>
      </c>
      <c r="N3380" t="s">
        <v>650</v>
      </c>
    </row>
    <row r="3381" spans="1:14" hidden="1" x14ac:dyDescent="0.3">
      <c r="A3381" s="1" t="s">
        <v>5325</v>
      </c>
      <c r="B3381" s="1" t="s">
        <v>4561</v>
      </c>
      <c r="C3381" s="1" t="s">
        <v>5326</v>
      </c>
      <c r="D3381" s="1" t="s">
        <v>1242</v>
      </c>
      <c r="E3381" s="1" t="s">
        <v>4250</v>
      </c>
      <c r="F3381" s="1" t="s">
        <v>4251</v>
      </c>
      <c r="G3381" s="1" t="s">
        <v>5322</v>
      </c>
      <c r="H3381">
        <v>2007</v>
      </c>
      <c r="I3381">
        <v>2010</v>
      </c>
      <c r="J3381">
        <f t="shared" si="104"/>
        <v>4</v>
      </c>
      <c r="K3381" s="1" t="s">
        <v>4668</v>
      </c>
      <c r="L3381" s="1" t="s">
        <v>666</v>
      </c>
      <c r="M3381">
        <f t="shared" si="105"/>
        <v>16</v>
      </c>
      <c r="N3381" t="s">
        <v>650</v>
      </c>
    </row>
    <row r="3382" spans="1:14" hidden="1" x14ac:dyDescent="0.3">
      <c r="A3382" s="1" t="s">
        <v>5327</v>
      </c>
      <c r="B3382" s="1" t="s">
        <v>4561</v>
      </c>
      <c r="C3382" s="1" t="s">
        <v>5328</v>
      </c>
      <c r="D3382" s="1" t="s">
        <v>1242</v>
      </c>
      <c r="E3382" s="1" t="s">
        <v>4250</v>
      </c>
      <c r="F3382" s="1" t="s">
        <v>4251</v>
      </c>
      <c r="G3382" s="1" t="s">
        <v>5322</v>
      </c>
      <c r="H3382">
        <v>2007</v>
      </c>
      <c r="I3382">
        <v>2012</v>
      </c>
      <c r="J3382">
        <f t="shared" si="104"/>
        <v>6</v>
      </c>
      <c r="K3382" s="1" t="s">
        <v>4668</v>
      </c>
      <c r="L3382" s="1" t="s">
        <v>666</v>
      </c>
      <c r="M3382">
        <f t="shared" si="105"/>
        <v>14</v>
      </c>
      <c r="N3382" t="s">
        <v>650</v>
      </c>
    </row>
    <row r="3383" spans="1:14" hidden="1" x14ac:dyDescent="0.3">
      <c r="A3383" s="1" t="s">
        <v>5329</v>
      </c>
      <c r="B3383" s="1" t="s">
        <v>4561</v>
      </c>
      <c r="C3383" s="1" t="s">
        <v>5330</v>
      </c>
      <c r="D3383" s="1" t="s">
        <v>1242</v>
      </c>
      <c r="E3383" s="1" t="s">
        <v>4250</v>
      </c>
      <c r="F3383" s="1" t="s">
        <v>4251</v>
      </c>
      <c r="G3383" s="1" t="s">
        <v>5322</v>
      </c>
      <c r="H3383">
        <v>2007</v>
      </c>
      <c r="I3383">
        <v>2010</v>
      </c>
      <c r="J3383">
        <f t="shared" si="104"/>
        <v>4</v>
      </c>
      <c r="K3383" s="1" t="s">
        <v>4668</v>
      </c>
      <c r="L3383" s="1" t="s">
        <v>666</v>
      </c>
      <c r="M3383">
        <f t="shared" si="105"/>
        <v>16</v>
      </c>
      <c r="N3383" t="s">
        <v>650</v>
      </c>
    </row>
    <row r="3384" spans="1:14" hidden="1" x14ac:dyDescent="0.3">
      <c r="A3384" s="1" t="s">
        <v>5331</v>
      </c>
      <c r="B3384" s="1" t="s">
        <v>4561</v>
      </c>
      <c r="C3384" s="1" t="s">
        <v>5332</v>
      </c>
      <c r="D3384" s="1" t="s">
        <v>1242</v>
      </c>
      <c r="E3384" s="1" t="s">
        <v>4250</v>
      </c>
      <c r="F3384" s="1" t="s">
        <v>4251</v>
      </c>
      <c r="G3384" s="1" t="s">
        <v>5322</v>
      </c>
      <c r="H3384">
        <v>2007</v>
      </c>
      <c r="I3384">
        <v>2012</v>
      </c>
      <c r="J3384">
        <f t="shared" si="104"/>
        <v>6</v>
      </c>
      <c r="K3384" s="1" t="s">
        <v>4668</v>
      </c>
      <c r="L3384" s="1" t="s">
        <v>666</v>
      </c>
      <c r="M3384">
        <f t="shared" si="105"/>
        <v>14</v>
      </c>
      <c r="N3384" t="s">
        <v>650</v>
      </c>
    </row>
    <row r="3385" spans="1:14" x14ac:dyDescent="0.3">
      <c r="A3385" s="1" t="s">
        <v>8630</v>
      </c>
      <c r="B3385" s="1" t="s">
        <v>4561</v>
      </c>
      <c r="C3385" s="1" t="s">
        <v>8631</v>
      </c>
      <c r="D3385" s="1" t="s">
        <v>1242</v>
      </c>
      <c r="E3385" s="1" t="s">
        <v>6076</v>
      </c>
      <c r="F3385" s="1" t="s">
        <v>6076</v>
      </c>
      <c r="G3385" s="1" t="s">
        <v>5322</v>
      </c>
      <c r="H3385">
        <v>1999</v>
      </c>
      <c r="I3385">
        <v>2005</v>
      </c>
      <c r="J3385">
        <f t="shared" si="104"/>
        <v>7</v>
      </c>
      <c r="K3385" s="1" t="s">
        <v>6076</v>
      </c>
      <c r="L3385" s="1" t="s">
        <v>6076</v>
      </c>
      <c r="M3385">
        <f t="shared" si="105"/>
        <v>21</v>
      </c>
      <c r="N3385" t="s">
        <v>650</v>
      </c>
    </row>
    <row r="3386" spans="1:14" hidden="1" x14ac:dyDescent="0.3">
      <c r="A3386" s="1" t="s">
        <v>5333</v>
      </c>
      <c r="B3386" s="1" t="s">
        <v>4561</v>
      </c>
      <c r="C3386" s="1" t="s">
        <v>5334</v>
      </c>
      <c r="D3386" s="1" t="s">
        <v>1242</v>
      </c>
      <c r="E3386" s="1" t="s">
        <v>4250</v>
      </c>
      <c r="F3386" s="1" t="s">
        <v>4251</v>
      </c>
      <c r="G3386" s="1" t="s">
        <v>5322</v>
      </c>
      <c r="H3386">
        <v>2004</v>
      </c>
      <c r="I3386">
        <v>2012</v>
      </c>
      <c r="J3386">
        <f t="shared" si="104"/>
        <v>9</v>
      </c>
      <c r="K3386" s="1" t="s">
        <v>4668</v>
      </c>
      <c r="L3386" s="1" t="s">
        <v>666</v>
      </c>
      <c r="M3386">
        <f t="shared" si="105"/>
        <v>14</v>
      </c>
      <c r="N3386" t="s">
        <v>650</v>
      </c>
    </row>
    <row r="3387" spans="1:14" x14ac:dyDescent="0.3">
      <c r="A3387" s="1" t="s">
        <v>8632</v>
      </c>
      <c r="B3387" s="1" t="s">
        <v>4561</v>
      </c>
      <c r="C3387" s="1" t="s">
        <v>8633</v>
      </c>
      <c r="D3387" s="1" t="s">
        <v>1242</v>
      </c>
      <c r="E3387" s="1" t="s">
        <v>6076</v>
      </c>
      <c r="F3387" s="1" t="s">
        <v>6076</v>
      </c>
      <c r="G3387" s="1" t="s">
        <v>5322</v>
      </c>
      <c r="H3387">
        <v>1999</v>
      </c>
      <c r="I3387">
        <v>2002</v>
      </c>
      <c r="J3387">
        <f t="shared" si="104"/>
        <v>4</v>
      </c>
      <c r="K3387" s="1" t="s">
        <v>6076</v>
      </c>
      <c r="L3387" s="1" t="s">
        <v>6076</v>
      </c>
      <c r="M3387">
        <f t="shared" si="105"/>
        <v>24</v>
      </c>
      <c r="N3387" t="s">
        <v>650</v>
      </c>
    </row>
    <row r="3388" spans="1:14" hidden="1" x14ac:dyDescent="0.3">
      <c r="A3388" s="1" t="s">
        <v>5335</v>
      </c>
      <c r="B3388" s="1" t="s">
        <v>4561</v>
      </c>
      <c r="C3388" s="1" t="s">
        <v>5336</v>
      </c>
      <c r="D3388" s="1" t="s">
        <v>1242</v>
      </c>
      <c r="E3388" s="1" t="s">
        <v>4250</v>
      </c>
      <c r="F3388" s="1" t="s">
        <v>4251</v>
      </c>
      <c r="G3388" s="1" t="s">
        <v>5322</v>
      </c>
      <c r="H3388">
        <v>2004</v>
      </c>
      <c r="I3388">
        <v>2007</v>
      </c>
      <c r="J3388">
        <f t="shared" si="104"/>
        <v>4</v>
      </c>
      <c r="K3388" s="1" t="s">
        <v>4668</v>
      </c>
      <c r="L3388" s="1" t="s">
        <v>666</v>
      </c>
      <c r="M3388">
        <f t="shared" si="105"/>
        <v>19</v>
      </c>
      <c r="N3388" t="s">
        <v>650</v>
      </c>
    </row>
    <row r="3389" spans="1:14" hidden="1" x14ac:dyDescent="0.3">
      <c r="A3389" s="1" t="s">
        <v>5337</v>
      </c>
      <c r="B3389" s="1" t="s">
        <v>4561</v>
      </c>
      <c r="C3389" s="1" t="s">
        <v>5338</v>
      </c>
      <c r="D3389" s="1" t="s">
        <v>1242</v>
      </c>
      <c r="E3389" s="1" t="s">
        <v>4250</v>
      </c>
      <c r="F3389" s="1" t="s">
        <v>4251</v>
      </c>
      <c r="G3389" s="1" t="s">
        <v>5322</v>
      </c>
      <c r="H3389">
        <v>2004</v>
      </c>
      <c r="I3389">
        <v>2007</v>
      </c>
      <c r="J3389">
        <f t="shared" si="104"/>
        <v>4</v>
      </c>
      <c r="K3389" s="1" t="s">
        <v>4668</v>
      </c>
      <c r="L3389" s="1" t="s">
        <v>666</v>
      </c>
      <c r="M3389">
        <f t="shared" si="105"/>
        <v>19</v>
      </c>
      <c r="N3389" t="s">
        <v>650</v>
      </c>
    </row>
    <row r="3390" spans="1:14" hidden="1" x14ac:dyDescent="0.3">
      <c r="A3390" s="1" t="s">
        <v>5339</v>
      </c>
      <c r="B3390" s="1" t="s">
        <v>4561</v>
      </c>
      <c r="C3390" s="1" t="s">
        <v>5340</v>
      </c>
      <c r="D3390" s="1" t="s">
        <v>1242</v>
      </c>
      <c r="E3390" s="1" t="s">
        <v>4250</v>
      </c>
      <c r="F3390" s="1" t="s">
        <v>4251</v>
      </c>
      <c r="G3390" s="1" t="s">
        <v>5322</v>
      </c>
      <c r="H3390">
        <v>2004</v>
      </c>
      <c r="I3390">
        <v>2007</v>
      </c>
      <c r="J3390">
        <f t="shared" si="104"/>
        <v>4</v>
      </c>
      <c r="K3390" s="1" t="s">
        <v>4668</v>
      </c>
      <c r="L3390" s="1" t="s">
        <v>666</v>
      </c>
      <c r="M3390">
        <f t="shared" si="105"/>
        <v>19</v>
      </c>
      <c r="N3390" t="s">
        <v>650</v>
      </c>
    </row>
    <row r="3391" spans="1:14" hidden="1" x14ac:dyDescent="0.3">
      <c r="A3391" s="1" t="s">
        <v>5341</v>
      </c>
      <c r="B3391" s="1" t="s">
        <v>4561</v>
      </c>
      <c r="C3391" s="1" t="s">
        <v>5342</v>
      </c>
      <c r="D3391" s="1" t="s">
        <v>1242</v>
      </c>
      <c r="E3391" s="1" t="s">
        <v>4250</v>
      </c>
      <c r="F3391" s="1" t="s">
        <v>4251</v>
      </c>
      <c r="G3391" s="1" t="s">
        <v>5322</v>
      </c>
      <c r="H3391">
        <v>2017</v>
      </c>
      <c r="I3391">
        <v>2017</v>
      </c>
      <c r="J3391">
        <f t="shared" si="104"/>
        <v>1</v>
      </c>
      <c r="K3391" s="1" t="s">
        <v>4668</v>
      </c>
      <c r="L3391" s="1" t="s">
        <v>666</v>
      </c>
      <c r="M3391">
        <f t="shared" si="105"/>
        <v>9</v>
      </c>
      <c r="N3391" t="s">
        <v>650</v>
      </c>
    </row>
    <row r="3392" spans="1:14" hidden="1" x14ac:dyDescent="0.3">
      <c r="A3392" s="1" t="s">
        <v>5343</v>
      </c>
      <c r="B3392" s="1" t="s">
        <v>4561</v>
      </c>
      <c r="C3392" s="1" t="s">
        <v>5344</v>
      </c>
      <c r="D3392" s="1" t="s">
        <v>1242</v>
      </c>
      <c r="E3392" s="1" t="s">
        <v>4250</v>
      </c>
      <c r="F3392" s="1" t="s">
        <v>4251</v>
      </c>
      <c r="G3392" s="1" t="s">
        <v>5322</v>
      </c>
      <c r="H3392">
        <v>2017</v>
      </c>
      <c r="I3392">
        <v>2018</v>
      </c>
      <c r="J3392">
        <f t="shared" si="104"/>
        <v>2</v>
      </c>
      <c r="K3392" s="1" t="s">
        <v>4668</v>
      </c>
      <c r="L3392" s="1" t="s">
        <v>666</v>
      </c>
      <c r="M3392">
        <f t="shared" si="105"/>
        <v>8</v>
      </c>
      <c r="N3392" t="s">
        <v>650</v>
      </c>
    </row>
    <row r="3393" spans="1:14" hidden="1" x14ac:dyDescent="0.3">
      <c r="A3393" s="1" t="s">
        <v>5345</v>
      </c>
      <c r="B3393" s="1" t="s">
        <v>4561</v>
      </c>
      <c r="C3393" s="1" t="s">
        <v>5346</v>
      </c>
      <c r="D3393" s="1" t="s">
        <v>1242</v>
      </c>
      <c r="E3393" s="1" t="s">
        <v>4250</v>
      </c>
      <c r="F3393" s="1" t="s">
        <v>4251</v>
      </c>
      <c r="G3393" s="1" t="s">
        <v>5322</v>
      </c>
      <c r="H3393">
        <v>2021</v>
      </c>
      <c r="I3393">
        <v>2022</v>
      </c>
      <c r="J3393">
        <f t="shared" si="104"/>
        <v>2</v>
      </c>
      <c r="K3393" s="1" t="s">
        <v>4668</v>
      </c>
      <c r="L3393" s="1" t="s">
        <v>666</v>
      </c>
      <c r="M3393">
        <f t="shared" si="105"/>
        <v>4</v>
      </c>
      <c r="N3393" t="s">
        <v>650</v>
      </c>
    </row>
    <row r="3394" spans="1:14" hidden="1" x14ac:dyDescent="0.3">
      <c r="A3394" s="1" t="s">
        <v>5347</v>
      </c>
      <c r="B3394" s="1" t="s">
        <v>4561</v>
      </c>
      <c r="C3394" s="1" t="s">
        <v>5348</v>
      </c>
      <c r="D3394" s="1" t="s">
        <v>1242</v>
      </c>
      <c r="E3394" s="1" t="s">
        <v>4250</v>
      </c>
      <c r="F3394" s="1" t="s">
        <v>4251</v>
      </c>
      <c r="G3394" s="1" t="s">
        <v>5322</v>
      </c>
      <c r="H3394">
        <v>2021</v>
      </c>
      <c r="I3394">
        <v>2022</v>
      </c>
      <c r="J3394">
        <f t="shared" si="104"/>
        <v>2</v>
      </c>
      <c r="K3394" s="1" t="s">
        <v>4668</v>
      </c>
      <c r="L3394" s="1" t="s">
        <v>666</v>
      </c>
      <c r="M3394">
        <f t="shared" si="105"/>
        <v>4</v>
      </c>
      <c r="N3394" t="s">
        <v>650</v>
      </c>
    </row>
    <row r="3395" spans="1:14" hidden="1" x14ac:dyDescent="0.3">
      <c r="A3395" s="1" t="s">
        <v>5349</v>
      </c>
      <c r="B3395" s="1" t="s">
        <v>4561</v>
      </c>
      <c r="C3395" s="1" t="s">
        <v>5350</v>
      </c>
      <c r="D3395" s="1" t="s">
        <v>1242</v>
      </c>
      <c r="E3395" s="1" t="s">
        <v>4250</v>
      </c>
      <c r="F3395" s="1" t="s">
        <v>4251</v>
      </c>
      <c r="G3395" s="1" t="s">
        <v>5322</v>
      </c>
      <c r="H3395">
        <v>2021</v>
      </c>
      <c r="I3395">
        <v>2022</v>
      </c>
      <c r="J3395">
        <f t="shared" si="104"/>
        <v>2</v>
      </c>
      <c r="K3395" s="1" t="s">
        <v>4668</v>
      </c>
      <c r="L3395" s="1" t="s">
        <v>666</v>
      </c>
      <c r="M3395">
        <f t="shared" si="105"/>
        <v>4</v>
      </c>
      <c r="N3395" t="s">
        <v>650</v>
      </c>
    </row>
    <row r="3396" spans="1:14" hidden="1" x14ac:dyDescent="0.3">
      <c r="A3396" s="1" t="s">
        <v>5351</v>
      </c>
      <c r="B3396" s="1" t="s">
        <v>4561</v>
      </c>
      <c r="C3396" s="1" t="s">
        <v>5352</v>
      </c>
      <c r="D3396" s="1" t="s">
        <v>1242</v>
      </c>
      <c r="E3396" s="1" t="s">
        <v>4250</v>
      </c>
      <c r="F3396" s="1" t="s">
        <v>4251</v>
      </c>
      <c r="G3396" s="1" t="s">
        <v>5322</v>
      </c>
      <c r="H3396">
        <v>2021</v>
      </c>
      <c r="I3396">
        <v>2022</v>
      </c>
      <c r="J3396">
        <f t="shared" si="104"/>
        <v>2</v>
      </c>
      <c r="K3396" s="1" t="s">
        <v>4668</v>
      </c>
      <c r="L3396" s="1" t="s">
        <v>666</v>
      </c>
      <c r="M3396">
        <f t="shared" si="105"/>
        <v>4</v>
      </c>
      <c r="N3396" t="s">
        <v>650</v>
      </c>
    </row>
    <row r="3397" spans="1:14" hidden="1" x14ac:dyDescent="0.3">
      <c r="A3397" t="s">
        <v>12074</v>
      </c>
      <c r="B3397" t="s">
        <v>4561</v>
      </c>
      <c r="C3397" t="s">
        <v>12075</v>
      </c>
      <c r="E3397" s="1" t="e">
        <v>#N/A</v>
      </c>
      <c r="F3397" s="1" t="e">
        <v>#N/A</v>
      </c>
      <c r="G3397" s="1" t="s">
        <v>5322</v>
      </c>
      <c r="H3397">
        <v>2025</v>
      </c>
      <c r="I3397">
        <v>2026</v>
      </c>
      <c r="J3397">
        <f t="shared" si="104"/>
        <v>2</v>
      </c>
      <c r="K3397" s="1" t="s">
        <v>12912</v>
      </c>
      <c r="L3397" s="1" t="s">
        <v>12912</v>
      </c>
      <c r="M3397">
        <f t="shared" si="105"/>
        <v>0</v>
      </c>
    </row>
    <row r="3398" spans="1:14" hidden="1" x14ac:dyDescent="0.3">
      <c r="A3398" t="s">
        <v>12076</v>
      </c>
      <c r="B3398" t="s">
        <v>4561</v>
      </c>
      <c r="C3398" t="s">
        <v>12077</v>
      </c>
      <c r="E3398" s="1" t="e">
        <v>#N/A</v>
      </c>
      <c r="F3398" s="1" t="e">
        <v>#N/A</v>
      </c>
      <c r="G3398" s="1" t="s">
        <v>5322</v>
      </c>
      <c r="H3398">
        <v>2025</v>
      </c>
      <c r="I3398">
        <v>2025</v>
      </c>
      <c r="J3398">
        <f t="shared" ref="J3398:J3461" si="106">1+(I3398-H3398)</f>
        <v>1</v>
      </c>
      <c r="K3398" s="1" t="s">
        <v>12912</v>
      </c>
      <c r="L3398" s="1" t="s">
        <v>12912</v>
      </c>
      <c r="M3398">
        <f t="shared" ref="M3398:M3461" si="107">IF(I3398=0,0,$B$2-I3398)</f>
        <v>1</v>
      </c>
    </row>
    <row r="3399" spans="1:14" hidden="1" x14ac:dyDescent="0.3">
      <c r="A3399" t="s">
        <v>12078</v>
      </c>
      <c r="B3399" t="s">
        <v>4561</v>
      </c>
      <c r="C3399" t="s">
        <v>12079</v>
      </c>
      <c r="E3399" s="1" t="e">
        <v>#N/A</v>
      </c>
      <c r="F3399" s="1" t="e">
        <v>#N/A</v>
      </c>
      <c r="G3399" s="1" t="s">
        <v>5322</v>
      </c>
      <c r="H3399">
        <v>2025</v>
      </c>
      <c r="I3399">
        <v>2025</v>
      </c>
      <c r="J3399">
        <f t="shared" si="106"/>
        <v>1</v>
      </c>
      <c r="K3399" s="1" t="s">
        <v>12912</v>
      </c>
      <c r="L3399" s="1" t="s">
        <v>12912</v>
      </c>
      <c r="M3399">
        <f t="shared" si="107"/>
        <v>1</v>
      </c>
    </row>
    <row r="3400" spans="1:14" hidden="1" x14ac:dyDescent="0.3">
      <c r="A3400" t="s">
        <v>12080</v>
      </c>
      <c r="B3400" t="s">
        <v>4561</v>
      </c>
      <c r="C3400" t="s">
        <v>12081</v>
      </c>
      <c r="E3400" s="1" t="e">
        <v>#N/A</v>
      </c>
      <c r="F3400" s="1" t="e">
        <v>#N/A</v>
      </c>
      <c r="G3400" s="1" t="s">
        <v>5322</v>
      </c>
      <c r="H3400">
        <v>2024</v>
      </c>
      <c r="I3400">
        <v>2024</v>
      </c>
      <c r="J3400">
        <f t="shared" si="106"/>
        <v>1</v>
      </c>
      <c r="K3400" s="1" t="s">
        <v>12912</v>
      </c>
      <c r="L3400" s="1" t="s">
        <v>12912</v>
      </c>
      <c r="M3400">
        <f t="shared" si="107"/>
        <v>2</v>
      </c>
    </row>
    <row r="3401" spans="1:14" hidden="1" x14ac:dyDescent="0.3">
      <c r="A3401" s="1" t="s">
        <v>5353</v>
      </c>
      <c r="B3401" s="1" t="s">
        <v>4561</v>
      </c>
      <c r="C3401" s="1" t="s">
        <v>5354</v>
      </c>
      <c r="D3401" s="1" t="s">
        <v>1242</v>
      </c>
      <c r="E3401" s="1" t="s">
        <v>4250</v>
      </c>
      <c r="F3401" s="1" t="s">
        <v>4251</v>
      </c>
      <c r="G3401" s="1" t="s">
        <v>5322</v>
      </c>
      <c r="H3401">
        <v>2020</v>
      </c>
      <c r="I3401">
        <v>2020</v>
      </c>
      <c r="J3401">
        <f t="shared" si="106"/>
        <v>1</v>
      </c>
      <c r="K3401" s="1" t="s">
        <v>4668</v>
      </c>
      <c r="L3401" s="1" t="s">
        <v>666</v>
      </c>
      <c r="M3401">
        <f t="shared" si="107"/>
        <v>6</v>
      </c>
      <c r="N3401" t="s">
        <v>650</v>
      </c>
    </row>
    <row r="3402" spans="1:14" hidden="1" x14ac:dyDescent="0.3">
      <c r="A3402" s="1" t="s">
        <v>5355</v>
      </c>
      <c r="B3402" s="1" t="s">
        <v>4561</v>
      </c>
      <c r="C3402" s="1" t="s">
        <v>5356</v>
      </c>
      <c r="D3402" s="1" t="s">
        <v>1242</v>
      </c>
      <c r="E3402" s="1" t="s">
        <v>4250</v>
      </c>
      <c r="F3402" s="1" t="s">
        <v>4251</v>
      </c>
      <c r="G3402" s="1" t="s">
        <v>5322</v>
      </c>
      <c r="H3402">
        <v>2020</v>
      </c>
      <c r="I3402">
        <v>2020</v>
      </c>
      <c r="J3402">
        <f t="shared" si="106"/>
        <v>1</v>
      </c>
      <c r="K3402" s="1" t="s">
        <v>4668</v>
      </c>
      <c r="L3402" s="1" t="s">
        <v>666</v>
      </c>
      <c r="M3402">
        <f t="shared" si="107"/>
        <v>6</v>
      </c>
      <c r="N3402" t="s">
        <v>650</v>
      </c>
    </row>
    <row r="3403" spans="1:14" hidden="1" x14ac:dyDescent="0.3">
      <c r="A3403" s="1" t="s">
        <v>5357</v>
      </c>
      <c r="B3403" s="1" t="s">
        <v>4561</v>
      </c>
      <c r="C3403" s="1" t="s">
        <v>5358</v>
      </c>
      <c r="D3403" s="1" t="s">
        <v>1242</v>
      </c>
      <c r="E3403" s="1" t="s">
        <v>4250</v>
      </c>
      <c r="F3403" s="1" t="s">
        <v>4251</v>
      </c>
      <c r="G3403" s="1" t="s">
        <v>5322</v>
      </c>
      <c r="H3403">
        <v>2016</v>
      </c>
      <c r="I3403">
        <v>2017</v>
      </c>
      <c r="J3403">
        <f t="shared" si="106"/>
        <v>2</v>
      </c>
      <c r="K3403" s="1" t="s">
        <v>4668</v>
      </c>
      <c r="L3403" s="1" t="s">
        <v>666</v>
      </c>
      <c r="M3403">
        <f t="shared" si="107"/>
        <v>9</v>
      </c>
      <c r="N3403" t="s">
        <v>650</v>
      </c>
    </row>
    <row r="3404" spans="1:14" hidden="1" x14ac:dyDescent="0.3">
      <c r="A3404" t="s">
        <v>12082</v>
      </c>
      <c r="B3404" t="s">
        <v>4561</v>
      </c>
      <c r="C3404" t="s">
        <v>12083</v>
      </c>
      <c r="E3404" s="1" t="e">
        <v>#N/A</v>
      </c>
      <c r="F3404" s="1" t="e">
        <v>#N/A</v>
      </c>
      <c r="G3404" s="1" t="s">
        <v>5322</v>
      </c>
      <c r="H3404">
        <v>2025</v>
      </c>
      <c r="I3404">
        <v>2026</v>
      </c>
      <c r="J3404">
        <f t="shared" si="106"/>
        <v>2</v>
      </c>
      <c r="K3404" s="1" t="s">
        <v>12912</v>
      </c>
      <c r="L3404" s="1" t="s">
        <v>12912</v>
      </c>
      <c r="M3404">
        <f t="shared" si="107"/>
        <v>0</v>
      </c>
    </row>
    <row r="3405" spans="1:14" hidden="1" x14ac:dyDescent="0.3">
      <c r="A3405" s="1" t="s">
        <v>5359</v>
      </c>
      <c r="B3405" s="1" t="s">
        <v>4561</v>
      </c>
      <c r="C3405" s="1" t="s">
        <v>5360</v>
      </c>
      <c r="D3405" s="1" t="s">
        <v>1242</v>
      </c>
      <c r="E3405" s="1" t="s">
        <v>4250</v>
      </c>
      <c r="F3405" s="1" t="s">
        <v>4251</v>
      </c>
      <c r="G3405" s="1" t="s">
        <v>5322</v>
      </c>
      <c r="H3405">
        <v>2013</v>
      </c>
      <c r="I3405">
        <v>2018</v>
      </c>
      <c r="J3405">
        <f t="shared" si="106"/>
        <v>6</v>
      </c>
      <c r="K3405" s="1" t="s">
        <v>4668</v>
      </c>
      <c r="L3405" s="1" t="s">
        <v>666</v>
      </c>
      <c r="M3405">
        <f t="shared" si="107"/>
        <v>8</v>
      </c>
      <c r="N3405" t="s">
        <v>650</v>
      </c>
    </row>
    <row r="3406" spans="1:14" hidden="1" x14ac:dyDescent="0.3">
      <c r="A3406" s="1" t="s">
        <v>5361</v>
      </c>
      <c r="B3406" s="1" t="s">
        <v>4561</v>
      </c>
      <c r="C3406" s="1" t="s">
        <v>5362</v>
      </c>
      <c r="D3406" s="1" t="s">
        <v>1242</v>
      </c>
      <c r="E3406" s="1" t="s">
        <v>4250</v>
      </c>
      <c r="F3406" s="1" t="s">
        <v>4251</v>
      </c>
      <c r="G3406" s="1" t="s">
        <v>5322</v>
      </c>
      <c r="H3406">
        <v>2012</v>
      </c>
      <c r="I3406">
        <v>2017</v>
      </c>
      <c r="J3406">
        <f t="shared" si="106"/>
        <v>6</v>
      </c>
      <c r="K3406" s="1" t="s">
        <v>4668</v>
      </c>
      <c r="L3406" s="1" t="s">
        <v>666</v>
      </c>
      <c r="M3406">
        <f t="shared" si="107"/>
        <v>9</v>
      </c>
      <c r="N3406" t="s">
        <v>650</v>
      </c>
    </row>
    <row r="3407" spans="1:14" hidden="1" x14ac:dyDescent="0.3">
      <c r="A3407" s="1" t="s">
        <v>5363</v>
      </c>
      <c r="B3407" s="1" t="s">
        <v>4561</v>
      </c>
      <c r="C3407" s="1" t="s">
        <v>5364</v>
      </c>
      <c r="D3407" s="1" t="s">
        <v>1242</v>
      </c>
      <c r="E3407" s="1" t="s">
        <v>4250</v>
      </c>
      <c r="F3407" s="1" t="s">
        <v>4251</v>
      </c>
      <c r="G3407" s="1" t="s">
        <v>5322</v>
      </c>
      <c r="H3407">
        <v>2012</v>
      </c>
      <c r="I3407">
        <v>2018</v>
      </c>
      <c r="J3407">
        <f t="shared" si="106"/>
        <v>7</v>
      </c>
      <c r="K3407" s="1" t="s">
        <v>4668</v>
      </c>
      <c r="L3407" s="1" t="s">
        <v>666</v>
      </c>
      <c r="M3407">
        <f t="shared" si="107"/>
        <v>8</v>
      </c>
      <c r="N3407" t="s">
        <v>650</v>
      </c>
    </row>
    <row r="3408" spans="1:14" hidden="1" x14ac:dyDescent="0.3">
      <c r="A3408" s="1" t="s">
        <v>5365</v>
      </c>
      <c r="B3408" s="1" t="s">
        <v>4561</v>
      </c>
      <c r="C3408" s="1" t="s">
        <v>5366</v>
      </c>
      <c r="D3408" s="1" t="s">
        <v>1242</v>
      </c>
      <c r="E3408" s="1" t="s">
        <v>4250</v>
      </c>
      <c r="F3408" s="1" t="s">
        <v>4251</v>
      </c>
      <c r="G3408" s="1" t="s">
        <v>5322</v>
      </c>
      <c r="H3408">
        <v>2013</v>
      </c>
      <c r="I3408">
        <v>2017</v>
      </c>
      <c r="J3408">
        <f t="shared" si="106"/>
        <v>5</v>
      </c>
      <c r="K3408" s="1" t="s">
        <v>4668</v>
      </c>
      <c r="L3408" s="1" t="s">
        <v>666</v>
      </c>
      <c r="M3408">
        <f t="shared" si="107"/>
        <v>9</v>
      </c>
      <c r="N3408" t="s">
        <v>650</v>
      </c>
    </row>
    <row r="3409" spans="1:14" hidden="1" x14ac:dyDescent="0.3">
      <c r="A3409" s="1" t="s">
        <v>5367</v>
      </c>
      <c r="B3409" s="1" t="s">
        <v>4561</v>
      </c>
      <c r="C3409" s="1" t="s">
        <v>5368</v>
      </c>
      <c r="D3409" s="1" t="s">
        <v>1242</v>
      </c>
      <c r="E3409" s="1" t="s">
        <v>4250</v>
      </c>
      <c r="F3409" s="1" t="s">
        <v>4251</v>
      </c>
      <c r="G3409" s="1" t="s">
        <v>5322</v>
      </c>
      <c r="H3409">
        <v>2008</v>
      </c>
      <c r="I3409">
        <v>2017</v>
      </c>
      <c r="J3409">
        <f t="shared" si="106"/>
        <v>10</v>
      </c>
      <c r="K3409" s="1" t="s">
        <v>4668</v>
      </c>
      <c r="L3409" s="1" t="s">
        <v>666</v>
      </c>
      <c r="M3409">
        <f t="shared" si="107"/>
        <v>9</v>
      </c>
      <c r="N3409" t="s">
        <v>650</v>
      </c>
    </row>
    <row r="3410" spans="1:14" hidden="1" x14ac:dyDescent="0.3">
      <c r="A3410" s="1" t="s">
        <v>5369</v>
      </c>
      <c r="B3410" s="1" t="s">
        <v>4561</v>
      </c>
      <c r="C3410" s="1" t="s">
        <v>5370</v>
      </c>
      <c r="D3410" s="1" t="s">
        <v>1242</v>
      </c>
      <c r="E3410" s="1" t="s">
        <v>4250</v>
      </c>
      <c r="F3410" s="1" t="s">
        <v>4251</v>
      </c>
      <c r="G3410" s="1" t="s">
        <v>5322</v>
      </c>
      <c r="H3410">
        <v>2008</v>
      </c>
      <c r="I3410">
        <v>2018</v>
      </c>
      <c r="J3410">
        <f t="shared" si="106"/>
        <v>11</v>
      </c>
      <c r="K3410" s="1" t="s">
        <v>4668</v>
      </c>
      <c r="L3410" s="1" t="s">
        <v>666</v>
      </c>
      <c r="M3410">
        <f t="shared" si="107"/>
        <v>8</v>
      </c>
      <c r="N3410" t="s">
        <v>650</v>
      </c>
    </row>
    <row r="3411" spans="1:14" hidden="1" x14ac:dyDescent="0.3">
      <c r="A3411" s="1" t="s">
        <v>5371</v>
      </c>
      <c r="B3411" s="1" t="s">
        <v>4561</v>
      </c>
      <c r="C3411" s="1" t="s">
        <v>5372</v>
      </c>
      <c r="D3411" s="1" t="s">
        <v>1242</v>
      </c>
      <c r="E3411" s="1" t="s">
        <v>4250</v>
      </c>
      <c r="F3411" s="1" t="s">
        <v>4251</v>
      </c>
      <c r="G3411" s="1" t="s">
        <v>5322</v>
      </c>
      <c r="H3411">
        <v>2008</v>
      </c>
      <c r="I3411">
        <v>2017</v>
      </c>
      <c r="J3411">
        <f t="shared" si="106"/>
        <v>10</v>
      </c>
      <c r="K3411" s="1" t="s">
        <v>4668</v>
      </c>
      <c r="L3411" s="1" t="s">
        <v>666</v>
      </c>
      <c r="M3411">
        <f t="shared" si="107"/>
        <v>9</v>
      </c>
      <c r="N3411" t="s">
        <v>650</v>
      </c>
    </row>
    <row r="3412" spans="1:14" hidden="1" x14ac:dyDescent="0.3">
      <c r="A3412" s="1" t="s">
        <v>5373</v>
      </c>
      <c r="B3412" s="1" t="s">
        <v>4561</v>
      </c>
      <c r="C3412" s="1" t="s">
        <v>5374</v>
      </c>
      <c r="D3412" s="1" t="s">
        <v>1242</v>
      </c>
      <c r="E3412" s="1" t="s">
        <v>4250</v>
      </c>
      <c r="F3412" s="1" t="s">
        <v>4251</v>
      </c>
      <c r="G3412" s="1" t="s">
        <v>5322</v>
      </c>
      <c r="H3412">
        <v>2016</v>
      </c>
      <c r="I3412">
        <v>2016</v>
      </c>
      <c r="J3412">
        <f t="shared" si="106"/>
        <v>1</v>
      </c>
      <c r="K3412" s="1" t="s">
        <v>4668</v>
      </c>
      <c r="L3412" s="1" t="s">
        <v>666</v>
      </c>
      <c r="M3412">
        <f t="shared" si="107"/>
        <v>10</v>
      </c>
      <c r="N3412" t="s">
        <v>650</v>
      </c>
    </row>
    <row r="3413" spans="1:14" hidden="1" x14ac:dyDescent="0.3">
      <c r="A3413" s="1" t="s">
        <v>5375</v>
      </c>
      <c r="B3413" s="1" t="s">
        <v>4561</v>
      </c>
      <c r="C3413" s="1" t="s">
        <v>5376</v>
      </c>
      <c r="D3413" s="1" t="s">
        <v>1242</v>
      </c>
      <c r="E3413" s="1" t="s">
        <v>4250</v>
      </c>
      <c r="F3413" s="1" t="s">
        <v>4251</v>
      </c>
      <c r="G3413" s="1" t="s">
        <v>5322</v>
      </c>
      <c r="H3413">
        <v>2020</v>
      </c>
      <c r="I3413">
        <v>2022</v>
      </c>
      <c r="J3413">
        <f t="shared" si="106"/>
        <v>3</v>
      </c>
      <c r="K3413" s="1" t="s">
        <v>4668</v>
      </c>
      <c r="L3413" s="1" t="s">
        <v>666</v>
      </c>
      <c r="M3413">
        <f t="shared" si="107"/>
        <v>4</v>
      </c>
      <c r="N3413" t="s">
        <v>650</v>
      </c>
    </row>
    <row r="3414" spans="1:14" hidden="1" x14ac:dyDescent="0.3">
      <c r="A3414" s="1" t="s">
        <v>5377</v>
      </c>
      <c r="B3414" s="1" t="s">
        <v>4561</v>
      </c>
      <c r="C3414" s="1" t="s">
        <v>5378</v>
      </c>
      <c r="D3414" s="1" t="s">
        <v>1242</v>
      </c>
      <c r="E3414" s="1" t="s">
        <v>4250</v>
      </c>
      <c r="F3414" s="1" t="s">
        <v>4251</v>
      </c>
      <c r="G3414" s="1" t="s">
        <v>5322</v>
      </c>
      <c r="H3414">
        <v>2017</v>
      </c>
      <c r="I3414">
        <v>2018</v>
      </c>
      <c r="J3414">
        <f t="shared" si="106"/>
        <v>2</v>
      </c>
      <c r="K3414" s="1" t="s">
        <v>4668</v>
      </c>
      <c r="L3414" s="1" t="s">
        <v>666</v>
      </c>
      <c r="M3414">
        <f t="shared" si="107"/>
        <v>8</v>
      </c>
      <c r="N3414" t="s">
        <v>650</v>
      </c>
    </row>
    <row r="3415" spans="1:14" hidden="1" x14ac:dyDescent="0.3">
      <c r="A3415" s="1" t="s">
        <v>5379</v>
      </c>
      <c r="B3415" s="1" t="s">
        <v>4561</v>
      </c>
      <c r="C3415" s="1" t="s">
        <v>5380</v>
      </c>
      <c r="D3415" s="1" t="s">
        <v>1242</v>
      </c>
      <c r="E3415" s="1" t="s">
        <v>4250</v>
      </c>
      <c r="F3415" s="1" t="s">
        <v>4251</v>
      </c>
      <c r="G3415" s="1" t="s">
        <v>5322</v>
      </c>
      <c r="H3415">
        <v>2017</v>
      </c>
      <c r="I3415">
        <v>2018</v>
      </c>
      <c r="J3415">
        <f t="shared" si="106"/>
        <v>2</v>
      </c>
      <c r="K3415" s="1" t="s">
        <v>4668</v>
      </c>
      <c r="L3415" s="1" t="s">
        <v>666</v>
      </c>
      <c r="M3415">
        <f t="shared" si="107"/>
        <v>8</v>
      </c>
      <c r="N3415" t="s">
        <v>650</v>
      </c>
    </row>
    <row r="3416" spans="1:14" hidden="1" x14ac:dyDescent="0.3">
      <c r="A3416" s="1" t="s">
        <v>5381</v>
      </c>
      <c r="B3416" s="1" t="s">
        <v>4561</v>
      </c>
      <c r="C3416" s="1" t="s">
        <v>5382</v>
      </c>
      <c r="D3416" s="1" t="s">
        <v>1242</v>
      </c>
      <c r="E3416" s="1" t="s">
        <v>4250</v>
      </c>
      <c r="F3416" s="1" t="s">
        <v>4251</v>
      </c>
      <c r="G3416" s="1" t="s">
        <v>5322</v>
      </c>
      <c r="H3416">
        <v>2017</v>
      </c>
      <c r="I3416">
        <v>2018</v>
      </c>
      <c r="J3416">
        <f t="shared" si="106"/>
        <v>2</v>
      </c>
      <c r="K3416" s="1" t="s">
        <v>4668</v>
      </c>
      <c r="L3416" s="1" t="s">
        <v>666</v>
      </c>
      <c r="M3416">
        <f t="shared" si="107"/>
        <v>8</v>
      </c>
      <c r="N3416" t="s">
        <v>650</v>
      </c>
    </row>
    <row r="3417" spans="1:14" hidden="1" x14ac:dyDescent="0.3">
      <c r="A3417" s="1" t="s">
        <v>5383</v>
      </c>
      <c r="B3417" s="1" t="s">
        <v>4561</v>
      </c>
      <c r="C3417" s="1" t="s">
        <v>5384</v>
      </c>
      <c r="D3417" s="1" t="s">
        <v>1242</v>
      </c>
      <c r="E3417" s="1" t="s">
        <v>4250</v>
      </c>
      <c r="F3417" s="1" t="s">
        <v>4251</v>
      </c>
      <c r="G3417" s="1" t="s">
        <v>5322</v>
      </c>
      <c r="H3417">
        <v>2013</v>
      </c>
      <c r="I3417">
        <v>2018</v>
      </c>
      <c r="J3417">
        <f t="shared" si="106"/>
        <v>6</v>
      </c>
      <c r="K3417" s="1" t="s">
        <v>4668</v>
      </c>
      <c r="L3417" s="1" t="s">
        <v>666</v>
      </c>
      <c r="M3417">
        <f t="shared" si="107"/>
        <v>8</v>
      </c>
      <c r="N3417" t="s">
        <v>650</v>
      </c>
    </row>
    <row r="3418" spans="1:14" hidden="1" x14ac:dyDescent="0.3">
      <c r="A3418" s="1" t="s">
        <v>5385</v>
      </c>
      <c r="B3418" s="1" t="s">
        <v>4561</v>
      </c>
      <c r="C3418" s="1" t="s">
        <v>5386</v>
      </c>
      <c r="D3418" s="1" t="s">
        <v>1242</v>
      </c>
      <c r="E3418" s="1" t="s">
        <v>4250</v>
      </c>
      <c r="F3418" s="1" t="s">
        <v>4251</v>
      </c>
      <c r="G3418" s="1" t="s">
        <v>5322</v>
      </c>
      <c r="H3418">
        <v>2022</v>
      </c>
      <c r="I3418">
        <v>2022</v>
      </c>
      <c r="J3418">
        <f t="shared" si="106"/>
        <v>1</v>
      </c>
      <c r="K3418" s="1" t="s">
        <v>4668</v>
      </c>
      <c r="L3418" s="1" t="s">
        <v>666</v>
      </c>
      <c r="M3418">
        <f t="shared" si="107"/>
        <v>4</v>
      </c>
      <c r="N3418" t="s">
        <v>650</v>
      </c>
    </row>
    <row r="3419" spans="1:14" hidden="1" x14ac:dyDescent="0.3">
      <c r="A3419" s="1" t="s">
        <v>5387</v>
      </c>
      <c r="B3419" s="1" t="s">
        <v>4561</v>
      </c>
      <c r="C3419" s="1" t="s">
        <v>5388</v>
      </c>
      <c r="D3419" s="1" t="s">
        <v>1242</v>
      </c>
      <c r="E3419" s="1" t="s">
        <v>4250</v>
      </c>
      <c r="F3419" s="1" t="s">
        <v>4251</v>
      </c>
      <c r="G3419" s="1" t="s">
        <v>5322</v>
      </c>
      <c r="H3419">
        <v>2016</v>
      </c>
      <c r="I3419">
        <v>2016</v>
      </c>
      <c r="J3419">
        <f t="shared" si="106"/>
        <v>1</v>
      </c>
      <c r="K3419" s="1" t="s">
        <v>4668</v>
      </c>
      <c r="L3419" s="1" t="s">
        <v>666</v>
      </c>
      <c r="M3419">
        <f t="shared" si="107"/>
        <v>10</v>
      </c>
      <c r="N3419" t="s">
        <v>650</v>
      </c>
    </row>
    <row r="3420" spans="1:14" hidden="1" x14ac:dyDescent="0.3">
      <c r="A3420" s="1" t="s">
        <v>5389</v>
      </c>
      <c r="B3420" s="1" t="s">
        <v>4561</v>
      </c>
      <c r="C3420" s="1" t="s">
        <v>5390</v>
      </c>
      <c r="D3420" s="1" t="s">
        <v>1242</v>
      </c>
      <c r="E3420" s="1" t="s">
        <v>4250</v>
      </c>
      <c r="F3420" s="1" t="s">
        <v>4251</v>
      </c>
      <c r="G3420" s="1" t="s">
        <v>5322</v>
      </c>
      <c r="H3420">
        <v>2018</v>
      </c>
      <c r="I3420">
        <v>2022</v>
      </c>
      <c r="J3420">
        <f t="shared" si="106"/>
        <v>5</v>
      </c>
      <c r="K3420" s="1" t="s">
        <v>4668</v>
      </c>
      <c r="L3420" s="1" t="s">
        <v>666</v>
      </c>
      <c r="M3420">
        <f t="shared" si="107"/>
        <v>4</v>
      </c>
      <c r="N3420" t="s">
        <v>650</v>
      </c>
    </row>
    <row r="3421" spans="1:14" hidden="1" x14ac:dyDescent="0.3">
      <c r="A3421" s="1" t="s">
        <v>5391</v>
      </c>
      <c r="B3421" s="1" t="s">
        <v>4561</v>
      </c>
      <c r="C3421" s="1" t="s">
        <v>5392</v>
      </c>
      <c r="D3421" s="1" t="s">
        <v>1242</v>
      </c>
      <c r="E3421" s="1" t="s">
        <v>4250</v>
      </c>
      <c r="F3421" s="1" t="s">
        <v>4251</v>
      </c>
      <c r="G3421" s="1" t="s">
        <v>5322</v>
      </c>
      <c r="H3421">
        <v>2017</v>
      </c>
      <c r="I3421">
        <v>2018</v>
      </c>
      <c r="J3421">
        <f t="shared" si="106"/>
        <v>2</v>
      </c>
      <c r="K3421" s="1" t="s">
        <v>4668</v>
      </c>
      <c r="L3421" s="1" t="s">
        <v>666</v>
      </c>
      <c r="M3421">
        <f t="shared" si="107"/>
        <v>8</v>
      </c>
      <c r="N3421" t="s">
        <v>650</v>
      </c>
    </row>
    <row r="3422" spans="1:14" hidden="1" x14ac:dyDescent="0.3">
      <c r="A3422" s="1" t="s">
        <v>5393</v>
      </c>
      <c r="B3422" s="1" t="s">
        <v>4561</v>
      </c>
      <c r="C3422" s="1" t="s">
        <v>5394</v>
      </c>
      <c r="D3422" s="1" t="s">
        <v>1242</v>
      </c>
      <c r="E3422" s="1" t="s">
        <v>4250</v>
      </c>
      <c r="F3422" s="1" t="s">
        <v>4251</v>
      </c>
      <c r="G3422" s="1" t="s">
        <v>5322</v>
      </c>
      <c r="H3422">
        <v>2017</v>
      </c>
      <c r="I3422">
        <v>2020</v>
      </c>
      <c r="J3422">
        <f t="shared" si="106"/>
        <v>4</v>
      </c>
      <c r="K3422" s="1" t="s">
        <v>4668</v>
      </c>
      <c r="L3422" s="1" t="s">
        <v>666</v>
      </c>
      <c r="M3422">
        <f t="shared" si="107"/>
        <v>6</v>
      </c>
      <c r="N3422" t="s">
        <v>650</v>
      </c>
    </row>
    <row r="3423" spans="1:14" hidden="1" x14ac:dyDescent="0.3">
      <c r="A3423" s="1" t="s">
        <v>5395</v>
      </c>
      <c r="B3423" s="1" t="s">
        <v>4561</v>
      </c>
      <c r="C3423" s="1" t="s">
        <v>5396</v>
      </c>
      <c r="D3423" s="1" t="s">
        <v>1242</v>
      </c>
      <c r="E3423" s="1" t="s">
        <v>4250</v>
      </c>
      <c r="F3423" s="1" t="s">
        <v>4251</v>
      </c>
      <c r="G3423" s="1" t="s">
        <v>5322</v>
      </c>
      <c r="H3423">
        <v>2017</v>
      </c>
      <c r="I3423">
        <v>2022</v>
      </c>
      <c r="J3423">
        <f t="shared" si="106"/>
        <v>6</v>
      </c>
      <c r="K3423" s="1" t="s">
        <v>4668</v>
      </c>
      <c r="L3423" s="1" t="s">
        <v>666</v>
      </c>
      <c r="M3423">
        <f t="shared" si="107"/>
        <v>4</v>
      </c>
      <c r="N3423" t="s">
        <v>650</v>
      </c>
    </row>
    <row r="3424" spans="1:14" hidden="1" x14ac:dyDescent="0.3">
      <c r="A3424" s="1" t="s">
        <v>5397</v>
      </c>
      <c r="B3424" s="1" t="s">
        <v>4561</v>
      </c>
      <c r="C3424" s="1" t="s">
        <v>5398</v>
      </c>
      <c r="D3424" s="1" t="s">
        <v>1242</v>
      </c>
      <c r="E3424" s="1" t="s">
        <v>4250</v>
      </c>
      <c r="F3424" s="1" t="s">
        <v>4251</v>
      </c>
      <c r="G3424" s="1" t="s">
        <v>5322</v>
      </c>
      <c r="H3424">
        <v>2018</v>
      </c>
      <c r="I3424">
        <v>2022</v>
      </c>
      <c r="J3424">
        <f t="shared" si="106"/>
        <v>5</v>
      </c>
      <c r="K3424" s="1" t="s">
        <v>4668</v>
      </c>
      <c r="L3424" s="1" t="s">
        <v>666</v>
      </c>
      <c r="M3424">
        <f t="shared" si="107"/>
        <v>4</v>
      </c>
      <c r="N3424" t="s">
        <v>650</v>
      </c>
    </row>
    <row r="3425" spans="1:14" hidden="1" x14ac:dyDescent="0.3">
      <c r="A3425" s="1" t="s">
        <v>5399</v>
      </c>
      <c r="B3425" s="1" t="s">
        <v>4561</v>
      </c>
      <c r="C3425" s="1" t="s">
        <v>5400</v>
      </c>
      <c r="D3425" s="1" t="s">
        <v>1242</v>
      </c>
      <c r="E3425" s="1" t="s">
        <v>4250</v>
      </c>
      <c r="F3425" s="1" t="s">
        <v>4251</v>
      </c>
      <c r="G3425" s="1" t="s">
        <v>5322</v>
      </c>
      <c r="H3425">
        <v>2012</v>
      </c>
      <c r="I3425">
        <v>2012</v>
      </c>
      <c r="J3425">
        <f t="shared" si="106"/>
        <v>1</v>
      </c>
      <c r="K3425" s="1" t="s">
        <v>4668</v>
      </c>
      <c r="L3425" s="1" t="s">
        <v>666</v>
      </c>
      <c r="M3425">
        <f t="shared" si="107"/>
        <v>14</v>
      </c>
      <c r="N3425" t="s">
        <v>650</v>
      </c>
    </row>
    <row r="3426" spans="1:14" x14ac:dyDescent="0.3">
      <c r="A3426" s="1" t="s">
        <v>8634</v>
      </c>
      <c r="B3426" s="1" t="s">
        <v>4561</v>
      </c>
      <c r="C3426" s="1" t="s">
        <v>8635</v>
      </c>
      <c r="D3426" s="1" t="s">
        <v>644</v>
      </c>
      <c r="E3426" s="1" t="s">
        <v>6076</v>
      </c>
      <c r="F3426" s="1" t="s">
        <v>6076</v>
      </c>
      <c r="G3426" s="1" t="s">
        <v>8636</v>
      </c>
      <c r="H3426">
        <v>1998</v>
      </c>
      <c r="I3426">
        <v>1999</v>
      </c>
      <c r="J3426">
        <f t="shared" si="106"/>
        <v>2</v>
      </c>
      <c r="K3426" s="1" t="s">
        <v>6076</v>
      </c>
      <c r="L3426" s="1" t="s">
        <v>6076</v>
      </c>
      <c r="M3426">
        <f t="shared" si="107"/>
        <v>27</v>
      </c>
      <c r="N3426" t="s">
        <v>640</v>
      </c>
    </row>
    <row r="3427" spans="1:14" x14ac:dyDescent="0.3">
      <c r="A3427" s="1" t="s">
        <v>8637</v>
      </c>
      <c r="B3427" s="1" t="s">
        <v>4561</v>
      </c>
      <c r="C3427" s="1" t="s">
        <v>8638</v>
      </c>
      <c r="D3427" s="1" t="s">
        <v>644</v>
      </c>
      <c r="E3427" s="1" t="s">
        <v>6076</v>
      </c>
      <c r="F3427" s="1" t="s">
        <v>6076</v>
      </c>
      <c r="G3427" s="1" t="s">
        <v>8636</v>
      </c>
      <c r="H3427">
        <v>1992</v>
      </c>
      <c r="I3427">
        <v>1994</v>
      </c>
      <c r="J3427">
        <f t="shared" si="106"/>
        <v>3</v>
      </c>
      <c r="K3427" s="1" t="s">
        <v>6076</v>
      </c>
      <c r="L3427" s="1" t="s">
        <v>6076</v>
      </c>
      <c r="M3427">
        <f t="shared" si="107"/>
        <v>32</v>
      </c>
      <c r="N3427" t="s">
        <v>640</v>
      </c>
    </row>
    <row r="3428" spans="1:14" x14ac:dyDescent="0.3">
      <c r="A3428" s="1" t="s">
        <v>8639</v>
      </c>
      <c r="B3428" s="1" t="s">
        <v>12756</v>
      </c>
      <c r="C3428" s="1" t="s">
        <v>8640</v>
      </c>
      <c r="D3428" s="1" t="s">
        <v>738</v>
      </c>
      <c r="E3428" s="1" t="s">
        <v>6076</v>
      </c>
      <c r="F3428" s="1" t="s">
        <v>6076</v>
      </c>
      <c r="G3428" s="1" t="s">
        <v>8641</v>
      </c>
      <c r="H3428">
        <v>2002</v>
      </c>
      <c r="I3428">
        <v>2003</v>
      </c>
      <c r="J3428">
        <f t="shared" si="106"/>
        <v>2</v>
      </c>
      <c r="K3428" s="1" t="s">
        <v>6076</v>
      </c>
      <c r="L3428" s="1" t="s">
        <v>6076</v>
      </c>
      <c r="M3428">
        <f t="shared" si="107"/>
        <v>23</v>
      </c>
      <c r="N3428" t="s">
        <v>640</v>
      </c>
    </row>
    <row r="3429" spans="1:14" x14ac:dyDescent="0.3">
      <c r="A3429" s="1" t="s">
        <v>8642</v>
      </c>
      <c r="B3429" s="1" t="s">
        <v>12756</v>
      </c>
      <c r="C3429" s="1" t="s">
        <v>8643</v>
      </c>
      <c r="D3429" s="1" t="s">
        <v>738</v>
      </c>
      <c r="E3429" s="1" t="s">
        <v>6076</v>
      </c>
      <c r="F3429" s="1" t="s">
        <v>6076</v>
      </c>
      <c r="G3429" s="1" t="s">
        <v>8641</v>
      </c>
      <c r="H3429">
        <v>1996</v>
      </c>
      <c r="I3429">
        <v>2001</v>
      </c>
      <c r="J3429">
        <f t="shared" si="106"/>
        <v>6</v>
      </c>
      <c r="K3429" s="1" t="s">
        <v>6076</v>
      </c>
      <c r="L3429" s="1" t="s">
        <v>6076</v>
      </c>
      <c r="M3429">
        <f t="shared" si="107"/>
        <v>25</v>
      </c>
      <c r="N3429" t="s">
        <v>640</v>
      </c>
    </row>
    <row r="3430" spans="1:14" x14ac:dyDescent="0.3">
      <c r="A3430" s="1" t="s">
        <v>8644</v>
      </c>
      <c r="B3430" s="1" t="s">
        <v>12756</v>
      </c>
      <c r="C3430" s="1" t="s">
        <v>8645</v>
      </c>
      <c r="D3430" s="1" t="s">
        <v>738</v>
      </c>
      <c r="E3430" s="1" t="s">
        <v>6076</v>
      </c>
      <c r="F3430" s="1" t="s">
        <v>6076</v>
      </c>
      <c r="G3430" s="1" t="s">
        <v>8641</v>
      </c>
      <c r="H3430">
        <v>2002</v>
      </c>
      <c r="I3430">
        <v>2003</v>
      </c>
      <c r="J3430">
        <f t="shared" si="106"/>
        <v>2</v>
      </c>
      <c r="K3430" s="1" t="s">
        <v>6076</v>
      </c>
      <c r="L3430" s="1" t="s">
        <v>6076</v>
      </c>
      <c r="M3430">
        <f t="shared" si="107"/>
        <v>23</v>
      </c>
      <c r="N3430" t="s">
        <v>640</v>
      </c>
    </row>
    <row r="3431" spans="1:14" x14ac:dyDescent="0.3">
      <c r="A3431" s="1" t="s">
        <v>8646</v>
      </c>
      <c r="B3431" s="1" t="s">
        <v>12756</v>
      </c>
      <c r="C3431" s="1" t="s">
        <v>8647</v>
      </c>
      <c r="D3431" s="1" t="s">
        <v>738</v>
      </c>
      <c r="E3431" s="1" t="s">
        <v>6076</v>
      </c>
      <c r="F3431" s="1" t="s">
        <v>6076</v>
      </c>
      <c r="G3431" s="1" t="s">
        <v>8641</v>
      </c>
      <c r="H3431">
        <v>1994</v>
      </c>
      <c r="I3431">
        <v>1998</v>
      </c>
      <c r="J3431">
        <f t="shared" si="106"/>
        <v>5</v>
      </c>
      <c r="K3431" s="1" t="s">
        <v>6076</v>
      </c>
      <c r="L3431" s="1" t="s">
        <v>6076</v>
      </c>
      <c r="M3431">
        <f t="shared" si="107"/>
        <v>28</v>
      </c>
      <c r="N3431" t="s">
        <v>640</v>
      </c>
    </row>
    <row r="3432" spans="1:14" x14ac:dyDescent="0.3">
      <c r="A3432" s="1" t="s">
        <v>8648</v>
      </c>
      <c r="B3432" s="1" t="s">
        <v>12756</v>
      </c>
      <c r="C3432" s="1" t="s">
        <v>8649</v>
      </c>
      <c r="D3432" s="1" t="s">
        <v>738</v>
      </c>
      <c r="E3432" s="1" t="s">
        <v>6076</v>
      </c>
      <c r="F3432" s="1" t="s">
        <v>6076</v>
      </c>
      <c r="G3432" s="1" t="s">
        <v>8641</v>
      </c>
      <c r="H3432">
        <v>1994</v>
      </c>
      <c r="I3432">
        <v>1998</v>
      </c>
      <c r="J3432">
        <f t="shared" si="106"/>
        <v>5</v>
      </c>
      <c r="K3432" s="1" t="s">
        <v>6076</v>
      </c>
      <c r="L3432" s="1" t="s">
        <v>6076</v>
      </c>
      <c r="M3432">
        <f t="shared" si="107"/>
        <v>28</v>
      </c>
      <c r="N3432" t="s">
        <v>640</v>
      </c>
    </row>
    <row r="3433" spans="1:14" x14ac:dyDescent="0.3">
      <c r="A3433" s="1" t="s">
        <v>8650</v>
      </c>
      <c r="B3433" s="1" t="s">
        <v>12756</v>
      </c>
      <c r="C3433" s="1" t="s">
        <v>8651</v>
      </c>
      <c r="D3433" s="1" t="s">
        <v>738</v>
      </c>
      <c r="E3433" s="1" t="s">
        <v>6076</v>
      </c>
      <c r="F3433" s="1" t="s">
        <v>6076</v>
      </c>
      <c r="G3433" s="1" t="s">
        <v>8641</v>
      </c>
      <c r="H3433">
        <v>1995</v>
      </c>
      <c r="I3433">
        <v>2001</v>
      </c>
      <c r="J3433">
        <f t="shared" si="106"/>
        <v>7</v>
      </c>
      <c r="K3433" s="1" t="s">
        <v>6076</v>
      </c>
      <c r="L3433" s="1" t="s">
        <v>6076</v>
      </c>
      <c r="M3433">
        <f t="shared" si="107"/>
        <v>25</v>
      </c>
      <c r="N3433" t="s">
        <v>640</v>
      </c>
    </row>
    <row r="3434" spans="1:14" hidden="1" x14ac:dyDescent="0.3">
      <c r="A3434" s="1" t="s">
        <v>4560</v>
      </c>
      <c r="B3434" s="1" t="s">
        <v>4561</v>
      </c>
      <c r="C3434" s="1" t="s">
        <v>4562</v>
      </c>
      <c r="D3434" s="1" t="s">
        <v>738</v>
      </c>
      <c r="E3434" s="1" t="s">
        <v>812</v>
      </c>
      <c r="F3434" s="1" t="s">
        <v>813</v>
      </c>
      <c r="G3434" s="1" t="s">
        <v>4563</v>
      </c>
      <c r="H3434">
        <v>2011</v>
      </c>
      <c r="I3434">
        <v>2016</v>
      </c>
      <c r="J3434">
        <f t="shared" si="106"/>
        <v>6</v>
      </c>
      <c r="K3434" s="1" t="s">
        <v>3665</v>
      </c>
      <c r="L3434" s="1" t="s">
        <v>798</v>
      </c>
      <c r="M3434">
        <f t="shared" si="107"/>
        <v>10</v>
      </c>
      <c r="N3434" t="s">
        <v>650</v>
      </c>
    </row>
    <row r="3435" spans="1:14" hidden="1" x14ac:dyDescent="0.3">
      <c r="A3435" s="1" t="s">
        <v>4564</v>
      </c>
      <c r="B3435" s="1" t="s">
        <v>4561</v>
      </c>
      <c r="C3435" s="1" t="s">
        <v>4565</v>
      </c>
      <c r="D3435" s="1" t="s">
        <v>738</v>
      </c>
      <c r="E3435" s="1" t="s">
        <v>812</v>
      </c>
      <c r="F3435" s="1" t="s">
        <v>813</v>
      </c>
      <c r="G3435" s="1" t="s">
        <v>4563</v>
      </c>
      <c r="H3435">
        <v>2012</v>
      </c>
      <c r="I3435">
        <v>2018</v>
      </c>
      <c r="J3435">
        <f t="shared" si="106"/>
        <v>7</v>
      </c>
      <c r="K3435" s="1" t="s">
        <v>3665</v>
      </c>
      <c r="L3435" s="1" t="s">
        <v>798</v>
      </c>
      <c r="M3435">
        <f t="shared" si="107"/>
        <v>8</v>
      </c>
      <c r="N3435" t="s">
        <v>650</v>
      </c>
    </row>
    <row r="3436" spans="1:14" x14ac:dyDescent="0.3">
      <c r="A3436" s="1" t="s">
        <v>8652</v>
      </c>
      <c r="B3436" s="1" t="s">
        <v>4561</v>
      </c>
      <c r="C3436" s="1" t="s">
        <v>8653</v>
      </c>
      <c r="D3436" s="1" t="s">
        <v>738</v>
      </c>
      <c r="E3436" s="1" t="s">
        <v>6076</v>
      </c>
      <c r="F3436" s="1" t="s">
        <v>6076</v>
      </c>
      <c r="G3436" s="1" t="s">
        <v>4563</v>
      </c>
      <c r="H3436">
        <v>1998</v>
      </c>
      <c r="I3436">
        <v>1999</v>
      </c>
      <c r="J3436">
        <f t="shared" si="106"/>
        <v>2</v>
      </c>
      <c r="K3436" s="1" t="s">
        <v>6076</v>
      </c>
      <c r="L3436" s="1" t="s">
        <v>6076</v>
      </c>
      <c r="M3436">
        <f t="shared" si="107"/>
        <v>27</v>
      </c>
      <c r="N3436" t="s">
        <v>640</v>
      </c>
    </row>
    <row r="3437" spans="1:14" x14ac:dyDescent="0.3">
      <c r="A3437" s="1" t="s">
        <v>8654</v>
      </c>
      <c r="B3437" s="1" t="s">
        <v>4561</v>
      </c>
      <c r="C3437" s="1" t="s">
        <v>8655</v>
      </c>
      <c r="D3437" s="1" t="s">
        <v>738</v>
      </c>
      <c r="E3437" s="1" t="s">
        <v>6076</v>
      </c>
      <c r="F3437" s="1" t="s">
        <v>6076</v>
      </c>
      <c r="G3437" s="1" t="s">
        <v>4563</v>
      </c>
      <c r="H3437">
        <v>2001</v>
      </c>
      <c r="I3437">
        <v>2001</v>
      </c>
      <c r="J3437">
        <f t="shared" si="106"/>
        <v>1</v>
      </c>
      <c r="K3437" s="1" t="s">
        <v>6076</v>
      </c>
      <c r="L3437" s="1" t="s">
        <v>6076</v>
      </c>
      <c r="M3437">
        <f t="shared" si="107"/>
        <v>25</v>
      </c>
      <c r="N3437" t="s">
        <v>640</v>
      </c>
    </row>
    <row r="3438" spans="1:14" x14ac:dyDescent="0.3">
      <c r="A3438" s="1" t="s">
        <v>8656</v>
      </c>
      <c r="B3438" s="1" t="s">
        <v>4561</v>
      </c>
      <c r="C3438" s="1" t="s">
        <v>8657</v>
      </c>
      <c r="D3438" s="1" t="s">
        <v>738</v>
      </c>
      <c r="E3438" s="1" t="s">
        <v>6076</v>
      </c>
      <c r="F3438" s="1" t="s">
        <v>6076</v>
      </c>
      <c r="G3438" s="1" t="s">
        <v>4563</v>
      </c>
      <c r="H3438">
        <v>2015</v>
      </c>
      <c r="I3438">
        <v>2015</v>
      </c>
      <c r="J3438">
        <f t="shared" si="106"/>
        <v>1</v>
      </c>
      <c r="K3438" s="1" t="s">
        <v>6076</v>
      </c>
      <c r="L3438" s="1" t="s">
        <v>6076</v>
      </c>
      <c r="M3438">
        <f t="shared" si="107"/>
        <v>11</v>
      </c>
      <c r="N3438" t="s">
        <v>650</v>
      </c>
    </row>
    <row r="3439" spans="1:14" x14ac:dyDescent="0.3">
      <c r="A3439" s="1" t="s">
        <v>8658</v>
      </c>
      <c r="B3439" s="1" t="s">
        <v>4561</v>
      </c>
      <c r="C3439" s="1" t="s">
        <v>8659</v>
      </c>
      <c r="D3439" s="1" t="s">
        <v>738</v>
      </c>
      <c r="E3439" s="1" t="s">
        <v>6076</v>
      </c>
      <c r="F3439" s="1" t="s">
        <v>6076</v>
      </c>
      <c r="G3439" s="1" t="s">
        <v>4563</v>
      </c>
      <c r="H3439">
        <v>2006</v>
      </c>
      <c r="I3439">
        <v>2007</v>
      </c>
      <c r="J3439">
        <f t="shared" si="106"/>
        <v>2</v>
      </c>
      <c r="K3439" s="1" t="s">
        <v>6076</v>
      </c>
      <c r="L3439" s="1" t="s">
        <v>6076</v>
      </c>
      <c r="M3439">
        <f t="shared" si="107"/>
        <v>19</v>
      </c>
      <c r="N3439" t="s">
        <v>640</v>
      </c>
    </row>
    <row r="3440" spans="1:14" x14ac:dyDescent="0.3">
      <c r="A3440" s="1" t="s">
        <v>8660</v>
      </c>
      <c r="B3440" s="1" t="s">
        <v>4561</v>
      </c>
      <c r="C3440" s="1" t="s">
        <v>8661</v>
      </c>
      <c r="D3440" s="1" t="s">
        <v>738</v>
      </c>
      <c r="E3440" s="1" t="s">
        <v>6076</v>
      </c>
      <c r="F3440" s="1" t="s">
        <v>6076</v>
      </c>
      <c r="G3440" s="1" t="s">
        <v>4563</v>
      </c>
      <c r="H3440">
        <v>2001</v>
      </c>
      <c r="I3440">
        <v>2007</v>
      </c>
      <c r="J3440">
        <f t="shared" si="106"/>
        <v>7</v>
      </c>
      <c r="K3440" s="1" t="s">
        <v>6076</v>
      </c>
      <c r="L3440" s="1" t="s">
        <v>6076</v>
      </c>
      <c r="M3440">
        <f t="shared" si="107"/>
        <v>19</v>
      </c>
      <c r="N3440" t="s">
        <v>640</v>
      </c>
    </row>
    <row r="3441" spans="1:14" x14ac:dyDescent="0.3">
      <c r="A3441" s="1" t="s">
        <v>8662</v>
      </c>
      <c r="B3441" s="1" t="s">
        <v>4561</v>
      </c>
      <c r="C3441" s="1" t="s">
        <v>8663</v>
      </c>
      <c r="D3441" s="1" t="s">
        <v>738</v>
      </c>
      <c r="E3441" s="1" t="s">
        <v>6076</v>
      </c>
      <c r="F3441" s="1" t="s">
        <v>6076</v>
      </c>
      <c r="G3441" s="1" t="s">
        <v>4563</v>
      </c>
      <c r="H3441">
        <v>2010</v>
      </c>
      <c r="I3441">
        <v>2015</v>
      </c>
      <c r="J3441">
        <f t="shared" si="106"/>
        <v>6</v>
      </c>
      <c r="K3441" s="1" t="s">
        <v>6076</v>
      </c>
      <c r="L3441" s="1" t="s">
        <v>6076</v>
      </c>
      <c r="M3441">
        <f t="shared" si="107"/>
        <v>11</v>
      </c>
      <c r="N3441" t="s">
        <v>650</v>
      </c>
    </row>
    <row r="3442" spans="1:14" x14ac:dyDescent="0.3">
      <c r="A3442" s="1" t="s">
        <v>8664</v>
      </c>
      <c r="B3442" s="1" t="s">
        <v>4561</v>
      </c>
      <c r="C3442" s="1" t="s">
        <v>8665</v>
      </c>
      <c r="D3442" s="1" t="s">
        <v>738</v>
      </c>
      <c r="E3442" s="1" t="s">
        <v>6076</v>
      </c>
      <c r="F3442" s="1" t="s">
        <v>6076</v>
      </c>
      <c r="G3442" s="1" t="s">
        <v>4563</v>
      </c>
      <c r="H3442">
        <v>1993</v>
      </c>
      <c r="I3442">
        <v>2000</v>
      </c>
      <c r="J3442">
        <f t="shared" si="106"/>
        <v>8</v>
      </c>
      <c r="K3442" s="1" t="s">
        <v>6076</v>
      </c>
      <c r="L3442" s="1" t="s">
        <v>6076</v>
      </c>
      <c r="M3442">
        <f t="shared" si="107"/>
        <v>26</v>
      </c>
      <c r="N3442" t="s">
        <v>640</v>
      </c>
    </row>
    <row r="3443" spans="1:14" hidden="1" x14ac:dyDescent="0.3">
      <c r="A3443" s="1" t="s">
        <v>4566</v>
      </c>
      <c r="B3443" s="1" t="s">
        <v>4561</v>
      </c>
      <c r="C3443" s="1" t="s">
        <v>4567</v>
      </c>
      <c r="D3443" s="1" t="s">
        <v>738</v>
      </c>
      <c r="E3443" s="1" t="s">
        <v>812</v>
      </c>
      <c r="F3443" s="1" t="s">
        <v>813</v>
      </c>
      <c r="G3443" s="1" t="s">
        <v>4563</v>
      </c>
      <c r="H3443">
        <v>2011</v>
      </c>
      <c r="I3443">
        <v>2018</v>
      </c>
      <c r="J3443">
        <f t="shared" si="106"/>
        <v>8</v>
      </c>
      <c r="K3443" s="1" t="s">
        <v>3665</v>
      </c>
      <c r="L3443" s="1" t="s">
        <v>798</v>
      </c>
      <c r="M3443">
        <f t="shared" si="107"/>
        <v>8</v>
      </c>
      <c r="N3443" t="s">
        <v>650</v>
      </c>
    </row>
    <row r="3444" spans="1:14" x14ac:dyDescent="0.3">
      <c r="A3444" s="1" t="s">
        <v>8666</v>
      </c>
      <c r="B3444" s="1" t="s">
        <v>4561</v>
      </c>
      <c r="C3444" s="1" t="s">
        <v>8667</v>
      </c>
      <c r="D3444" s="1" t="s">
        <v>738</v>
      </c>
      <c r="E3444" s="1" t="s">
        <v>6076</v>
      </c>
      <c r="F3444" s="1" t="s">
        <v>6076</v>
      </c>
      <c r="G3444" s="1" t="s">
        <v>4563</v>
      </c>
      <c r="H3444">
        <v>2013</v>
      </c>
      <c r="I3444">
        <v>2015</v>
      </c>
      <c r="J3444">
        <f t="shared" si="106"/>
        <v>3</v>
      </c>
      <c r="K3444" s="1" t="s">
        <v>6076</v>
      </c>
      <c r="L3444" s="1" t="s">
        <v>6076</v>
      </c>
      <c r="M3444">
        <f t="shared" si="107"/>
        <v>11</v>
      </c>
      <c r="N3444" t="s">
        <v>650</v>
      </c>
    </row>
    <row r="3445" spans="1:14" x14ac:dyDescent="0.3">
      <c r="A3445" s="1" t="s">
        <v>8668</v>
      </c>
      <c r="B3445" s="1" t="s">
        <v>4561</v>
      </c>
      <c r="C3445" s="1" t="s">
        <v>8669</v>
      </c>
      <c r="D3445" s="1" t="s">
        <v>738</v>
      </c>
      <c r="E3445" s="1" t="s">
        <v>6076</v>
      </c>
      <c r="F3445" s="1" t="s">
        <v>6076</v>
      </c>
      <c r="G3445" s="1" t="s">
        <v>4563</v>
      </c>
      <c r="H3445">
        <v>2016</v>
      </c>
      <c r="I3445">
        <v>2016</v>
      </c>
      <c r="J3445">
        <f t="shared" si="106"/>
        <v>1</v>
      </c>
      <c r="K3445" s="1" t="s">
        <v>6076</v>
      </c>
      <c r="L3445" s="1" t="s">
        <v>6076</v>
      </c>
      <c r="M3445">
        <f t="shared" si="107"/>
        <v>10</v>
      </c>
      <c r="N3445" t="s">
        <v>650</v>
      </c>
    </row>
    <row r="3446" spans="1:14" x14ac:dyDescent="0.3">
      <c r="A3446" s="1" t="s">
        <v>8670</v>
      </c>
      <c r="B3446" s="1" t="s">
        <v>4561</v>
      </c>
      <c r="C3446" s="1" t="s">
        <v>8671</v>
      </c>
      <c r="D3446" s="1" t="s">
        <v>738</v>
      </c>
      <c r="E3446" s="1" t="s">
        <v>6076</v>
      </c>
      <c r="F3446" s="1" t="s">
        <v>6076</v>
      </c>
      <c r="G3446" s="1" t="s">
        <v>4563</v>
      </c>
      <c r="H3446">
        <v>1994</v>
      </c>
      <c r="I3446">
        <v>1997</v>
      </c>
      <c r="J3446">
        <f t="shared" si="106"/>
        <v>4</v>
      </c>
      <c r="K3446" s="1" t="s">
        <v>6076</v>
      </c>
      <c r="L3446" s="1" t="s">
        <v>6076</v>
      </c>
      <c r="M3446">
        <f t="shared" si="107"/>
        <v>29</v>
      </c>
      <c r="N3446" t="s">
        <v>640</v>
      </c>
    </row>
    <row r="3447" spans="1:14" x14ac:dyDescent="0.3">
      <c r="A3447" s="1" t="s">
        <v>8672</v>
      </c>
      <c r="B3447" s="1" t="s">
        <v>4561</v>
      </c>
      <c r="C3447" s="1" t="s">
        <v>8673</v>
      </c>
      <c r="D3447" s="1" t="s">
        <v>738</v>
      </c>
      <c r="E3447" s="1" t="s">
        <v>6076</v>
      </c>
      <c r="F3447" s="1" t="s">
        <v>6076</v>
      </c>
      <c r="G3447" s="1" t="s">
        <v>4563</v>
      </c>
      <c r="H3447">
        <v>2016</v>
      </c>
      <c r="I3447">
        <v>2019</v>
      </c>
      <c r="J3447">
        <f t="shared" si="106"/>
        <v>4</v>
      </c>
      <c r="K3447" s="1" t="s">
        <v>6076</v>
      </c>
      <c r="L3447" s="1" t="s">
        <v>6076</v>
      </c>
      <c r="M3447">
        <f t="shared" si="107"/>
        <v>7</v>
      </c>
      <c r="N3447" t="s">
        <v>650</v>
      </c>
    </row>
    <row r="3448" spans="1:14" x14ac:dyDescent="0.3">
      <c r="A3448" s="1" t="s">
        <v>8674</v>
      </c>
      <c r="B3448" s="1" t="s">
        <v>4561</v>
      </c>
      <c r="C3448" s="1" t="s">
        <v>8675</v>
      </c>
      <c r="D3448" s="1" t="s">
        <v>738</v>
      </c>
      <c r="E3448" s="1" t="s">
        <v>6076</v>
      </c>
      <c r="F3448" s="1" t="s">
        <v>6076</v>
      </c>
      <c r="G3448" s="1" t="s">
        <v>4563</v>
      </c>
      <c r="H3448">
        <v>2016</v>
      </c>
      <c r="I3448">
        <v>2016</v>
      </c>
      <c r="J3448">
        <f t="shared" si="106"/>
        <v>1</v>
      </c>
      <c r="K3448" s="1" t="s">
        <v>6076</v>
      </c>
      <c r="L3448" s="1" t="s">
        <v>6076</v>
      </c>
      <c r="M3448">
        <f t="shared" si="107"/>
        <v>10</v>
      </c>
      <c r="N3448" t="s">
        <v>650</v>
      </c>
    </row>
    <row r="3449" spans="1:14" x14ac:dyDescent="0.3">
      <c r="A3449" s="1" t="s">
        <v>8676</v>
      </c>
      <c r="B3449" s="1" t="s">
        <v>4561</v>
      </c>
      <c r="C3449" s="1" t="s">
        <v>8677</v>
      </c>
      <c r="D3449" s="1" t="s">
        <v>738</v>
      </c>
      <c r="E3449" s="1" t="s">
        <v>6076</v>
      </c>
      <c r="F3449" s="1" t="s">
        <v>6076</v>
      </c>
      <c r="G3449" s="1" t="s">
        <v>4563</v>
      </c>
      <c r="H3449">
        <v>2016</v>
      </c>
      <c r="I3449">
        <v>2018</v>
      </c>
      <c r="J3449">
        <f t="shared" si="106"/>
        <v>3</v>
      </c>
      <c r="K3449" s="1" t="s">
        <v>6076</v>
      </c>
      <c r="L3449" s="1" t="s">
        <v>6076</v>
      </c>
      <c r="M3449">
        <f t="shared" si="107"/>
        <v>8</v>
      </c>
      <c r="N3449" t="s">
        <v>650</v>
      </c>
    </row>
    <row r="3450" spans="1:14" x14ac:dyDescent="0.3">
      <c r="A3450" s="1" t="s">
        <v>8678</v>
      </c>
      <c r="B3450" s="1" t="s">
        <v>4561</v>
      </c>
      <c r="C3450" s="1" t="s">
        <v>8679</v>
      </c>
      <c r="D3450" s="1" t="s">
        <v>738</v>
      </c>
      <c r="E3450" s="1" t="s">
        <v>6076</v>
      </c>
      <c r="F3450" s="1" t="s">
        <v>6076</v>
      </c>
      <c r="G3450" s="1" t="s">
        <v>4563</v>
      </c>
      <c r="H3450">
        <v>2016</v>
      </c>
      <c r="I3450">
        <v>2016</v>
      </c>
      <c r="J3450">
        <f t="shared" si="106"/>
        <v>1</v>
      </c>
      <c r="K3450" s="1" t="s">
        <v>6076</v>
      </c>
      <c r="L3450" s="1" t="s">
        <v>6076</v>
      </c>
      <c r="M3450">
        <f t="shared" si="107"/>
        <v>10</v>
      </c>
      <c r="N3450" t="s">
        <v>650</v>
      </c>
    </row>
    <row r="3451" spans="1:14" x14ac:dyDescent="0.3">
      <c r="A3451" s="1" t="s">
        <v>8680</v>
      </c>
      <c r="B3451" s="1" t="s">
        <v>4561</v>
      </c>
      <c r="C3451" s="1" t="s">
        <v>8681</v>
      </c>
      <c r="D3451" s="1" t="s">
        <v>738</v>
      </c>
      <c r="E3451" s="1" t="s">
        <v>6076</v>
      </c>
      <c r="F3451" s="1" t="s">
        <v>6076</v>
      </c>
      <c r="G3451" s="1" t="s">
        <v>4563</v>
      </c>
      <c r="H3451">
        <v>2016</v>
      </c>
      <c r="I3451">
        <v>2019</v>
      </c>
      <c r="J3451">
        <f t="shared" si="106"/>
        <v>4</v>
      </c>
      <c r="K3451" s="1" t="s">
        <v>6076</v>
      </c>
      <c r="L3451" s="1" t="s">
        <v>6076</v>
      </c>
      <c r="M3451">
        <f t="shared" si="107"/>
        <v>7</v>
      </c>
      <c r="N3451" t="s">
        <v>650</v>
      </c>
    </row>
    <row r="3452" spans="1:14" x14ac:dyDescent="0.3">
      <c r="A3452" s="1" t="s">
        <v>8682</v>
      </c>
      <c r="B3452" s="1" t="s">
        <v>4561</v>
      </c>
      <c r="C3452" s="1" t="s">
        <v>8683</v>
      </c>
      <c r="D3452" s="1" t="s">
        <v>738</v>
      </c>
      <c r="E3452" s="1" t="s">
        <v>6076</v>
      </c>
      <c r="F3452" s="1" t="s">
        <v>6076</v>
      </c>
      <c r="G3452" s="1" t="s">
        <v>4563</v>
      </c>
      <c r="H3452">
        <v>1993</v>
      </c>
      <c r="I3452">
        <v>1995</v>
      </c>
      <c r="J3452">
        <f t="shared" si="106"/>
        <v>3</v>
      </c>
      <c r="K3452" s="1" t="s">
        <v>6076</v>
      </c>
      <c r="L3452" s="1" t="s">
        <v>6076</v>
      </c>
      <c r="M3452">
        <f t="shared" si="107"/>
        <v>31</v>
      </c>
      <c r="N3452" t="s">
        <v>640</v>
      </c>
    </row>
    <row r="3453" spans="1:14" x14ac:dyDescent="0.3">
      <c r="A3453" s="1" t="s">
        <v>8684</v>
      </c>
      <c r="B3453" s="1" t="s">
        <v>4561</v>
      </c>
      <c r="C3453" s="1" t="s">
        <v>8685</v>
      </c>
      <c r="D3453" s="1" t="s">
        <v>738</v>
      </c>
      <c r="E3453" s="1" t="s">
        <v>6076</v>
      </c>
      <c r="F3453" s="1" t="s">
        <v>6076</v>
      </c>
      <c r="G3453" s="1" t="s">
        <v>4563</v>
      </c>
      <c r="H3453">
        <v>2010</v>
      </c>
      <c r="I3453">
        <v>2013</v>
      </c>
      <c r="J3453">
        <f t="shared" si="106"/>
        <v>4</v>
      </c>
      <c r="K3453" s="1" t="s">
        <v>6076</v>
      </c>
      <c r="L3453" s="1" t="s">
        <v>6076</v>
      </c>
      <c r="M3453">
        <f t="shared" si="107"/>
        <v>13</v>
      </c>
      <c r="N3453" t="s">
        <v>650</v>
      </c>
    </row>
    <row r="3454" spans="1:14" x14ac:dyDescent="0.3">
      <c r="A3454" s="1" t="s">
        <v>8686</v>
      </c>
      <c r="B3454" s="1" t="s">
        <v>1205</v>
      </c>
      <c r="C3454" s="1" t="s">
        <v>8687</v>
      </c>
      <c r="D3454" s="1" t="s">
        <v>1395</v>
      </c>
      <c r="E3454" s="1" t="s">
        <v>6076</v>
      </c>
      <c r="F3454" s="1" t="s">
        <v>6076</v>
      </c>
      <c r="G3454" s="1" t="s">
        <v>8688</v>
      </c>
      <c r="H3454">
        <v>1993</v>
      </c>
      <c r="I3454">
        <v>1995</v>
      </c>
      <c r="J3454">
        <f t="shared" si="106"/>
        <v>3</v>
      </c>
      <c r="K3454" s="1" t="s">
        <v>6076</v>
      </c>
      <c r="L3454" s="1" t="s">
        <v>6076</v>
      </c>
      <c r="M3454">
        <f t="shared" si="107"/>
        <v>31</v>
      </c>
      <c r="N3454" t="s">
        <v>640</v>
      </c>
    </row>
    <row r="3455" spans="1:14" x14ac:dyDescent="0.3">
      <c r="A3455" s="1" t="s">
        <v>8689</v>
      </c>
      <c r="B3455" s="1" t="s">
        <v>1205</v>
      </c>
      <c r="C3455" s="1" t="s">
        <v>8690</v>
      </c>
      <c r="D3455" s="1" t="s">
        <v>1395</v>
      </c>
      <c r="E3455" s="1" t="s">
        <v>6076</v>
      </c>
      <c r="F3455" s="1" t="s">
        <v>6076</v>
      </c>
      <c r="G3455" s="1" t="s">
        <v>8688</v>
      </c>
      <c r="H3455">
        <v>2003</v>
      </c>
      <c r="I3455">
        <v>2007</v>
      </c>
      <c r="J3455">
        <f t="shared" si="106"/>
        <v>5</v>
      </c>
      <c r="K3455" s="1" t="s">
        <v>6076</v>
      </c>
      <c r="L3455" s="1" t="s">
        <v>6076</v>
      </c>
      <c r="M3455">
        <f t="shared" si="107"/>
        <v>19</v>
      </c>
      <c r="N3455" t="s">
        <v>640</v>
      </c>
    </row>
    <row r="3456" spans="1:14" x14ac:dyDescent="0.3">
      <c r="A3456" s="1" t="s">
        <v>8691</v>
      </c>
      <c r="B3456" s="1" t="s">
        <v>1205</v>
      </c>
      <c r="C3456" s="1" t="s">
        <v>8692</v>
      </c>
      <c r="D3456" s="1" t="s">
        <v>1395</v>
      </c>
      <c r="E3456" s="1" t="s">
        <v>6076</v>
      </c>
      <c r="F3456" s="1" t="s">
        <v>6076</v>
      </c>
      <c r="G3456" s="1" t="s">
        <v>8688</v>
      </c>
      <c r="H3456">
        <v>2002</v>
      </c>
      <c r="I3456">
        <v>2009</v>
      </c>
      <c r="J3456">
        <f t="shared" si="106"/>
        <v>8</v>
      </c>
      <c r="K3456" s="1" t="s">
        <v>6076</v>
      </c>
      <c r="L3456" s="1" t="s">
        <v>6076</v>
      </c>
      <c r="M3456">
        <f t="shared" si="107"/>
        <v>17</v>
      </c>
      <c r="N3456" t="s">
        <v>640</v>
      </c>
    </row>
    <row r="3457" spans="1:14" x14ac:dyDescent="0.3">
      <c r="A3457" t="s">
        <v>11145</v>
      </c>
      <c r="B3457" t="s">
        <v>10997</v>
      </c>
      <c r="C3457" t="s">
        <v>11146</v>
      </c>
      <c r="E3457" s="1" t="s">
        <v>6076</v>
      </c>
      <c r="F3457" s="1" t="s">
        <v>6076</v>
      </c>
      <c r="G3457" s="1" t="s">
        <v>12792</v>
      </c>
      <c r="H3457">
        <v>1992</v>
      </c>
      <c r="I3457">
        <v>1993</v>
      </c>
      <c r="J3457">
        <f t="shared" si="106"/>
        <v>2</v>
      </c>
      <c r="K3457" s="1" t="s">
        <v>6076</v>
      </c>
      <c r="L3457" s="1" t="s">
        <v>6076</v>
      </c>
      <c r="M3457">
        <f t="shared" si="107"/>
        <v>33</v>
      </c>
    </row>
    <row r="3458" spans="1:14" x14ac:dyDescent="0.3">
      <c r="A3458" t="s">
        <v>11147</v>
      </c>
      <c r="B3458" t="s">
        <v>10997</v>
      </c>
      <c r="C3458" t="s">
        <v>11148</v>
      </c>
      <c r="E3458" s="1" t="s">
        <v>6076</v>
      </c>
      <c r="F3458" s="1" t="s">
        <v>6076</v>
      </c>
      <c r="G3458" s="1" t="s">
        <v>12792</v>
      </c>
      <c r="H3458">
        <v>1992</v>
      </c>
      <c r="I3458">
        <v>1995</v>
      </c>
      <c r="J3458">
        <f t="shared" si="106"/>
        <v>4</v>
      </c>
      <c r="K3458" s="1" t="s">
        <v>6076</v>
      </c>
      <c r="L3458" s="1" t="s">
        <v>6076</v>
      </c>
      <c r="M3458">
        <f t="shared" si="107"/>
        <v>31</v>
      </c>
    </row>
    <row r="3459" spans="1:14" x14ac:dyDescent="0.3">
      <c r="A3459" s="1" t="s">
        <v>8693</v>
      </c>
      <c r="B3459" s="1" t="s">
        <v>2154</v>
      </c>
      <c r="C3459" s="1" t="s">
        <v>8694</v>
      </c>
      <c r="D3459" s="1" t="s">
        <v>746</v>
      </c>
      <c r="E3459" s="1" t="s">
        <v>6076</v>
      </c>
      <c r="F3459" s="1" t="s">
        <v>6076</v>
      </c>
      <c r="G3459" s="1" t="s">
        <v>8695</v>
      </c>
      <c r="H3459">
        <v>2020</v>
      </c>
      <c r="I3459">
        <v>2022</v>
      </c>
      <c r="J3459">
        <f t="shared" si="106"/>
        <v>3</v>
      </c>
      <c r="K3459" s="1" t="s">
        <v>6076</v>
      </c>
      <c r="L3459" s="1" t="s">
        <v>6076</v>
      </c>
      <c r="M3459">
        <f t="shared" si="107"/>
        <v>4</v>
      </c>
      <c r="N3459" t="s">
        <v>650</v>
      </c>
    </row>
    <row r="3460" spans="1:14" x14ac:dyDescent="0.3">
      <c r="A3460" s="1" t="s">
        <v>8696</v>
      </c>
      <c r="B3460" s="1" t="s">
        <v>7986</v>
      </c>
      <c r="C3460" s="1" t="s">
        <v>8697</v>
      </c>
      <c r="D3460" s="1" t="s">
        <v>738</v>
      </c>
      <c r="E3460" s="1" t="s">
        <v>6076</v>
      </c>
      <c r="F3460" s="1" t="s">
        <v>6076</v>
      </c>
      <c r="G3460" s="1" t="s">
        <v>8698</v>
      </c>
      <c r="H3460">
        <v>2010</v>
      </c>
      <c r="I3460">
        <v>2011</v>
      </c>
      <c r="J3460">
        <f t="shared" si="106"/>
        <v>2</v>
      </c>
      <c r="K3460" s="1" t="s">
        <v>6076</v>
      </c>
      <c r="L3460" s="1" t="s">
        <v>6076</v>
      </c>
      <c r="M3460">
        <f t="shared" si="107"/>
        <v>15</v>
      </c>
    </row>
    <row r="3461" spans="1:14" x14ac:dyDescent="0.3">
      <c r="A3461" s="1" t="s">
        <v>8699</v>
      </c>
      <c r="B3461" s="1" t="s">
        <v>7986</v>
      </c>
      <c r="C3461" s="1" t="s">
        <v>8700</v>
      </c>
      <c r="D3461" s="1" t="s">
        <v>738</v>
      </c>
      <c r="E3461" s="1" t="s">
        <v>6076</v>
      </c>
      <c r="F3461" s="1" t="s">
        <v>6076</v>
      </c>
      <c r="G3461" s="1" t="s">
        <v>8698</v>
      </c>
      <c r="H3461">
        <v>2005</v>
      </c>
      <c r="I3461">
        <v>2009</v>
      </c>
      <c r="J3461">
        <f t="shared" si="106"/>
        <v>5</v>
      </c>
      <c r="K3461" s="1" t="s">
        <v>6076</v>
      </c>
      <c r="L3461" s="1" t="s">
        <v>6076</v>
      </c>
      <c r="M3461">
        <f t="shared" si="107"/>
        <v>17</v>
      </c>
    </row>
    <row r="3462" spans="1:14" x14ac:dyDescent="0.3">
      <c r="A3462" s="1" t="s">
        <v>8701</v>
      </c>
      <c r="B3462" s="1" t="s">
        <v>7986</v>
      </c>
      <c r="C3462" s="1" t="s">
        <v>8702</v>
      </c>
      <c r="D3462" s="1" t="s">
        <v>738</v>
      </c>
      <c r="E3462" s="1" t="s">
        <v>6076</v>
      </c>
      <c r="F3462" s="1" t="s">
        <v>6076</v>
      </c>
      <c r="G3462" s="1" t="s">
        <v>8698</v>
      </c>
      <c r="H3462">
        <v>2015</v>
      </c>
      <c r="I3462">
        <v>2015</v>
      </c>
      <c r="J3462">
        <f t="shared" ref="J3462:J3525" si="108">1+(I3462-H3462)</f>
        <v>1</v>
      </c>
      <c r="K3462" s="1" t="s">
        <v>6076</v>
      </c>
      <c r="L3462" s="1" t="s">
        <v>6076</v>
      </c>
      <c r="M3462">
        <f t="shared" ref="M3462:M3525" si="109">IF(I3462=0,0,$B$2-I3462)</f>
        <v>11</v>
      </c>
    </row>
    <row r="3463" spans="1:14" x14ac:dyDescent="0.3">
      <c r="A3463" s="1" t="s">
        <v>8703</v>
      </c>
      <c r="B3463" s="1" t="s">
        <v>7986</v>
      </c>
      <c r="C3463" s="1" t="s">
        <v>8704</v>
      </c>
      <c r="D3463" s="1" t="s">
        <v>738</v>
      </c>
      <c r="E3463" s="1" t="s">
        <v>6076</v>
      </c>
      <c r="F3463" s="1" t="s">
        <v>6076</v>
      </c>
      <c r="G3463" s="1" t="s">
        <v>8698</v>
      </c>
      <c r="H3463">
        <v>1992</v>
      </c>
      <c r="I3463">
        <v>1994</v>
      </c>
      <c r="J3463">
        <f t="shared" si="108"/>
        <v>3</v>
      </c>
      <c r="K3463" s="1" t="s">
        <v>6076</v>
      </c>
      <c r="L3463" s="1" t="s">
        <v>6076</v>
      </c>
      <c r="M3463">
        <f t="shared" si="109"/>
        <v>32</v>
      </c>
    </row>
    <row r="3464" spans="1:14" x14ac:dyDescent="0.3">
      <c r="A3464" s="1" t="s">
        <v>8705</v>
      </c>
      <c r="B3464" s="1" t="s">
        <v>7986</v>
      </c>
      <c r="C3464" s="1" t="s">
        <v>8706</v>
      </c>
      <c r="D3464" s="1" t="s">
        <v>738</v>
      </c>
      <c r="E3464" s="1" t="s">
        <v>6076</v>
      </c>
      <c r="F3464" s="1" t="s">
        <v>6076</v>
      </c>
      <c r="G3464" s="1" t="s">
        <v>8698</v>
      </c>
      <c r="H3464">
        <v>1992</v>
      </c>
      <c r="I3464">
        <v>2002</v>
      </c>
      <c r="J3464">
        <f t="shared" si="108"/>
        <v>11</v>
      </c>
      <c r="K3464" s="1" t="s">
        <v>6076</v>
      </c>
      <c r="L3464" s="1" t="s">
        <v>6076</v>
      </c>
      <c r="M3464">
        <f t="shared" si="109"/>
        <v>24</v>
      </c>
    </row>
    <row r="3465" spans="1:14" x14ac:dyDescent="0.3">
      <c r="A3465" s="1" t="s">
        <v>8707</v>
      </c>
      <c r="B3465" s="1" t="s">
        <v>7986</v>
      </c>
      <c r="C3465" s="1" t="s">
        <v>8708</v>
      </c>
      <c r="D3465" s="1" t="s">
        <v>738</v>
      </c>
      <c r="E3465" s="1" t="s">
        <v>6076</v>
      </c>
      <c r="F3465" s="1" t="s">
        <v>6076</v>
      </c>
      <c r="G3465" s="1" t="s">
        <v>8698</v>
      </c>
      <c r="H3465">
        <v>1995</v>
      </c>
      <c r="I3465">
        <v>2000</v>
      </c>
      <c r="J3465">
        <f t="shared" si="108"/>
        <v>6</v>
      </c>
      <c r="K3465" s="1" t="s">
        <v>6076</v>
      </c>
      <c r="L3465" s="1" t="s">
        <v>6076</v>
      </c>
      <c r="M3465">
        <f t="shared" si="109"/>
        <v>26</v>
      </c>
    </row>
    <row r="3466" spans="1:14" x14ac:dyDescent="0.3">
      <c r="A3466" s="1" t="s">
        <v>8709</v>
      </c>
      <c r="B3466" s="1" t="s">
        <v>7986</v>
      </c>
      <c r="C3466" s="1" t="s">
        <v>8710</v>
      </c>
      <c r="D3466" s="1" t="s">
        <v>738</v>
      </c>
      <c r="E3466" s="1" t="s">
        <v>6076</v>
      </c>
      <c r="F3466" s="1" t="s">
        <v>6076</v>
      </c>
      <c r="G3466" s="1" t="s">
        <v>8698</v>
      </c>
      <c r="H3466">
        <v>1995</v>
      </c>
      <c r="I3466">
        <v>2002</v>
      </c>
      <c r="J3466">
        <f t="shared" si="108"/>
        <v>8</v>
      </c>
      <c r="K3466" s="1" t="s">
        <v>6076</v>
      </c>
      <c r="L3466" s="1" t="s">
        <v>6076</v>
      </c>
      <c r="M3466">
        <f t="shared" si="109"/>
        <v>24</v>
      </c>
    </row>
    <row r="3467" spans="1:14" x14ac:dyDescent="0.3">
      <c r="A3467" s="1" t="s">
        <v>8711</v>
      </c>
      <c r="B3467" s="1" t="s">
        <v>7986</v>
      </c>
      <c r="C3467" s="1" t="s">
        <v>8712</v>
      </c>
      <c r="D3467" s="1" t="s">
        <v>738</v>
      </c>
      <c r="E3467" s="1" t="s">
        <v>6076</v>
      </c>
      <c r="F3467" s="1" t="s">
        <v>6076</v>
      </c>
      <c r="G3467" s="1" t="s">
        <v>8698</v>
      </c>
      <c r="H3467">
        <v>1996</v>
      </c>
      <c r="I3467">
        <v>2002</v>
      </c>
      <c r="J3467">
        <f t="shared" si="108"/>
        <v>7</v>
      </c>
      <c r="K3467" s="1" t="s">
        <v>6076</v>
      </c>
      <c r="L3467" s="1" t="s">
        <v>6076</v>
      </c>
      <c r="M3467">
        <f t="shared" si="109"/>
        <v>24</v>
      </c>
    </row>
    <row r="3468" spans="1:14" x14ac:dyDescent="0.3">
      <c r="A3468" s="1" t="s">
        <v>8713</v>
      </c>
      <c r="B3468" s="1" t="s">
        <v>7986</v>
      </c>
      <c r="C3468" s="1" t="s">
        <v>8714</v>
      </c>
      <c r="D3468" s="1" t="s">
        <v>738</v>
      </c>
      <c r="E3468" s="1" t="s">
        <v>6076</v>
      </c>
      <c r="F3468" s="1" t="s">
        <v>6076</v>
      </c>
      <c r="G3468" s="1" t="s">
        <v>8698</v>
      </c>
      <c r="H3468">
        <v>1993</v>
      </c>
      <c r="I3468">
        <v>2002</v>
      </c>
      <c r="J3468">
        <f t="shared" si="108"/>
        <v>10</v>
      </c>
      <c r="K3468" s="1" t="s">
        <v>6076</v>
      </c>
      <c r="L3468" s="1" t="s">
        <v>6076</v>
      </c>
      <c r="M3468">
        <f t="shared" si="109"/>
        <v>24</v>
      </c>
    </row>
    <row r="3469" spans="1:14" x14ac:dyDescent="0.3">
      <c r="A3469" s="1" t="s">
        <v>8715</v>
      </c>
      <c r="B3469" s="1" t="s">
        <v>7986</v>
      </c>
      <c r="C3469" s="1" t="s">
        <v>8716</v>
      </c>
      <c r="D3469" s="1" t="s">
        <v>738</v>
      </c>
      <c r="E3469" s="1" t="s">
        <v>6076</v>
      </c>
      <c r="F3469" s="1" t="s">
        <v>6076</v>
      </c>
      <c r="G3469" s="1" t="s">
        <v>8698</v>
      </c>
      <c r="H3469">
        <v>2010</v>
      </c>
      <c r="I3469">
        <v>2014</v>
      </c>
      <c r="J3469">
        <f t="shared" si="108"/>
        <v>5</v>
      </c>
      <c r="K3469" s="1" t="s">
        <v>6076</v>
      </c>
      <c r="L3469" s="1" t="s">
        <v>6076</v>
      </c>
      <c r="M3469">
        <f t="shared" si="109"/>
        <v>12</v>
      </c>
    </row>
    <row r="3470" spans="1:14" x14ac:dyDescent="0.3">
      <c r="A3470" s="1" t="s">
        <v>8717</v>
      </c>
      <c r="B3470" s="1" t="s">
        <v>7986</v>
      </c>
      <c r="C3470" s="1" t="s">
        <v>8718</v>
      </c>
      <c r="D3470" s="1" t="s">
        <v>738</v>
      </c>
      <c r="E3470" s="1" t="s">
        <v>6076</v>
      </c>
      <c r="F3470" s="1" t="s">
        <v>6076</v>
      </c>
      <c r="G3470" s="1" t="s">
        <v>8698</v>
      </c>
      <c r="H3470">
        <v>1992</v>
      </c>
      <c r="I3470">
        <v>1998</v>
      </c>
      <c r="J3470">
        <f t="shared" si="108"/>
        <v>7</v>
      </c>
      <c r="K3470" s="1" t="s">
        <v>6076</v>
      </c>
      <c r="L3470" s="1" t="s">
        <v>6076</v>
      </c>
      <c r="M3470">
        <f t="shared" si="109"/>
        <v>28</v>
      </c>
    </row>
    <row r="3471" spans="1:14" x14ac:dyDescent="0.3">
      <c r="A3471" s="1" t="s">
        <v>8719</v>
      </c>
      <c r="B3471" s="1" t="s">
        <v>7986</v>
      </c>
      <c r="C3471" s="1" t="s">
        <v>8720</v>
      </c>
      <c r="D3471" s="1" t="s">
        <v>738</v>
      </c>
      <c r="E3471" s="1" t="s">
        <v>6076</v>
      </c>
      <c r="F3471" s="1" t="s">
        <v>6076</v>
      </c>
      <c r="G3471" s="1" t="s">
        <v>8698</v>
      </c>
      <c r="H3471">
        <v>1997</v>
      </c>
      <c r="I3471">
        <v>2003</v>
      </c>
      <c r="J3471">
        <f t="shared" si="108"/>
        <v>7</v>
      </c>
      <c r="K3471" s="1" t="s">
        <v>6076</v>
      </c>
      <c r="L3471" s="1" t="s">
        <v>6076</v>
      </c>
      <c r="M3471">
        <f t="shared" si="109"/>
        <v>23</v>
      </c>
    </row>
    <row r="3472" spans="1:14" x14ac:dyDescent="0.3">
      <c r="A3472" s="1" t="s">
        <v>8721</v>
      </c>
      <c r="B3472" s="1" t="s">
        <v>7986</v>
      </c>
      <c r="C3472" s="1" t="s">
        <v>8722</v>
      </c>
      <c r="D3472" s="1" t="s">
        <v>738</v>
      </c>
      <c r="E3472" s="1" t="s">
        <v>6076</v>
      </c>
      <c r="F3472" s="1" t="s">
        <v>6076</v>
      </c>
      <c r="G3472" s="1" t="s">
        <v>8698</v>
      </c>
      <c r="H3472">
        <v>1998</v>
      </c>
      <c r="I3472">
        <v>2002</v>
      </c>
      <c r="J3472">
        <f t="shared" si="108"/>
        <v>5</v>
      </c>
      <c r="K3472" s="1" t="s">
        <v>6076</v>
      </c>
      <c r="L3472" s="1" t="s">
        <v>6076</v>
      </c>
      <c r="M3472">
        <f t="shared" si="109"/>
        <v>24</v>
      </c>
    </row>
    <row r="3473" spans="1:14" x14ac:dyDescent="0.3">
      <c r="A3473" s="1" t="s">
        <v>8723</v>
      </c>
      <c r="B3473" s="1" t="s">
        <v>7986</v>
      </c>
      <c r="C3473" s="1" t="s">
        <v>8724</v>
      </c>
      <c r="D3473" s="1" t="s">
        <v>738</v>
      </c>
      <c r="E3473" s="1" t="s">
        <v>6076</v>
      </c>
      <c r="F3473" s="1" t="s">
        <v>6076</v>
      </c>
      <c r="G3473" s="1" t="s">
        <v>8698</v>
      </c>
      <c r="H3473">
        <v>1995</v>
      </c>
      <c r="I3473">
        <v>2002</v>
      </c>
      <c r="J3473">
        <f t="shared" si="108"/>
        <v>8</v>
      </c>
      <c r="K3473" s="1" t="s">
        <v>6076</v>
      </c>
      <c r="L3473" s="1" t="s">
        <v>6076</v>
      </c>
      <c r="M3473">
        <f t="shared" si="109"/>
        <v>24</v>
      </c>
    </row>
    <row r="3474" spans="1:14" x14ac:dyDescent="0.3">
      <c r="A3474" s="1" t="s">
        <v>8725</v>
      </c>
      <c r="B3474" s="1" t="s">
        <v>7986</v>
      </c>
      <c r="C3474" s="1" t="s">
        <v>8726</v>
      </c>
      <c r="D3474" s="1" t="s">
        <v>738</v>
      </c>
      <c r="E3474" s="1" t="s">
        <v>6076</v>
      </c>
      <c r="F3474" s="1" t="s">
        <v>6076</v>
      </c>
      <c r="G3474" s="1" t="s">
        <v>8698</v>
      </c>
      <c r="H3474">
        <v>1992</v>
      </c>
      <c r="I3474">
        <v>1997</v>
      </c>
      <c r="J3474">
        <f t="shared" si="108"/>
        <v>6</v>
      </c>
      <c r="K3474" s="1" t="s">
        <v>6076</v>
      </c>
      <c r="L3474" s="1" t="s">
        <v>6076</v>
      </c>
      <c r="M3474">
        <f t="shared" si="109"/>
        <v>29</v>
      </c>
    </row>
    <row r="3475" spans="1:14" x14ac:dyDescent="0.3">
      <c r="A3475" s="1" t="s">
        <v>8727</v>
      </c>
      <c r="B3475" s="1" t="s">
        <v>7986</v>
      </c>
      <c r="C3475" s="1" t="s">
        <v>8728</v>
      </c>
      <c r="D3475" s="1" t="s">
        <v>738</v>
      </c>
      <c r="E3475" s="1" t="s">
        <v>6076</v>
      </c>
      <c r="F3475" s="1" t="s">
        <v>6076</v>
      </c>
      <c r="G3475" s="1" t="s">
        <v>8698</v>
      </c>
      <c r="H3475">
        <v>1997</v>
      </c>
      <c r="I3475">
        <v>2002</v>
      </c>
      <c r="J3475">
        <f t="shared" si="108"/>
        <v>6</v>
      </c>
      <c r="K3475" s="1" t="s">
        <v>6076</v>
      </c>
      <c r="L3475" s="1" t="s">
        <v>6076</v>
      </c>
      <c r="M3475">
        <f t="shared" si="109"/>
        <v>24</v>
      </c>
    </row>
    <row r="3476" spans="1:14" x14ac:dyDescent="0.3">
      <c r="A3476" s="1" t="s">
        <v>8729</v>
      </c>
      <c r="B3476" s="1" t="s">
        <v>7986</v>
      </c>
      <c r="C3476" s="1" t="s">
        <v>8730</v>
      </c>
      <c r="D3476" s="1" t="s">
        <v>738</v>
      </c>
      <c r="E3476" s="1" t="s">
        <v>6076</v>
      </c>
      <c r="F3476" s="1" t="s">
        <v>6076</v>
      </c>
      <c r="G3476" s="1" t="s">
        <v>8698</v>
      </c>
      <c r="H3476">
        <v>1997</v>
      </c>
      <c r="I3476">
        <v>2002</v>
      </c>
      <c r="J3476">
        <f t="shared" si="108"/>
        <v>6</v>
      </c>
      <c r="K3476" s="1" t="s">
        <v>6076</v>
      </c>
      <c r="L3476" s="1" t="s">
        <v>6076</v>
      </c>
      <c r="M3476">
        <f t="shared" si="109"/>
        <v>24</v>
      </c>
    </row>
    <row r="3477" spans="1:14" x14ac:dyDescent="0.3">
      <c r="A3477" s="1" t="s">
        <v>8731</v>
      </c>
      <c r="B3477" s="1" t="s">
        <v>7986</v>
      </c>
      <c r="C3477" s="1" t="s">
        <v>8732</v>
      </c>
      <c r="D3477" s="1" t="s">
        <v>738</v>
      </c>
      <c r="E3477" s="1" t="s">
        <v>6076</v>
      </c>
      <c r="F3477" s="1" t="s">
        <v>6076</v>
      </c>
      <c r="G3477" s="1" t="s">
        <v>8698</v>
      </c>
      <c r="H3477">
        <v>1992</v>
      </c>
      <c r="I3477">
        <v>1997</v>
      </c>
      <c r="J3477">
        <f t="shared" si="108"/>
        <v>6</v>
      </c>
      <c r="K3477" s="1" t="s">
        <v>6076</v>
      </c>
      <c r="L3477" s="1" t="s">
        <v>6076</v>
      </c>
      <c r="M3477">
        <f t="shared" si="109"/>
        <v>29</v>
      </c>
    </row>
    <row r="3478" spans="1:14" hidden="1" x14ac:dyDescent="0.3">
      <c r="A3478" s="1" t="s">
        <v>4568</v>
      </c>
      <c r="B3478" s="1" t="s">
        <v>802</v>
      </c>
      <c r="C3478" s="1" t="s">
        <v>4569</v>
      </c>
      <c r="D3478" s="1" t="s">
        <v>738</v>
      </c>
      <c r="E3478" s="1" t="s">
        <v>812</v>
      </c>
      <c r="F3478" s="1" t="s">
        <v>813</v>
      </c>
      <c r="G3478" s="1" t="s">
        <v>4570</v>
      </c>
      <c r="H3478">
        <v>2009</v>
      </c>
      <c r="I3478">
        <v>2009</v>
      </c>
      <c r="J3478">
        <f t="shared" si="108"/>
        <v>1</v>
      </c>
      <c r="K3478" s="1" t="s">
        <v>3665</v>
      </c>
      <c r="L3478" s="1" t="s">
        <v>666</v>
      </c>
      <c r="M3478">
        <f t="shared" si="109"/>
        <v>17</v>
      </c>
      <c r="N3478" t="s">
        <v>650</v>
      </c>
    </row>
    <row r="3479" spans="1:14" hidden="1" x14ac:dyDescent="0.3">
      <c r="A3479" s="1" t="s">
        <v>4571</v>
      </c>
      <c r="B3479" s="1" t="s">
        <v>802</v>
      </c>
      <c r="C3479" s="1" t="s">
        <v>4572</v>
      </c>
      <c r="D3479" s="1" t="s">
        <v>738</v>
      </c>
      <c r="E3479" s="1" t="s">
        <v>812</v>
      </c>
      <c r="F3479" s="1" t="s">
        <v>813</v>
      </c>
      <c r="G3479" s="1" t="s">
        <v>4570</v>
      </c>
      <c r="H3479">
        <v>2009</v>
      </c>
      <c r="I3479">
        <v>2009</v>
      </c>
      <c r="J3479">
        <f t="shared" si="108"/>
        <v>1</v>
      </c>
      <c r="K3479" s="1" t="s">
        <v>3665</v>
      </c>
      <c r="L3479" s="1" t="s">
        <v>666</v>
      </c>
      <c r="M3479">
        <f t="shared" si="109"/>
        <v>17</v>
      </c>
      <c r="N3479" t="s">
        <v>650</v>
      </c>
    </row>
    <row r="3480" spans="1:14" hidden="1" x14ac:dyDescent="0.3">
      <c r="A3480" s="1" t="s">
        <v>4573</v>
      </c>
      <c r="B3480" s="1" t="s">
        <v>802</v>
      </c>
      <c r="C3480" s="1" t="s">
        <v>4574</v>
      </c>
      <c r="D3480" s="1" t="s">
        <v>738</v>
      </c>
      <c r="E3480" s="1" t="s">
        <v>812</v>
      </c>
      <c r="F3480" s="1" t="s">
        <v>813</v>
      </c>
      <c r="G3480" s="1" t="s">
        <v>4570</v>
      </c>
      <c r="H3480">
        <v>2009</v>
      </c>
      <c r="I3480">
        <v>2016</v>
      </c>
      <c r="J3480">
        <f t="shared" si="108"/>
        <v>8</v>
      </c>
      <c r="K3480" s="1" t="s">
        <v>3665</v>
      </c>
      <c r="L3480" s="1" t="s">
        <v>666</v>
      </c>
      <c r="M3480">
        <f t="shared" si="109"/>
        <v>10</v>
      </c>
      <c r="N3480" t="s">
        <v>650</v>
      </c>
    </row>
    <row r="3481" spans="1:14" hidden="1" x14ac:dyDescent="0.3">
      <c r="A3481" s="1" t="s">
        <v>4575</v>
      </c>
      <c r="B3481" s="1" t="s">
        <v>802</v>
      </c>
      <c r="C3481" s="1" t="s">
        <v>4576</v>
      </c>
      <c r="D3481" s="1" t="s">
        <v>738</v>
      </c>
      <c r="E3481" s="1" t="s">
        <v>812</v>
      </c>
      <c r="F3481" s="1" t="s">
        <v>813</v>
      </c>
      <c r="G3481" s="1" t="s">
        <v>4570</v>
      </c>
      <c r="H3481">
        <v>2013</v>
      </c>
      <c r="I3481">
        <v>2013</v>
      </c>
      <c r="J3481">
        <f t="shared" si="108"/>
        <v>1</v>
      </c>
      <c r="K3481" s="1" t="s">
        <v>3665</v>
      </c>
      <c r="L3481" s="1" t="s">
        <v>666</v>
      </c>
      <c r="M3481">
        <f t="shared" si="109"/>
        <v>13</v>
      </c>
      <c r="N3481" t="s">
        <v>650</v>
      </c>
    </row>
    <row r="3482" spans="1:14" hidden="1" x14ac:dyDescent="0.3">
      <c r="A3482" s="1" t="s">
        <v>4577</v>
      </c>
      <c r="B3482" s="1" t="s">
        <v>802</v>
      </c>
      <c r="C3482" s="1" t="s">
        <v>4578</v>
      </c>
      <c r="D3482" s="1" t="s">
        <v>738</v>
      </c>
      <c r="E3482" s="1" t="s">
        <v>812</v>
      </c>
      <c r="F3482" s="1" t="s">
        <v>813</v>
      </c>
      <c r="G3482" s="1" t="s">
        <v>4570</v>
      </c>
      <c r="H3482">
        <v>2013</v>
      </c>
      <c r="I3482">
        <v>2013</v>
      </c>
      <c r="J3482">
        <f t="shared" si="108"/>
        <v>1</v>
      </c>
      <c r="K3482" s="1" t="s">
        <v>3665</v>
      </c>
      <c r="L3482" s="1" t="s">
        <v>666</v>
      </c>
      <c r="M3482">
        <f t="shared" si="109"/>
        <v>13</v>
      </c>
      <c r="N3482" t="s">
        <v>650</v>
      </c>
    </row>
    <row r="3483" spans="1:14" hidden="1" x14ac:dyDescent="0.3">
      <c r="A3483" s="1" t="s">
        <v>4579</v>
      </c>
      <c r="B3483" s="1" t="s">
        <v>802</v>
      </c>
      <c r="C3483" s="1" t="s">
        <v>4580</v>
      </c>
      <c r="D3483" s="1" t="s">
        <v>738</v>
      </c>
      <c r="E3483" s="1" t="s">
        <v>812</v>
      </c>
      <c r="F3483" s="1" t="s">
        <v>813</v>
      </c>
      <c r="G3483" s="1" t="s">
        <v>4570</v>
      </c>
      <c r="H3483">
        <v>2012</v>
      </c>
      <c r="I3483">
        <v>2016</v>
      </c>
      <c r="J3483">
        <f t="shared" si="108"/>
        <v>5</v>
      </c>
      <c r="K3483" s="1" t="s">
        <v>3665</v>
      </c>
      <c r="L3483" s="1" t="s">
        <v>666</v>
      </c>
      <c r="M3483">
        <f t="shared" si="109"/>
        <v>10</v>
      </c>
      <c r="N3483" t="s">
        <v>650</v>
      </c>
    </row>
    <row r="3484" spans="1:14" hidden="1" x14ac:dyDescent="0.3">
      <c r="A3484" s="1" t="s">
        <v>4581</v>
      </c>
      <c r="B3484" s="1" t="s">
        <v>802</v>
      </c>
      <c r="C3484" s="1" t="s">
        <v>4582</v>
      </c>
      <c r="D3484" s="1" t="s">
        <v>738</v>
      </c>
      <c r="E3484" s="1" t="s">
        <v>812</v>
      </c>
      <c r="F3484" s="1" t="s">
        <v>813</v>
      </c>
      <c r="G3484" s="1" t="s">
        <v>4570</v>
      </c>
      <c r="H3484">
        <v>2012</v>
      </c>
      <c r="I3484">
        <v>2012</v>
      </c>
      <c r="J3484">
        <f t="shared" si="108"/>
        <v>1</v>
      </c>
      <c r="K3484" s="1" t="s">
        <v>3665</v>
      </c>
      <c r="L3484" s="1" t="s">
        <v>666</v>
      </c>
      <c r="M3484">
        <f t="shared" si="109"/>
        <v>14</v>
      </c>
      <c r="N3484" t="s">
        <v>650</v>
      </c>
    </row>
    <row r="3485" spans="1:14" hidden="1" x14ac:dyDescent="0.3">
      <c r="A3485" s="1" t="s">
        <v>4583</v>
      </c>
      <c r="B3485" s="1" t="s">
        <v>802</v>
      </c>
      <c r="C3485" s="1" t="s">
        <v>4584</v>
      </c>
      <c r="D3485" s="1" t="s">
        <v>738</v>
      </c>
      <c r="E3485" s="1" t="s">
        <v>812</v>
      </c>
      <c r="F3485" s="1" t="s">
        <v>813</v>
      </c>
      <c r="G3485" s="1" t="s">
        <v>4570</v>
      </c>
      <c r="H3485">
        <v>2010</v>
      </c>
      <c r="I3485">
        <v>2010</v>
      </c>
      <c r="J3485">
        <f t="shared" si="108"/>
        <v>1</v>
      </c>
      <c r="K3485" s="1" t="s">
        <v>3665</v>
      </c>
      <c r="L3485" s="1" t="s">
        <v>666</v>
      </c>
      <c r="M3485">
        <f t="shared" si="109"/>
        <v>16</v>
      </c>
      <c r="N3485" t="s">
        <v>650</v>
      </c>
    </row>
    <row r="3486" spans="1:14" hidden="1" x14ac:dyDescent="0.3">
      <c r="A3486" s="1" t="s">
        <v>4585</v>
      </c>
      <c r="B3486" s="1" t="s">
        <v>802</v>
      </c>
      <c r="C3486" s="1" t="s">
        <v>4586</v>
      </c>
      <c r="D3486" s="1" t="s">
        <v>738</v>
      </c>
      <c r="E3486" s="1" t="s">
        <v>812</v>
      </c>
      <c r="F3486" s="1" t="s">
        <v>813</v>
      </c>
      <c r="G3486" s="1" t="s">
        <v>4570</v>
      </c>
      <c r="H3486">
        <v>2010</v>
      </c>
      <c r="I3486">
        <v>2010</v>
      </c>
      <c r="J3486">
        <f t="shared" si="108"/>
        <v>1</v>
      </c>
      <c r="K3486" s="1" t="s">
        <v>3665</v>
      </c>
      <c r="L3486" s="1" t="s">
        <v>666</v>
      </c>
      <c r="M3486">
        <f t="shared" si="109"/>
        <v>16</v>
      </c>
      <c r="N3486" t="s">
        <v>650</v>
      </c>
    </row>
    <row r="3487" spans="1:14" x14ac:dyDescent="0.3">
      <c r="A3487" s="1" t="s">
        <v>8733</v>
      </c>
      <c r="B3487" s="1" t="s">
        <v>802</v>
      </c>
      <c r="C3487" s="1" t="s">
        <v>8734</v>
      </c>
      <c r="D3487" s="1" t="s">
        <v>738</v>
      </c>
      <c r="E3487" s="1" t="s">
        <v>6076</v>
      </c>
      <c r="F3487" s="1" t="s">
        <v>6076</v>
      </c>
      <c r="G3487" s="1" t="s">
        <v>4570</v>
      </c>
      <c r="H3487">
        <v>2009</v>
      </c>
      <c r="I3487">
        <v>2012</v>
      </c>
      <c r="J3487">
        <f t="shared" si="108"/>
        <v>4</v>
      </c>
      <c r="K3487" s="1" t="s">
        <v>6076</v>
      </c>
      <c r="L3487" s="1" t="s">
        <v>6076</v>
      </c>
      <c r="M3487">
        <f t="shared" si="109"/>
        <v>14</v>
      </c>
      <c r="N3487" t="s">
        <v>650</v>
      </c>
    </row>
    <row r="3488" spans="1:14" hidden="1" x14ac:dyDescent="0.3">
      <c r="A3488" s="1" t="s">
        <v>4587</v>
      </c>
      <c r="B3488" s="1" t="s">
        <v>2154</v>
      </c>
      <c r="C3488" s="1" t="s">
        <v>4588</v>
      </c>
      <c r="D3488" s="1" t="s">
        <v>738</v>
      </c>
      <c r="E3488" s="1" t="s">
        <v>739</v>
      </c>
      <c r="F3488" s="1" t="s">
        <v>740</v>
      </c>
      <c r="G3488" s="1" t="s">
        <v>4589</v>
      </c>
      <c r="H3488">
        <v>2010</v>
      </c>
      <c r="I3488">
        <v>2014</v>
      </c>
      <c r="J3488">
        <f t="shared" si="108"/>
        <v>5</v>
      </c>
      <c r="K3488" s="1" t="s">
        <v>3665</v>
      </c>
      <c r="L3488" s="1" t="s">
        <v>666</v>
      </c>
      <c r="M3488">
        <f t="shared" si="109"/>
        <v>12</v>
      </c>
      <c r="N3488" t="s">
        <v>650</v>
      </c>
    </row>
    <row r="3489" spans="1:14" hidden="1" x14ac:dyDescent="0.3">
      <c r="A3489" s="1" t="s">
        <v>4590</v>
      </c>
      <c r="B3489" s="1" t="s">
        <v>2154</v>
      </c>
      <c r="C3489" s="1" t="s">
        <v>4591</v>
      </c>
      <c r="D3489" s="1" t="s">
        <v>738</v>
      </c>
      <c r="E3489" s="1" t="s">
        <v>739</v>
      </c>
      <c r="F3489" s="1" t="s">
        <v>740</v>
      </c>
      <c r="G3489" s="1" t="s">
        <v>4589</v>
      </c>
      <c r="H3489">
        <v>2010</v>
      </c>
      <c r="I3489">
        <v>2010</v>
      </c>
      <c r="J3489">
        <f t="shared" si="108"/>
        <v>1</v>
      </c>
      <c r="K3489" s="1" t="s">
        <v>3665</v>
      </c>
      <c r="L3489" s="1" t="s">
        <v>649</v>
      </c>
      <c r="M3489">
        <f t="shared" si="109"/>
        <v>16</v>
      </c>
      <c r="N3489" t="s">
        <v>640</v>
      </c>
    </row>
    <row r="3490" spans="1:14" hidden="1" x14ac:dyDescent="0.3">
      <c r="A3490" s="1" t="s">
        <v>4592</v>
      </c>
      <c r="B3490" s="1" t="s">
        <v>2154</v>
      </c>
      <c r="C3490" s="1" t="s">
        <v>4593</v>
      </c>
      <c r="D3490" s="1" t="s">
        <v>738</v>
      </c>
      <c r="E3490" s="1" t="s">
        <v>739</v>
      </c>
      <c r="F3490" s="1" t="s">
        <v>740</v>
      </c>
      <c r="G3490" s="1" t="s">
        <v>4589</v>
      </c>
      <c r="H3490">
        <v>2010</v>
      </c>
      <c r="I3490">
        <v>2010</v>
      </c>
      <c r="J3490">
        <f t="shared" si="108"/>
        <v>1</v>
      </c>
      <c r="K3490" s="1" t="s">
        <v>3665</v>
      </c>
      <c r="L3490" s="1" t="s">
        <v>649</v>
      </c>
      <c r="M3490">
        <f t="shared" si="109"/>
        <v>16</v>
      </c>
      <c r="N3490" t="s">
        <v>640</v>
      </c>
    </row>
    <row r="3491" spans="1:14" hidden="1" x14ac:dyDescent="0.3">
      <c r="A3491" s="1" t="s">
        <v>4594</v>
      </c>
      <c r="B3491" s="1" t="s">
        <v>2154</v>
      </c>
      <c r="C3491" s="1" t="s">
        <v>4595</v>
      </c>
      <c r="D3491" s="1" t="s">
        <v>738</v>
      </c>
      <c r="E3491" s="1" t="s">
        <v>739</v>
      </c>
      <c r="F3491" s="1" t="s">
        <v>740</v>
      </c>
      <c r="G3491" s="1" t="s">
        <v>4589</v>
      </c>
      <c r="H3491">
        <v>2010</v>
      </c>
      <c r="I3491">
        <v>2010</v>
      </c>
      <c r="J3491">
        <f t="shared" si="108"/>
        <v>1</v>
      </c>
      <c r="K3491" s="1" t="s">
        <v>3665</v>
      </c>
      <c r="L3491" s="1" t="s">
        <v>649</v>
      </c>
      <c r="M3491">
        <f t="shared" si="109"/>
        <v>16</v>
      </c>
      <c r="N3491" t="s">
        <v>640</v>
      </c>
    </row>
    <row r="3492" spans="1:14" hidden="1" x14ac:dyDescent="0.3">
      <c r="A3492" s="1" t="s">
        <v>4596</v>
      </c>
      <c r="B3492" s="1" t="s">
        <v>2154</v>
      </c>
      <c r="C3492" s="1" t="s">
        <v>4597</v>
      </c>
      <c r="D3492" s="1" t="s">
        <v>738</v>
      </c>
      <c r="E3492" s="1" t="s">
        <v>739</v>
      </c>
      <c r="F3492" s="1" t="s">
        <v>740</v>
      </c>
      <c r="G3492" s="1" t="s">
        <v>4589</v>
      </c>
      <c r="H3492">
        <v>2010</v>
      </c>
      <c r="I3492">
        <v>2011</v>
      </c>
      <c r="J3492">
        <f t="shared" si="108"/>
        <v>2</v>
      </c>
      <c r="K3492" s="1" t="s">
        <v>3665</v>
      </c>
      <c r="L3492" s="1" t="s">
        <v>649</v>
      </c>
      <c r="M3492">
        <f t="shared" si="109"/>
        <v>15</v>
      </c>
      <c r="N3492" t="s">
        <v>640</v>
      </c>
    </row>
    <row r="3493" spans="1:14" hidden="1" x14ac:dyDescent="0.3">
      <c r="A3493" s="1" t="s">
        <v>4598</v>
      </c>
      <c r="B3493" s="1" t="s">
        <v>2154</v>
      </c>
      <c r="C3493" s="1" t="s">
        <v>4599</v>
      </c>
      <c r="D3493" s="1" t="s">
        <v>738</v>
      </c>
      <c r="E3493" s="1" t="s">
        <v>739</v>
      </c>
      <c r="F3493" s="1" t="s">
        <v>740</v>
      </c>
      <c r="G3493" s="1" t="s">
        <v>4589</v>
      </c>
      <c r="H3493">
        <v>2010</v>
      </c>
      <c r="I3493">
        <v>2011</v>
      </c>
      <c r="J3493">
        <f t="shared" si="108"/>
        <v>2</v>
      </c>
      <c r="K3493" s="1" t="s">
        <v>3665</v>
      </c>
      <c r="L3493" s="1" t="s">
        <v>649</v>
      </c>
      <c r="M3493">
        <f t="shared" si="109"/>
        <v>15</v>
      </c>
      <c r="N3493" t="s">
        <v>640</v>
      </c>
    </row>
    <row r="3494" spans="1:14" hidden="1" x14ac:dyDescent="0.3">
      <c r="A3494" s="1" t="s">
        <v>4600</v>
      </c>
      <c r="B3494" s="1" t="s">
        <v>2154</v>
      </c>
      <c r="C3494" s="1" t="s">
        <v>4601</v>
      </c>
      <c r="D3494" s="1" t="s">
        <v>738</v>
      </c>
      <c r="E3494" s="1" t="s">
        <v>739</v>
      </c>
      <c r="F3494" s="1" t="s">
        <v>740</v>
      </c>
      <c r="G3494" s="1" t="s">
        <v>4589</v>
      </c>
      <c r="H3494">
        <v>2010</v>
      </c>
      <c r="I3494">
        <v>2010</v>
      </c>
      <c r="J3494">
        <f t="shared" si="108"/>
        <v>1</v>
      </c>
      <c r="K3494" s="1" t="s">
        <v>3665</v>
      </c>
      <c r="L3494" s="1" t="s">
        <v>649</v>
      </c>
      <c r="M3494">
        <f t="shared" si="109"/>
        <v>16</v>
      </c>
      <c r="N3494" t="s">
        <v>640</v>
      </c>
    </row>
    <row r="3495" spans="1:14" hidden="1" x14ac:dyDescent="0.3">
      <c r="A3495" s="1" t="s">
        <v>4602</v>
      </c>
      <c r="B3495" s="1" t="s">
        <v>2154</v>
      </c>
      <c r="C3495" s="1" t="s">
        <v>4603</v>
      </c>
      <c r="D3495" s="1" t="s">
        <v>738</v>
      </c>
      <c r="E3495" s="1" t="s">
        <v>739</v>
      </c>
      <c r="F3495" s="1" t="s">
        <v>740</v>
      </c>
      <c r="G3495" s="1" t="s">
        <v>4589</v>
      </c>
      <c r="H3495">
        <v>2010</v>
      </c>
      <c r="I3495">
        <v>2010</v>
      </c>
      <c r="J3495">
        <f t="shared" si="108"/>
        <v>1</v>
      </c>
      <c r="K3495" s="1" t="s">
        <v>3665</v>
      </c>
      <c r="L3495" s="1" t="s">
        <v>649</v>
      </c>
      <c r="M3495">
        <f t="shared" si="109"/>
        <v>16</v>
      </c>
      <c r="N3495" t="s">
        <v>640</v>
      </c>
    </row>
    <row r="3496" spans="1:14" hidden="1" x14ac:dyDescent="0.3">
      <c r="A3496" s="1" t="s">
        <v>4604</v>
      </c>
      <c r="B3496" s="1" t="s">
        <v>2154</v>
      </c>
      <c r="C3496" s="1" t="s">
        <v>4605</v>
      </c>
      <c r="D3496" s="1" t="s">
        <v>738</v>
      </c>
      <c r="E3496" s="1" t="s">
        <v>739</v>
      </c>
      <c r="F3496" s="1" t="s">
        <v>740</v>
      </c>
      <c r="G3496" s="1" t="s">
        <v>4589</v>
      </c>
      <c r="H3496">
        <v>2011</v>
      </c>
      <c r="I3496">
        <v>2012</v>
      </c>
      <c r="J3496">
        <f t="shared" si="108"/>
        <v>2</v>
      </c>
      <c r="K3496" s="1" t="s">
        <v>3665</v>
      </c>
      <c r="L3496" s="1" t="s">
        <v>649</v>
      </c>
      <c r="M3496">
        <f t="shared" si="109"/>
        <v>14</v>
      </c>
      <c r="N3496" t="s">
        <v>650</v>
      </c>
    </row>
    <row r="3497" spans="1:14" hidden="1" x14ac:dyDescent="0.3">
      <c r="A3497" s="1" t="s">
        <v>4606</v>
      </c>
      <c r="B3497" s="1" t="s">
        <v>2154</v>
      </c>
      <c r="C3497" s="1" t="s">
        <v>4607</v>
      </c>
      <c r="D3497" s="1" t="s">
        <v>738</v>
      </c>
      <c r="E3497" s="1" t="s">
        <v>739</v>
      </c>
      <c r="F3497" s="1" t="s">
        <v>740</v>
      </c>
      <c r="G3497" s="1" t="s">
        <v>4589</v>
      </c>
      <c r="H3497">
        <v>2010</v>
      </c>
      <c r="I3497">
        <v>2014</v>
      </c>
      <c r="J3497">
        <f t="shared" si="108"/>
        <v>5</v>
      </c>
      <c r="K3497" s="1" t="s">
        <v>3665</v>
      </c>
      <c r="L3497" s="1" t="s">
        <v>649</v>
      </c>
      <c r="M3497">
        <f t="shared" si="109"/>
        <v>12</v>
      </c>
      <c r="N3497" t="s">
        <v>650</v>
      </c>
    </row>
    <row r="3498" spans="1:14" hidden="1" x14ac:dyDescent="0.3">
      <c r="A3498" s="1" t="s">
        <v>4608</v>
      </c>
      <c r="B3498" s="1" t="s">
        <v>2154</v>
      </c>
      <c r="C3498" s="1" t="s">
        <v>4609</v>
      </c>
      <c r="D3498" s="1" t="s">
        <v>738</v>
      </c>
      <c r="E3498" s="1" t="s">
        <v>739</v>
      </c>
      <c r="F3498" s="1" t="s">
        <v>740</v>
      </c>
      <c r="G3498" s="1" t="s">
        <v>4589</v>
      </c>
      <c r="H3498">
        <v>2010</v>
      </c>
      <c r="I3498">
        <v>2010</v>
      </c>
      <c r="J3498">
        <f t="shared" si="108"/>
        <v>1</v>
      </c>
      <c r="K3498" s="1" t="s">
        <v>3665</v>
      </c>
      <c r="L3498" s="1" t="s">
        <v>649</v>
      </c>
      <c r="M3498">
        <f t="shared" si="109"/>
        <v>16</v>
      </c>
      <c r="N3498" t="s">
        <v>640</v>
      </c>
    </row>
    <row r="3499" spans="1:14" hidden="1" x14ac:dyDescent="0.3">
      <c r="A3499" s="1" t="s">
        <v>4610</v>
      </c>
      <c r="B3499" s="1" t="s">
        <v>2154</v>
      </c>
      <c r="C3499" s="1" t="s">
        <v>4611</v>
      </c>
      <c r="D3499" s="1" t="s">
        <v>738</v>
      </c>
      <c r="E3499" s="1" t="s">
        <v>739</v>
      </c>
      <c r="F3499" s="1" t="s">
        <v>740</v>
      </c>
      <c r="G3499" s="1" t="s">
        <v>4589</v>
      </c>
      <c r="H3499">
        <v>2010</v>
      </c>
      <c r="I3499">
        <v>2012</v>
      </c>
      <c r="J3499">
        <f t="shared" si="108"/>
        <v>3</v>
      </c>
      <c r="K3499" s="1" t="s">
        <v>3665</v>
      </c>
      <c r="L3499" s="1" t="s">
        <v>649</v>
      </c>
      <c r="M3499">
        <f t="shared" si="109"/>
        <v>14</v>
      </c>
      <c r="N3499" t="s">
        <v>650</v>
      </c>
    </row>
    <row r="3500" spans="1:14" hidden="1" x14ac:dyDescent="0.3">
      <c r="A3500" s="1" t="s">
        <v>4612</v>
      </c>
      <c r="B3500" s="1" t="s">
        <v>2154</v>
      </c>
      <c r="C3500" s="1" t="s">
        <v>4613</v>
      </c>
      <c r="D3500" s="1" t="s">
        <v>738</v>
      </c>
      <c r="E3500" s="1" t="s">
        <v>739</v>
      </c>
      <c r="F3500" s="1" t="s">
        <v>740</v>
      </c>
      <c r="G3500" s="1" t="s">
        <v>4589</v>
      </c>
      <c r="H3500">
        <v>2010</v>
      </c>
      <c r="I3500">
        <v>2011</v>
      </c>
      <c r="J3500">
        <f t="shared" si="108"/>
        <v>2</v>
      </c>
      <c r="K3500" s="1" t="s">
        <v>3665</v>
      </c>
      <c r="L3500" s="1" t="s">
        <v>649</v>
      </c>
      <c r="M3500">
        <f t="shared" si="109"/>
        <v>15</v>
      </c>
      <c r="N3500" t="s">
        <v>640</v>
      </c>
    </row>
    <row r="3501" spans="1:14" hidden="1" x14ac:dyDescent="0.3">
      <c r="A3501" s="1" t="s">
        <v>4614</v>
      </c>
      <c r="B3501" s="1" t="s">
        <v>2154</v>
      </c>
      <c r="C3501" s="1" t="s">
        <v>4615</v>
      </c>
      <c r="D3501" s="1" t="s">
        <v>738</v>
      </c>
      <c r="E3501" s="1" t="s">
        <v>739</v>
      </c>
      <c r="F3501" s="1" t="s">
        <v>740</v>
      </c>
      <c r="G3501" s="1" t="s">
        <v>4589</v>
      </c>
      <c r="H3501">
        <v>2010</v>
      </c>
      <c r="I3501">
        <v>2010</v>
      </c>
      <c r="J3501">
        <f t="shared" si="108"/>
        <v>1</v>
      </c>
      <c r="K3501" s="1" t="s">
        <v>3665</v>
      </c>
      <c r="L3501" s="1" t="s">
        <v>649</v>
      </c>
      <c r="M3501">
        <f t="shared" si="109"/>
        <v>16</v>
      </c>
      <c r="N3501" t="s">
        <v>640</v>
      </c>
    </row>
    <row r="3502" spans="1:14" hidden="1" x14ac:dyDescent="0.3">
      <c r="A3502" s="1" t="s">
        <v>4616</v>
      </c>
      <c r="B3502" s="1" t="s">
        <v>2154</v>
      </c>
      <c r="C3502" s="1" t="s">
        <v>4617</v>
      </c>
      <c r="D3502" s="1" t="s">
        <v>738</v>
      </c>
      <c r="E3502" s="1" t="s">
        <v>739</v>
      </c>
      <c r="F3502" s="1" t="s">
        <v>740</v>
      </c>
      <c r="G3502" s="1" t="s">
        <v>4589</v>
      </c>
      <c r="H3502">
        <v>2010</v>
      </c>
      <c r="I3502">
        <v>2011</v>
      </c>
      <c r="J3502">
        <f t="shared" si="108"/>
        <v>2</v>
      </c>
      <c r="K3502" s="1" t="s">
        <v>3665</v>
      </c>
      <c r="L3502" s="1" t="s">
        <v>649</v>
      </c>
      <c r="M3502">
        <f t="shared" si="109"/>
        <v>15</v>
      </c>
      <c r="N3502" t="s">
        <v>640</v>
      </c>
    </row>
    <row r="3503" spans="1:14" hidden="1" x14ac:dyDescent="0.3">
      <c r="A3503" s="1" t="s">
        <v>4618</v>
      </c>
      <c r="B3503" s="1" t="s">
        <v>2154</v>
      </c>
      <c r="C3503" s="1" t="s">
        <v>4619</v>
      </c>
      <c r="D3503" s="1" t="s">
        <v>738</v>
      </c>
      <c r="E3503" s="1" t="s">
        <v>739</v>
      </c>
      <c r="F3503" s="1" t="s">
        <v>740</v>
      </c>
      <c r="G3503" s="1" t="s">
        <v>4589</v>
      </c>
      <c r="H3503">
        <v>2010</v>
      </c>
      <c r="I3503">
        <v>2010</v>
      </c>
      <c r="J3503">
        <f t="shared" si="108"/>
        <v>1</v>
      </c>
      <c r="K3503" s="1" t="s">
        <v>3665</v>
      </c>
      <c r="L3503" s="1" t="s">
        <v>649</v>
      </c>
      <c r="M3503">
        <f t="shared" si="109"/>
        <v>16</v>
      </c>
      <c r="N3503" t="s">
        <v>640</v>
      </c>
    </row>
    <row r="3504" spans="1:14" hidden="1" x14ac:dyDescent="0.3">
      <c r="A3504" s="1" t="s">
        <v>4620</v>
      </c>
      <c r="B3504" s="1" t="s">
        <v>2154</v>
      </c>
      <c r="C3504" s="1" t="s">
        <v>4621</v>
      </c>
      <c r="D3504" s="1" t="s">
        <v>738</v>
      </c>
      <c r="E3504" s="1" t="s">
        <v>739</v>
      </c>
      <c r="F3504" s="1" t="s">
        <v>740</v>
      </c>
      <c r="G3504" s="1" t="s">
        <v>4589</v>
      </c>
      <c r="H3504">
        <v>2010</v>
      </c>
      <c r="I3504">
        <v>2014</v>
      </c>
      <c r="J3504">
        <f t="shared" si="108"/>
        <v>5</v>
      </c>
      <c r="K3504" s="1" t="s">
        <v>3665</v>
      </c>
      <c r="L3504" s="1" t="s">
        <v>649</v>
      </c>
      <c r="M3504">
        <f t="shared" si="109"/>
        <v>12</v>
      </c>
      <c r="N3504" t="s">
        <v>650</v>
      </c>
    </row>
    <row r="3505" spans="1:14" hidden="1" x14ac:dyDescent="0.3">
      <c r="A3505" s="1" t="s">
        <v>2196</v>
      </c>
      <c r="B3505" s="1" t="s">
        <v>12756</v>
      </c>
      <c r="C3505" s="1" t="s">
        <v>2197</v>
      </c>
      <c r="D3505" s="1" t="s">
        <v>738</v>
      </c>
      <c r="E3505" s="1" t="s">
        <v>739</v>
      </c>
      <c r="F3505" s="1" t="s">
        <v>781</v>
      </c>
      <c r="G3505" s="1" t="s">
        <v>2198</v>
      </c>
      <c r="H3505">
        <v>2017</v>
      </c>
      <c r="I3505">
        <v>2020</v>
      </c>
      <c r="J3505">
        <f t="shared" si="108"/>
        <v>4</v>
      </c>
      <c r="K3505" s="1" t="s">
        <v>741</v>
      </c>
      <c r="L3505" s="1" t="s">
        <v>798</v>
      </c>
      <c r="M3505">
        <f t="shared" si="109"/>
        <v>6</v>
      </c>
      <c r="N3505" t="s">
        <v>650</v>
      </c>
    </row>
    <row r="3506" spans="1:14" hidden="1" x14ac:dyDescent="0.3">
      <c r="A3506" s="1" t="s">
        <v>2199</v>
      </c>
      <c r="B3506" s="1" t="s">
        <v>12756</v>
      </c>
      <c r="C3506" s="1" t="s">
        <v>2200</v>
      </c>
      <c r="D3506" s="1" t="s">
        <v>738</v>
      </c>
      <c r="E3506" s="1" t="s">
        <v>739</v>
      </c>
      <c r="F3506" s="1" t="s">
        <v>781</v>
      </c>
      <c r="G3506" s="1" t="s">
        <v>2198</v>
      </c>
      <c r="H3506">
        <v>2008</v>
      </c>
      <c r="I3506">
        <v>2017</v>
      </c>
      <c r="J3506">
        <f t="shared" si="108"/>
        <v>10</v>
      </c>
      <c r="K3506" s="1" t="s">
        <v>741</v>
      </c>
      <c r="L3506" s="1" t="s">
        <v>798</v>
      </c>
      <c r="M3506">
        <f t="shared" si="109"/>
        <v>9</v>
      </c>
      <c r="N3506" t="s">
        <v>650</v>
      </c>
    </row>
    <row r="3507" spans="1:14" hidden="1" x14ac:dyDescent="0.3">
      <c r="A3507" s="1" t="s">
        <v>2201</v>
      </c>
      <c r="B3507" s="1" t="s">
        <v>12756</v>
      </c>
      <c r="C3507" s="1" t="s">
        <v>2202</v>
      </c>
      <c r="D3507" s="1" t="s">
        <v>738</v>
      </c>
      <c r="E3507" s="1" t="s">
        <v>739</v>
      </c>
      <c r="F3507" s="1" t="s">
        <v>781</v>
      </c>
      <c r="G3507" s="1" t="s">
        <v>2198</v>
      </c>
      <c r="H3507">
        <v>2008</v>
      </c>
      <c r="I3507">
        <v>2009</v>
      </c>
      <c r="J3507">
        <f t="shared" si="108"/>
        <v>2</v>
      </c>
      <c r="K3507" s="1" t="s">
        <v>741</v>
      </c>
      <c r="L3507" s="1" t="s">
        <v>798</v>
      </c>
      <c r="M3507">
        <f t="shared" si="109"/>
        <v>17</v>
      </c>
      <c r="N3507" t="s">
        <v>650</v>
      </c>
    </row>
    <row r="3508" spans="1:14" hidden="1" x14ac:dyDescent="0.3">
      <c r="A3508" s="1" t="s">
        <v>2203</v>
      </c>
      <c r="B3508" s="1" t="s">
        <v>12756</v>
      </c>
      <c r="C3508" s="1" t="s">
        <v>2204</v>
      </c>
      <c r="D3508" s="1" t="s">
        <v>738</v>
      </c>
      <c r="E3508" s="1" t="s">
        <v>739</v>
      </c>
      <c r="F3508" s="1" t="s">
        <v>781</v>
      </c>
      <c r="G3508" s="1" t="s">
        <v>2198</v>
      </c>
      <c r="H3508">
        <v>2016</v>
      </c>
      <c r="I3508">
        <v>2016</v>
      </c>
      <c r="J3508">
        <f t="shared" si="108"/>
        <v>1</v>
      </c>
      <c r="K3508" s="1" t="s">
        <v>741</v>
      </c>
      <c r="L3508" s="1" t="s">
        <v>798</v>
      </c>
      <c r="M3508">
        <f t="shared" si="109"/>
        <v>10</v>
      </c>
      <c r="N3508" t="s">
        <v>650</v>
      </c>
    </row>
    <row r="3509" spans="1:14" hidden="1" x14ac:dyDescent="0.3">
      <c r="A3509" s="1" t="s">
        <v>2205</v>
      </c>
      <c r="B3509" s="1" t="s">
        <v>12756</v>
      </c>
      <c r="C3509" s="1" t="s">
        <v>2206</v>
      </c>
      <c r="D3509" s="1" t="s">
        <v>738</v>
      </c>
      <c r="E3509" s="1" t="s">
        <v>739</v>
      </c>
      <c r="F3509" s="1" t="s">
        <v>781</v>
      </c>
      <c r="G3509" s="1" t="s">
        <v>2198</v>
      </c>
      <c r="H3509">
        <v>2012</v>
      </c>
      <c r="I3509">
        <v>2012</v>
      </c>
      <c r="J3509">
        <f t="shared" si="108"/>
        <v>1</v>
      </c>
      <c r="K3509" s="1" t="s">
        <v>741</v>
      </c>
      <c r="L3509" s="1" t="s">
        <v>798</v>
      </c>
      <c r="M3509">
        <f t="shared" si="109"/>
        <v>14</v>
      </c>
      <c r="N3509" t="s">
        <v>650</v>
      </c>
    </row>
    <row r="3510" spans="1:14" hidden="1" x14ac:dyDescent="0.3">
      <c r="A3510" s="1" t="s">
        <v>2207</v>
      </c>
      <c r="B3510" s="1" t="s">
        <v>12756</v>
      </c>
      <c r="C3510" s="1" t="s">
        <v>2208</v>
      </c>
      <c r="D3510" s="1" t="s">
        <v>738</v>
      </c>
      <c r="E3510" s="1" t="s">
        <v>739</v>
      </c>
      <c r="F3510" s="1" t="s">
        <v>781</v>
      </c>
      <c r="G3510" s="1" t="s">
        <v>2198</v>
      </c>
      <c r="H3510">
        <v>2014</v>
      </c>
      <c r="I3510">
        <v>2017</v>
      </c>
      <c r="J3510">
        <f t="shared" si="108"/>
        <v>4</v>
      </c>
      <c r="K3510" s="1" t="s">
        <v>741</v>
      </c>
      <c r="L3510" s="1" t="s">
        <v>798</v>
      </c>
      <c r="M3510">
        <f t="shared" si="109"/>
        <v>9</v>
      </c>
      <c r="N3510" t="s">
        <v>650</v>
      </c>
    </row>
    <row r="3511" spans="1:14" hidden="1" x14ac:dyDescent="0.3">
      <c r="A3511" s="1" t="s">
        <v>2209</v>
      </c>
      <c r="B3511" s="1" t="s">
        <v>12756</v>
      </c>
      <c r="C3511" s="1" t="s">
        <v>2210</v>
      </c>
      <c r="D3511" s="1" t="s">
        <v>738</v>
      </c>
      <c r="E3511" s="1" t="s">
        <v>739</v>
      </c>
      <c r="F3511" s="1" t="s">
        <v>781</v>
      </c>
      <c r="G3511" s="1" t="s">
        <v>2198</v>
      </c>
      <c r="H3511">
        <v>2017</v>
      </c>
      <c r="I3511">
        <v>2018</v>
      </c>
      <c r="J3511">
        <f t="shared" si="108"/>
        <v>2</v>
      </c>
      <c r="K3511" s="1" t="s">
        <v>741</v>
      </c>
      <c r="L3511" s="1" t="s">
        <v>798</v>
      </c>
      <c r="M3511">
        <f t="shared" si="109"/>
        <v>8</v>
      </c>
      <c r="N3511" t="s">
        <v>650</v>
      </c>
    </row>
    <row r="3512" spans="1:14" hidden="1" x14ac:dyDescent="0.3">
      <c r="A3512" s="1" t="s">
        <v>2211</v>
      </c>
      <c r="B3512" s="1" t="s">
        <v>12756</v>
      </c>
      <c r="C3512" s="1" t="s">
        <v>2212</v>
      </c>
      <c r="D3512" s="1" t="s">
        <v>738</v>
      </c>
      <c r="E3512" s="1" t="s">
        <v>739</v>
      </c>
      <c r="F3512" s="1" t="s">
        <v>781</v>
      </c>
      <c r="G3512" s="1" t="s">
        <v>2198</v>
      </c>
      <c r="H3512">
        <v>2017</v>
      </c>
      <c r="I3512">
        <v>2019</v>
      </c>
      <c r="J3512">
        <f t="shared" si="108"/>
        <v>3</v>
      </c>
      <c r="K3512" s="1" t="s">
        <v>741</v>
      </c>
      <c r="L3512" s="1" t="s">
        <v>798</v>
      </c>
      <c r="M3512">
        <f t="shared" si="109"/>
        <v>7</v>
      </c>
      <c r="N3512" t="s">
        <v>650</v>
      </c>
    </row>
    <row r="3513" spans="1:14" hidden="1" x14ac:dyDescent="0.3">
      <c r="A3513" s="1" t="s">
        <v>2213</v>
      </c>
      <c r="B3513" s="1" t="s">
        <v>12756</v>
      </c>
      <c r="C3513" s="1" t="s">
        <v>2214</v>
      </c>
      <c r="D3513" s="1" t="s">
        <v>738</v>
      </c>
      <c r="E3513" s="1" t="s">
        <v>739</v>
      </c>
      <c r="F3513" s="1" t="s">
        <v>781</v>
      </c>
      <c r="G3513" s="1" t="s">
        <v>2198</v>
      </c>
      <c r="H3513">
        <v>2014</v>
      </c>
      <c r="I3513">
        <v>2017</v>
      </c>
      <c r="J3513">
        <f t="shared" si="108"/>
        <v>4</v>
      </c>
      <c r="K3513" s="1" t="s">
        <v>741</v>
      </c>
      <c r="L3513" s="1" t="s">
        <v>798</v>
      </c>
      <c r="M3513">
        <f t="shared" si="109"/>
        <v>9</v>
      </c>
      <c r="N3513" t="s">
        <v>650</v>
      </c>
    </row>
    <row r="3514" spans="1:14" hidden="1" x14ac:dyDescent="0.3">
      <c r="A3514" s="1" t="s">
        <v>2215</v>
      </c>
      <c r="B3514" s="1" t="s">
        <v>12756</v>
      </c>
      <c r="C3514" s="1" t="s">
        <v>2216</v>
      </c>
      <c r="D3514" s="1" t="s">
        <v>738</v>
      </c>
      <c r="E3514" s="1" t="s">
        <v>739</v>
      </c>
      <c r="F3514" s="1" t="s">
        <v>781</v>
      </c>
      <c r="G3514" s="1" t="s">
        <v>2198</v>
      </c>
      <c r="H3514">
        <v>2015</v>
      </c>
      <c r="I3514">
        <v>2015</v>
      </c>
      <c r="J3514">
        <f t="shared" si="108"/>
        <v>1</v>
      </c>
      <c r="K3514" s="1" t="s">
        <v>741</v>
      </c>
      <c r="L3514" s="1" t="s">
        <v>798</v>
      </c>
      <c r="M3514">
        <f t="shared" si="109"/>
        <v>11</v>
      </c>
      <c r="N3514" t="s">
        <v>650</v>
      </c>
    </row>
    <row r="3515" spans="1:14" hidden="1" x14ac:dyDescent="0.3">
      <c r="A3515" s="1" t="s">
        <v>2217</v>
      </c>
      <c r="B3515" s="1" t="s">
        <v>12756</v>
      </c>
      <c r="C3515" s="1" t="s">
        <v>2218</v>
      </c>
      <c r="D3515" s="1" t="s">
        <v>738</v>
      </c>
      <c r="E3515" s="1" t="s">
        <v>739</v>
      </c>
      <c r="F3515" s="1" t="s">
        <v>781</v>
      </c>
      <c r="G3515" s="1" t="s">
        <v>2198</v>
      </c>
      <c r="H3515">
        <v>2015</v>
      </c>
      <c r="I3515">
        <v>2015</v>
      </c>
      <c r="J3515">
        <f t="shared" si="108"/>
        <v>1</v>
      </c>
      <c r="K3515" s="1" t="s">
        <v>741</v>
      </c>
      <c r="L3515" s="1" t="s">
        <v>798</v>
      </c>
      <c r="M3515">
        <f t="shared" si="109"/>
        <v>11</v>
      </c>
      <c r="N3515" t="s">
        <v>650</v>
      </c>
    </row>
    <row r="3516" spans="1:14" hidden="1" x14ac:dyDescent="0.3">
      <c r="A3516" s="1" t="s">
        <v>2219</v>
      </c>
      <c r="B3516" s="1" t="s">
        <v>12756</v>
      </c>
      <c r="C3516" s="1" t="s">
        <v>2220</v>
      </c>
      <c r="D3516" s="1" t="s">
        <v>738</v>
      </c>
      <c r="E3516" s="1" t="s">
        <v>739</v>
      </c>
      <c r="F3516" s="1" t="s">
        <v>781</v>
      </c>
      <c r="G3516" s="1" t="s">
        <v>2198</v>
      </c>
      <c r="H3516">
        <v>2018</v>
      </c>
      <c r="I3516">
        <v>2020</v>
      </c>
      <c r="J3516">
        <f t="shared" si="108"/>
        <v>3</v>
      </c>
      <c r="K3516" s="1" t="s">
        <v>741</v>
      </c>
      <c r="L3516" s="1" t="s">
        <v>798</v>
      </c>
      <c r="M3516">
        <f t="shared" si="109"/>
        <v>6</v>
      </c>
      <c r="N3516" t="s">
        <v>650</v>
      </c>
    </row>
    <row r="3517" spans="1:14" hidden="1" x14ac:dyDescent="0.3">
      <c r="A3517" s="1" t="s">
        <v>2221</v>
      </c>
      <c r="B3517" s="1" t="s">
        <v>12756</v>
      </c>
      <c r="C3517" s="1" t="s">
        <v>2222</v>
      </c>
      <c r="D3517" s="1" t="s">
        <v>738</v>
      </c>
      <c r="E3517" s="1" t="s">
        <v>739</v>
      </c>
      <c r="F3517" s="1" t="s">
        <v>781</v>
      </c>
      <c r="G3517" s="1" t="s">
        <v>2198</v>
      </c>
      <c r="H3517">
        <v>2018</v>
      </c>
      <c r="I3517">
        <v>2020</v>
      </c>
      <c r="J3517">
        <f t="shared" si="108"/>
        <v>3</v>
      </c>
      <c r="K3517" s="1" t="s">
        <v>741</v>
      </c>
      <c r="L3517" s="1" t="s">
        <v>798</v>
      </c>
      <c r="M3517">
        <f t="shared" si="109"/>
        <v>6</v>
      </c>
      <c r="N3517" t="s">
        <v>650</v>
      </c>
    </row>
    <row r="3518" spans="1:14" hidden="1" x14ac:dyDescent="0.3">
      <c r="A3518" s="1" t="s">
        <v>2223</v>
      </c>
      <c r="B3518" s="1" t="s">
        <v>12756</v>
      </c>
      <c r="C3518" s="1" t="s">
        <v>2224</v>
      </c>
      <c r="D3518" s="1" t="s">
        <v>738</v>
      </c>
      <c r="E3518" s="1" t="s">
        <v>739</v>
      </c>
      <c r="F3518" s="1" t="s">
        <v>781</v>
      </c>
      <c r="G3518" s="1" t="s">
        <v>2198</v>
      </c>
      <c r="H3518">
        <v>2015</v>
      </c>
      <c r="I3518">
        <v>2017</v>
      </c>
      <c r="J3518">
        <f t="shared" si="108"/>
        <v>3</v>
      </c>
      <c r="K3518" s="1" t="s">
        <v>741</v>
      </c>
      <c r="L3518" s="1" t="s">
        <v>798</v>
      </c>
      <c r="M3518">
        <f t="shared" si="109"/>
        <v>9</v>
      </c>
      <c r="N3518" t="s">
        <v>650</v>
      </c>
    </row>
    <row r="3519" spans="1:14" hidden="1" x14ac:dyDescent="0.3">
      <c r="A3519" s="1" t="s">
        <v>2225</v>
      </c>
      <c r="B3519" s="1" t="s">
        <v>12756</v>
      </c>
      <c r="C3519" s="1" t="s">
        <v>2226</v>
      </c>
      <c r="D3519" s="1" t="s">
        <v>738</v>
      </c>
      <c r="E3519" s="1" t="s">
        <v>739</v>
      </c>
      <c r="F3519" s="1" t="s">
        <v>781</v>
      </c>
      <c r="G3519" s="1" t="s">
        <v>2198</v>
      </c>
      <c r="H3519">
        <v>2017</v>
      </c>
      <c r="I3519">
        <v>2017</v>
      </c>
      <c r="J3519">
        <f t="shared" si="108"/>
        <v>1</v>
      </c>
      <c r="K3519" s="1" t="s">
        <v>741</v>
      </c>
      <c r="L3519" s="1" t="s">
        <v>798</v>
      </c>
      <c r="M3519">
        <f t="shared" si="109"/>
        <v>9</v>
      </c>
      <c r="N3519" t="s">
        <v>650</v>
      </c>
    </row>
    <row r="3520" spans="1:14" hidden="1" x14ac:dyDescent="0.3">
      <c r="A3520" s="1" t="s">
        <v>2227</v>
      </c>
      <c r="B3520" s="1" t="s">
        <v>12756</v>
      </c>
      <c r="C3520" s="1" t="s">
        <v>2228</v>
      </c>
      <c r="D3520" s="1" t="s">
        <v>738</v>
      </c>
      <c r="E3520" s="1" t="s">
        <v>739</v>
      </c>
      <c r="F3520" s="1" t="s">
        <v>781</v>
      </c>
      <c r="G3520" s="1" t="s">
        <v>2198</v>
      </c>
      <c r="H3520">
        <v>2008</v>
      </c>
      <c r="I3520">
        <v>2017</v>
      </c>
      <c r="J3520">
        <f t="shared" si="108"/>
        <v>10</v>
      </c>
      <c r="K3520" s="1" t="s">
        <v>741</v>
      </c>
      <c r="L3520" s="1" t="s">
        <v>798</v>
      </c>
      <c r="M3520">
        <f t="shared" si="109"/>
        <v>9</v>
      </c>
      <c r="N3520" t="s">
        <v>650</v>
      </c>
    </row>
    <row r="3521" spans="1:14" hidden="1" x14ac:dyDescent="0.3">
      <c r="A3521" s="1" t="s">
        <v>2229</v>
      </c>
      <c r="B3521" s="1" t="s">
        <v>12756</v>
      </c>
      <c r="C3521" s="1" t="s">
        <v>2230</v>
      </c>
      <c r="D3521" s="1" t="s">
        <v>738</v>
      </c>
      <c r="E3521" s="1" t="s">
        <v>739</v>
      </c>
      <c r="F3521" s="1" t="s">
        <v>781</v>
      </c>
      <c r="G3521" s="1" t="s">
        <v>2198</v>
      </c>
      <c r="H3521">
        <v>2017</v>
      </c>
      <c r="I3521">
        <v>2019</v>
      </c>
      <c r="J3521">
        <f t="shared" si="108"/>
        <v>3</v>
      </c>
      <c r="K3521" s="1" t="s">
        <v>741</v>
      </c>
      <c r="L3521" s="1" t="s">
        <v>798</v>
      </c>
      <c r="M3521">
        <f t="shared" si="109"/>
        <v>7</v>
      </c>
      <c r="N3521" t="s">
        <v>650</v>
      </c>
    </row>
    <row r="3522" spans="1:14" hidden="1" x14ac:dyDescent="0.3">
      <c r="A3522" s="1" t="s">
        <v>2231</v>
      </c>
      <c r="B3522" s="1" t="s">
        <v>12756</v>
      </c>
      <c r="C3522" s="1" t="s">
        <v>2232</v>
      </c>
      <c r="D3522" s="1" t="s">
        <v>738</v>
      </c>
      <c r="E3522" s="1" t="s">
        <v>739</v>
      </c>
      <c r="F3522" s="1" t="s">
        <v>781</v>
      </c>
      <c r="G3522" s="1" t="s">
        <v>2198</v>
      </c>
      <c r="H3522">
        <v>2017</v>
      </c>
      <c r="I3522">
        <v>2020</v>
      </c>
      <c r="J3522">
        <f t="shared" si="108"/>
        <v>4</v>
      </c>
      <c r="K3522" s="1" t="s">
        <v>741</v>
      </c>
      <c r="L3522" s="1" t="s">
        <v>798</v>
      </c>
      <c r="M3522">
        <f t="shared" si="109"/>
        <v>6</v>
      </c>
      <c r="N3522" t="s">
        <v>650</v>
      </c>
    </row>
    <row r="3523" spans="1:14" hidden="1" x14ac:dyDescent="0.3">
      <c r="A3523" s="1" t="s">
        <v>2233</v>
      </c>
      <c r="B3523" s="1" t="s">
        <v>12756</v>
      </c>
      <c r="C3523" s="1" t="s">
        <v>2234</v>
      </c>
      <c r="D3523" s="1" t="s">
        <v>738</v>
      </c>
      <c r="E3523" s="1" t="s">
        <v>739</v>
      </c>
      <c r="F3523" s="1" t="s">
        <v>781</v>
      </c>
      <c r="G3523" s="1" t="s">
        <v>2198</v>
      </c>
      <c r="H3523">
        <v>2017</v>
      </c>
      <c r="I3523">
        <v>2020</v>
      </c>
      <c r="J3523">
        <f t="shared" si="108"/>
        <v>4</v>
      </c>
      <c r="K3523" s="1" t="s">
        <v>741</v>
      </c>
      <c r="L3523" s="1" t="s">
        <v>798</v>
      </c>
      <c r="M3523">
        <f t="shared" si="109"/>
        <v>6</v>
      </c>
      <c r="N3523" t="s">
        <v>650</v>
      </c>
    </row>
    <row r="3524" spans="1:14" hidden="1" x14ac:dyDescent="0.3">
      <c r="A3524" s="1" t="s">
        <v>2235</v>
      </c>
      <c r="B3524" s="1" t="s">
        <v>12756</v>
      </c>
      <c r="C3524" s="1" t="s">
        <v>2236</v>
      </c>
      <c r="D3524" s="1" t="s">
        <v>738</v>
      </c>
      <c r="E3524" s="1" t="s">
        <v>739</v>
      </c>
      <c r="F3524" s="1" t="s">
        <v>781</v>
      </c>
      <c r="G3524" s="1" t="s">
        <v>2198</v>
      </c>
      <c r="H3524">
        <v>2012</v>
      </c>
      <c r="I3524">
        <v>2013</v>
      </c>
      <c r="J3524">
        <f t="shared" si="108"/>
        <v>2</v>
      </c>
      <c r="K3524" s="1" t="s">
        <v>741</v>
      </c>
      <c r="L3524" s="1" t="s">
        <v>798</v>
      </c>
      <c r="M3524">
        <f t="shared" si="109"/>
        <v>13</v>
      </c>
      <c r="N3524" t="s">
        <v>650</v>
      </c>
    </row>
    <row r="3525" spans="1:14" hidden="1" x14ac:dyDescent="0.3">
      <c r="A3525" s="1" t="s">
        <v>2237</v>
      </c>
      <c r="B3525" s="1" t="s">
        <v>12756</v>
      </c>
      <c r="C3525" s="1" t="s">
        <v>2238</v>
      </c>
      <c r="D3525" s="1" t="s">
        <v>738</v>
      </c>
      <c r="E3525" s="1" t="s">
        <v>739</v>
      </c>
      <c r="F3525" s="1" t="s">
        <v>781</v>
      </c>
      <c r="G3525" s="1" t="s">
        <v>2198</v>
      </c>
      <c r="H3525">
        <v>2008</v>
      </c>
      <c r="I3525">
        <v>2017</v>
      </c>
      <c r="J3525">
        <f t="shared" si="108"/>
        <v>10</v>
      </c>
      <c r="K3525" s="1" t="s">
        <v>741</v>
      </c>
      <c r="L3525" s="1" t="s">
        <v>798</v>
      </c>
      <c r="M3525">
        <f t="shared" si="109"/>
        <v>9</v>
      </c>
      <c r="N3525" t="s">
        <v>650</v>
      </c>
    </row>
    <row r="3526" spans="1:14" hidden="1" x14ac:dyDescent="0.3">
      <c r="A3526" s="1" t="s">
        <v>2239</v>
      </c>
      <c r="B3526" s="1" t="s">
        <v>12756</v>
      </c>
      <c r="C3526" s="1" t="s">
        <v>2240</v>
      </c>
      <c r="D3526" s="1" t="s">
        <v>738</v>
      </c>
      <c r="E3526" s="1" t="s">
        <v>739</v>
      </c>
      <c r="F3526" s="1" t="s">
        <v>781</v>
      </c>
      <c r="G3526" s="1" t="s">
        <v>2198</v>
      </c>
      <c r="H3526">
        <v>2020</v>
      </c>
      <c r="I3526">
        <v>2022</v>
      </c>
      <c r="J3526">
        <f t="shared" ref="J3526:J3589" si="110">1+(I3526-H3526)</f>
        <v>3</v>
      </c>
      <c r="K3526" s="1" t="s">
        <v>741</v>
      </c>
      <c r="L3526" s="1" t="s">
        <v>798</v>
      </c>
      <c r="M3526">
        <f t="shared" ref="M3526:M3589" si="111">IF(I3526=0,0,$B$2-I3526)</f>
        <v>4</v>
      </c>
      <c r="N3526" t="s">
        <v>650</v>
      </c>
    </row>
    <row r="3527" spans="1:14" hidden="1" x14ac:dyDescent="0.3">
      <c r="A3527" s="1" t="s">
        <v>2241</v>
      </c>
      <c r="B3527" s="1" t="s">
        <v>12756</v>
      </c>
      <c r="C3527" s="1" t="s">
        <v>2242</v>
      </c>
      <c r="D3527" s="1" t="s">
        <v>738</v>
      </c>
      <c r="E3527" s="1" t="s">
        <v>739</v>
      </c>
      <c r="F3527" s="1" t="s">
        <v>781</v>
      </c>
      <c r="G3527" s="1" t="s">
        <v>2198</v>
      </c>
      <c r="H3527">
        <v>2020</v>
      </c>
      <c r="I3527">
        <v>2022</v>
      </c>
      <c r="J3527">
        <f t="shared" si="110"/>
        <v>3</v>
      </c>
      <c r="K3527" s="1" t="s">
        <v>741</v>
      </c>
      <c r="L3527" s="1" t="s">
        <v>798</v>
      </c>
      <c r="M3527">
        <f t="shared" si="111"/>
        <v>4</v>
      </c>
      <c r="N3527" t="s">
        <v>650</v>
      </c>
    </row>
    <row r="3528" spans="1:14" hidden="1" x14ac:dyDescent="0.3">
      <c r="A3528" s="1" t="s">
        <v>2243</v>
      </c>
      <c r="B3528" s="1" t="s">
        <v>12756</v>
      </c>
      <c r="C3528" s="1" t="s">
        <v>2244</v>
      </c>
      <c r="D3528" s="1" t="s">
        <v>738</v>
      </c>
      <c r="E3528" s="1" t="s">
        <v>739</v>
      </c>
      <c r="F3528" s="1" t="s">
        <v>781</v>
      </c>
      <c r="G3528" s="1" t="s">
        <v>2198</v>
      </c>
      <c r="H3528">
        <v>2020</v>
      </c>
      <c r="I3528">
        <v>2022</v>
      </c>
      <c r="J3528">
        <f t="shared" si="110"/>
        <v>3</v>
      </c>
      <c r="K3528" s="1" t="s">
        <v>741</v>
      </c>
      <c r="L3528" s="1" t="s">
        <v>798</v>
      </c>
      <c r="M3528">
        <f t="shared" si="111"/>
        <v>4</v>
      </c>
      <c r="N3528" t="s">
        <v>650</v>
      </c>
    </row>
    <row r="3529" spans="1:14" hidden="1" x14ac:dyDescent="0.3">
      <c r="A3529" s="1" t="s">
        <v>2245</v>
      </c>
      <c r="B3529" s="1" t="s">
        <v>12756</v>
      </c>
      <c r="C3529" s="1" t="s">
        <v>2246</v>
      </c>
      <c r="D3529" s="1" t="s">
        <v>738</v>
      </c>
      <c r="E3529" s="1" t="s">
        <v>739</v>
      </c>
      <c r="F3529" s="1" t="s">
        <v>781</v>
      </c>
      <c r="G3529" s="1" t="s">
        <v>2198</v>
      </c>
      <c r="H3529">
        <v>2008</v>
      </c>
      <c r="I3529">
        <v>2010</v>
      </c>
      <c r="J3529">
        <f t="shared" si="110"/>
        <v>3</v>
      </c>
      <c r="K3529" s="1" t="s">
        <v>741</v>
      </c>
      <c r="L3529" s="1" t="s">
        <v>798</v>
      </c>
      <c r="M3529">
        <f t="shared" si="111"/>
        <v>16</v>
      </c>
      <c r="N3529" t="s">
        <v>650</v>
      </c>
    </row>
    <row r="3530" spans="1:14" hidden="1" x14ac:dyDescent="0.3">
      <c r="A3530" s="1" t="s">
        <v>2247</v>
      </c>
      <c r="B3530" s="1" t="s">
        <v>12756</v>
      </c>
      <c r="C3530" s="1" t="s">
        <v>2248</v>
      </c>
      <c r="D3530" s="1" t="s">
        <v>738</v>
      </c>
      <c r="E3530" s="1" t="s">
        <v>739</v>
      </c>
      <c r="F3530" s="1" t="s">
        <v>781</v>
      </c>
      <c r="G3530" s="1" t="s">
        <v>2198</v>
      </c>
      <c r="H3530">
        <v>2008</v>
      </c>
      <c r="I3530">
        <v>2010</v>
      </c>
      <c r="J3530">
        <f t="shared" si="110"/>
        <v>3</v>
      </c>
      <c r="K3530" s="1" t="s">
        <v>741</v>
      </c>
      <c r="L3530" s="1" t="s">
        <v>798</v>
      </c>
      <c r="M3530">
        <f t="shared" si="111"/>
        <v>16</v>
      </c>
      <c r="N3530" t="s">
        <v>650</v>
      </c>
    </row>
    <row r="3531" spans="1:14" hidden="1" x14ac:dyDescent="0.3">
      <c r="A3531" s="1" t="s">
        <v>2249</v>
      </c>
      <c r="B3531" s="1" t="s">
        <v>12756</v>
      </c>
      <c r="C3531" s="1" t="s">
        <v>2250</v>
      </c>
      <c r="D3531" s="1" t="s">
        <v>738</v>
      </c>
      <c r="E3531" s="1" t="s">
        <v>739</v>
      </c>
      <c r="F3531" s="1" t="s">
        <v>781</v>
      </c>
      <c r="G3531" s="1" t="s">
        <v>2198</v>
      </c>
      <c r="H3531">
        <v>2020</v>
      </c>
      <c r="I3531">
        <v>2022</v>
      </c>
      <c r="J3531">
        <f t="shared" si="110"/>
        <v>3</v>
      </c>
      <c r="K3531" s="1" t="s">
        <v>741</v>
      </c>
      <c r="L3531" s="1" t="s">
        <v>798</v>
      </c>
      <c r="M3531">
        <f t="shared" si="111"/>
        <v>4</v>
      </c>
      <c r="N3531" t="s">
        <v>650</v>
      </c>
    </row>
    <row r="3532" spans="1:14" hidden="1" x14ac:dyDescent="0.3">
      <c r="A3532" s="1" t="s">
        <v>2251</v>
      </c>
      <c r="B3532" s="1" t="s">
        <v>12756</v>
      </c>
      <c r="C3532" s="1" t="s">
        <v>2252</v>
      </c>
      <c r="D3532" s="1" t="s">
        <v>738</v>
      </c>
      <c r="E3532" s="1" t="s">
        <v>739</v>
      </c>
      <c r="F3532" s="1" t="s">
        <v>781</v>
      </c>
      <c r="G3532" s="1" t="s">
        <v>2198</v>
      </c>
      <c r="H3532">
        <v>2020</v>
      </c>
      <c r="I3532">
        <v>2022</v>
      </c>
      <c r="J3532">
        <f t="shared" si="110"/>
        <v>3</v>
      </c>
      <c r="K3532" s="1" t="s">
        <v>741</v>
      </c>
      <c r="L3532" s="1" t="s">
        <v>798</v>
      </c>
      <c r="M3532">
        <f t="shared" si="111"/>
        <v>4</v>
      </c>
      <c r="N3532" t="s">
        <v>650</v>
      </c>
    </row>
    <row r="3533" spans="1:14" hidden="1" x14ac:dyDescent="0.3">
      <c r="A3533" s="1" t="s">
        <v>2253</v>
      </c>
      <c r="B3533" s="1" t="s">
        <v>12756</v>
      </c>
      <c r="C3533" s="1" t="s">
        <v>2254</v>
      </c>
      <c r="D3533" s="1" t="s">
        <v>738</v>
      </c>
      <c r="E3533" s="1" t="s">
        <v>739</v>
      </c>
      <c r="F3533" s="1" t="s">
        <v>781</v>
      </c>
      <c r="G3533" s="1" t="s">
        <v>2198</v>
      </c>
      <c r="H3533">
        <v>2020</v>
      </c>
      <c r="I3533">
        <v>2022</v>
      </c>
      <c r="J3533">
        <f t="shared" si="110"/>
        <v>3</v>
      </c>
      <c r="K3533" s="1" t="s">
        <v>741</v>
      </c>
      <c r="L3533" s="1" t="s">
        <v>798</v>
      </c>
      <c r="M3533">
        <f t="shared" si="111"/>
        <v>4</v>
      </c>
      <c r="N3533" t="s">
        <v>650</v>
      </c>
    </row>
    <row r="3534" spans="1:14" x14ac:dyDescent="0.3">
      <c r="A3534" s="1" t="s">
        <v>8735</v>
      </c>
      <c r="B3534" s="1" t="s">
        <v>810</v>
      </c>
      <c r="C3534" s="1" t="s">
        <v>8736</v>
      </c>
      <c r="D3534" s="1" t="s">
        <v>738</v>
      </c>
      <c r="E3534" s="1" t="s">
        <v>6076</v>
      </c>
      <c r="F3534" s="1" t="s">
        <v>6076</v>
      </c>
      <c r="G3534" s="1" t="s">
        <v>8737</v>
      </c>
      <c r="H3534">
        <v>1993</v>
      </c>
      <c r="I3534">
        <v>1997</v>
      </c>
      <c r="J3534">
        <f t="shared" si="110"/>
        <v>5</v>
      </c>
      <c r="K3534" s="1" t="s">
        <v>6076</v>
      </c>
      <c r="L3534" s="1" t="s">
        <v>6076</v>
      </c>
      <c r="M3534">
        <f t="shared" si="111"/>
        <v>29</v>
      </c>
      <c r="N3534" t="s">
        <v>640</v>
      </c>
    </row>
    <row r="3535" spans="1:14" x14ac:dyDescent="0.3">
      <c r="A3535" s="1" t="s">
        <v>8738</v>
      </c>
      <c r="B3535" s="1" t="s">
        <v>810</v>
      </c>
      <c r="C3535" s="1" t="s">
        <v>8739</v>
      </c>
      <c r="D3535" s="1" t="s">
        <v>738</v>
      </c>
      <c r="E3535" s="1" t="s">
        <v>6076</v>
      </c>
      <c r="F3535" s="1" t="s">
        <v>6076</v>
      </c>
      <c r="G3535" s="1" t="s">
        <v>8737</v>
      </c>
      <c r="H3535">
        <v>1993</v>
      </c>
      <c r="I3535">
        <v>1997</v>
      </c>
      <c r="J3535">
        <f t="shared" si="110"/>
        <v>5</v>
      </c>
      <c r="K3535" s="1" t="s">
        <v>6076</v>
      </c>
      <c r="L3535" s="1" t="s">
        <v>6076</v>
      </c>
      <c r="M3535">
        <f t="shared" si="111"/>
        <v>29</v>
      </c>
      <c r="N3535" t="s">
        <v>640</v>
      </c>
    </row>
    <row r="3536" spans="1:14" x14ac:dyDescent="0.3">
      <c r="A3536" s="1" t="s">
        <v>8740</v>
      </c>
      <c r="B3536" s="1" t="s">
        <v>810</v>
      </c>
      <c r="C3536" s="1" t="s">
        <v>8741</v>
      </c>
      <c r="D3536" s="1" t="s">
        <v>738</v>
      </c>
      <c r="E3536" s="1" t="s">
        <v>6076</v>
      </c>
      <c r="F3536" s="1" t="s">
        <v>6076</v>
      </c>
      <c r="G3536" s="1" t="s">
        <v>8737</v>
      </c>
      <c r="H3536">
        <v>1993</v>
      </c>
      <c r="I3536">
        <v>1997</v>
      </c>
      <c r="J3536">
        <f t="shared" si="110"/>
        <v>5</v>
      </c>
      <c r="K3536" s="1" t="s">
        <v>6076</v>
      </c>
      <c r="L3536" s="1" t="s">
        <v>6076</v>
      </c>
      <c r="M3536">
        <f t="shared" si="111"/>
        <v>29</v>
      </c>
      <c r="N3536" t="s">
        <v>640</v>
      </c>
    </row>
    <row r="3537" spans="1:14" x14ac:dyDescent="0.3">
      <c r="A3537" s="1" t="s">
        <v>8742</v>
      </c>
      <c r="B3537" s="1" t="s">
        <v>810</v>
      </c>
      <c r="C3537" s="1" t="s">
        <v>8743</v>
      </c>
      <c r="D3537" s="1" t="s">
        <v>738</v>
      </c>
      <c r="E3537" s="1" t="s">
        <v>6076</v>
      </c>
      <c r="F3537" s="1" t="s">
        <v>6076</v>
      </c>
      <c r="G3537" s="1" t="s">
        <v>8737</v>
      </c>
      <c r="H3537">
        <v>1993</v>
      </c>
      <c r="I3537">
        <v>1994</v>
      </c>
      <c r="J3537">
        <f t="shared" si="110"/>
        <v>2</v>
      </c>
      <c r="K3537" s="1" t="s">
        <v>6076</v>
      </c>
      <c r="L3537" s="1" t="s">
        <v>6076</v>
      </c>
      <c r="M3537">
        <f t="shared" si="111"/>
        <v>32</v>
      </c>
      <c r="N3537" t="s">
        <v>640</v>
      </c>
    </row>
    <row r="3538" spans="1:14" x14ac:dyDescent="0.3">
      <c r="A3538" s="1" t="s">
        <v>8744</v>
      </c>
      <c r="B3538" s="1" t="s">
        <v>810</v>
      </c>
      <c r="C3538" s="1" t="s">
        <v>8745</v>
      </c>
      <c r="D3538" s="1" t="s">
        <v>738</v>
      </c>
      <c r="E3538" s="1" t="s">
        <v>6076</v>
      </c>
      <c r="F3538" s="1" t="s">
        <v>6076</v>
      </c>
      <c r="G3538" s="1" t="s">
        <v>8737</v>
      </c>
      <c r="H3538">
        <v>1994</v>
      </c>
      <c r="I3538">
        <v>1995</v>
      </c>
      <c r="J3538">
        <f t="shared" si="110"/>
        <v>2</v>
      </c>
      <c r="K3538" s="1" t="s">
        <v>6076</v>
      </c>
      <c r="L3538" s="1" t="s">
        <v>6076</v>
      </c>
      <c r="M3538">
        <f t="shared" si="111"/>
        <v>31</v>
      </c>
      <c r="N3538" t="s">
        <v>640</v>
      </c>
    </row>
    <row r="3539" spans="1:14" x14ac:dyDescent="0.3">
      <c r="A3539" s="1" t="s">
        <v>8746</v>
      </c>
      <c r="B3539" s="1" t="s">
        <v>810</v>
      </c>
      <c r="C3539" s="1" t="s">
        <v>8747</v>
      </c>
      <c r="D3539" s="1" t="s">
        <v>738</v>
      </c>
      <c r="E3539" s="1" t="s">
        <v>6076</v>
      </c>
      <c r="F3539" s="1" t="s">
        <v>6076</v>
      </c>
      <c r="G3539" s="1" t="s">
        <v>8737</v>
      </c>
      <c r="H3539">
        <v>1995</v>
      </c>
      <c r="I3539">
        <v>1997</v>
      </c>
      <c r="J3539">
        <f t="shared" si="110"/>
        <v>3</v>
      </c>
      <c r="K3539" s="1" t="s">
        <v>6076</v>
      </c>
      <c r="L3539" s="1" t="s">
        <v>6076</v>
      </c>
      <c r="M3539">
        <f t="shared" si="111"/>
        <v>29</v>
      </c>
      <c r="N3539" t="s">
        <v>640</v>
      </c>
    </row>
    <row r="3540" spans="1:14" x14ac:dyDescent="0.3">
      <c r="A3540" s="1" t="s">
        <v>8748</v>
      </c>
      <c r="B3540" s="1" t="s">
        <v>795</v>
      </c>
      <c r="C3540" s="1" t="s">
        <v>8749</v>
      </c>
      <c r="D3540" s="1" t="s">
        <v>738</v>
      </c>
      <c r="E3540" s="1" t="s">
        <v>6076</v>
      </c>
      <c r="F3540" s="1" t="s">
        <v>6076</v>
      </c>
      <c r="G3540" s="1" t="s">
        <v>8750</v>
      </c>
      <c r="H3540">
        <v>1990</v>
      </c>
      <c r="I3540">
        <v>1996</v>
      </c>
      <c r="J3540">
        <f t="shared" si="110"/>
        <v>7</v>
      </c>
      <c r="K3540" s="1" t="s">
        <v>6076</v>
      </c>
      <c r="L3540" s="1" t="s">
        <v>6076</v>
      </c>
      <c r="M3540">
        <f t="shared" si="111"/>
        <v>30</v>
      </c>
      <c r="N3540" t="s">
        <v>640</v>
      </c>
    </row>
    <row r="3541" spans="1:14" x14ac:dyDescent="0.3">
      <c r="A3541" s="1" t="s">
        <v>8751</v>
      </c>
      <c r="B3541" s="1" t="s">
        <v>5913</v>
      </c>
      <c r="C3541" s="1" t="s">
        <v>8752</v>
      </c>
      <c r="D3541" s="1" t="s">
        <v>746</v>
      </c>
      <c r="E3541" s="1" t="s">
        <v>6076</v>
      </c>
      <c r="F3541" s="1" t="s">
        <v>6076</v>
      </c>
      <c r="G3541" s="1" t="s">
        <v>8753</v>
      </c>
      <c r="H3541">
        <v>2013</v>
      </c>
      <c r="I3541">
        <v>2016</v>
      </c>
      <c r="J3541">
        <f t="shared" si="110"/>
        <v>4</v>
      </c>
      <c r="K3541" s="1" t="s">
        <v>6076</v>
      </c>
      <c r="L3541" s="1" t="s">
        <v>6076</v>
      </c>
      <c r="M3541">
        <f t="shared" si="111"/>
        <v>10</v>
      </c>
    </row>
    <row r="3542" spans="1:14" x14ac:dyDescent="0.3">
      <c r="A3542" s="1" t="s">
        <v>8754</v>
      </c>
      <c r="B3542" s="1" t="s">
        <v>5913</v>
      </c>
      <c r="C3542" s="1" t="s">
        <v>8755</v>
      </c>
      <c r="D3542" s="1" t="s">
        <v>746</v>
      </c>
      <c r="E3542" s="1" t="s">
        <v>6076</v>
      </c>
      <c r="F3542" s="1" t="s">
        <v>6076</v>
      </c>
      <c r="G3542" s="1" t="s">
        <v>8753</v>
      </c>
      <c r="H3542">
        <v>2020</v>
      </c>
      <c r="I3542">
        <v>2022</v>
      </c>
      <c r="J3542">
        <f t="shared" si="110"/>
        <v>3</v>
      </c>
      <c r="K3542" s="1" t="s">
        <v>6076</v>
      </c>
      <c r="L3542" s="1" t="s">
        <v>6076</v>
      </c>
      <c r="M3542">
        <f t="shared" si="111"/>
        <v>4</v>
      </c>
    </row>
    <row r="3543" spans="1:14" x14ac:dyDescent="0.3">
      <c r="A3543" s="1" t="s">
        <v>8756</v>
      </c>
      <c r="B3543" s="1" t="s">
        <v>5913</v>
      </c>
      <c r="C3543" s="1" t="s">
        <v>8757</v>
      </c>
      <c r="D3543" s="1" t="s">
        <v>3850</v>
      </c>
      <c r="E3543" s="1" t="s">
        <v>6076</v>
      </c>
      <c r="F3543" s="1" t="s">
        <v>6076</v>
      </c>
      <c r="G3543" s="1" t="s">
        <v>8758</v>
      </c>
      <c r="H3543">
        <v>2014</v>
      </c>
      <c r="I3543">
        <v>2016</v>
      </c>
      <c r="J3543">
        <f t="shared" si="110"/>
        <v>3</v>
      </c>
      <c r="K3543" s="1" t="s">
        <v>6076</v>
      </c>
      <c r="L3543" s="1" t="s">
        <v>6076</v>
      </c>
      <c r="M3543">
        <f t="shared" si="111"/>
        <v>10</v>
      </c>
    </row>
    <row r="3544" spans="1:14" x14ac:dyDescent="0.3">
      <c r="A3544" s="1" t="s">
        <v>8759</v>
      </c>
      <c r="B3544" s="1" t="s">
        <v>5913</v>
      </c>
      <c r="C3544" s="1" t="s">
        <v>8760</v>
      </c>
      <c r="D3544" s="1" t="s">
        <v>3850</v>
      </c>
      <c r="E3544" s="1" t="s">
        <v>6076</v>
      </c>
      <c r="F3544" s="1" t="s">
        <v>6076</v>
      </c>
      <c r="G3544" s="1" t="s">
        <v>8761</v>
      </c>
      <c r="H3544">
        <v>2000</v>
      </c>
      <c r="I3544">
        <v>2000</v>
      </c>
      <c r="J3544">
        <f t="shared" si="110"/>
        <v>1</v>
      </c>
      <c r="K3544" s="1" t="s">
        <v>6076</v>
      </c>
      <c r="L3544" s="1" t="s">
        <v>6076</v>
      </c>
      <c r="M3544">
        <f t="shared" si="111"/>
        <v>26</v>
      </c>
    </row>
    <row r="3545" spans="1:14" x14ac:dyDescent="0.3">
      <c r="A3545" s="1" t="s">
        <v>8762</v>
      </c>
      <c r="B3545" s="1" t="s">
        <v>5913</v>
      </c>
      <c r="C3545" s="1" t="s">
        <v>8763</v>
      </c>
      <c r="D3545" s="1" t="s">
        <v>746</v>
      </c>
      <c r="E3545" s="1" t="s">
        <v>6076</v>
      </c>
      <c r="F3545" s="1" t="s">
        <v>6076</v>
      </c>
      <c r="G3545" s="1" t="s">
        <v>8753</v>
      </c>
      <c r="H3545">
        <v>2011</v>
      </c>
      <c r="I3545">
        <v>2012</v>
      </c>
      <c r="J3545">
        <f t="shared" si="110"/>
        <v>2</v>
      </c>
      <c r="K3545" s="1" t="s">
        <v>6076</v>
      </c>
      <c r="L3545" s="1" t="s">
        <v>6076</v>
      </c>
      <c r="M3545">
        <f t="shared" si="111"/>
        <v>14</v>
      </c>
    </row>
    <row r="3546" spans="1:14" x14ac:dyDescent="0.3">
      <c r="A3546" s="1" t="s">
        <v>8764</v>
      </c>
      <c r="B3546" s="1" t="s">
        <v>8765</v>
      </c>
      <c r="C3546" s="1" t="s">
        <v>8766</v>
      </c>
      <c r="D3546" s="1" t="s">
        <v>746</v>
      </c>
      <c r="E3546" s="1" t="s">
        <v>6076</v>
      </c>
      <c r="F3546" s="1" t="s">
        <v>6076</v>
      </c>
      <c r="G3546" s="1" t="s">
        <v>8767</v>
      </c>
      <c r="H3546">
        <v>2006</v>
      </c>
      <c r="I3546">
        <v>2012</v>
      </c>
      <c r="J3546">
        <f t="shared" si="110"/>
        <v>7</v>
      </c>
      <c r="K3546" s="1" t="s">
        <v>6076</v>
      </c>
      <c r="L3546" s="1" t="s">
        <v>6076</v>
      </c>
      <c r="M3546">
        <f t="shared" si="111"/>
        <v>14</v>
      </c>
      <c r="N3546" t="s">
        <v>650</v>
      </c>
    </row>
    <row r="3547" spans="1:14" x14ac:dyDescent="0.3">
      <c r="A3547" s="1" t="s">
        <v>8768</v>
      </c>
      <c r="B3547" s="1" t="s">
        <v>5913</v>
      </c>
      <c r="C3547" s="1" t="s">
        <v>8769</v>
      </c>
      <c r="D3547" s="1" t="s">
        <v>746</v>
      </c>
      <c r="E3547" s="1" t="s">
        <v>6076</v>
      </c>
      <c r="F3547" s="1" t="s">
        <v>6076</v>
      </c>
      <c r="G3547" s="1" t="s">
        <v>8753</v>
      </c>
      <c r="H3547">
        <v>2017</v>
      </c>
      <c r="I3547">
        <v>2019</v>
      </c>
      <c r="J3547">
        <f t="shared" si="110"/>
        <v>3</v>
      </c>
      <c r="K3547" s="1" t="s">
        <v>6076</v>
      </c>
      <c r="L3547" s="1" t="s">
        <v>6076</v>
      </c>
      <c r="M3547">
        <f t="shared" si="111"/>
        <v>7</v>
      </c>
    </row>
    <row r="3548" spans="1:14" x14ac:dyDescent="0.3">
      <c r="A3548" s="1" t="s">
        <v>8770</v>
      </c>
      <c r="B3548" s="1" t="s">
        <v>5913</v>
      </c>
      <c r="C3548" s="1" t="s">
        <v>8771</v>
      </c>
      <c r="D3548" s="1" t="s">
        <v>3850</v>
      </c>
      <c r="E3548" s="1" t="s">
        <v>6076</v>
      </c>
      <c r="F3548" s="1" t="s">
        <v>6076</v>
      </c>
      <c r="G3548" s="1" t="s">
        <v>8758</v>
      </c>
      <c r="H3548">
        <v>2019</v>
      </c>
      <c r="I3548">
        <v>2022</v>
      </c>
      <c r="J3548">
        <f t="shared" si="110"/>
        <v>4</v>
      </c>
      <c r="K3548" s="1" t="s">
        <v>6076</v>
      </c>
      <c r="L3548" s="1" t="s">
        <v>6076</v>
      </c>
      <c r="M3548">
        <f t="shared" si="111"/>
        <v>4</v>
      </c>
    </row>
    <row r="3549" spans="1:14" x14ac:dyDescent="0.3">
      <c r="A3549" s="1" t="s">
        <v>8772</v>
      </c>
      <c r="B3549" s="1" t="s">
        <v>5913</v>
      </c>
      <c r="C3549" s="1" t="s">
        <v>8773</v>
      </c>
      <c r="D3549" s="1" t="s">
        <v>3850</v>
      </c>
      <c r="E3549" s="1" t="s">
        <v>6076</v>
      </c>
      <c r="F3549" s="1" t="s">
        <v>6076</v>
      </c>
      <c r="G3549" s="1" t="s">
        <v>8758</v>
      </c>
      <c r="H3549">
        <v>2021</v>
      </c>
      <c r="I3549">
        <v>2021</v>
      </c>
      <c r="J3549">
        <f t="shared" si="110"/>
        <v>1</v>
      </c>
      <c r="K3549" s="1" t="s">
        <v>6076</v>
      </c>
      <c r="L3549" s="1" t="s">
        <v>6076</v>
      </c>
      <c r="M3549">
        <f t="shared" si="111"/>
        <v>5</v>
      </c>
    </row>
    <row r="3550" spans="1:14" x14ac:dyDescent="0.3">
      <c r="A3550" s="1" t="s">
        <v>8774</v>
      </c>
      <c r="B3550" s="1" t="s">
        <v>5913</v>
      </c>
      <c r="C3550" s="1" t="s">
        <v>8775</v>
      </c>
      <c r="D3550" s="1" t="s">
        <v>3850</v>
      </c>
      <c r="E3550" s="1" t="s">
        <v>6076</v>
      </c>
      <c r="F3550" s="1" t="s">
        <v>6076</v>
      </c>
      <c r="G3550" s="1" t="s">
        <v>8758</v>
      </c>
      <c r="H3550">
        <v>2016</v>
      </c>
      <c r="I3550">
        <v>2018</v>
      </c>
      <c r="J3550">
        <f t="shared" si="110"/>
        <v>3</v>
      </c>
      <c r="K3550" s="1" t="s">
        <v>6076</v>
      </c>
      <c r="L3550" s="1" t="s">
        <v>6076</v>
      </c>
      <c r="M3550">
        <f t="shared" si="111"/>
        <v>8</v>
      </c>
    </row>
    <row r="3551" spans="1:14" x14ac:dyDescent="0.3">
      <c r="A3551" t="s">
        <v>10956</v>
      </c>
      <c r="B3551" t="s">
        <v>5913</v>
      </c>
      <c r="C3551" t="s">
        <v>10957</v>
      </c>
      <c r="E3551" s="1" t="s">
        <v>6076</v>
      </c>
      <c r="F3551" s="1" t="s">
        <v>6076</v>
      </c>
      <c r="G3551" s="1" t="s">
        <v>8758</v>
      </c>
      <c r="H3551">
        <v>2024</v>
      </c>
      <c r="I3551">
        <v>2026</v>
      </c>
      <c r="J3551">
        <f t="shared" si="110"/>
        <v>3</v>
      </c>
      <c r="K3551" s="1" t="s">
        <v>6076</v>
      </c>
      <c r="L3551" s="1" t="s">
        <v>6076</v>
      </c>
      <c r="M3551">
        <f t="shared" si="111"/>
        <v>0</v>
      </c>
    </row>
    <row r="3552" spans="1:14" x14ac:dyDescent="0.3">
      <c r="A3552" s="1" t="s">
        <v>8776</v>
      </c>
      <c r="B3552" s="1" t="s">
        <v>5913</v>
      </c>
      <c r="C3552" s="1" t="s">
        <v>8777</v>
      </c>
      <c r="D3552" s="1" t="s">
        <v>3850</v>
      </c>
      <c r="E3552" s="1" t="s">
        <v>6076</v>
      </c>
      <c r="F3552" s="1" t="s">
        <v>6076</v>
      </c>
      <c r="G3552" s="1" t="s">
        <v>8758</v>
      </c>
      <c r="H3552">
        <v>2021</v>
      </c>
      <c r="I3552">
        <v>2022</v>
      </c>
      <c r="J3552">
        <f t="shared" si="110"/>
        <v>2</v>
      </c>
      <c r="K3552" s="1" t="s">
        <v>6076</v>
      </c>
      <c r="L3552" s="1" t="s">
        <v>6076</v>
      </c>
      <c r="M3552">
        <f t="shared" si="111"/>
        <v>4</v>
      </c>
    </row>
    <row r="3553" spans="1:13" x14ac:dyDescent="0.3">
      <c r="A3553" s="1" t="s">
        <v>8778</v>
      </c>
      <c r="B3553" s="1" t="s">
        <v>5913</v>
      </c>
      <c r="C3553" s="1" t="s">
        <v>8779</v>
      </c>
      <c r="D3553" s="1" t="s">
        <v>3850</v>
      </c>
      <c r="E3553" s="1" t="s">
        <v>6076</v>
      </c>
      <c r="F3553" s="1" t="s">
        <v>6076</v>
      </c>
      <c r="G3553" s="1" t="s">
        <v>8758</v>
      </c>
      <c r="H3553">
        <v>2020</v>
      </c>
      <c r="I3553">
        <v>2022</v>
      </c>
      <c r="J3553">
        <f t="shared" si="110"/>
        <v>3</v>
      </c>
      <c r="K3553" s="1" t="s">
        <v>6076</v>
      </c>
      <c r="L3553" s="1" t="s">
        <v>6076</v>
      </c>
      <c r="M3553">
        <f t="shared" si="111"/>
        <v>4</v>
      </c>
    </row>
    <row r="3554" spans="1:13" x14ac:dyDescent="0.3">
      <c r="A3554" s="1" t="s">
        <v>8780</v>
      </c>
      <c r="B3554" s="1" t="s">
        <v>5913</v>
      </c>
      <c r="C3554" s="1" t="s">
        <v>8781</v>
      </c>
      <c r="D3554" s="1" t="s">
        <v>3850</v>
      </c>
      <c r="E3554" s="1" t="s">
        <v>6076</v>
      </c>
      <c r="F3554" s="1" t="s">
        <v>6076</v>
      </c>
      <c r="G3554" s="1" t="s">
        <v>8758</v>
      </c>
      <c r="H3554">
        <v>2017</v>
      </c>
      <c r="I3554">
        <v>2018</v>
      </c>
      <c r="J3554">
        <f t="shared" si="110"/>
        <v>2</v>
      </c>
      <c r="K3554" s="1" t="s">
        <v>6076</v>
      </c>
      <c r="L3554" s="1" t="s">
        <v>6076</v>
      </c>
      <c r="M3554">
        <f t="shared" si="111"/>
        <v>8</v>
      </c>
    </row>
    <row r="3555" spans="1:13" x14ac:dyDescent="0.3">
      <c r="A3555" s="1" t="s">
        <v>8782</v>
      </c>
      <c r="B3555" s="1" t="s">
        <v>5913</v>
      </c>
      <c r="C3555" s="1" t="s">
        <v>8783</v>
      </c>
      <c r="D3555" s="1" t="s">
        <v>3850</v>
      </c>
      <c r="E3555" s="1" t="s">
        <v>6076</v>
      </c>
      <c r="F3555" s="1" t="s">
        <v>6076</v>
      </c>
      <c r="G3555" s="1" t="s">
        <v>8784</v>
      </c>
      <c r="H3555">
        <v>1996</v>
      </c>
      <c r="I3555">
        <v>2006</v>
      </c>
      <c r="J3555">
        <f t="shared" si="110"/>
        <v>11</v>
      </c>
      <c r="K3555" s="1" t="s">
        <v>6076</v>
      </c>
      <c r="L3555" s="1" t="s">
        <v>6076</v>
      </c>
      <c r="M3555">
        <f t="shared" si="111"/>
        <v>20</v>
      </c>
    </row>
    <row r="3556" spans="1:13" x14ac:dyDescent="0.3">
      <c r="A3556" s="1" t="s">
        <v>8785</v>
      </c>
      <c r="B3556" s="1" t="s">
        <v>5913</v>
      </c>
      <c r="C3556" s="1" t="s">
        <v>8786</v>
      </c>
      <c r="D3556" s="1" t="s">
        <v>3850</v>
      </c>
      <c r="E3556" s="1" t="s">
        <v>6076</v>
      </c>
      <c r="F3556" s="1" t="s">
        <v>6076</v>
      </c>
      <c r="G3556" s="1" t="s">
        <v>8784</v>
      </c>
      <c r="H3556">
        <v>1994</v>
      </c>
      <c r="I3556">
        <v>1995</v>
      </c>
      <c r="J3556">
        <f t="shared" si="110"/>
        <v>2</v>
      </c>
      <c r="K3556" s="1" t="s">
        <v>6076</v>
      </c>
      <c r="L3556" s="1" t="s">
        <v>6076</v>
      </c>
      <c r="M3556">
        <f t="shared" si="111"/>
        <v>31</v>
      </c>
    </row>
    <row r="3557" spans="1:13" x14ac:dyDescent="0.3">
      <c r="A3557" s="1" t="s">
        <v>8787</v>
      </c>
      <c r="B3557" s="1" t="s">
        <v>5913</v>
      </c>
      <c r="C3557" s="1" t="s">
        <v>8788</v>
      </c>
      <c r="D3557" s="1" t="s">
        <v>3850</v>
      </c>
      <c r="E3557" s="1" t="s">
        <v>6076</v>
      </c>
      <c r="F3557" s="1" t="s">
        <v>6076</v>
      </c>
      <c r="G3557" s="1" t="s">
        <v>8784</v>
      </c>
      <c r="H3557">
        <v>2009</v>
      </c>
      <c r="I3557">
        <v>2010</v>
      </c>
      <c r="J3557">
        <f t="shared" si="110"/>
        <v>2</v>
      </c>
      <c r="K3557" s="1" t="s">
        <v>6076</v>
      </c>
      <c r="L3557" s="1" t="s">
        <v>6076</v>
      </c>
      <c r="M3557">
        <f t="shared" si="111"/>
        <v>16</v>
      </c>
    </row>
    <row r="3558" spans="1:13" x14ac:dyDescent="0.3">
      <c r="A3558" s="1" t="s">
        <v>8789</v>
      </c>
      <c r="B3558" s="1" t="s">
        <v>5913</v>
      </c>
      <c r="C3558" s="1" t="s">
        <v>8790</v>
      </c>
      <c r="D3558" s="1" t="s">
        <v>3850</v>
      </c>
      <c r="E3558" s="1" t="s">
        <v>6076</v>
      </c>
      <c r="F3558" s="1" t="s">
        <v>6076</v>
      </c>
      <c r="G3558" s="1" t="s">
        <v>8784</v>
      </c>
      <c r="H3558">
        <v>2021</v>
      </c>
      <c r="I3558">
        <v>2022</v>
      </c>
      <c r="J3558">
        <f t="shared" si="110"/>
        <v>2</v>
      </c>
      <c r="K3558" s="1" t="s">
        <v>6076</v>
      </c>
      <c r="L3558" s="1" t="s">
        <v>6076</v>
      </c>
      <c r="M3558">
        <f t="shared" si="111"/>
        <v>4</v>
      </c>
    </row>
    <row r="3559" spans="1:13" x14ac:dyDescent="0.3">
      <c r="A3559" s="1" t="s">
        <v>8791</v>
      </c>
      <c r="B3559" s="1" t="s">
        <v>5913</v>
      </c>
      <c r="C3559" s="1" t="s">
        <v>8792</v>
      </c>
      <c r="D3559" s="1" t="s">
        <v>3850</v>
      </c>
      <c r="E3559" s="1" t="s">
        <v>6076</v>
      </c>
      <c r="F3559" s="1" t="s">
        <v>6076</v>
      </c>
      <c r="G3559" s="1" t="s">
        <v>8784</v>
      </c>
      <c r="H3559">
        <v>2021</v>
      </c>
      <c r="I3559">
        <v>2022</v>
      </c>
      <c r="J3559">
        <f t="shared" si="110"/>
        <v>2</v>
      </c>
      <c r="K3559" s="1" t="s">
        <v>6076</v>
      </c>
      <c r="L3559" s="1" t="s">
        <v>6076</v>
      </c>
      <c r="M3559">
        <f t="shared" si="111"/>
        <v>4</v>
      </c>
    </row>
    <row r="3560" spans="1:13" x14ac:dyDescent="0.3">
      <c r="A3560" s="1" t="s">
        <v>8793</v>
      </c>
      <c r="B3560" s="1" t="s">
        <v>5913</v>
      </c>
      <c r="C3560" s="1" t="s">
        <v>8794</v>
      </c>
      <c r="D3560" s="1" t="s">
        <v>3850</v>
      </c>
      <c r="E3560" s="1" t="s">
        <v>6076</v>
      </c>
      <c r="F3560" s="1" t="s">
        <v>6076</v>
      </c>
      <c r="G3560" s="1" t="s">
        <v>8784</v>
      </c>
      <c r="H3560">
        <v>1991</v>
      </c>
      <c r="I3560">
        <v>1998</v>
      </c>
      <c r="J3560">
        <f t="shared" si="110"/>
        <v>8</v>
      </c>
      <c r="K3560" s="1" t="s">
        <v>6076</v>
      </c>
      <c r="L3560" s="1" t="s">
        <v>6076</v>
      </c>
      <c r="M3560">
        <f t="shared" si="111"/>
        <v>28</v>
      </c>
    </row>
    <row r="3561" spans="1:13" x14ac:dyDescent="0.3">
      <c r="A3561" s="1" t="s">
        <v>8795</v>
      </c>
      <c r="B3561" s="1" t="s">
        <v>5913</v>
      </c>
      <c r="C3561" s="1" t="s">
        <v>8796</v>
      </c>
      <c r="D3561" s="1" t="s">
        <v>3850</v>
      </c>
      <c r="E3561" s="1" t="s">
        <v>6076</v>
      </c>
      <c r="F3561" s="1" t="s">
        <v>6076</v>
      </c>
      <c r="G3561" s="1" t="s">
        <v>8784</v>
      </c>
      <c r="H3561">
        <v>1994</v>
      </c>
      <c r="I3561">
        <v>1995</v>
      </c>
      <c r="J3561">
        <f t="shared" si="110"/>
        <v>2</v>
      </c>
      <c r="K3561" s="1" t="s">
        <v>6076</v>
      </c>
      <c r="L3561" s="1" t="s">
        <v>6076</v>
      </c>
      <c r="M3561">
        <f t="shared" si="111"/>
        <v>31</v>
      </c>
    </row>
    <row r="3562" spans="1:13" x14ac:dyDescent="0.3">
      <c r="A3562" s="1" t="s">
        <v>8797</v>
      </c>
      <c r="B3562" s="1" t="s">
        <v>5913</v>
      </c>
      <c r="C3562" s="1" t="s">
        <v>8798</v>
      </c>
      <c r="D3562" s="1" t="s">
        <v>3850</v>
      </c>
      <c r="E3562" s="1" t="s">
        <v>6076</v>
      </c>
      <c r="F3562" s="1" t="s">
        <v>6076</v>
      </c>
      <c r="G3562" s="1" t="s">
        <v>8784</v>
      </c>
      <c r="H3562">
        <v>2008</v>
      </c>
      <c r="I3562">
        <v>2013</v>
      </c>
      <c r="J3562">
        <f t="shared" si="110"/>
        <v>6</v>
      </c>
      <c r="K3562" s="1" t="s">
        <v>6076</v>
      </c>
      <c r="L3562" s="1" t="s">
        <v>6076</v>
      </c>
      <c r="M3562">
        <f t="shared" si="111"/>
        <v>13</v>
      </c>
    </row>
    <row r="3563" spans="1:13" x14ac:dyDescent="0.3">
      <c r="A3563" s="1" t="s">
        <v>8799</v>
      </c>
      <c r="B3563" s="1" t="s">
        <v>5913</v>
      </c>
      <c r="C3563" s="1" t="s">
        <v>8800</v>
      </c>
      <c r="D3563" s="1" t="s">
        <v>3850</v>
      </c>
      <c r="E3563" s="1" t="s">
        <v>6076</v>
      </c>
      <c r="F3563" s="1" t="s">
        <v>6076</v>
      </c>
      <c r="G3563" s="1" t="s">
        <v>8784</v>
      </c>
      <c r="H3563">
        <v>2018</v>
      </c>
      <c r="I3563">
        <v>2018</v>
      </c>
      <c r="J3563">
        <f t="shared" si="110"/>
        <v>1</v>
      </c>
      <c r="K3563" s="1" t="s">
        <v>6076</v>
      </c>
      <c r="L3563" s="1" t="s">
        <v>6076</v>
      </c>
      <c r="M3563">
        <f t="shared" si="111"/>
        <v>8</v>
      </c>
    </row>
    <row r="3564" spans="1:13" x14ac:dyDescent="0.3">
      <c r="A3564" s="1" t="s">
        <v>8801</v>
      </c>
      <c r="B3564" s="1" t="s">
        <v>5913</v>
      </c>
      <c r="C3564" s="1" t="s">
        <v>8802</v>
      </c>
      <c r="D3564" s="1" t="s">
        <v>3850</v>
      </c>
      <c r="E3564" s="1" t="s">
        <v>6076</v>
      </c>
      <c r="F3564" s="1" t="s">
        <v>6076</v>
      </c>
      <c r="G3564" s="1" t="s">
        <v>8784</v>
      </c>
      <c r="H3564">
        <v>2015</v>
      </c>
      <c r="I3564">
        <v>2018</v>
      </c>
      <c r="J3564">
        <f t="shared" si="110"/>
        <v>4</v>
      </c>
      <c r="K3564" s="1" t="s">
        <v>6076</v>
      </c>
      <c r="L3564" s="1" t="s">
        <v>6076</v>
      </c>
      <c r="M3564">
        <f t="shared" si="111"/>
        <v>8</v>
      </c>
    </row>
    <row r="3565" spans="1:13" x14ac:dyDescent="0.3">
      <c r="A3565" s="1" t="s">
        <v>8803</v>
      </c>
      <c r="B3565" s="1" t="s">
        <v>5913</v>
      </c>
      <c r="C3565" s="1" t="s">
        <v>8804</v>
      </c>
      <c r="D3565" s="1" t="s">
        <v>3850</v>
      </c>
      <c r="E3565" s="1" t="s">
        <v>6076</v>
      </c>
      <c r="F3565" s="1" t="s">
        <v>6076</v>
      </c>
      <c r="G3565" s="1" t="s">
        <v>8784</v>
      </c>
      <c r="H3565">
        <v>2008</v>
      </c>
      <c r="I3565">
        <v>2012</v>
      </c>
      <c r="J3565">
        <f t="shared" si="110"/>
        <v>5</v>
      </c>
      <c r="K3565" s="1" t="s">
        <v>6076</v>
      </c>
      <c r="L3565" s="1" t="s">
        <v>6076</v>
      </c>
      <c r="M3565">
        <f t="shared" si="111"/>
        <v>14</v>
      </c>
    </row>
    <row r="3566" spans="1:13" x14ac:dyDescent="0.3">
      <c r="A3566" s="1" t="s">
        <v>8805</v>
      </c>
      <c r="B3566" s="1" t="s">
        <v>5913</v>
      </c>
      <c r="C3566" s="1" t="s">
        <v>8806</v>
      </c>
      <c r="D3566" s="1" t="s">
        <v>3850</v>
      </c>
      <c r="E3566" s="1" t="s">
        <v>6076</v>
      </c>
      <c r="F3566" s="1" t="s">
        <v>6076</v>
      </c>
      <c r="G3566" s="1" t="s">
        <v>8784</v>
      </c>
      <c r="H3566">
        <v>2021</v>
      </c>
      <c r="I3566">
        <v>2022</v>
      </c>
      <c r="J3566">
        <f t="shared" si="110"/>
        <v>2</v>
      </c>
      <c r="K3566" s="1" t="s">
        <v>6076</v>
      </c>
      <c r="L3566" s="1" t="s">
        <v>6076</v>
      </c>
      <c r="M3566">
        <f t="shared" si="111"/>
        <v>4</v>
      </c>
    </row>
    <row r="3567" spans="1:13" x14ac:dyDescent="0.3">
      <c r="A3567" s="1" t="s">
        <v>8807</v>
      </c>
      <c r="B3567" s="1" t="s">
        <v>5913</v>
      </c>
      <c r="C3567" s="1" t="s">
        <v>8808</v>
      </c>
      <c r="D3567" s="1" t="s">
        <v>3850</v>
      </c>
      <c r="E3567" s="1" t="s">
        <v>6076</v>
      </c>
      <c r="F3567" s="1" t="s">
        <v>6076</v>
      </c>
      <c r="G3567" s="1" t="s">
        <v>8784</v>
      </c>
      <c r="H3567">
        <v>2020</v>
      </c>
      <c r="I3567">
        <v>2020</v>
      </c>
      <c r="J3567">
        <f t="shared" si="110"/>
        <v>1</v>
      </c>
      <c r="K3567" s="1" t="s">
        <v>6076</v>
      </c>
      <c r="L3567" s="1" t="s">
        <v>6076</v>
      </c>
      <c r="M3567">
        <f t="shared" si="111"/>
        <v>6</v>
      </c>
    </row>
    <row r="3568" spans="1:13" x14ac:dyDescent="0.3">
      <c r="A3568" s="1" t="s">
        <v>8809</v>
      </c>
      <c r="B3568" s="1" t="s">
        <v>5913</v>
      </c>
      <c r="C3568" s="1" t="s">
        <v>8810</v>
      </c>
      <c r="D3568" s="1" t="s">
        <v>3850</v>
      </c>
      <c r="E3568" s="1" t="s">
        <v>6076</v>
      </c>
      <c r="F3568" s="1" t="s">
        <v>6076</v>
      </c>
      <c r="G3568" s="1" t="s">
        <v>8811</v>
      </c>
      <c r="H3568">
        <v>2015</v>
      </c>
      <c r="I3568">
        <v>2016</v>
      </c>
      <c r="J3568">
        <f t="shared" si="110"/>
        <v>2</v>
      </c>
      <c r="K3568" s="1" t="s">
        <v>6076</v>
      </c>
      <c r="L3568" s="1" t="s">
        <v>6076</v>
      </c>
      <c r="M3568">
        <f t="shared" si="111"/>
        <v>10</v>
      </c>
    </row>
    <row r="3569" spans="1:13" x14ac:dyDescent="0.3">
      <c r="A3569" s="1" t="s">
        <v>8812</v>
      </c>
      <c r="B3569" s="1" t="s">
        <v>5913</v>
      </c>
      <c r="C3569" s="1" t="s">
        <v>8813</v>
      </c>
      <c r="D3569" s="1" t="s">
        <v>3850</v>
      </c>
      <c r="E3569" s="1" t="s">
        <v>6076</v>
      </c>
      <c r="F3569" s="1" t="s">
        <v>6076</v>
      </c>
      <c r="G3569" s="1" t="s">
        <v>8811</v>
      </c>
      <c r="H3569">
        <v>2015</v>
      </c>
      <c r="I3569">
        <v>2020</v>
      </c>
      <c r="J3569">
        <f t="shared" si="110"/>
        <v>6</v>
      </c>
      <c r="K3569" s="1" t="s">
        <v>6076</v>
      </c>
      <c r="L3569" s="1" t="s">
        <v>6076</v>
      </c>
      <c r="M3569">
        <f t="shared" si="111"/>
        <v>6</v>
      </c>
    </row>
    <row r="3570" spans="1:13" x14ac:dyDescent="0.3">
      <c r="A3570" s="1" t="s">
        <v>8814</v>
      </c>
      <c r="B3570" s="1" t="s">
        <v>5913</v>
      </c>
      <c r="C3570" s="1" t="s">
        <v>8815</v>
      </c>
      <c r="D3570" s="1" t="s">
        <v>3850</v>
      </c>
      <c r="E3570" s="1" t="s">
        <v>6076</v>
      </c>
      <c r="F3570" s="1" t="s">
        <v>6076</v>
      </c>
      <c r="G3570" s="1" t="s">
        <v>8811</v>
      </c>
      <c r="H3570">
        <v>2018</v>
      </c>
      <c r="I3570">
        <v>2019</v>
      </c>
      <c r="J3570">
        <f t="shared" si="110"/>
        <v>2</v>
      </c>
      <c r="K3570" s="1" t="s">
        <v>6076</v>
      </c>
      <c r="L3570" s="1" t="s">
        <v>6076</v>
      </c>
      <c r="M3570">
        <f t="shared" si="111"/>
        <v>7</v>
      </c>
    </row>
    <row r="3571" spans="1:13" x14ac:dyDescent="0.3">
      <c r="A3571" s="1" t="s">
        <v>8816</v>
      </c>
      <c r="B3571" s="1" t="s">
        <v>5913</v>
      </c>
      <c r="C3571" s="1" t="s">
        <v>8817</v>
      </c>
      <c r="D3571" s="1" t="s">
        <v>3850</v>
      </c>
      <c r="E3571" s="1" t="s">
        <v>6076</v>
      </c>
      <c r="F3571" s="1" t="s">
        <v>6076</v>
      </c>
      <c r="G3571" s="1" t="s">
        <v>8811</v>
      </c>
      <c r="H3571">
        <v>2022</v>
      </c>
      <c r="I3571">
        <v>2022</v>
      </c>
      <c r="J3571">
        <f t="shared" si="110"/>
        <v>1</v>
      </c>
      <c r="K3571" s="1" t="s">
        <v>6076</v>
      </c>
      <c r="L3571" s="1" t="s">
        <v>6076</v>
      </c>
      <c r="M3571">
        <f t="shared" si="111"/>
        <v>4</v>
      </c>
    </row>
    <row r="3572" spans="1:13" x14ac:dyDescent="0.3">
      <c r="A3572" s="1" t="s">
        <v>8818</v>
      </c>
      <c r="B3572" s="1" t="s">
        <v>5913</v>
      </c>
      <c r="C3572" s="1" t="s">
        <v>8819</v>
      </c>
      <c r="D3572" s="1" t="s">
        <v>3850</v>
      </c>
      <c r="E3572" s="1" t="s">
        <v>6076</v>
      </c>
      <c r="F3572" s="1" t="s">
        <v>6076</v>
      </c>
      <c r="G3572" s="1" t="s">
        <v>8820</v>
      </c>
      <c r="H3572">
        <v>1991</v>
      </c>
      <c r="I3572">
        <v>1995</v>
      </c>
      <c r="J3572">
        <f t="shared" si="110"/>
        <v>5</v>
      </c>
      <c r="K3572" s="1" t="s">
        <v>6076</v>
      </c>
      <c r="L3572" s="1" t="s">
        <v>6076</v>
      </c>
      <c r="M3572">
        <f t="shared" si="111"/>
        <v>31</v>
      </c>
    </row>
    <row r="3573" spans="1:13" x14ac:dyDescent="0.3">
      <c r="A3573" s="1" t="s">
        <v>8821</v>
      </c>
      <c r="B3573" s="1" t="s">
        <v>5913</v>
      </c>
      <c r="C3573" s="1" t="s">
        <v>8822</v>
      </c>
      <c r="D3573" s="1" t="s">
        <v>3850</v>
      </c>
      <c r="E3573" s="1" t="s">
        <v>6076</v>
      </c>
      <c r="F3573" s="1" t="s">
        <v>6076</v>
      </c>
      <c r="G3573" s="1" t="s">
        <v>8820</v>
      </c>
      <c r="H3573">
        <v>2012</v>
      </c>
      <c r="I3573">
        <v>2015</v>
      </c>
      <c r="J3573">
        <f t="shared" si="110"/>
        <v>4</v>
      </c>
      <c r="K3573" s="1" t="s">
        <v>6076</v>
      </c>
      <c r="L3573" s="1" t="s">
        <v>6076</v>
      </c>
      <c r="M3573">
        <f t="shared" si="111"/>
        <v>11</v>
      </c>
    </row>
    <row r="3574" spans="1:13" x14ac:dyDescent="0.3">
      <c r="A3574" s="1" t="s">
        <v>8823</v>
      </c>
      <c r="B3574" s="1" t="s">
        <v>5913</v>
      </c>
      <c r="C3574" s="1" t="s">
        <v>8824</v>
      </c>
      <c r="D3574" s="1" t="s">
        <v>3850</v>
      </c>
      <c r="E3574" s="1" t="s">
        <v>6076</v>
      </c>
      <c r="F3574" s="1" t="s">
        <v>6076</v>
      </c>
      <c r="G3574" s="1" t="s">
        <v>8820</v>
      </c>
      <c r="H3574">
        <v>1999</v>
      </c>
      <c r="I3574">
        <v>2010</v>
      </c>
      <c r="J3574">
        <f t="shared" si="110"/>
        <v>12</v>
      </c>
      <c r="K3574" s="1" t="s">
        <v>6076</v>
      </c>
      <c r="L3574" s="1" t="s">
        <v>6076</v>
      </c>
      <c r="M3574">
        <f t="shared" si="111"/>
        <v>16</v>
      </c>
    </row>
    <row r="3575" spans="1:13" x14ac:dyDescent="0.3">
      <c r="A3575" s="1" t="s">
        <v>8825</v>
      </c>
      <c r="B3575" s="1" t="s">
        <v>5913</v>
      </c>
      <c r="C3575" s="1" t="s">
        <v>8826</v>
      </c>
      <c r="D3575" s="1" t="s">
        <v>3850</v>
      </c>
      <c r="E3575" s="1" t="s">
        <v>6076</v>
      </c>
      <c r="F3575" s="1" t="s">
        <v>6076</v>
      </c>
      <c r="G3575" s="1" t="s">
        <v>8820</v>
      </c>
      <c r="H3575">
        <v>2021</v>
      </c>
      <c r="I3575">
        <v>2022</v>
      </c>
      <c r="J3575">
        <f t="shared" si="110"/>
        <v>2</v>
      </c>
      <c r="K3575" s="1" t="s">
        <v>6076</v>
      </c>
      <c r="L3575" s="1" t="s">
        <v>6076</v>
      </c>
      <c r="M3575">
        <f t="shared" si="111"/>
        <v>4</v>
      </c>
    </row>
    <row r="3576" spans="1:13" x14ac:dyDescent="0.3">
      <c r="A3576" s="1" t="s">
        <v>8827</v>
      </c>
      <c r="B3576" s="1" t="s">
        <v>5913</v>
      </c>
      <c r="C3576" s="1" t="s">
        <v>8828</v>
      </c>
      <c r="D3576" s="1" t="s">
        <v>3850</v>
      </c>
      <c r="E3576" s="1" t="s">
        <v>6076</v>
      </c>
      <c r="F3576" s="1" t="s">
        <v>6076</v>
      </c>
      <c r="G3576" s="1" t="s">
        <v>8820</v>
      </c>
      <c r="H3576">
        <v>2019</v>
      </c>
      <c r="I3576">
        <v>2022</v>
      </c>
      <c r="J3576">
        <f t="shared" si="110"/>
        <v>4</v>
      </c>
      <c r="K3576" s="1" t="s">
        <v>6076</v>
      </c>
      <c r="L3576" s="1" t="s">
        <v>6076</v>
      </c>
      <c r="M3576">
        <f t="shared" si="111"/>
        <v>4</v>
      </c>
    </row>
    <row r="3577" spans="1:13" x14ac:dyDescent="0.3">
      <c r="A3577" s="1" t="s">
        <v>8829</v>
      </c>
      <c r="B3577" s="1" t="s">
        <v>5913</v>
      </c>
      <c r="C3577" s="1" t="s">
        <v>8830</v>
      </c>
      <c r="D3577" s="1" t="s">
        <v>3850</v>
      </c>
      <c r="E3577" s="1" t="s">
        <v>6076</v>
      </c>
      <c r="F3577" s="1" t="s">
        <v>6076</v>
      </c>
      <c r="G3577" s="1" t="s">
        <v>8820</v>
      </c>
      <c r="H3577">
        <v>2019</v>
      </c>
      <c r="I3577">
        <v>2022</v>
      </c>
      <c r="J3577">
        <f t="shared" si="110"/>
        <v>4</v>
      </c>
      <c r="K3577" s="1" t="s">
        <v>6076</v>
      </c>
      <c r="L3577" s="1" t="s">
        <v>6076</v>
      </c>
      <c r="M3577">
        <f t="shared" si="111"/>
        <v>4</v>
      </c>
    </row>
    <row r="3578" spans="1:13" x14ac:dyDescent="0.3">
      <c r="A3578" s="1" t="s">
        <v>8831</v>
      </c>
      <c r="B3578" s="1" t="s">
        <v>5913</v>
      </c>
      <c r="C3578" s="1" t="s">
        <v>8832</v>
      </c>
      <c r="D3578" s="1" t="s">
        <v>3850</v>
      </c>
      <c r="E3578" s="1" t="s">
        <v>6076</v>
      </c>
      <c r="F3578" s="1" t="s">
        <v>6076</v>
      </c>
      <c r="G3578" s="1" t="s">
        <v>8833</v>
      </c>
      <c r="H3578">
        <v>2006</v>
      </c>
      <c r="I3578">
        <v>2010</v>
      </c>
      <c r="J3578">
        <f t="shared" si="110"/>
        <v>5</v>
      </c>
      <c r="K3578" s="1" t="s">
        <v>6076</v>
      </c>
      <c r="L3578" s="1" t="s">
        <v>6076</v>
      </c>
      <c r="M3578">
        <f t="shared" si="111"/>
        <v>16</v>
      </c>
    </row>
    <row r="3579" spans="1:13" x14ac:dyDescent="0.3">
      <c r="A3579" s="1" t="s">
        <v>8834</v>
      </c>
      <c r="B3579" s="1" t="s">
        <v>5913</v>
      </c>
      <c r="C3579" s="1" t="s">
        <v>8835</v>
      </c>
      <c r="D3579" s="1" t="s">
        <v>3850</v>
      </c>
      <c r="E3579" s="1" t="s">
        <v>6076</v>
      </c>
      <c r="F3579" s="1" t="s">
        <v>6076</v>
      </c>
      <c r="G3579" s="1" t="s">
        <v>8833</v>
      </c>
      <c r="H3579">
        <v>2013</v>
      </c>
      <c r="I3579">
        <v>2015</v>
      </c>
      <c r="J3579">
        <f t="shared" si="110"/>
        <v>3</v>
      </c>
      <c r="K3579" s="1" t="s">
        <v>6076</v>
      </c>
      <c r="L3579" s="1" t="s">
        <v>6076</v>
      </c>
      <c r="M3579">
        <f t="shared" si="111"/>
        <v>11</v>
      </c>
    </row>
    <row r="3580" spans="1:13" x14ac:dyDescent="0.3">
      <c r="A3580" s="1" t="s">
        <v>8836</v>
      </c>
      <c r="B3580" s="1" t="s">
        <v>5913</v>
      </c>
      <c r="C3580" s="1" t="s">
        <v>8837</v>
      </c>
      <c r="D3580" s="1" t="s">
        <v>3850</v>
      </c>
      <c r="E3580" s="1" t="s">
        <v>6076</v>
      </c>
      <c r="F3580" s="1" t="s">
        <v>6076</v>
      </c>
      <c r="G3580" s="1" t="s">
        <v>8833</v>
      </c>
      <c r="H3580">
        <v>2014</v>
      </c>
      <c r="I3580">
        <v>2018</v>
      </c>
      <c r="J3580">
        <f t="shared" si="110"/>
        <v>5</v>
      </c>
      <c r="K3580" s="1" t="s">
        <v>6076</v>
      </c>
      <c r="L3580" s="1" t="s">
        <v>6076</v>
      </c>
      <c r="M3580">
        <f t="shared" si="111"/>
        <v>8</v>
      </c>
    </row>
    <row r="3581" spans="1:13" x14ac:dyDescent="0.3">
      <c r="A3581" s="1" t="s">
        <v>8838</v>
      </c>
      <c r="B3581" s="1" t="s">
        <v>5913</v>
      </c>
      <c r="C3581" s="1" t="s">
        <v>8839</v>
      </c>
      <c r="D3581" s="1" t="s">
        <v>3850</v>
      </c>
      <c r="E3581" s="1" t="s">
        <v>6076</v>
      </c>
      <c r="F3581" s="1" t="s">
        <v>6076</v>
      </c>
      <c r="G3581" s="1" t="s">
        <v>8840</v>
      </c>
      <c r="H3581">
        <v>2020</v>
      </c>
      <c r="I3581">
        <v>2022</v>
      </c>
      <c r="J3581">
        <f t="shared" si="110"/>
        <v>3</v>
      </c>
      <c r="K3581" s="1" t="s">
        <v>6076</v>
      </c>
      <c r="L3581" s="1" t="s">
        <v>6076</v>
      </c>
      <c r="M3581">
        <f t="shared" si="111"/>
        <v>4</v>
      </c>
    </row>
    <row r="3582" spans="1:13" x14ac:dyDescent="0.3">
      <c r="A3582" s="1" t="s">
        <v>8841</v>
      </c>
      <c r="B3582" s="1" t="s">
        <v>5913</v>
      </c>
      <c r="C3582" s="1" t="s">
        <v>8842</v>
      </c>
      <c r="D3582" s="1" t="s">
        <v>3850</v>
      </c>
      <c r="E3582" s="1" t="s">
        <v>6076</v>
      </c>
      <c r="F3582" s="1" t="s">
        <v>6076</v>
      </c>
      <c r="G3582" s="1" t="s">
        <v>8843</v>
      </c>
      <c r="H3582">
        <v>2021</v>
      </c>
      <c r="I3582">
        <v>2022</v>
      </c>
      <c r="J3582">
        <f t="shared" si="110"/>
        <v>2</v>
      </c>
      <c r="K3582" s="1" t="s">
        <v>6076</v>
      </c>
      <c r="L3582" s="1" t="s">
        <v>6076</v>
      </c>
      <c r="M3582">
        <f t="shared" si="111"/>
        <v>4</v>
      </c>
    </row>
    <row r="3583" spans="1:13" x14ac:dyDescent="0.3">
      <c r="A3583" s="1" t="s">
        <v>8844</v>
      </c>
      <c r="B3583" s="1" t="s">
        <v>5913</v>
      </c>
      <c r="C3583" s="1" t="s">
        <v>8845</v>
      </c>
      <c r="D3583" s="1" t="s">
        <v>3850</v>
      </c>
      <c r="E3583" s="1" t="s">
        <v>6076</v>
      </c>
      <c r="F3583" s="1" t="s">
        <v>6076</v>
      </c>
      <c r="G3583" s="1" t="s">
        <v>8843</v>
      </c>
      <c r="H3583">
        <v>2022</v>
      </c>
      <c r="I3583">
        <v>2022</v>
      </c>
      <c r="J3583">
        <f t="shared" si="110"/>
        <v>1</v>
      </c>
      <c r="K3583" s="1" t="s">
        <v>6076</v>
      </c>
      <c r="L3583" s="1" t="s">
        <v>6076</v>
      </c>
      <c r="M3583">
        <f t="shared" si="111"/>
        <v>4</v>
      </c>
    </row>
    <row r="3584" spans="1:13" x14ac:dyDescent="0.3">
      <c r="A3584" s="1" t="s">
        <v>8846</v>
      </c>
      <c r="B3584" s="1" t="s">
        <v>5913</v>
      </c>
      <c r="C3584" s="1" t="s">
        <v>8847</v>
      </c>
      <c r="D3584" s="1" t="s">
        <v>3850</v>
      </c>
      <c r="E3584" s="1" t="s">
        <v>6076</v>
      </c>
      <c r="F3584" s="1" t="s">
        <v>6076</v>
      </c>
      <c r="G3584" s="1" t="s">
        <v>8843</v>
      </c>
      <c r="H3584">
        <v>2019</v>
      </c>
      <c r="I3584">
        <v>2022</v>
      </c>
      <c r="J3584">
        <f t="shared" si="110"/>
        <v>4</v>
      </c>
      <c r="K3584" s="1" t="s">
        <v>6076</v>
      </c>
      <c r="L3584" s="1" t="s">
        <v>6076</v>
      </c>
      <c r="M3584">
        <f t="shared" si="111"/>
        <v>4</v>
      </c>
    </row>
    <row r="3585" spans="1:14" x14ac:dyDescent="0.3">
      <c r="A3585" s="1" t="s">
        <v>8848</v>
      </c>
      <c r="B3585" s="1" t="s">
        <v>2667</v>
      </c>
      <c r="C3585" s="1" t="s">
        <v>8849</v>
      </c>
      <c r="D3585" s="1" t="s">
        <v>738</v>
      </c>
      <c r="E3585" s="1" t="s">
        <v>6076</v>
      </c>
      <c r="F3585" s="1" t="s">
        <v>6076</v>
      </c>
      <c r="G3585" s="1" t="s">
        <v>8850</v>
      </c>
      <c r="H3585">
        <v>2007</v>
      </c>
      <c r="I3585">
        <v>2007</v>
      </c>
      <c r="J3585">
        <f t="shared" si="110"/>
        <v>1</v>
      </c>
      <c r="K3585" s="1" t="s">
        <v>6076</v>
      </c>
      <c r="L3585" s="1" t="s">
        <v>6076</v>
      </c>
      <c r="M3585">
        <f t="shared" si="111"/>
        <v>19</v>
      </c>
      <c r="N3585" t="s">
        <v>640</v>
      </c>
    </row>
    <row r="3586" spans="1:14" x14ac:dyDescent="0.3">
      <c r="A3586" s="1" t="s">
        <v>8851</v>
      </c>
      <c r="B3586" s="1" t="s">
        <v>2667</v>
      </c>
      <c r="C3586" s="1" t="s">
        <v>8852</v>
      </c>
      <c r="D3586" s="1" t="s">
        <v>738</v>
      </c>
      <c r="E3586" s="1" t="s">
        <v>6076</v>
      </c>
      <c r="F3586" s="1" t="s">
        <v>6076</v>
      </c>
      <c r="G3586" s="1" t="s">
        <v>8850</v>
      </c>
      <c r="H3586">
        <v>2007</v>
      </c>
      <c r="I3586">
        <v>2007</v>
      </c>
      <c r="J3586">
        <f t="shared" si="110"/>
        <v>1</v>
      </c>
      <c r="K3586" s="1" t="s">
        <v>6076</v>
      </c>
      <c r="L3586" s="1" t="s">
        <v>6076</v>
      </c>
      <c r="M3586">
        <f t="shared" si="111"/>
        <v>19</v>
      </c>
      <c r="N3586" t="s">
        <v>640</v>
      </c>
    </row>
    <row r="3587" spans="1:14" x14ac:dyDescent="0.3">
      <c r="A3587" s="1" t="s">
        <v>8853</v>
      </c>
      <c r="B3587" s="1" t="s">
        <v>795</v>
      </c>
      <c r="C3587" s="1" t="s">
        <v>8854</v>
      </c>
      <c r="D3587" s="1" t="s">
        <v>738</v>
      </c>
      <c r="E3587" s="1" t="s">
        <v>6076</v>
      </c>
      <c r="F3587" s="1" t="s">
        <v>6076</v>
      </c>
      <c r="G3587" s="1" t="s">
        <v>8855</v>
      </c>
      <c r="H3587">
        <v>2010</v>
      </c>
      <c r="I3587">
        <v>2013</v>
      </c>
      <c r="J3587">
        <f t="shared" si="110"/>
        <v>4</v>
      </c>
      <c r="K3587" s="1" t="s">
        <v>6076</v>
      </c>
      <c r="L3587" s="1" t="s">
        <v>6076</v>
      </c>
      <c r="M3587">
        <f t="shared" si="111"/>
        <v>13</v>
      </c>
      <c r="N3587" t="s">
        <v>650</v>
      </c>
    </row>
    <row r="3588" spans="1:14" x14ac:dyDescent="0.3">
      <c r="A3588" s="1" t="s">
        <v>8856</v>
      </c>
      <c r="B3588" s="1" t="s">
        <v>795</v>
      </c>
      <c r="C3588" s="1" t="s">
        <v>8857</v>
      </c>
      <c r="D3588" s="1" t="s">
        <v>738</v>
      </c>
      <c r="E3588" s="1" t="s">
        <v>6076</v>
      </c>
      <c r="F3588" s="1" t="s">
        <v>6076</v>
      </c>
      <c r="G3588" s="1" t="s">
        <v>8858</v>
      </c>
      <c r="H3588">
        <v>1985</v>
      </c>
      <c r="I3588">
        <v>1989</v>
      </c>
      <c r="J3588">
        <f t="shared" si="110"/>
        <v>5</v>
      </c>
      <c r="K3588" s="1" t="s">
        <v>6076</v>
      </c>
      <c r="L3588" s="1" t="s">
        <v>6076</v>
      </c>
      <c r="M3588">
        <f t="shared" si="111"/>
        <v>37</v>
      </c>
      <c r="N3588" t="s">
        <v>640</v>
      </c>
    </row>
    <row r="3589" spans="1:14" hidden="1" x14ac:dyDescent="0.3">
      <c r="A3589" s="1" t="s">
        <v>2255</v>
      </c>
      <c r="B3589" s="1" t="s">
        <v>2154</v>
      </c>
      <c r="C3589" s="1" t="s">
        <v>2256</v>
      </c>
      <c r="D3589" s="1" t="s">
        <v>746</v>
      </c>
      <c r="E3589" s="1" t="s">
        <v>747</v>
      </c>
      <c r="F3589" s="1" t="s">
        <v>748</v>
      </c>
      <c r="G3589" s="1" t="s">
        <v>2257</v>
      </c>
      <c r="H3589">
        <v>2015</v>
      </c>
      <c r="I3589">
        <v>2016</v>
      </c>
      <c r="J3589">
        <f t="shared" si="110"/>
        <v>2</v>
      </c>
      <c r="K3589" s="1" t="s">
        <v>741</v>
      </c>
      <c r="L3589" s="1" t="s">
        <v>798</v>
      </c>
      <c r="M3589">
        <f t="shared" si="111"/>
        <v>10</v>
      </c>
      <c r="N3589" t="s">
        <v>650</v>
      </c>
    </row>
    <row r="3590" spans="1:14" hidden="1" x14ac:dyDescent="0.3">
      <c r="A3590" s="1" t="s">
        <v>2258</v>
      </c>
      <c r="B3590" s="1" t="s">
        <v>2154</v>
      </c>
      <c r="C3590" s="1" t="s">
        <v>2259</v>
      </c>
      <c r="D3590" s="1" t="s">
        <v>746</v>
      </c>
      <c r="E3590" s="1" t="s">
        <v>747</v>
      </c>
      <c r="F3590" s="1" t="s">
        <v>748</v>
      </c>
      <c r="G3590" s="1" t="s">
        <v>2257</v>
      </c>
      <c r="H3590">
        <v>2017</v>
      </c>
      <c r="I3590">
        <v>2017</v>
      </c>
      <c r="J3590">
        <f t="shared" ref="J3590:J3653" si="112">1+(I3590-H3590)</f>
        <v>1</v>
      </c>
      <c r="K3590" s="1" t="s">
        <v>741</v>
      </c>
      <c r="L3590" s="1" t="s">
        <v>798</v>
      </c>
      <c r="M3590">
        <f t="shared" ref="M3590:M3653" si="113">IF(I3590=0,0,$B$2-I3590)</f>
        <v>9</v>
      </c>
      <c r="N3590" t="s">
        <v>650</v>
      </c>
    </row>
    <row r="3591" spans="1:14" hidden="1" x14ac:dyDescent="0.3">
      <c r="A3591" s="1" t="s">
        <v>2260</v>
      </c>
      <c r="B3591" s="1" t="s">
        <v>2154</v>
      </c>
      <c r="C3591" s="1" t="s">
        <v>2261</v>
      </c>
      <c r="D3591" s="1" t="s">
        <v>746</v>
      </c>
      <c r="E3591" s="1" t="s">
        <v>747</v>
      </c>
      <c r="F3591" s="1" t="s">
        <v>748</v>
      </c>
      <c r="G3591" s="1" t="s">
        <v>2257</v>
      </c>
      <c r="H3591">
        <v>2012</v>
      </c>
      <c r="I3591">
        <v>2015</v>
      </c>
      <c r="J3591">
        <f t="shared" si="112"/>
        <v>4</v>
      </c>
      <c r="K3591" s="1" t="s">
        <v>741</v>
      </c>
      <c r="L3591" s="1" t="s">
        <v>798</v>
      </c>
      <c r="M3591">
        <f t="shared" si="113"/>
        <v>11</v>
      </c>
      <c r="N3591" t="s">
        <v>650</v>
      </c>
    </row>
    <row r="3592" spans="1:14" hidden="1" x14ac:dyDescent="0.3">
      <c r="A3592" s="1" t="s">
        <v>2262</v>
      </c>
      <c r="B3592" s="1" t="s">
        <v>2154</v>
      </c>
      <c r="C3592" s="1" t="s">
        <v>2263</v>
      </c>
      <c r="D3592" s="1" t="s">
        <v>746</v>
      </c>
      <c r="E3592" s="1" t="s">
        <v>747</v>
      </c>
      <c r="F3592" s="1" t="s">
        <v>748</v>
      </c>
      <c r="G3592" s="1" t="s">
        <v>2257</v>
      </c>
      <c r="H3592">
        <v>2013</v>
      </c>
      <c r="I3592">
        <v>2013</v>
      </c>
      <c r="J3592">
        <f t="shared" si="112"/>
        <v>1</v>
      </c>
      <c r="K3592" s="1" t="s">
        <v>741</v>
      </c>
      <c r="L3592" s="1" t="s">
        <v>798</v>
      </c>
      <c r="M3592">
        <f t="shared" si="113"/>
        <v>13</v>
      </c>
      <c r="N3592" t="s">
        <v>650</v>
      </c>
    </row>
    <row r="3593" spans="1:14" hidden="1" x14ac:dyDescent="0.3">
      <c r="A3593" s="1" t="s">
        <v>2264</v>
      </c>
      <c r="B3593" s="1" t="s">
        <v>2154</v>
      </c>
      <c r="C3593" s="1" t="s">
        <v>2265</v>
      </c>
      <c r="D3593" s="1" t="s">
        <v>746</v>
      </c>
      <c r="E3593" s="1" t="s">
        <v>747</v>
      </c>
      <c r="F3593" s="1" t="s">
        <v>748</v>
      </c>
      <c r="G3593" s="1" t="s">
        <v>2257</v>
      </c>
      <c r="H3593">
        <v>2013</v>
      </c>
      <c r="I3593">
        <v>2016</v>
      </c>
      <c r="J3593">
        <f t="shared" si="112"/>
        <v>4</v>
      </c>
      <c r="K3593" s="1" t="s">
        <v>741</v>
      </c>
      <c r="L3593" s="1" t="s">
        <v>798</v>
      </c>
      <c r="M3593">
        <f t="shared" si="113"/>
        <v>10</v>
      </c>
      <c r="N3593" t="s">
        <v>650</v>
      </c>
    </row>
    <row r="3594" spans="1:14" hidden="1" x14ac:dyDescent="0.3">
      <c r="A3594" s="1" t="s">
        <v>2266</v>
      </c>
      <c r="B3594" s="1" t="s">
        <v>2154</v>
      </c>
      <c r="C3594" s="1" t="s">
        <v>2267</v>
      </c>
      <c r="D3594" s="1" t="s">
        <v>746</v>
      </c>
      <c r="E3594" s="1" t="s">
        <v>747</v>
      </c>
      <c r="F3594" s="1" t="s">
        <v>748</v>
      </c>
      <c r="G3594" s="1" t="s">
        <v>2257</v>
      </c>
      <c r="H3594">
        <v>2015</v>
      </c>
      <c r="I3594">
        <v>2015</v>
      </c>
      <c r="J3594">
        <f t="shared" si="112"/>
        <v>1</v>
      </c>
      <c r="K3594" s="1" t="s">
        <v>741</v>
      </c>
      <c r="L3594" s="1" t="s">
        <v>798</v>
      </c>
      <c r="M3594">
        <f t="shared" si="113"/>
        <v>11</v>
      </c>
      <c r="N3594" t="s">
        <v>650</v>
      </c>
    </row>
    <row r="3595" spans="1:14" hidden="1" x14ac:dyDescent="0.3">
      <c r="A3595" s="1" t="s">
        <v>2268</v>
      </c>
      <c r="B3595" s="1" t="s">
        <v>2154</v>
      </c>
      <c r="C3595" s="1" t="s">
        <v>2269</v>
      </c>
      <c r="D3595" s="1" t="s">
        <v>746</v>
      </c>
      <c r="E3595" s="1" t="s">
        <v>747</v>
      </c>
      <c r="F3595" s="1" t="s">
        <v>748</v>
      </c>
      <c r="G3595" s="1" t="s">
        <v>2257</v>
      </c>
      <c r="H3595">
        <v>2012</v>
      </c>
      <c r="I3595">
        <v>2015</v>
      </c>
      <c r="J3595">
        <f t="shared" si="112"/>
        <v>4</v>
      </c>
      <c r="K3595" s="1" t="s">
        <v>741</v>
      </c>
      <c r="L3595" s="1" t="s">
        <v>798</v>
      </c>
      <c r="M3595">
        <f t="shared" si="113"/>
        <v>11</v>
      </c>
      <c r="N3595" t="s">
        <v>650</v>
      </c>
    </row>
    <row r="3596" spans="1:14" hidden="1" x14ac:dyDescent="0.3">
      <c r="A3596" s="1" t="s">
        <v>2270</v>
      </c>
      <c r="B3596" s="1" t="s">
        <v>2154</v>
      </c>
      <c r="C3596" s="1" t="s">
        <v>2271</v>
      </c>
      <c r="D3596" s="1" t="s">
        <v>746</v>
      </c>
      <c r="E3596" s="1" t="s">
        <v>747</v>
      </c>
      <c r="F3596" s="1" t="s">
        <v>748</v>
      </c>
      <c r="G3596" s="1" t="s">
        <v>2257</v>
      </c>
      <c r="H3596">
        <v>2012</v>
      </c>
      <c r="I3596">
        <v>2016</v>
      </c>
      <c r="J3596">
        <f t="shared" si="112"/>
        <v>5</v>
      </c>
      <c r="K3596" s="1" t="s">
        <v>741</v>
      </c>
      <c r="L3596" s="1" t="s">
        <v>798</v>
      </c>
      <c r="M3596">
        <f t="shared" si="113"/>
        <v>10</v>
      </c>
      <c r="N3596" t="s">
        <v>650</v>
      </c>
    </row>
    <row r="3597" spans="1:14" hidden="1" x14ac:dyDescent="0.3">
      <c r="A3597" s="1" t="s">
        <v>2272</v>
      </c>
      <c r="B3597" s="1" t="s">
        <v>2154</v>
      </c>
      <c r="C3597" s="1" t="s">
        <v>2273</v>
      </c>
      <c r="D3597" s="1" t="s">
        <v>746</v>
      </c>
      <c r="E3597" s="1" t="s">
        <v>747</v>
      </c>
      <c r="F3597" s="1" t="s">
        <v>748</v>
      </c>
      <c r="G3597" s="1" t="s">
        <v>2257</v>
      </c>
      <c r="H3597">
        <v>2017</v>
      </c>
      <c r="I3597">
        <v>2018</v>
      </c>
      <c r="J3597">
        <f t="shared" si="112"/>
        <v>2</v>
      </c>
      <c r="K3597" s="1" t="s">
        <v>741</v>
      </c>
      <c r="L3597" s="1" t="s">
        <v>798</v>
      </c>
      <c r="M3597">
        <f t="shared" si="113"/>
        <v>8</v>
      </c>
      <c r="N3597" t="s">
        <v>650</v>
      </c>
    </row>
    <row r="3598" spans="1:14" hidden="1" x14ac:dyDescent="0.3">
      <c r="A3598" s="1" t="s">
        <v>2274</v>
      </c>
      <c r="B3598" s="1" t="s">
        <v>2154</v>
      </c>
      <c r="C3598" s="1" t="s">
        <v>2275</v>
      </c>
      <c r="D3598" s="1" t="s">
        <v>746</v>
      </c>
      <c r="E3598" s="1" t="s">
        <v>747</v>
      </c>
      <c r="F3598" s="1" t="s">
        <v>748</v>
      </c>
      <c r="G3598" s="1" t="s">
        <v>2257</v>
      </c>
      <c r="H3598">
        <v>2015</v>
      </c>
      <c r="I3598">
        <v>2016</v>
      </c>
      <c r="J3598">
        <f t="shared" si="112"/>
        <v>2</v>
      </c>
      <c r="K3598" s="1" t="s">
        <v>741</v>
      </c>
      <c r="L3598" s="1" t="s">
        <v>798</v>
      </c>
      <c r="M3598">
        <f t="shared" si="113"/>
        <v>10</v>
      </c>
      <c r="N3598" t="s">
        <v>650</v>
      </c>
    </row>
    <row r="3599" spans="1:14" hidden="1" x14ac:dyDescent="0.3">
      <c r="A3599" s="1" t="s">
        <v>2276</v>
      </c>
      <c r="B3599" s="1" t="s">
        <v>2154</v>
      </c>
      <c r="C3599" s="1" t="s">
        <v>2277</v>
      </c>
      <c r="D3599" s="1" t="s">
        <v>746</v>
      </c>
      <c r="E3599" s="1" t="s">
        <v>747</v>
      </c>
      <c r="F3599" s="1" t="s">
        <v>748</v>
      </c>
      <c r="G3599" s="1" t="s">
        <v>2257</v>
      </c>
      <c r="H3599">
        <v>2017</v>
      </c>
      <c r="I3599">
        <v>2022</v>
      </c>
      <c r="J3599">
        <f t="shared" si="112"/>
        <v>6</v>
      </c>
      <c r="K3599" s="1" t="s">
        <v>741</v>
      </c>
      <c r="L3599" s="1" t="s">
        <v>798</v>
      </c>
      <c r="M3599">
        <f t="shared" si="113"/>
        <v>4</v>
      </c>
      <c r="N3599" t="s">
        <v>650</v>
      </c>
    </row>
    <row r="3600" spans="1:14" hidden="1" x14ac:dyDescent="0.3">
      <c r="A3600" s="1" t="s">
        <v>2278</v>
      </c>
      <c r="B3600" s="1" t="s">
        <v>2154</v>
      </c>
      <c r="C3600" s="1" t="s">
        <v>2279</v>
      </c>
      <c r="D3600" s="1" t="s">
        <v>746</v>
      </c>
      <c r="E3600" s="1" t="s">
        <v>747</v>
      </c>
      <c r="F3600" s="1" t="s">
        <v>748</v>
      </c>
      <c r="G3600" s="1" t="s">
        <v>2257</v>
      </c>
      <c r="H3600">
        <v>2017</v>
      </c>
      <c r="I3600">
        <v>2017</v>
      </c>
      <c r="J3600">
        <f t="shared" si="112"/>
        <v>1</v>
      </c>
      <c r="K3600" s="1" t="s">
        <v>741</v>
      </c>
      <c r="L3600" s="1" t="s">
        <v>798</v>
      </c>
      <c r="M3600">
        <f t="shared" si="113"/>
        <v>9</v>
      </c>
      <c r="N3600" t="s">
        <v>650</v>
      </c>
    </row>
    <row r="3601" spans="1:14" hidden="1" x14ac:dyDescent="0.3">
      <c r="A3601" s="1" t="s">
        <v>2280</v>
      </c>
      <c r="B3601" s="1" t="s">
        <v>2154</v>
      </c>
      <c r="C3601" s="1" t="s">
        <v>2281</v>
      </c>
      <c r="D3601" s="1" t="s">
        <v>746</v>
      </c>
      <c r="E3601" s="1" t="s">
        <v>747</v>
      </c>
      <c r="F3601" s="1" t="s">
        <v>748</v>
      </c>
      <c r="G3601" s="1" t="s">
        <v>2257</v>
      </c>
      <c r="H3601">
        <v>2012</v>
      </c>
      <c r="I3601">
        <v>2014</v>
      </c>
      <c r="J3601">
        <f t="shared" si="112"/>
        <v>3</v>
      </c>
      <c r="K3601" s="1" t="s">
        <v>741</v>
      </c>
      <c r="L3601" s="1" t="s">
        <v>798</v>
      </c>
      <c r="M3601">
        <f t="shared" si="113"/>
        <v>12</v>
      </c>
      <c r="N3601" t="s">
        <v>650</v>
      </c>
    </row>
    <row r="3602" spans="1:14" hidden="1" x14ac:dyDescent="0.3">
      <c r="A3602" s="1" t="s">
        <v>2282</v>
      </c>
      <c r="B3602" s="1" t="s">
        <v>2154</v>
      </c>
      <c r="C3602" s="1" t="s">
        <v>2283</v>
      </c>
      <c r="D3602" s="1" t="s">
        <v>746</v>
      </c>
      <c r="E3602" s="1" t="s">
        <v>747</v>
      </c>
      <c r="F3602" s="1" t="s">
        <v>748</v>
      </c>
      <c r="G3602" s="1" t="s">
        <v>2257</v>
      </c>
      <c r="H3602">
        <v>2015</v>
      </c>
      <c r="I3602">
        <v>2020</v>
      </c>
      <c r="J3602">
        <f t="shared" si="112"/>
        <v>6</v>
      </c>
      <c r="K3602" s="1" t="s">
        <v>741</v>
      </c>
      <c r="L3602" s="1" t="s">
        <v>798</v>
      </c>
      <c r="M3602">
        <f t="shared" si="113"/>
        <v>6</v>
      </c>
      <c r="N3602" t="s">
        <v>650</v>
      </c>
    </row>
    <row r="3603" spans="1:14" hidden="1" x14ac:dyDescent="0.3">
      <c r="A3603" s="1" t="s">
        <v>2284</v>
      </c>
      <c r="B3603" s="1" t="s">
        <v>2154</v>
      </c>
      <c r="C3603" s="1" t="s">
        <v>2285</v>
      </c>
      <c r="D3603" s="1" t="s">
        <v>746</v>
      </c>
      <c r="E3603" s="1" t="s">
        <v>747</v>
      </c>
      <c r="F3603" s="1" t="s">
        <v>748</v>
      </c>
      <c r="G3603" s="1" t="s">
        <v>2257</v>
      </c>
      <c r="H3603">
        <v>2015</v>
      </c>
      <c r="I3603">
        <v>2015</v>
      </c>
      <c r="J3603">
        <f t="shared" si="112"/>
        <v>1</v>
      </c>
      <c r="K3603" s="1" t="s">
        <v>741</v>
      </c>
      <c r="L3603" s="1" t="s">
        <v>798</v>
      </c>
      <c r="M3603">
        <f t="shared" si="113"/>
        <v>11</v>
      </c>
      <c r="N3603" t="s">
        <v>650</v>
      </c>
    </row>
    <row r="3604" spans="1:14" hidden="1" x14ac:dyDescent="0.3">
      <c r="A3604" s="1" t="s">
        <v>2286</v>
      </c>
      <c r="B3604" s="1" t="s">
        <v>2154</v>
      </c>
      <c r="C3604" s="1" t="s">
        <v>2287</v>
      </c>
      <c r="D3604" s="1" t="s">
        <v>746</v>
      </c>
      <c r="E3604" s="1" t="s">
        <v>747</v>
      </c>
      <c r="F3604" s="1" t="s">
        <v>748</v>
      </c>
      <c r="G3604" s="1" t="s">
        <v>2257</v>
      </c>
      <c r="H3604">
        <v>2012</v>
      </c>
      <c r="I3604">
        <v>2016</v>
      </c>
      <c r="J3604">
        <f t="shared" si="112"/>
        <v>5</v>
      </c>
      <c r="K3604" s="1" t="s">
        <v>741</v>
      </c>
      <c r="L3604" s="1" t="s">
        <v>798</v>
      </c>
      <c r="M3604">
        <f t="shared" si="113"/>
        <v>10</v>
      </c>
      <c r="N3604" t="s">
        <v>650</v>
      </c>
    </row>
    <row r="3605" spans="1:14" hidden="1" x14ac:dyDescent="0.3">
      <c r="A3605" s="1" t="s">
        <v>2288</v>
      </c>
      <c r="B3605" s="1" t="s">
        <v>2154</v>
      </c>
      <c r="C3605" s="1" t="s">
        <v>2289</v>
      </c>
      <c r="D3605" s="1" t="s">
        <v>746</v>
      </c>
      <c r="E3605" s="1" t="s">
        <v>747</v>
      </c>
      <c r="F3605" s="1" t="s">
        <v>748</v>
      </c>
      <c r="G3605" s="1" t="s">
        <v>2257</v>
      </c>
      <c r="H3605">
        <v>2017</v>
      </c>
      <c r="I3605">
        <v>2022</v>
      </c>
      <c r="J3605">
        <f t="shared" si="112"/>
        <v>6</v>
      </c>
      <c r="K3605" s="1" t="s">
        <v>741</v>
      </c>
      <c r="L3605" s="1" t="s">
        <v>798</v>
      </c>
      <c r="M3605">
        <f t="shared" si="113"/>
        <v>4</v>
      </c>
      <c r="N3605" t="s">
        <v>650</v>
      </c>
    </row>
    <row r="3606" spans="1:14" hidden="1" x14ac:dyDescent="0.3">
      <c r="A3606" s="1" t="s">
        <v>2290</v>
      </c>
      <c r="B3606" s="1" t="s">
        <v>2154</v>
      </c>
      <c r="C3606" s="1" t="s">
        <v>2291</v>
      </c>
      <c r="D3606" s="1" t="s">
        <v>746</v>
      </c>
      <c r="E3606" s="1" t="s">
        <v>747</v>
      </c>
      <c r="F3606" s="1" t="s">
        <v>748</v>
      </c>
      <c r="G3606" s="1" t="s">
        <v>2257</v>
      </c>
      <c r="H3606">
        <v>2017</v>
      </c>
      <c r="I3606">
        <v>2022</v>
      </c>
      <c r="J3606">
        <f t="shared" si="112"/>
        <v>6</v>
      </c>
      <c r="K3606" s="1" t="s">
        <v>741</v>
      </c>
      <c r="L3606" s="1" t="s">
        <v>798</v>
      </c>
      <c r="M3606">
        <f t="shared" si="113"/>
        <v>4</v>
      </c>
      <c r="N3606" t="s">
        <v>650</v>
      </c>
    </row>
    <row r="3607" spans="1:14" x14ac:dyDescent="0.3">
      <c r="A3607" s="1" t="s">
        <v>8859</v>
      </c>
      <c r="B3607" s="1" t="s">
        <v>802</v>
      </c>
      <c r="C3607" s="1" t="s">
        <v>8860</v>
      </c>
      <c r="D3607" s="1" t="s">
        <v>738</v>
      </c>
      <c r="E3607" s="1" t="s">
        <v>6076</v>
      </c>
      <c r="F3607" s="1" t="s">
        <v>6076</v>
      </c>
      <c r="G3607" s="1" t="s">
        <v>8861</v>
      </c>
      <c r="H3607">
        <v>1999</v>
      </c>
      <c r="I3607">
        <v>1999</v>
      </c>
      <c r="J3607">
        <f t="shared" si="112"/>
        <v>1</v>
      </c>
      <c r="K3607" s="1" t="s">
        <v>6076</v>
      </c>
      <c r="L3607" s="1" t="s">
        <v>6076</v>
      </c>
      <c r="M3607">
        <f t="shared" si="113"/>
        <v>27</v>
      </c>
      <c r="N3607" t="s">
        <v>640</v>
      </c>
    </row>
    <row r="3608" spans="1:14" x14ac:dyDescent="0.3">
      <c r="A3608" s="1" t="s">
        <v>8862</v>
      </c>
      <c r="B3608" s="1" t="s">
        <v>802</v>
      </c>
      <c r="C3608" s="1" t="s">
        <v>8863</v>
      </c>
      <c r="D3608" s="1" t="s">
        <v>738</v>
      </c>
      <c r="E3608" s="1" t="s">
        <v>6076</v>
      </c>
      <c r="F3608" s="1" t="s">
        <v>6076</v>
      </c>
      <c r="G3608" s="1" t="s">
        <v>8861</v>
      </c>
      <c r="H3608">
        <v>2003</v>
      </c>
      <c r="I3608">
        <v>2003</v>
      </c>
      <c r="J3608">
        <f t="shared" si="112"/>
        <v>1</v>
      </c>
      <c r="K3608" s="1" t="s">
        <v>6076</v>
      </c>
      <c r="L3608" s="1" t="s">
        <v>6076</v>
      </c>
      <c r="M3608">
        <f t="shared" si="113"/>
        <v>23</v>
      </c>
      <c r="N3608" t="s">
        <v>640</v>
      </c>
    </row>
    <row r="3609" spans="1:14" x14ac:dyDescent="0.3">
      <c r="A3609" s="1" t="s">
        <v>8864</v>
      </c>
      <c r="B3609" s="1" t="s">
        <v>802</v>
      </c>
      <c r="C3609" s="1" t="s">
        <v>8865</v>
      </c>
      <c r="D3609" s="1" t="s">
        <v>738</v>
      </c>
      <c r="E3609" s="1" t="s">
        <v>6076</v>
      </c>
      <c r="F3609" s="1" t="s">
        <v>6076</v>
      </c>
      <c r="G3609" s="1" t="s">
        <v>8861</v>
      </c>
      <c r="H3609">
        <v>1998</v>
      </c>
      <c r="I3609">
        <v>1998</v>
      </c>
      <c r="J3609">
        <f t="shared" si="112"/>
        <v>1</v>
      </c>
      <c r="K3609" s="1" t="s">
        <v>6076</v>
      </c>
      <c r="L3609" s="1" t="s">
        <v>6076</v>
      </c>
      <c r="M3609">
        <f t="shared" si="113"/>
        <v>28</v>
      </c>
      <c r="N3609" t="s">
        <v>640</v>
      </c>
    </row>
    <row r="3610" spans="1:14" x14ac:dyDescent="0.3">
      <c r="A3610" s="1" t="s">
        <v>8866</v>
      </c>
      <c r="B3610" s="1" t="s">
        <v>802</v>
      </c>
      <c r="C3610" s="1" t="s">
        <v>8867</v>
      </c>
      <c r="D3610" s="1" t="s">
        <v>738</v>
      </c>
      <c r="E3610" s="1" t="s">
        <v>6076</v>
      </c>
      <c r="F3610" s="1" t="s">
        <v>6076</v>
      </c>
      <c r="G3610" s="1" t="s">
        <v>8861</v>
      </c>
      <c r="H3610">
        <v>2001</v>
      </c>
      <c r="I3610">
        <v>2001</v>
      </c>
      <c r="J3610">
        <f t="shared" si="112"/>
        <v>1</v>
      </c>
      <c r="K3610" s="1" t="s">
        <v>6076</v>
      </c>
      <c r="L3610" s="1" t="s">
        <v>6076</v>
      </c>
      <c r="M3610">
        <f t="shared" si="113"/>
        <v>25</v>
      </c>
      <c r="N3610" t="s">
        <v>640</v>
      </c>
    </row>
    <row r="3611" spans="1:14" x14ac:dyDescent="0.3">
      <c r="A3611" s="1" t="s">
        <v>8868</v>
      </c>
      <c r="B3611" s="1" t="s">
        <v>802</v>
      </c>
      <c r="C3611" s="1" t="s">
        <v>8869</v>
      </c>
      <c r="D3611" s="1" t="s">
        <v>738</v>
      </c>
      <c r="E3611" s="1" t="s">
        <v>6076</v>
      </c>
      <c r="F3611" s="1" t="s">
        <v>6076</v>
      </c>
      <c r="G3611" s="1" t="s">
        <v>8861</v>
      </c>
      <c r="H3611">
        <v>1998</v>
      </c>
      <c r="I3611">
        <v>1998</v>
      </c>
      <c r="J3611">
        <f t="shared" si="112"/>
        <v>1</v>
      </c>
      <c r="K3611" s="1" t="s">
        <v>6076</v>
      </c>
      <c r="L3611" s="1" t="s">
        <v>6076</v>
      </c>
      <c r="M3611">
        <f t="shared" si="113"/>
        <v>28</v>
      </c>
      <c r="N3611" t="s">
        <v>640</v>
      </c>
    </row>
    <row r="3612" spans="1:14" x14ac:dyDescent="0.3">
      <c r="A3612" s="1" t="s">
        <v>8870</v>
      </c>
      <c r="B3612" s="1" t="s">
        <v>802</v>
      </c>
      <c r="C3612" s="1" t="s">
        <v>8871</v>
      </c>
      <c r="D3612" s="1" t="s">
        <v>738</v>
      </c>
      <c r="E3612" s="1" t="s">
        <v>6076</v>
      </c>
      <c r="F3612" s="1" t="s">
        <v>6076</v>
      </c>
      <c r="G3612" s="1" t="s">
        <v>8861</v>
      </c>
      <c r="H3612">
        <v>2002</v>
      </c>
      <c r="I3612">
        <v>2002</v>
      </c>
      <c r="J3612">
        <f t="shared" si="112"/>
        <v>1</v>
      </c>
      <c r="K3612" s="1" t="s">
        <v>6076</v>
      </c>
      <c r="L3612" s="1" t="s">
        <v>6076</v>
      </c>
      <c r="M3612">
        <f t="shared" si="113"/>
        <v>24</v>
      </c>
      <c r="N3612" t="s">
        <v>640</v>
      </c>
    </row>
    <row r="3613" spans="1:14" x14ac:dyDescent="0.3">
      <c r="A3613" s="1" t="s">
        <v>8872</v>
      </c>
      <c r="B3613" s="1" t="s">
        <v>802</v>
      </c>
      <c r="C3613" s="1" t="s">
        <v>8873</v>
      </c>
      <c r="D3613" s="1" t="s">
        <v>738</v>
      </c>
      <c r="E3613" s="1" t="s">
        <v>6076</v>
      </c>
      <c r="F3613" s="1" t="s">
        <v>6076</v>
      </c>
      <c r="G3613" s="1" t="s">
        <v>8861</v>
      </c>
      <c r="H3613">
        <v>2001</v>
      </c>
      <c r="I3613">
        <v>2001</v>
      </c>
      <c r="J3613">
        <f t="shared" si="112"/>
        <v>1</v>
      </c>
      <c r="K3613" s="1" t="s">
        <v>6076</v>
      </c>
      <c r="L3613" s="1" t="s">
        <v>6076</v>
      </c>
      <c r="M3613">
        <f t="shared" si="113"/>
        <v>25</v>
      </c>
      <c r="N3613" t="s">
        <v>640</v>
      </c>
    </row>
    <row r="3614" spans="1:14" x14ac:dyDescent="0.3">
      <c r="A3614" s="1" t="s">
        <v>8874</v>
      </c>
      <c r="B3614" s="1" t="s">
        <v>802</v>
      </c>
      <c r="C3614" s="1" t="s">
        <v>8875</v>
      </c>
      <c r="D3614" s="1" t="s">
        <v>738</v>
      </c>
      <c r="E3614" s="1" t="s">
        <v>6076</v>
      </c>
      <c r="F3614" s="1" t="s">
        <v>6076</v>
      </c>
      <c r="G3614" s="1" t="s">
        <v>8861</v>
      </c>
      <c r="H3614">
        <v>2006</v>
      </c>
      <c r="I3614">
        <v>2006</v>
      </c>
      <c r="J3614">
        <f t="shared" si="112"/>
        <v>1</v>
      </c>
      <c r="K3614" s="1" t="s">
        <v>6076</v>
      </c>
      <c r="L3614" s="1" t="s">
        <v>6076</v>
      </c>
      <c r="M3614">
        <f t="shared" si="113"/>
        <v>20</v>
      </c>
      <c r="N3614" t="s">
        <v>640</v>
      </c>
    </row>
    <row r="3615" spans="1:14" x14ac:dyDescent="0.3">
      <c r="A3615" s="1" t="s">
        <v>8876</v>
      </c>
      <c r="B3615" s="1" t="s">
        <v>802</v>
      </c>
      <c r="C3615" s="1" t="s">
        <v>8877</v>
      </c>
      <c r="D3615" s="1" t="s">
        <v>738</v>
      </c>
      <c r="E3615" s="1" t="s">
        <v>6076</v>
      </c>
      <c r="F3615" s="1" t="s">
        <v>6076</v>
      </c>
      <c r="G3615" s="1" t="s">
        <v>8861</v>
      </c>
      <c r="H3615">
        <v>1999</v>
      </c>
      <c r="I3615">
        <v>1999</v>
      </c>
      <c r="J3615">
        <f t="shared" si="112"/>
        <v>1</v>
      </c>
      <c r="K3615" s="1" t="s">
        <v>6076</v>
      </c>
      <c r="L3615" s="1" t="s">
        <v>6076</v>
      </c>
      <c r="M3615">
        <f t="shared" si="113"/>
        <v>27</v>
      </c>
      <c r="N3615" t="s">
        <v>640</v>
      </c>
    </row>
    <row r="3616" spans="1:14" x14ac:dyDescent="0.3">
      <c r="A3616" s="1" t="s">
        <v>8878</v>
      </c>
      <c r="B3616" s="1" t="s">
        <v>802</v>
      </c>
      <c r="C3616" s="1" t="s">
        <v>8879</v>
      </c>
      <c r="D3616" s="1" t="s">
        <v>738</v>
      </c>
      <c r="E3616" s="1" t="s">
        <v>6076</v>
      </c>
      <c r="F3616" s="1" t="s">
        <v>6076</v>
      </c>
      <c r="G3616" s="1" t="s">
        <v>8861</v>
      </c>
      <c r="H3616">
        <v>1998</v>
      </c>
      <c r="I3616">
        <v>1998</v>
      </c>
      <c r="J3616">
        <f t="shared" si="112"/>
        <v>1</v>
      </c>
      <c r="K3616" s="1" t="s">
        <v>6076</v>
      </c>
      <c r="L3616" s="1" t="s">
        <v>6076</v>
      </c>
      <c r="M3616">
        <f t="shared" si="113"/>
        <v>28</v>
      </c>
      <c r="N3616" t="s">
        <v>640</v>
      </c>
    </row>
    <row r="3617" spans="1:14" x14ac:dyDescent="0.3">
      <c r="A3617" s="1" t="s">
        <v>8880</v>
      </c>
      <c r="B3617" s="1" t="s">
        <v>802</v>
      </c>
      <c r="C3617" s="1" t="s">
        <v>8881</v>
      </c>
      <c r="D3617" s="1" t="s">
        <v>738</v>
      </c>
      <c r="E3617" s="1" t="s">
        <v>6076</v>
      </c>
      <c r="F3617" s="1" t="s">
        <v>6076</v>
      </c>
      <c r="G3617" s="1" t="s">
        <v>8861</v>
      </c>
      <c r="H3617">
        <v>1998</v>
      </c>
      <c r="I3617">
        <v>1998</v>
      </c>
      <c r="J3617">
        <f t="shared" si="112"/>
        <v>1</v>
      </c>
      <c r="K3617" s="1" t="s">
        <v>6076</v>
      </c>
      <c r="L3617" s="1" t="s">
        <v>6076</v>
      </c>
      <c r="M3617">
        <f t="shared" si="113"/>
        <v>28</v>
      </c>
      <c r="N3617" t="s">
        <v>640</v>
      </c>
    </row>
    <row r="3618" spans="1:14" x14ac:dyDescent="0.3">
      <c r="A3618" s="1" t="s">
        <v>8882</v>
      </c>
      <c r="B3618" s="1" t="s">
        <v>802</v>
      </c>
      <c r="C3618" s="1" t="s">
        <v>8883</v>
      </c>
      <c r="D3618" s="1" t="s">
        <v>738</v>
      </c>
      <c r="E3618" s="1" t="s">
        <v>6076</v>
      </c>
      <c r="F3618" s="1" t="s">
        <v>6076</v>
      </c>
      <c r="G3618" s="1" t="s">
        <v>8861</v>
      </c>
      <c r="H3618">
        <v>1999</v>
      </c>
      <c r="I3618">
        <v>1999</v>
      </c>
      <c r="J3618">
        <f t="shared" si="112"/>
        <v>1</v>
      </c>
      <c r="K3618" s="1" t="s">
        <v>6076</v>
      </c>
      <c r="L3618" s="1" t="s">
        <v>6076</v>
      </c>
      <c r="M3618">
        <f t="shared" si="113"/>
        <v>27</v>
      </c>
      <c r="N3618" t="s">
        <v>640</v>
      </c>
    </row>
    <row r="3619" spans="1:14" x14ac:dyDescent="0.3">
      <c r="A3619" s="1" t="s">
        <v>8884</v>
      </c>
      <c r="B3619" s="1" t="s">
        <v>802</v>
      </c>
      <c r="C3619" s="1" t="s">
        <v>8885</v>
      </c>
      <c r="D3619" s="1" t="s">
        <v>738</v>
      </c>
      <c r="E3619" s="1" t="s">
        <v>6076</v>
      </c>
      <c r="F3619" s="1" t="s">
        <v>6076</v>
      </c>
      <c r="G3619" s="1" t="s">
        <v>8861</v>
      </c>
      <c r="H3619">
        <v>2003</v>
      </c>
      <c r="I3619">
        <v>2003</v>
      </c>
      <c r="J3619">
        <f t="shared" si="112"/>
        <v>1</v>
      </c>
      <c r="K3619" s="1" t="s">
        <v>6076</v>
      </c>
      <c r="L3619" s="1" t="s">
        <v>6076</v>
      </c>
      <c r="M3619">
        <f t="shared" si="113"/>
        <v>23</v>
      </c>
      <c r="N3619" t="s">
        <v>640</v>
      </c>
    </row>
    <row r="3620" spans="1:14" x14ac:dyDescent="0.3">
      <c r="A3620" s="1" t="s">
        <v>8886</v>
      </c>
      <c r="B3620" s="1" t="s">
        <v>802</v>
      </c>
      <c r="C3620" s="1" t="s">
        <v>8887</v>
      </c>
      <c r="D3620" s="1" t="s">
        <v>738</v>
      </c>
      <c r="E3620" s="1" t="s">
        <v>6076</v>
      </c>
      <c r="F3620" s="1" t="s">
        <v>6076</v>
      </c>
      <c r="G3620" s="1" t="s">
        <v>8861</v>
      </c>
      <c r="H3620">
        <v>1998</v>
      </c>
      <c r="I3620">
        <v>1998</v>
      </c>
      <c r="J3620">
        <f t="shared" si="112"/>
        <v>1</v>
      </c>
      <c r="K3620" s="1" t="s">
        <v>6076</v>
      </c>
      <c r="L3620" s="1" t="s">
        <v>6076</v>
      </c>
      <c r="M3620">
        <f t="shared" si="113"/>
        <v>28</v>
      </c>
      <c r="N3620" t="s">
        <v>640</v>
      </c>
    </row>
    <row r="3621" spans="1:14" x14ac:dyDescent="0.3">
      <c r="A3621" s="1" t="s">
        <v>8888</v>
      </c>
      <c r="B3621" s="1" t="s">
        <v>802</v>
      </c>
      <c r="C3621" s="1" t="s">
        <v>8889</v>
      </c>
      <c r="D3621" s="1" t="s">
        <v>738</v>
      </c>
      <c r="E3621" s="1" t="s">
        <v>6076</v>
      </c>
      <c r="F3621" s="1" t="s">
        <v>6076</v>
      </c>
      <c r="G3621" s="1" t="s">
        <v>8861</v>
      </c>
      <c r="H3621">
        <v>2001</v>
      </c>
      <c r="I3621">
        <v>2001</v>
      </c>
      <c r="J3621">
        <f t="shared" si="112"/>
        <v>1</v>
      </c>
      <c r="K3621" s="1" t="s">
        <v>6076</v>
      </c>
      <c r="L3621" s="1" t="s">
        <v>6076</v>
      </c>
      <c r="M3621">
        <f t="shared" si="113"/>
        <v>25</v>
      </c>
      <c r="N3621" t="s">
        <v>640</v>
      </c>
    </row>
    <row r="3622" spans="1:14" x14ac:dyDescent="0.3">
      <c r="A3622" s="1" t="s">
        <v>8890</v>
      </c>
      <c r="B3622" s="1" t="s">
        <v>802</v>
      </c>
      <c r="C3622" s="1" t="s">
        <v>8891</v>
      </c>
      <c r="D3622" s="1" t="s">
        <v>738</v>
      </c>
      <c r="E3622" s="1" t="s">
        <v>6076</v>
      </c>
      <c r="F3622" s="1" t="s">
        <v>6076</v>
      </c>
      <c r="G3622" s="1" t="s">
        <v>8861</v>
      </c>
      <c r="H3622">
        <v>1998</v>
      </c>
      <c r="I3622">
        <v>1998</v>
      </c>
      <c r="J3622">
        <f t="shared" si="112"/>
        <v>1</v>
      </c>
      <c r="K3622" s="1" t="s">
        <v>6076</v>
      </c>
      <c r="L3622" s="1" t="s">
        <v>6076</v>
      </c>
      <c r="M3622">
        <f t="shared" si="113"/>
        <v>28</v>
      </c>
      <c r="N3622" t="s">
        <v>640</v>
      </c>
    </row>
    <row r="3623" spans="1:14" x14ac:dyDescent="0.3">
      <c r="A3623" s="1" t="s">
        <v>8892</v>
      </c>
      <c r="B3623" s="1" t="s">
        <v>802</v>
      </c>
      <c r="C3623" s="1" t="s">
        <v>8893</v>
      </c>
      <c r="D3623" s="1" t="s">
        <v>738</v>
      </c>
      <c r="E3623" s="1" t="s">
        <v>6076</v>
      </c>
      <c r="F3623" s="1" t="s">
        <v>6076</v>
      </c>
      <c r="G3623" s="1" t="s">
        <v>8861</v>
      </c>
      <c r="H3623">
        <v>2002</v>
      </c>
      <c r="I3623">
        <v>2002</v>
      </c>
      <c r="J3623">
        <f t="shared" si="112"/>
        <v>1</v>
      </c>
      <c r="K3623" s="1" t="s">
        <v>6076</v>
      </c>
      <c r="L3623" s="1" t="s">
        <v>6076</v>
      </c>
      <c r="M3623">
        <f t="shared" si="113"/>
        <v>24</v>
      </c>
      <c r="N3623" t="s">
        <v>640</v>
      </c>
    </row>
    <row r="3624" spans="1:14" x14ac:dyDescent="0.3">
      <c r="A3624" s="1" t="s">
        <v>8894</v>
      </c>
      <c r="B3624" s="1" t="s">
        <v>802</v>
      </c>
      <c r="C3624" s="1" t="s">
        <v>8895</v>
      </c>
      <c r="D3624" s="1" t="s">
        <v>738</v>
      </c>
      <c r="E3624" s="1" t="s">
        <v>6076</v>
      </c>
      <c r="F3624" s="1" t="s">
        <v>6076</v>
      </c>
      <c r="G3624" s="1" t="s">
        <v>8861</v>
      </c>
      <c r="H3624">
        <v>2001</v>
      </c>
      <c r="I3624">
        <v>2001</v>
      </c>
      <c r="J3624">
        <f t="shared" si="112"/>
        <v>1</v>
      </c>
      <c r="K3624" s="1" t="s">
        <v>6076</v>
      </c>
      <c r="L3624" s="1" t="s">
        <v>6076</v>
      </c>
      <c r="M3624">
        <f t="shared" si="113"/>
        <v>25</v>
      </c>
      <c r="N3624" t="s">
        <v>640</v>
      </c>
    </row>
    <row r="3625" spans="1:14" x14ac:dyDescent="0.3">
      <c r="A3625" s="1" t="s">
        <v>8896</v>
      </c>
      <c r="B3625" s="1" t="s">
        <v>802</v>
      </c>
      <c r="C3625" s="1" t="s">
        <v>8897</v>
      </c>
      <c r="D3625" s="1" t="s">
        <v>738</v>
      </c>
      <c r="E3625" s="1" t="s">
        <v>6076</v>
      </c>
      <c r="F3625" s="1" t="s">
        <v>6076</v>
      </c>
      <c r="G3625" s="1" t="s">
        <v>8861</v>
      </c>
      <c r="H3625">
        <v>2006</v>
      </c>
      <c r="I3625">
        <v>2006</v>
      </c>
      <c r="J3625">
        <f t="shared" si="112"/>
        <v>1</v>
      </c>
      <c r="K3625" s="1" t="s">
        <v>6076</v>
      </c>
      <c r="L3625" s="1" t="s">
        <v>6076</v>
      </c>
      <c r="M3625">
        <f t="shared" si="113"/>
        <v>20</v>
      </c>
      <c r="N3625" t="s">
        <v>640</v>
      </c>
    </row>
    <row r="3626" spans="1:14" x14ac:dyDescent="0.3">
      <c r="A3626" s="1" t="s">
        <v>8898</v>
      </c>
      <c r="B3626" s="1" t="s">
        <v>802</v>
      </c>
      <c r="C3626" s="1" t="s">
        <v>8899</v>
      </c>
      <c r="D3626" s="1" t="s">
        <v>738</v>
      </c>
      <c r="E3626" s="1" t="s">
        <v>6076</v>
      </c>
      <c r="F3626" s="1" t="s">
        <v>6076</v>
      </c>
      <c r="G3626" s="1" t="s">
        <v>8861</v>
      </c>
      <c r="H3626">
        <v>1999</v>
      </c>
      <c r="I3626">
        <v>1999</v>
      </c>
      <c r="J3626">
        <f t="shared" si="112"/>
        <v>1</v>
      </c>
      <c r="K3626" s="1" t="s">
        <v>6076</v>
      </c>
      <c r="L3626" s="1" t="s">
        <v>6076</v>
      </c>
      <c r="M3626">
        <f t="shared" si="113"/>
        <v>27</v>
      </c>
      <c r="N3626" t="s">
        <v>640</v>
      </c>
    </row>
    <row r="3627" spans="1:14" x14ac:dyDescent="0.3">
      <c r="A3627" s="1" t="s">
        <v>8900</v>
      </c>
      <c r="B3627" s="1" t="s">
        <v>802</v>
      </c>
      <c r="C3627" s="1" t="s">
        <v>8901</v>
      </c>
      <c r="D3627" s="1" t="s">
        <v>738</v>
      </c>
      <c r="E3627" s="1" t="s">
        <v>6076</v>
      </c>
      <c r="F3627" s="1" t="s">
        <v>6076</v>
      </c>
      <c r="G3627" s="1" t="s">
        <v>8861</v>
      </c>
      <c r="H3627">
        <v>1998</v>
      </c>
      <c r="I3627">
        <v>1998</v>
      </c>
      <c r="J3627">
        <f t="shared" si="112"/>
        <v>1</v>
      </c>
      <c r="K3627" s="1" t="s">
        <v>6076</v>
      </c>
      <c r="L3627" s="1" t="s">
        <v>6076</v>
      </c>
      <c r="M3627">
        <f t="shared" si="113"/>
        <v>28</v>
      </c>
      <c r="N3627" t="s">
        <v>640</v>
      </c>
    </row>
    <row r="3628" spans="1:14" x14ac:dyDescent="0.3">
      <c r="A3628" s="1" t="s">
        <v>8902</v>
      </c>
      <c r="B3628" s="1" t="s">
        <v>802</v>
      </c>
      <c r="C3628" s="1" t="s">
        <v>8903</v>
      </c>
      <c r="D3628" s="1" t="s">
        <v>738</v>
      </c>
      <c r="E3628" s="1" t="s">
        <v>6076</v>
      </c>
      <c r="F3628" s="1" t="s">
        <v>6076</v>
      </c>
      <c r="G3628" s="1" t="s">
        <v>8861</v>
      </c>
      <c r="H3628">
        <v>1999</v>
      </c>
      <c r="I3628">
        <v>1999</v>
      </c>
      <c r="J3628">
        <f t="shared" si="112"/>
        <v>1</v>
      </c>
      <c r="K3628" s="1" t="s">
        <v>6076</v>
      </c>
      <c r="L3628" s="1" t="s">
        <v>6076</v>
      </c>
      <c r="M3628">
        <f t="shared" si="113"/>
        <v>27</v>
      </c>
      <c r="N3628" t="s">
        <v>640</v>
      </c>
    </row>
    <row r="3629" spans="1:14" hidden="1" x14ac:dyDescent="0.3">
      <c r="A3629" s="1" t="s">
        <v>10735</v>
      </c>
      <c r="B3629" s="1" t="s">
        <v>12756</v>
      </c>
      <c r="C3629" s="1" t="s">
        <v>10736</v>
      </c>
      <c r="D3629" s="1" t="s">
        <v>644</v>
      </c>
      <c r="E3629" s="1" t="s">
        <v>645</v>
      </c>
      <c r="F3629" s="1" t="s">
        <v>646</v>
      </c>
      <c r="G3629" s="1" t="s">
        <v>8906</v>
      </c>
      <c r="H3629">
        <v>2014</v>
      </c>
      <c r="I3629">
        <v>2022</v>
      </c>
      <c r="J3629">
        <f t="shared" si="112"/>
        <v>9</v>
      </c>
      <c r="K3629" s="1" t="s">
        <v>648</v>
      </c>
      <c r="L3629" s="1" t="s">
        <v>666</v>
      </c>
      <c r="M3629">
        <f t="shared" si="113"/>
        <v>4</v>
      </c>
      <c r="N3629" t="s">
        <v>650</v>
      </c>
    </row>
    <row r="3630" spans="1:14" hidden="1" x14ac:dyDescent="0.3">
      <c r="A3630" s="1" t="s">
        <v>10737</v>
      </c>
      <c r="B3630" s="1" t="s">
        <v>12756</v>
      </c>
      <c r="C3630" s="1" t="s">
        <v>10738</v>
      </c>
      <c r="D3630" s="1" t="s">
        <v>644</v>
      </c>
      <c r="E3630" s="1" t="s">
        <v>645</v>
      </c>
      <c r="F3630" s="1" t="s">
        <v>646</v>
      </c>
      <c r="G3630" s="1" t="s">
        <v>8906</v>
      </c>
      <c r="H3630">
        <v>2013</v>
      </c>
      <c r="I3630">
        <v>2022</v>
      </c>
      <c r="J3630">
        <f t="shared" si="112"/>
        <v>10</v>
      </c>
      <c r="K3630" s="1" t="s">
        <v>648</v>
      </c>
      <c r="L3630" s="1" t="s">
        <v>666</v>
      </c>
      <c r="M3630">
        <f t="shared" si="113"/>
        <v>4</v>
      </c>
      <c r="N3630" t="s">
        <v>650</v>
      </c>
    </row>
    <row r="3631" spans="1:14" hidden="1" x14ac:dyDescent="0.3">
      <c r="A3631" s="1" t="s">
        <v>10739</v>
      </c>
      <c r="B3631" s="1" t="s">
        <v>12756</v>
      </c>
      <c r="C3631" s="1" t="s">
        <v>10740</v>
      </c>
      <c r="D3631" s="1" t="s">
        <v>644</v>
      </c>
      <c r="E3631" s="1" t="s">
        <v>645</v>
      </c>
      <c r="F3631" s="1" t="s">
        <v>646</v>
      </c>
      <c r="G3631" s="1" t="s">
        <v>8906</v>
      </c>
      <c r="H3631">
        <v>2014</v>
      </c>
      <c r="I3631">
        <v>2022</v>
      </c>
      <c r="J3631">
        <f t="shared" si="112"/>
        <v>9</v>
      </c>
      <c r="K3631" s="1" t="s">
        <v>648</v>
      </c>
      <c r="L3631" s="1" t="s">
        <v>666</v>
      </c>
      <c r="M3631">
        <f t="shared" si="113"/>
        <v>4</v>
      </c>
      <c r="N3631" t="s">
        <v>650</v>
      </c>
    </row>
    <row r="3632" spans="1:14" hidden="1" x14ac:dyDescent="0.3">
      <c r="A3632" s="1" t="s">
        <v>10741</v>
      </c>
      <c r="B3632" s="1" t="s">
        <v>12756</v>
      </c>
      <c r="C3632" s="1" t="s">
        <v>10742</v>
      </c>
      <c r="D3632" s="1" t="s">
        <v>644</v>
      </c>
      <c r="E3632" s="1" t="s">
        <v>645</v>
      </c>
      <c r="F3632" s="1" t="s">
        <v>646</v>
      </c>
      <c r="G3632" s="1" t="s">
        <v>8906</v>
      </c>
      <c r="H3632">
        <v>2014</v>
      </c>
      <c r="I3632">
        <v>2022</v>
      </c>
      <c r="J3632">
        <f t="shared" si="112"/>
        <v>9</v>
      </c>
      <c r="K3632" s="1" t="s">
        <v>648</v>
      </c>
      <c r="L3632" s="1" t="s">
        <v>666</v>
      </c>
      <c r="M3632">
        <f t="shared" si="113"/>
        <v>4</v>
      </c>
      <c r="N3632" t="s">
        <v>650</v>
      </c>
    </row>
    <row r="3633" spans="1:14" hidden="1" x14ac:dyDescent="0.3">
      <c r="A3633" t="s">
        <v>12289</v>
      </c>
      <c r="B3633" t="s">
        <v>12756</v>
      </c>
      <c r="C3633" t="s">
        <v>12290</v>
      </c>
      <c r="E3633" s="1" t="e">
        <v>#N/A</v>
      </c>
      <c r="F3633" s="1" t="e">
        <v>#N/A</v>
      </c>
      <c r="G3633" s="1" t="s">
        <v>12878</v>
      </c>
      <c r="H3633">
        <v>2023</v>
      </c>
      <c r="I3633">
        <v>2026</v>
      </c>
      <c r="J3633">
        <f t="shared" si="112"/>
        <v>4</v>
      </c>
      <c r="K3633" s="1" t="s">
        <v>648</v>
      </c>
      <c r="L3633" s="1" t="s">
        <v>659</v>
      </c>
      <c r="M3633">
        <f t="shared" si="113"/>
        <v>0</v>
      </c>
    </row>
    <row r="3634" spans="1:14" hidden="1" x14ac:dyDescent="0.3">
      <c r="A3634" s="1" t="s">
        <v>10743</v>
      </c>
      <c r="B3634" s="1" t="s">
        <v>12756</v>
      </c>
      <c r="C3634" s="1" t="s">
        <v>10744</v>
      </c>
      <c r="D3634" s="1" t="s">
        <v>644</v>
      </c>
      <c r="E3634" s="1" t="s">
        <v>645</v>
      </c>
      <c r="F3634" s="1" t="s">
        <v>646</v>
      </c>
      <c r="G3634" s="1" t="s">
        <v>8906</v>
      </c>
      <c r="H3634">
        <v>2014</v>
      </c>
      <c r="I3634">
        <v>2022</v>
      </c>
      <c r="J3634">
        <f t="shared" si="112"/>
        <v>9</v>
      </c>
      <c r="K3634" s="1" t="s">
        <v>648</v>
      </c>
      <c r="L3634" s="1" t="s">
        <v>666</v>
      </c>
      <c r="M3634">
        <f t="shared" si="113"/>
        <v>4</v>
      </c>
      <c r="N3634" t="s">
        <v>650</v>
      </c>
    </row>
    <row r="3635" spans="1:14" hidden="1" x14ac:dyDescent="0.3">
      <c r="A3635" s="1" t="s">
        <v>10745</v>
      </c>
      <c r="B3635" s="1" t="s">
        <v>12756</v>
      </c>
      <c r="C3635" s="1" t="s">
        <v>10746</v>
      </c>
      <c r="D3635" s="1" t="s">
        <v>644</v>
      </c>
      <c r="E3635" s="1" t="s">
        <v>645</v>
      </c>
      <c r="F3635" s="1" t="s">
        <v>646</v>
      </c>
      <c r="G3635" s="1" t="s">
        <v>8906</v>
      </c>
      <c r="H3635">
        <v>2014</v>
      </c>
      <c r="I3635">
        <v>2022</v>
      </c>
      <c r="J3635">
        <f t="shared" si="112"/>
        <v>9</v>
      </c>
      <c r="K3635" s="1" t="s">
        <v>648</v>
      </c>
      <c r="L3635" s="1" t="s">
        <v>666</v>
      </c>
      <c r="M3635">
        <f t="shared" si="113"/>
        <v>4</v>
      </c>
      <c r="N3635" t="s">
        <v>650</v>
      </c>
    </row>
    <row r="3636" spans="1:14" hidden="1" x14ac:dyDescent="0.3">
      <c r="A3636" s="1" t="s">
        <v>10747</v>
      </c>
      <c r="B3636" s="1" t="s">
        <v>12756</v>
      </c>
      <c r="C3636" s="1" t="s">
        <v>10748</v>
      </c>
      <c r="D3636" s="1" t="s">
        <v>644</v>
      </c>
      <c r="E3636" s="1" t="s">
        <v>645</v>
      </c>
      <c r="F3636" s="1" t="s">
        <v>646</v>
      </c>
      <c r="G3636" s="1" t="s">
        <v>8906</v>
      </c>
      <c r="H3636">
        <v>2014</v>
      </c>
      <c r="I3636">
        <v>2022</v>
      </c>
      <c r="J3636">
        <f t="shared" si="112"/>
        <v>9</v>
      </c>
      <c r="K3636" s="1" t="s">
        <v>648</v>
      </c>
      <c r="L3636" s="1" t="s">
        <v>666</v>
      </c>
      <c r="M3636">
        <f t="shared" si="113"/>
        <v>4</v>
      </c>
      <c r="N3636" t="s">
        <v>650</v>
      </c>
    </row>
    <row r="3637" spans="1:14" hidden="1" x14ac:dyDescent="0.3">
      <c r="A3637" t="s">
        <v>12291</v>
      </c>
      <c r="B3637" t="s">
        <v>12756</v>
      </c>
      <c r="C3637" t="s">
        <v>12292</v>
      </c>
      <c r="E3637" s="1" t="e">
        <v>#N/A</v>
      </c>
      <c r="F3637" s="1" t="e">
        <v>#N/A</v>
      </c>
      <c r="G3637" s="1" t="s">
        <v>12878</v>
      </c>
      <c r="H3637">
        <v>2023</v>
      </c>
      <c r="I3637">
        <v>2026</v>
      </c>
      <c r="J3637">
        <f t="shared" si="112"/>
        <v>4</v>
      </c>
      <c r="K3637" s="1" t="s">
        <v>648</v>
      </c>
      <c r="L3637" s="1" t="s">
        <v>659</v>
      </c>
      <c r="M3637">
        <f t="shared" si="113"/>
        <v>0</v>
      </c>
    </row>
    <row r="3638" spans="1:14" hidden="1" x14ac:dyDescent="0.3">
      <c r="A3638" t="s">
        <v>12293</v>
      </c>
      <c r="B3638" t="s">
        <v>12756</v>
      </c>
      <c r="C3638" t="s">
        <v>12294</v>
      </c>
      <c r="E3638" s="1" t="e">
        <v>#N/A</v>
      </c>
      <c r="F3638" s="1" t="e">
        <v>#N/A</v>
      </c>
      <c r="G3638" s="1" t="s">
        <v>12878</v>
      </c>
      <c r="H3638">
        <v>2023</v>
      </c>
      <c r="I3638">
        <v>2026</v>
      </c>
      <c r="J3638">
        <f t="shared" si="112"/>
        <v>4</v>
      </c>
      <c r="K3638" s="1" t="s">
        <v>648</v>
      </c>
      <c r="L3638" s="1" t="s">
        <v>659</v>
      </c>
      <c r="M3638">
        <f t="shared" si="113"/>
        <v>0</v>
      </c>
    </row>
    <row r="3639" spans="1:14" hidden="1" x14ac:dyDescent="0.3">
      <c r="A3639" s="1" t="s">
        <v>10749</v>
      </c>
      <c r="B3639" s="1" t="s">
        <v>12756</v>
      </c>
      <c r="C3639" s="1" t="s">
        <v>10750</v>
      </c>
      <c r="D3639" s="1" t="s">
        <v>644</v>
      </c>
      <c r="E3639" s="1" t="s">
        <v>645</v>
      </c>
      <c r="F3639" s="1" t="s">
        <v>646</v>
      </c>
      <c r="G3639" s="1" t="s">
        <v>8906</v>
      </c>
      <c r="H3639">
        <v>2014</v>
      </c>
      <c r="I3639">
        <v>2022</v>
      </c>
      <c r="J3639">
        <f t="shared" si="112"/>
        <v>9</v>
      </c>
      <c r="K3639" s="1" t="s">
        <v>648</v>
      </c>
      <c r="L3639" s="1" t="s">
        <v>666</v>
      </c>
      <c r="M3639">
        <f t="shared" si="113"/>
        <v>4</v>
      </c>
      <c r="N3639" t="s">
        <v>650</v>
      </c>
    </row>
    <row r="3640" spans="1:14" hidden="1" x14ac:dyDescent="0.3">
      <c r="A3640" s="1" t="s">
        <v>10751</v>
      </c>
      <c r="B3640" s="1" t="s">
        <v>12756</v>
      </c>
      <c r="C3640" s="1" t="s">
        <v>10752</v>
      </c>
      <c r="D3640" s="1" t="s">
        <v>644</v>
      </c>
      <c r="E3640" s="1" t="s">
        <v>645</v>
      </c>
      <c r="F3640" s="1" t="s">
        <v>646</v>
      </c>
      <c r="G3640" s="1" t="s">
        <v>8906</v>
      </c>
      <c r="H3640">
        <v>2013</v>
      </c>
      <c r="I3640">
        <v>2018</v>
      </c>
      <c r="J3640">
        <f t="shared" si="112"/>
        <v>6</v>
      </c>
      <c r="K3640" s="1" t="s">
        <v>648</v>
      </c>
      <c r="L3640" s="1" t="s">
        <v>649</v>
      </c>
      <c r="M3640">
        <f t="shared" si="113"/>
        <v>8</v>
      </c>
      <c r="N3640" t="s">
        <v>650</v>
      </c>
    </row>
    <row r="3641" spans="1:14" hidden="1" x14ac:dyDescent="0.3">
      <c r="A3641" s="1" t="s">
        <v>10753</v>
      </c>
      <c r="B3641" s="1" t="s">
        <v>12756</v>
      </c>
      <c r="C3641" s="1" t="s">
        <v>10754</v>
      </c>
      <c r="D3641" s="1" t="s">
        <v>644</v>
      </c>
      <c r="E3641" s="1" t="s">
        <v>645</v>
      </c>
      <c r="F3641" s="1" t="s">
        <v>646</v>
      </c>
      <c r="G3641" s="1" t="s">
        <v>8906</v>
      </c>
      <c r="H3641">
        <v>2013</v>
      </c>
      <c r="I3641">
        <v>2017</v>
      </c>
      <c r="J3641">
        <f t="shared" si="112"/>
        <v>5</v>
      </c>
      <c r="K3641" s="1" t="s">
        <v>648</v>
      </c>
      <c r="L3641" s="1" t="s">
        <v>649</v>
      </c>
      <c r="M3641">
        <f t="shared" si="113"/>
        <v>9</v>
      </c>
      <c r="N3641" t="s">
        <v>650</v>
      </c>
    </row>
    <row r="3642" spans="1:14" hidden="1" x14ac:dyDescent="0.3">
      <c r="A3642" s="1" t="s">
        <v>10755</v>
      </c>
      <c r="B3642" s="1" t="s">
        <v>12756</v>
      </c>
      <c r="C3642" s="1" t="s">
        <v>10756</v>
      </c>
      <c r="D3642" s="1" t="s">
        <v>644</v>
      </c>
      <c r="E3642" s="1" t="s">
        <v>645</v>
      </c>
      <c r="F3642" s="1" t="s">
        <v>646</v>
      </c>
      <c r="G3642" s="1" t="s">
        <v>8906</v>
      </c>
      <c r="H3642">
        <v>2013</v>
      </c>
      <c r="I3642">
        <v>2017</v>
      </c>
      <c r="J3642">
        <f t="shared" si="112"/>
        <v>5</v>
      </c>
      <c r="K3642" s="1" t="s">
        <v>648</v>
      </c>
      <c r="L3642" s="1" t="s">
        <v>649</v>
      </c>
      <c r="M3642">
        <f t="shared" si="113"/>
        <v>9</v>
      </c>
      <c r="N3642" t="s">
        <v>650</v>
      </c>
    </row>
    <row r="3643" spans="1:14" hidden="1" x14ac:dyDescent="0.3">
      <c r="A3643" s="1" t="s">
        <v>10757</v>
      </c>
      <c r="B3643" s="1" t="s">
        <v>12756</v>
      </c>
      <c r="C3643" s="1" t="s">
        <v>10758</v>
      </c>
      <c r="D3643" s="1" t="s">
        <v>644</v>
      </c>
      <c r="E3643" s="1" t="s">
        <v>645</v>
      </c>
      <c r="F3643" s="1" t="s">
        <v>646</v>
      </c>
      <c r="G3643" s="1" t="s">
        <v>8906</v>
      </c>
      <c r="H3643">
        <v>2014</v>
      </c>
      <c r="I3643">
        <v>2015</v>
      </c>
      <c r="J3643">
        <f t="shared" si="112"/>
        <v>2</v>
      </c>
      <c r="K3643" s="1" t="s">
        <v>648</v>
      </c>
      <c r="L3643" s="1" t="s">
        <v>659</v>
      </c>
      <c r="M3643">
        <f t="shared" si="113"/>
        <v>11</v>
      </c>
      <c r="N3643" t="s">
        <v>650</v>
      </c>
    </row>
    <row r="3644" spans="1:14" hidden="1" x14ac:dyDescent="0.3">
      <c r="A3644" s="1" t="s">
        <v>10759</v>
      </c>
      <c r="B3644" s="1" t="s">
        <v>12756</v>
      </c>
      <c r="C3644" s="1" t="s">
        <v>10760</v>
      </c>
      <c r="D3644" s="1" t="s">
        <v>644</v>
      </c>
      <c r="E3644" s="1" t="s">
        <v>645</v>
      </c>
      <c r="F3644" s="1" t="s">
        <v>646</v>
      </c>
      <c r="G3644" s="1" t="s">
        <v>8906</v>
      </c>
      <c r="H3644">
        <v>2006</v>
      </c>
      <c r="I3644">
        <v>2011</v>
      </c>
      <c r="J3644">
        <f t="shared" si="112"/>
        <v>6</v>
      </c>
      <c r="K3644" s="1" t="s">
        <v>648</v>
      </c>
      <c r="L3644" s="1" t="s">
        <v>659</v>
      </c>
      <c r="M3644">
        <f t="shared" si="113"/>
        <v>15</v>
      </c>
      <c r="N3644" t="s">
        <v>650</v>
      </c>
    </row>
    <row r="3645" spans="1:14" hidden="1" x14ac:dyDescent="0.3">
      <c r="A3645" s="1" t="s">
        <v>10761</v>
      </c>
      <c r="B3645" s="1" t="s">
        <v>12756</v>
      </c>
      <c r="C3645" s="1" t="s">
        <v>10762</v>
      </c>
      <c r="D3645" s="1" t="s">
        <v>644</v>
      </c>
      <c r="E3645" s="1" t="s">
        <v>645</v>
      </c>
      <c r="F3645" s="1" t="s">
        <v>646</v>
      </c>
      <c r="G3645" s="1" t="s">
        <v>8906</v>
      </c>
      <c r="H3645">
        <v>2006</v>
      </c>
      <c r="I3645">
        <v>2011</v>
      </c>
      <c r="J3645">
        <f t="shared" si="112"/>
        <v>6</v>
      </c>
      <c r="K3645" s="1" t="s">
        <v>648</v>
      </c>
      <c r="L3645" s="1" t="s">
        <v>659</v>
      </c>
      <c r="M3645">
        <f t="shared" si="113"/>
        <v>15</v>
      </c>
      <c r="N3645" t="s">
        <v>650</v>
      </c>
    </row>
    <row r="3646" spans="1:14" hidden="1" x14ac:dyDescent="0.3">
      <c r="A3646" s="1" t="s">
        <v>10763</v>
      </c>
      <c r="B3646" s="1" t="s">
        <v>12756</v>
      </c>
      <c r="C3646" s="1" t="s">
        <v>10764</v>
      </c>
      <c r="D3646" s="1" t="s">
        <v>644</v>
      </c>
      <c r="E3646" s="1" t="s">
        <v>645</v>
      </c>
      <c r="F3646" s="1" t="s">
        <v>646</v>
      </c>
      <c r="G3646" s="1" t="s">
        <v>8906</v>
      </c>
      <c r="H3646">
        <v>2004</v>
      </c>
      <c r="I3646">
        <v>2013</v>
      </c>
      <c r="J3646">
        <f t="shared" si="112"/>
        <v>10</v>
      </c>
      <c r="K3646" s="1" t="s">
        <v>648</v>
      </c>
      <c r="L3646" s="1" t="s">
        <v>659</v>
      </c>
      <c r="M3646">
        <f t="shared" si="113"/>
        <v>13</v>
      </c>
      <c r="N3646" t="s">
        <v>650</v>
      </c>
    </row>
    <row r="3647" spans="1:14" hidden="1" x14ac:dyDescent="0.3">
      <c r="A3647" s="1" t="s">
        <v>10765</v>
      </c>
      <c r="B3647" s="1" t="s">
        <v>12756</v>
      </c>
      <c r="C3647" s="1" t="s">
        <v>10766</v>
      </c>
      <c r="D3647" s="1" t="s">
        <v>644</v>
      </c>
      <c r="E3647" s="1" t="s">
        <v>645</v>
      </c>
      <c r="F3647" s="1" t="s">
        <v>646</v>
      </c>
      <c r="G3647" s="1" t="s">
        <v>8906</v>
      </c>
      <c r="H3647">
        <v>2008</v>
      </c>
      <c r="I3647">
        <v>2013</v>
      </c>
      <c r="J3647">
        <f t="shared" si="112"/>
        <v>6</v>
      </c>
      <c r="K3647" s="1" t="s">
        <v>648</v>
      </c>
      <c r="L3647" s="1" t="s">
        <v>659</v>
      </c>
      <c r="M3647">
        <f t="shared" si="113"/>
        <v>13</v>
      </c>
      <c r="N3647" t="s">
        <v>650</v>
      </c>
    </row>
    <row r="3648" spans="1:14" hidden="1" x14ac:dyDescent="0.3">
      <c r="A3648" s="1" t="s">
        <v>10767</v>
      </c>
      <c r="B3648" s="1" t="s">
        <v>12756</v>
      </c>
      <c r="C3648" s="1" t="s">
        <v>10768</v>
      </c>
      <c r="D3648" s="1" t="s">
        <v>644</v>
      </c>
      <c r="E3648" s="1" t="s">
        <v>645</v>
      </c>
      <c r="F3648" s="1" t="s">
        <v>646</v>
      </c>
      <c r="G3648" s="1" t="s">
        <v>8906</v>
      </c>
      <c r="H3648">
        <v>2008</v>
      </c>
      <c r="I3648">
        <v>2013</v>
      </c>
      <c r="J3648">
        <f t="shared" si="112"/>
        <v>6</v>
      </c>
      <c r="K3648" s="1" t="s">
        <v>648</v>
      </c>
      <c r="L3648" s="1" t="s">
        <v>659</v>
      </c>
      <c r="M3648">
        <f t="shared" si="113"/>
        <v>13</v>
      </c>
      <c r="N3648" t="s">
        <v>650</v>
      </c>
    </row>
    <row r="3649" spans="1:14" hidden="1" x14ac:dyDescent="0.3">
      <c r="A3649" s="1" t="s">
        <v>10769</v>
      </c>
      <c r="B3649" s="1" t="s">
        <v>12756</v>
      </c>
      <c r="C3649" s="1" t="s">
        <v>10770</v>
      </c>
      <c r="D3649" s="1" t="s">
        <v>644</v>
      </c>
      <c r="E3649" s="1" t="s">
        <v>645</v>
      </c>
      <c r="F3649" s="1" t="s">
        <v>646</v>
      </c>
      <c r="G3649" s="1" t="s">
        <v>8906</v>
      </c>
      <c r="H3649">
        <v>2005</v>
      </c>
      <c r="I3649">
        <v>2013</v>
      </c>
      <c r="J3649">
        <f t="shared" si="112"/>
        <v>9</v>
      </c>
      <c r="K3649" s="1" t="s">
        <v>648</v>
      </c>
      <c r="L3649" s="1" t="s">
        <v>659</v>
      </c>
      <c r="M3649">
        <f t="shared" si="113"/>
        <v>13</v>
      </c>
      <c r="N3649" t="s">
        <v>650</v>
      </c>
    </row>
    <row r="3650" spans="1:14" hidden="1" x14ac:dyDescent="0.3">
      <c r="A3650" s="1" t="s">
        <v>10771</v>
      </c>
      <c r="B3650" s="1" t="s">
        <v>12756</v>
      </c>
      <c r="C3650" s="1" t="s">
        <v>10772</v>
      </c>
      <c r="D3650" s="1" t="s">
        <v>644</v>
      </c>
      <c r="E3650" s="1" t="s">
        <v>645</v>
      </c>
      <c r="F3650" s="1" t="s">
        <v>646</v>
      </c>
      <c r="G3650" s="1" t="s">
        <v>8906</v>
      </c>
      <c r="H3650">
        <v>2005</v>
      </c>
      <c r="I3650">
        <v>2013</v>
      </c>
      <c r="J3650">
        <f t="shared" si="112"/>
        <v>9</v>
      </c>
      <c r="K3650" s="1" t="s">
        <v>648</v>
      </c>
      <c r="L3650" s="1" t="s">
        <v>659</v>
      </c>
      <c r="M3650">
        <f t="shared" si="113"/>
        <v>13</v>
      </c>
      <c r="N3650" t="s">
        <v>650</v>
      </c>
    </row>
    <row r="3651" spans="1:14" hidden="1" x14ac:dyDescent="0.3">
      <c r="A3651" s="1" t="s">
        <v>10773</v>
      </c>
      <c r="B3651" s="1" t="s">
        <v>12756</v>
      </c>
      <c r="C3651" s="1" t="s">
        <v>10774</v>
      </c>
      <c r="D3651" s="1" t="s">
        <v>644</v>
      </c>
      <c r="E3651" s="1" t="s">
        <v>645</v>
      </c>
      <c r="F3651" s="1" t="s">
        <v>646</v>
      </c>
      <c r="G3651" s="1" t="s">
        <v>8906</v>
      </c>
      <c r="H3651">
        <v>2012</v>
      </c>
      <c r="I3651">
        <v>2013</v>
      </c>
      <c r="J3651">
        <f t="shared" si="112"/>
        <v>2</v>
      </c>
      <c r="K3651" s="1" t="s">
        <v>648</v>
      </c>
      <c r="L3651" s="1" t="s">
        <v>659</v>
      </c>
      <c r="M3651">
        <f t="shared" si="113"/>
        <v>13</v>
      </c>
      <c r="N3651" t="s">
        <v>650</v>
      </c>
    </row>
    <row r="3652" spans="1:14" hidden="1" x14ac:dyDescent="0.3">
      <c r="A3652" s="1" t="s">
        <v>10775</v>
      </c>
      <c r="B3652" s="1" t="s">
        <v>12756</v>
      </c>
      <c r="C3652" s="1" t="s">
        <v>10776</v>
      </c>
      <c r="D3652" s="1" t="s">
        <v>644</v>
      </c>
      <c r="E3652" s="1" t="s">
        <v>645</v>
      </c>
      <c r="F3652" s="1" t="s">
        <v>646</v>
      </c>
      <c r="G3652" s="1" t="s">
        <v>8906</v>
      </c>
      <c r="H3652">
        <v>2012</v>
      </c>
      <c r="I3652">
        <v>2013</v>
      </c>
      <c r="J3652">
        <f t="shared" si="112"/>
        <v>2</v>
      </c>
      <c r="K3652" s="1" t="s">
        <v>648</v>
      </c>
      <c r="L3652" s="1" t="s">
        <v>659</v>
      </c>
      <c r="M3652">
        <f t="shared" si="113"/>
        <v>13</v>
      </c>
      <c r="N3652" t="s">
        <v>650</v>
      </c>
    </row>
    <row r="3653" spans="1:14" x14ac:dyDescent="0.3">
      <c r="A3653" s="1" t="s">
        <v>8904</v>
      </c>
      <c r="B3653" s="1" t="s">
        <v>12756</v>
      </c>
      <c r="C3653" s="1" t="s">
        <v>8905</v>
      </c>
      <c r="D3653" s="1" t="s">
        <v>644</v>
      </c>
      <c r="E3653" s="1" t="s">
        <v>6076</v>
      </c>
      <c r="F3653" s="1" t="s">
        <v>6076</v>
      </c>
      <c r="G3653" s="1" t="s">
        <v>8906</v>
      </c>
      <c r="H3653">
        <v>2003</v>
      </c>
      <c r="I3653">
        <v>2004</v>
      </c>
      <c r="J3653">
        <f t="shared" si="112"/>
        <v>2</v>
      </c>
      <c r="K3653" s="1" t="s">
        <v>6076</v>
      </c>
      <c r="L3653" s="1" t="s">
        <v>6076</v>
      </c>
      <c r="M3653">
        <f t="shared" si="113"/>
        <v>22</v>
      </c>
      <c r="N3653" t="s">
        <v>640</v>
      </c>
    </row>
    <row r="3654" spans="1:14" x14ac:dyDescent="0.3">
      <c r="A3654" s="1" t="s">
        <v>8907</v>
      </c>
      <c r="B3654" s="1" t="s">
        <v>12756</v>
      </c>
      <c r="C3654" s="1" t="s">
        <v>8908</v>
      </c>
      <c r="D3654" s="1" t="s">
        <v>644</v>
      </c>
      <c r="E3654" s="1" t="s">
        <v>6076</v>
      </c>
      <c r="F3654" s="1" t="s">
        <v>6076</v>
      </c>
      <c r="G3654" s="1" t="s">
        <v>8906</v>
      </c>
      <c r="H3654">
        <v>2003</v>
      </c>
      <c r="I3654">
        <v>2004</v>
      </c>
      <c r="J3654">
        <f t="shared" ref="J3654:J3717" si="114">1+(I3654-H3654)</f>
        <v>2</v>
      </c>
      <c r="K3654" s="1" t="s">
        <v>6076</v>
      </c>
      <c r="L3654" s="1" t="s">
        <v>6076</v>
      </c>
      <c r="M3654">
        <f t="shared" ref="M3654:M3717" si="115">IF(I3654=0,0,$B$2-I3654)</f>
        <v>22</v>
      </c>
      <c r="N3654" t="s">
        <v>640</v>
      </c>
    </row>
    <row r="3655" spans="1:14" x14ac:dyDescent="0.3">
      <c r="A3655" s="1" t="s">
        <v>8909</v>
      </c>
      <c r="B3655" s="1" t="s">
        <v>12756</v>
      </c>
      <c r="C3655" s="1" t="s">
        <v>8910</v>
      </c>
      <c r="D3655" s="1" t="s">
        <v>644</v>
      </c>
      <c r="E3655" s="1" t="s">
        <v>6076</v>
      </c>
      <c r="F3655" s="1" t="s">
        <v>6076</v>
      </c>
      <c r="G3655" s="1" t="s">
        <v>8906</v>
      </c>
      <c r="H3655">
        <v>2002</v>
      </c>
      <c r="I3655">
        <v>2004</v>
      </c>
      <c r="J3655">
        <f t="shared" si="114"/>
        <v>3</v>
      </c>
      <c r="K3655" s="1" t="s">
        <v>6076</v>
      </c>
      <c r="L3655" s="1" t="s">
        <v>6076</v>
      </c>
      <c r="M3655">
        <f t="shared" si="115"/>
        <v>22</v>
      </c>
      <c r="N3655" t="s">
        <v>640</v>
      </c>
    </row>
    <row r="3656" spans="1:14" x14ac:dyDescent="0.3">
      <c r="A3656" s="1" t="s">
        <v>8911</v>
      </c>
      <c r="B3656" s="1" t="s">
        <v>12756</v>
      </c>
      <c r="C3656" s="1" t="s">
        <v>8912</v>
      </c>
      <c r="D3656" s="1" t="s">
        <v>644</v>
      </c>
      <c r="E3656" s="1" t="s">
        <v>6076</v>
      </c>
      <c r="F3656" s="1" t="s">
        <v>6076</v>
      </c>
      <c r="G3656" s="1" t="s">
        <v>8906</v>
      </c>
      <c r="H3656">
        <v>2002</v>
      </c>
      <c r="I3656">
        <v>2004</v>
      </c>
      <c r="J3656">
        <f t="shared" si="114"/>
        <v>3</v>
      </c>
      <c r="K3656" s="1" t="s">
        <v>6076</v>
      </c>
      <c r="L3656" s="1" t="s">
        <v>6076</v>
      </c>
      <c r="M3656">
        <f t="shared" si="115"/>
        <v>22</v>
      </c>
      <c r="N3656" t="s">
        <v>640</v>
      </c>
    </row>
    <row r="3657" spans="1:14" x14ac:dyDescent="0.3">
      <c r="A3657" s="1" t="s">
        <v>8913</v>
      </c>
      <c r="B3657" s="1" t="s">
        <v>12756</v>
      </c>
      <c r="C3657" s="1" t="s">
        <v>8914</v>
      </c>
      <c r="D3657" s="1" t="s">
        <v>644</v>
      </c>
      <c r="E3657" s="1" t="s">
        <v>6076</v>
      </c>
      <c r="F3657" s="1" t="s">
        <v>6076</v>
      </c>
      <c r="G3657" s="1" t="s">
        <v>8906</v>
      </c>
      <c r="H3657">
        <v>2003</v>
      </c>
      <c r="I3657">
        <v>2004</v>
      </c>
      <c r="J3657">
        <f t="shared" si="114"/>
        <v>2</v>
      </c>
      <c r="K3657" s="1" t="s">
        <v>6076</v>
      </c>
      <c r="L3657" s="1" t="s">
        <v>6076</v>
      </c>
      <c r="M3657">
        <f t="shared" si="115"/>
        <v>22</v>
      </c>
      <c r="N3657" t="s">
        <v>640</v>
      </c>
    </row>
    <row r="3658" spans="1:14" x14ac:dyDescent="0.3">
      <c r="A3658" s="1" t="s">
        <v>8915</v>
      </c>
      <c r="B3658" s="1" t="s">
        <v>1849</v>
      </c>
      <c r="C3658" s="1" t="s">
        <v>8916</v>
      </c>
      <c r="D3658" s="1" t="s">
        <v>1395</v>
      </c>
      <c r="E3658" s="1" t="s">
        <v>6076</v>
      </c>
      <c r="F3658" s="1" t="s">
        <v>6076</v>
      </c>
      <c r="G3658" s="1" t="s">
        <v>8917</v>
      </c>
      <c r="H3658">
        <v>2002</v>
      </c>
      <c r="I3658">
        <v>2004</v>
      </c>
      <c r="J3658">
        <f t="shared" si="114"/>
        <v>3</v>
      </c>
      <c r="K3658" s="1" t="s">
        <v>6076</v>
      </c>
      <c r="L3658" s="1" t="s">
        <v>6076</v>
      </c>
      <c r="M3658">
        <f t="shared" si="115"/>
        <v>22</v>
      </c>
      <c r="N3658" t="s">
        <v>640</v>
      </c>
    </row>
    <row r="3659" spans="1:14" x14ac:dyDescent="0.3">
      <c r="A3659" s="1" t="s">
        <v>8918</v>
      </c>
      <c r="B3659" s="1" t="s">
        <v>1849</v>
      </c>
      <c r="C3659" s="1" t="s">
        <v>8919</v>
      </c>
      <c r="D3659" s="1" t="s">
        <v>1395</v>
      </c>
      <c r="E3659" s="1" t="s">
        <v>6076</v>
      </c>
      <c r="F3659" s="1" t="s">
        <v>6076</v>
      </c>
      <c r="G3659" s="1" t="s">
        <v>8917</v>
      </c>
      <c r="H3659">
        <v>2003</v>
      </c>
      <c r="I3659">
        <v>2004</v>
      </c>
      <c r="J3659">
        <f t="shared" si="114"/>
        <v>2</v>
      </c>
      <c r="K3659" s="1" t="s">
        <v>6076</v>
      </c>
      <c r="L3659" s="1" t="s">
        <v>6076</v>
      </c>
      <c r="M3659">
        <f t="shared" si="115"/>
        <v>22</v>
      </c>
      <c r="N3659" t="s">
        <v>640</v>
      </c>
    </row>
    <row r="3660" spans="1:14" hidden="1" x14ac:dyDescent="0.3">
      <c r="A3660" t="s">
        <v>11457</v>
      </c>
      <c r="B3660" t="s">
        <v>1451</v>
      </c>
      <c r="C3660" t="s">
        <v>11458</v>
      </c>
      <c r="E3660" s="1" t="e">
        <v>#N/A</v>
      </c>
      <c r="F3660" s="1" t="e">
        <v>#N/A</v>
      </c>
      <c r="G3660" s="1" t="s">
        <v>12824</v>
      </c>
      <c r="H3660">
        <v>2025</v>
      </c>
      <c r="I3660">
        <v>2026</v>
      </c>
      <c r="J3660">
        <f t="shared" si="114"/>
        <v>2</v>
      </c>
      <c r="K3660" s="1" t="s">
        <v>12912</v>
      </c>
      <c r="L3660" s="1" t="s">
        <v>12912</v>
      </c>
      <c r="M3660">
        <f t="shared" si="115"/>
        <v>0</v>
      </c>
    </row>
    <row r="3661" spans="1:14" x14ac:dyDescent="0.3">
      <c r="A3661" s="1" t="s">
        <v>8920</v>
      </c>
      <c r="B3661" s="1" t="s">
        <v>1451</v>
      </c>
      <c r="C3661" s="1" t="s">
        <v>8921</v>
      </c>
      <c r="D3661" s="1" t="s">
        <v>1242</v>
      </c>
      <c r="E3661" s="1" t="s">
        <v>6076</v>
      </c>
      <c r="F3661" s="1" t="s">
        <v>6076</v>
      </c>
      <c r="G3661" s="1" t="s">
        <v>8922</v>
      </c>
      <c r="H3661">
        <v>2022</v>
      </c>
      <c r="I3661">
        <v>2022</v>
      </c>
      <c r="J3661">
        <f t="shared" si="114"/>
        <v>1</v>
      </c>
      <c r="K3661" s="1" t="s">
        <v>6076</v>
      </c>
      <c r="L3661" s="1" t="s">
        <v>6076</v>
      </c>
      <c r="M3661">
        <f t="shared" si="115"/>
        <v>4</v>
      </c>
      <c r="N3661" t="s">
        <v>650</v>
      </c>
    </row>
    <row r="3662" spans="1:14" hidden="1" x14ac:dyDescent="0.3">
      <c r="A3662" t="s">
        <v>11459</v>
      </c>
      <c r="B3662" t="s">
        <v>1451</v>
      </c>
      <c r="C3662" t="s">
        <v>11460</v>
      </c>
      <c r="E3662" s="1" t="e">
        <v>#N/A</v>
      </c>
      <c r="F3662" s="1" t="e">
        <v>#N/A</v>
      </c>
      <c r="G3662" s="1" t="s">
        <v>12824</v>
      </c>
      <c r="H3662">
        <v>2025</v>
      </c>
      <c r="I3662">
        <v>2026</v>
      </c>
      <c r="J3662">
        <f t="shared" si="114"/>
        <v>2</v>
      </c>
      <c r="K3662" s="1" t="s">
        <v>12912</v>
      </c>
      <c r="L3662" s="1" t="s">
        <v>12912</v>
      </c>
      <c r="M3662">
        <f t="shared" si="115"/>
        <v>0</v>
      </c>
    </row>
    <row r="3663" spans="1:14" hidden="1" x14ac:dyDescent="0.3">
      <c r="A3663" t="s">
        <v>11461</v>
      </c>
      <c r="B3663" t="s">
        <v>1451</v>
      </c>
      <c r="C3663" t="s">
        <v>11462</v>
      </c>
      <c r="E3663" s="1" t="e">
        <v>#N/A</v>
      </c>
      <c r="F3663" s="1" t="e">
        <v>#N/A</v>
      </c>
      <c r="G3663" s="1" t="s">
        <v>12824</v>
      </c>
      <c r="H3663">
        <v>2025</v>
      </c>
      <c r="I3663">
        <v>2026</v>
      </c>
      <c r="J3663">
        <f t="shared" si="114"/>
        <v>2</v>
      </c>
      <c r="K3663" s="1" t="s">
        <v>12912</v>
      </c>
      <c r="L3663" s="1" t="s">
        <v>12912</v>
      </c>
      <c r="M3663">
        <f t="shared" si="115"/>
        <v>0</v>
      </c>
    </row>
    <row r="3664" spans="1:14" hidden="1" x14ac:dyDescent="0.3">
      <c r="A3664" t="s">
        <v>11463</v>
      </c>
      <c r="B3664" t="s">
        <v>1451</v>
      </c>
      <c r="C3664" t="s">
        <v>11464</v>
      </c>
      <c r="E3664" s="1" t="e">
        <v>#N/A</v>
      </c>
      <c r="F3664" s="1" t="e">
        <v>#N/A</v>
      </c>
      <c r="G3664" s="1" t="s">
        <v>12824</v>
      </c>
      <c r="H3664">
        <v>2025</v>
      </c>
      <c r="I3664">
        <v>2026</v>
      </c>
      <c r="J3664">
        <f t="shared" si="114"/>
        <v>2</v>
      </c>
      <c r="K3664" s="1" t="s">
        <v>12912</v>
      </c>
      <c r="L3664" s="1" t="s">
        <v>12912</v>
      </c>
      <c r="M3664">
        <f t="shared" si="115"/>
        <v>0</v>
      </c>
    </row>
    <row r="3665" spans="1:14" x14ac:dyDescent="0.3">
      <c r="A3665" s="1" t="s">
        <v>8923</v>
      </c>
      <c r="B3665" s="1" t="s">
        <v>2154</v>
      </c>
      <c r="C3665" s="1" t="s">
        <v>8924</v>
      </c>
      <c r="D3665" s="1" t="s">
        <v>738</v>
      </c>
      <c r="E3665" s="1" t="s">
        <v>6076</v>
      </c>
      <c r="F3665" s="1" t="s">
        <v>6076</v>
      </c>
      <c r="G3665" s="1" t="s">
        <v>8925</v>
      </c>
      <c r="H3665">
        <v>1995</v>
      </c>
      <c r="I3665">
        <v>2000</v>
      </c>
      <c r="J3665">
        <f t="shared" si="114"/>
        <v>6</v>
      </c>
      <c r="K3665" s="1" t="s">
        <v>6076</v>
      </c>
      <c r="L3665" s="1" t="s">
        <v>6076</v>
      </c>
      <c r="M3665">
        <f t="shared" si="115"/>
        <v>26</v>
      </c>
      <c r="N3665" t="s">
        <v>640</v>
      </c>
    </row>
    <row r="3666" spans="1:14" x14ac:dyDescent="0.3">
      <c r="A3666" s="1" t="s">
        <v>8926</v>
      </c>
      <c r="B3666" s="1" t="s">
        <v>2154</v>
      </c>
      <c r="C3666" s="1" t="s">
        <v>8927</v>
      </c>
      <c r="D3666" s="1" t="s">
        <v>738</v>
      </c>
      <c r="E3666" s="1" t="s">
        <v>6076</v>
      </c>
      <c r="F3666" s="1" t="s">
        <v>6076</v>
      </c>
      <c r="G3666" s="1" t="s">
        <v>8925</v>
      </c>
      <c r="H3666">
        <v>2000</v>
      </c>
      <c r="I3666">
        <v>2002</v>
      </c>
      <c r="J3666">
        <f t="shared" si="114"/>
        <v>3</v>
      </c>
      <c r="K3666" s="1" t="s">
        <v>6076</v>
      </c>
      <c r="L3666" s="1" t="s">
        <v>6076</v>
      </c>
      <c r="M3666">
        <f t="shared" si="115"/>
        <v>24</v>
      </c>
      <c r="N3666" t="s">
        <v>640</v>
      </c>
    </row>
    <row r="3667" spans="1:14" x14ac:dyDescent="0.3">
      <c r="A3667" s="1" t="s">
        <v>8928</v>
      </c>
      <c r="B3667" s="1" t="s">
        <v>2154</v>
      </c>
      <c r="C3667" s="1" t="s">
        <v>8929</v>
      </c>
      <c r="D3667" s="1" t="s">
        <v>738</v>
      </c>
      <c r="E3667" s="1" t="s">
        <v>6076</v>
      </c>
      <c r="F3667" s="1" t="s">
        <v>6076</v>
      </c>
      <c r="G3667" s="1" t="s">
        <v>8925</v>
      </c>
      <c r="H3667">
        <v>1995</v>
      </c>
      <c r="I3667">
        <v>2002</v>
      </c>
      <c r="J3667">
        <f t="shared" si="114"/>
        <v>8</v>
      </c>
      <c r="K3667" s="1" t="s">
        <v>6076</v>
      </c>
      <c r="L3667" s="1" t="s">
        <v>6076</v>
      </c>
      <c r="M3667">
        <f t="shared" si="115"/>
        <v>24</v>
      </c>
      <c r="N3667" t="s">
        <v>640</v>
      </c>
    </row>
    <row r="3668" spans="1:14" x14ac:dyDescent="0.3">
      <c r="A3668" s="1" t="s">
        <v>8930</v>
      </c>
      <c r="B3668" s="1" t="s">
        <v>2154</v>
      </c>
      <c r="C3668" s="1" t="s">
        <v>8931</v>
      </c>
      <c r="D3668" s="1" t="s">
        <v>738</v>
      </c>
      <c r="E3668" s="1" t="s">
        <v>6076</v>
      </c>
      <c r="F3668" s="1" t="s">
        <v>6076</v>
      </c>
      <c r="G3668" s="1" t="s">
        <v>8925</v>
      </c>
      <c r="H3668">
        <v>1995</v>
      </c>
      <c r="I3668">
        <v>1997</v>
      </c>
      <c r="J3668">
        <f t="shared" si="114"/>
        <v>3</v>
      </c>
      <c r="K3668" s="1" t="s">
        <v>6076</v>
      </c>
      <c r="L3668" s="1" t="s">
        <v>6076</v>
      </c>
      <c r="M3668">
        <f t="shared" si="115"/>
        <v>29</v>
      </c>
      <c r="N3668" t="s">
        <v>640</v>
      </c>
    </row>
    <row r="3669" spans="1:14" x14ac:dyDescent="0.3">
      <c r="A3669" s="1" t="s">
        <v>8932</v>
      </c>
      <c r="B3669" s="1" t="s">
        <v>2154</v>
      </c>
      <c r="C3669" s="1" t="s">
        <v>8933</v>
      </c>
      <c r="D3669" s="1" t="s">
        <v>738</v>
      </c>
      <c r="E3669" s="1" t="s">
        <v>6076</v>
      </c>
      <c r="F3669" s="1" t="s">
        <v>6076</v>
      </c>
      <c r="G3669" s="1" t="s">
        <v>8925</v>
      </c>
      <c r="H3669">
        <v>1991</v>
      </c>
      <c r="I3669">
        <v>1995</v>
      </c>
      <c r="J3669">
        <f t="shared" si="114"/>
        <v>5</v>
      </c>
      <c r="K3669" s="1" t="s">
        <v>6076</v>
      </c>
      <c r="L3669" s="1" t="s">
        <v>6076</v>
      </c>
      <c r="M3669">
        <f t="shared" si="115"/>
        <v>31</v>
      </c>
      <c r="N3669" t="s">
        <v>640</v>
      </c>
    </row>
    <row r="3670" spans="1:14" x14ac:dyDescent="0.3">
      <c r="A3670" s="1" t="s">
        <v>8934</v>
      </c>
      <c r="B3670" s="1" t="s">
        <v>2154</v>
      </c>
      <c r="C3670" s="1" t="s">
        <v>8935</v>
      </c>
      <c r="D3670" s="1" t="s">
        <v>738</v>
      </c>
      <c r="E3670" s="1" t="s">
        <v>6076</v>
      </c>
      <c r="F3670" s="1" t="s">
        <v>6076</v>
      </c>
      <c r="G3670" s="1" t="s">
        <v>8925</v>
      </c>
      <c r="H3670">
        <v>1991</v>
      </c>
      <c r="I3670">
        <v>1994</v>
      </c>
      <c r="J3670">
        <f t="shared" si="114"/>
        <v>4</v>
      </c>
      <c r="K3670" s="1" t="s">
        <v>6076</v>
      </c>
      <c r="L3670" s="1" t="s">
        <v>6076</v>
      </c>
      <c r="M3670">
        <f t="shared" si="115"/>
        <v>32</v>
      </c>
      <c r="N3670" t="s">
        <v>640</v>
      </c>
    </row>
    <row r="3671" spans="1:14" x14ac:dyDescent="0.3">
      <c r="A3671" s="1" t="s">
        <v>8936</v>
      </c>
      <c r="B3671" s="1" t="s">
        <v>12756</v>
      </c>
      <c r="C3671" s="1" t="s">
        <v>8937</v>
      </c>
      <c r="D3671" s="1" t="s">
        <v>7113</v>
      </c>
      <c r="E3671" s="1" t="s">
        <v>6076</v>
      </c>
      <c r="F3671" s="1" t="s">
        <v>6076</v>
      </c>
      <c r="G3671" s="1" t="s">
        <v>8938</v>
      </c>
      <c r="H3671">
        <v>2007</v>
      </c>
      <c r="I3671">
        <v>2009</v>
      </c>
      <c r="J3671">
        <f t="shared" si="114"/>
        <v>3</v>
      </c>
      <c r="K3671" s="1" t="s">
        <v>6076</v>
      </c>
      <c r="L3671" s="1" t="s">
        <v>6076</v>
      </c>
      <c r="M3671">
        <f t="shared" si="115"/>
        <v>17</v>
      </c>
      <c r="N3671" t="s">
        <v>640</v>
      </c>
    </row>
    <row r="3672" spans="1:14" x14ac:dyDescent="0.3">
      <c r="A3672" t="s">
        <v>12295</v>
      </c>
      <c r="B3672" t="s">
        <v>12756</v>
      </c>
      <c r="C3672" t="s">
        <v>12296</v>
      </c>
      <c r="E3672" s="1" t="s">
        <v>6076</v>
      </c>
      <c r="F3672" s="1" t="s">
        <v>6076</v>
      </c>
      <c r="G3672" s="1" t="s">
        <v>12879</v>
      </c>
      <c r="H3672">
        <v>2024</v>
      </c>
      <c r="I3672">
        <v>2026</v>
      </c>
      <c r="J3672">
        <f t="shared" si="114"/>
        <v>3</v>
      </c>
      <c r="K3672" s="1" t="s">
        <v>6076</v>
      </c>
      <c r="L3672" s="1" t="s">
        <v>6076</v>
      </c>
      <c r="M3672">
        <f t="shared" si="115"/>
        <v>0</v>
      </c>
    </row>
    <row r="3673" spans="1:14" x14ac:dyDescent="0.3">
      <c r="A3673" s="1" t="s">
        <v>8939</v>
      </c>
      <c r="B3673" s="1" t="s">
        <v>12756</v>
      </c>
      <c r="C3673" s="1" t="s">
        <v>8940</v>
      </c>
      <c r="D3673" s="1" t="s">
        <v>738</v>
      </c>
      <c r="E3673" s="1" t="s">
        <v>6076</v>
      </c>
      <c r="F3673" s="1" t="s">
        <v>6076</v>
      </c>
      <c r="G3673" s="1" t="s">
        <v>8938</v>
      </c>
      <c r="H3673">
        <v>2009</v>
      </c>
      <c r="I3673">
        <v>2010</v>
      </c>
      <c r="J3673">
        <f t="shared" si="114"/>
        <v>2</v>
      </c>
      <c r="K3673" s="1" t="s">
        <v>6076</v>
      </c>
      <c r="L3673" s="1" t="s">
        <v>6076</v>
      </c>
      <c r="M3673">
        <f t="shared" si="115"/>
        <v>16</v>
      </c>
      <c r="N3673" t="s">
        <v>650</v>
      </c>
    </row>
    <row r="3674" spans="1:14" x14ac:dyDescent="0.3">
      <c r="A3674" s="1" t="s">
        <v>8941</v>
      </c>
      <c r="B3674" s="1" t="s">
        <v>12756</v>
      </c>
      <c r="C3674" s="1" t="s">
        <v>8942</v>
      </c>
      <c r="D3674" s="1" t="s">
        <v>738</v>
      </c>
      <c r="E3674" s="1" t="s">
        <v>6076</v>
      </c>
      <c r="F3674" s="1" t="s">
        <v>6076</v>
      </c>
      <c r="G3674" s="1" t="s">
        <v>8938</v>
      </c>
      <c r="H3674">
        <v>2009</v>
      </c>
      <c r="I3674">
        <v>2010</v>
      </c>
      <c r="J3674">
        <f t="shared" si="114"/>
        <v>2</v>
      </c>
      <c r="K3674" s="1" t="s">
        <v>6076</v>
      </c>
      <c r="L3674" s="1" t="s">
        <v>6076</v>
      </c>
      <c r="M3674">
        <f t="shared" si="115"/>
        <v>16</v>
      </c>
      <c r="N3674" t="s">
        <v>650</v>
      </c>
    </row>
    <row r="3675" spans="1:14" x14ac:dyDescent="0.3">
      <c r="A3675" s="1" t="s">
        <v>8943</v>
      </c>
      <c r="B3675" s="1" t="s">
        <v>12756</v>
      </c>
      <c r="C3675" s="1" t="s">
        <v>8944</v>
      </c>
      <c r="D3675" s="1" t="s">
        <v>738</v>
      </c>
      <c r="E3675" s="1" t="s">
        <v>6076</v>
      </c>
      <c r="F3675" s="1" t="s">
        <v>6076</v>
      </c>
      <c r="G3675" s="1" t="s">
        <v>8938</v>
      </c>
      <c r="H3675">
        <v>2007</v>
      </c>
      <c r="I3675">
        <v>2010</v>
      </c>
      <c r="J3675">
        <f t="shared" si="114"/>
        <v>4</v>
      </c>
      <c r="K3675" s="1" t="s">
        <v>6076</v>
      </c>
      <c r="L3675" s="1" t="s">
        <v>6076</v>
      </c>
      <c r="M3675">
        <f t="shared" si="115"/>
        <v>16</v>
      </c>
      <c r="N3675" t="s">
        <v>650</v>
      </c>
    </row>
    <row r="3676" spans="1:14" x14ac:dyDescent="0.3">
      <c r="A3676" s="1" t="s">
        <v>8945</v>
      </c>
      <c r="B3676" s="1" t="s">
        <v>12756</v>
      </c>
      <c r="C3676" s="1" t="s">
        <v>8946</v>
      </c>
      <c r="D3676" s="1" t="s">
        <v>738</v>
      </c>
      <c r="E3676" s="1" t="s">
        <v>6076</v>
      </c>
      <c r="F3676" s="1" t="s">
        <v>6076</v>
      </c>
      <c r="G3676" s="1" t="s">
        <v>8938</v>
      </c>
      <c r="H3676">
        <v>2007</v>
      </c>
      <c r="I3676">
        <v>2013</v>
      </c>
      <c r="J3676">
        <f t="shared" si="114"/>
        <v>7</v>
      </c>
      <c r="K3676" s="1" t="s">
        <v>6076</v>
      </c>
      <c r="L3676" s="1" t="s">
        <v>6076</v>
      </c>
      <c r="M3676">
        <f t="shared" si="115"/>
        <v>13</v>
      </c>
      <c r="N3676" t="s">
        <v>650</v>
      </c>
    </row>
    <row r="3677" spans="1:14" x14ac:dyDescent="0.3">
      <c r="A3677" s="1" t="s">
        <v>8947</v>
      </c>
      <c r="B3677" s="1" t="s">
        <v>12756</v>
      </c>
      <c r="C3677" s="1" t="s">
        <v>8948</v>
      </c>
      <c r="D3677" s="1" t="s">
        <v>738</v>
      </c>
      <c r="E3677" s="1" t="s">
        <v>6076</v>
      </c>
      <c r="F3677" s="1" t="s">
        <v>6076</v>
      </c>
      <c r="G3677" s="1" t="s">
        <v>8938</v>
      </c>
      <c r="H3677">
        <v>2007</v>
      </c>
      <c r="I3677">
        <v>2011</v>
      </c>
      <c r="J3677">
        <f t="shared" si="114"/>
        <v>5</v>
      </c>
      <c r="K3677" s="1" t="s">
        <v>6076</v>
      </c>
      <c r="L3677" s="1" t="s">
        <v>6076</v>
      </c>
      <c r="M3677">
        <f t="shared" si="115"/>
        <v>15</v>
      </c>
      <c r="N3677" t="s">
        <v>650</v>
      </c>
    </row>
    <row r="3678" spans="1:14" x14ac:dyDescent="0.3">
      <c r="A3678" s="1" t="s">
        <v>8949</v>
      </c>
      <c r="B3678" s="1" t="s">
        <v>12756</v>
      </c>
      <c r="C3678" s="1" t="s">
        <v>8950</v>
      </c>
      <c r="D3678" s="1" t="s">
        <v>738</v>
      </c>
      <c r="E3678" s="1" t="s">
        <v>6076</v>
      </c>
      <c r="F3678" s="1" t="s">
        <v>6076</v>
      </c>
      <c r="G3678" s="1" t="s">
        <v>8938</v>
      </c>
      <c r="H3678">
        <v>2007</v>
      </c>
      <c r="I3678">
        <v>2010</v>
      </c>
      <c r="J3678">
        <f t="shared" si="114"/>
        <v>4</v>
      </c>
      <c r="K3678" s="1" t="s">
        <v>6076</v>
      </c>
      <c r="L3678" s="1" t="s">
        <v>6076</v>
      </c>
      <c r="M3678">
        <f t="shared" si="115"/>
        <v>16</v>
      </c>
      <c r="N3678" t="s">
        <v>650</v>
      </c>
    </row>
    <row r="3679" spans="1:14" x14ac:dyDescent="0.3">
      <c r="A3679" s="1" t="s">
        <v>8951</v>
      </c>
      <c r="B3679" s="1" t="s">
        <v>12756</v>
      </c>
      <c r="C3679" s="1" t="s">
        <v>8952</v>
      </c>
      <c r="D3679" s="1" t="s">
        <v>738</v>
      </c>
      <c r="E3679" s="1" t="s">
        <v>6076</v>
      </c>
      <c r="F3679" s="1" t="s">
        <v>6076</v>
      </c>
      <c r="G3679" s="1" t="s">
        <v>8938</v>
      </c>
      <c r="H3679">
        <v>2007</v>
      </c>
      <c r="I3679">
        <v>2011</v>
      </c>
      <c r="J3679">
        <f t="shared" si="114"/>
        <v>5</v>
      </c>
      <c r="K3679" s="1" t="s">
        <v>6076</v>
      </c>
      <c r="L3679" s="1" t="s">
        <v>6076</v>
      </c>
      <c r="M3679">
        <f t="shared" si="115"/>
        <v>15</v>
      </c>
      <c r="N3679" t="s">
        <v>650</v>
      </c>
    </row>
    <row r="3680" spans="1:14" x14ac:dyDescent="0.3">
      <c r="A3680" s="1" t="s">
        <v>8953</v>
      </c>
      <c r="B3680" s="1" t="s">
        <v>12756</v>
      </c>
      <c r="C3680" s="1" t="s">
        <v>8954</v>
      </c>
      <c r="D3680" s="1" t="s">
        <v>738</v>
      </c>
      <c r="E3680" s="1" t="s">
        <v>6076</v>
      </c>
      <c r="F3680" s="1" t="s">
        <v>6076</v>
      </c>
      <c r="G3680" s="1" t="s">
        <v>8938</v>
      </c>
      <c r="H3680">
        <v>2008</v>
      </c>
      <c r="I3680">
        <v>2010</v>
      </c>
      <c r="J3680">
        <f t="shared" si="114"/>
        <v>3</v>
      </c>
      <c r="K3680" s="1" t="s">
        <v>6076</v>
      </c>
      <c r="L3680" s="1" t="s">
        <v>6076</v>
      </c>
      <c r="M3680">
        <f t="shared" si="115"/>
        <v>16</v>
      </c>
      <c r="N3680" t="s">
        <v>650</v>
      </c>
    </row>
    <row r="3681" spans="1:14" x14ac:dyDescent="0.3">
      <c r="A3681" s="1" t="s">
        <v>8955</v>
      </c>
      <c r="B3681" s="1" t="s">
        <v>12756</v>
      </c>
      <c r="C3681" s="1" t="s">
        <v>8956</v>
      </c>
      <c r="D3681" s="1" t="s">
        <v>746</v>
      </c>
      <c r="E3681" s="1" t="s">
        <v>6076</v>
      </c>
      <c r="F3681" s="1" t="s">
        <v>6076</v>
      </c>
      <c r="G3681" s="1" t="s">
        <v>8938</v>
      </c>
      <c r="H3681">
        <v>1998</v>
      </c>
      <c r="I3681">
        <v>2000</v>
      </c>
      <c r="J3681">
        <f t="shared" si="114"/>
        <v>3</v>
      </c>
      <c r="K3681" s="1" t="s">
        <v>6076</v>
      </c>
      <c r="L3681" s="1" t="s">
        <v>6076</v>
      </c>
      <c r="M3681">
        <f t="shared" si="115"/>
        <v>26</v>
      </c>
      <c r="N3681" t="s">
        <v>640</v>
      </c>
    </row>
    <row r="3682" spans="1:14" x14ac:dyDescent="0.3">
      <c r="A3682" s="1" t="s">
        <v>8957</v>
      </c>
      <c r="B3682" s="1" t="s">
        <v>12756</v>
      </c>
      <c r="C3682" s="1" t="s">
        <v>8958</v>
      </c>
      <c r="D3682" s="1" t="s">
        <v>746</v>
      </c>
      <c r="E3682" s="1" t="s">
        <v>6076</v>
      </c>
      <c r="F3682" s="1" t="s">
        <v>6076</v>
      </c>
      <c r="G3682" s="1" t="s">
        <v>8938</v>
      </c>
      <c r="H3682">
        <v>1998</v>
      </c>
      <c r="I3682">
        <v>2005</v>
      </c>
      <c r="J3682">
        <f t="shared" si="114"/>
        <v>8</v>
      </c>
      <c r="K3682" s="1" t="s">
        <v>6076</v>
      </c>
      <c r="L3682" s="1" t="s">
        <v>6076</v>
      </c>
      <c r="M3682">
        <f t="shared" si="115"/>
        <v>21</v>
      </c>
      <c r="N3682" t="s">
        <v>640</v>
      </c>
    </row>
    <row r="3683" spans="1:14" x14ac:dyDescent="0.3">
      <c r="A3683" s="1" t="s">
        <v>8959</v>
      </c>
      <c r="B3683" s="1" t="s">
        <v>12756</v>
      </c>
      <c r="C3683" s="1" t="s">
        <v>8960</v>
      </c>
      <c r="D3683" s="1" t="s">
        <v>746</v>
      </c>
      <c r="E3683" s="1" t="s">
        <v>6076</v>
      </c>
      <c r="F3683" s="1" t="s">
        <v>6076</v>
      </c>
      <c r="G3683" s="1" t="s">
        <v>8938</v>
      </c>
      <c r="H3683">
        <v>1998</v>
      </c>
      <c r="I3683">
        <v>2001</v>
      </c>
      <c r="J3683">
        <f t="shared" si="114"/>
        <v>4</v>
      </c>
      <c r="K3683" s="1" t="s">
        <v>6076</v>
      </c>
      <c r="L3683" s="1" t="s">
        <v>6076</v>
      </c>
      <c r="M3683">
        <f t="shared" si="115"/>
        <v>25</v>
      </c>
      <c r="N3683" t="s">
        <v>640</v>
      </c>
    </row>
    <row r="3684" spans="1:14" x14ac:dyDescent="0.3">
      <c r="A3684" s="1" t="s">
        <v>8961</v>
      </c>
      <c r="B3684" s="1" t="s">
        <v>12756</v>
      </c>
      <c r="C3684" s="1" t="s">
        <v>8962</v>
      </c>
      <c r="D3684" s="1" t="s">
        <v>746</v>
      </c>
      <c r="E3684" s="1" t="s">
        <v>6076</v>
      </c>
      <c r="F3684" s="1" t="s">
        <v>6076</v>
      </c>
      <c r="G3684" s="1" t="s">
        <v>8938</v>
      </c>
      <c r="H3684">
        <v>2000</v>
      </c>
      <c r="I3684">
        <v>2001</v>
      </c>
      <c r="J3684">
        <f t="shared" si="114"/>
        <v>2</v>
      </c>
      <c r="K3684" s="1" t="s">
        <v>6076</v>
      </c>
      <c r="L3684" s="1" t="s">
        <v>6076</v>
      </c>
      <c r="M3684">
        <f t="shared" si="115"/>
        <v>25</v>
      </c>
      <c r="N3684" t="s">
        <v>640</v>
      </c>
    </row>
    <row r="3685" spans="1:14" x14ac:dyDescent="0.3">
      <c r="A3685" s="1" t="s">
        <v>8963</v>
      </c>
      <c r="B3685" s="1" t="s">
        <v>12756</v>
      </c>
      <c r="C3685" s="1" t="s">
        <v>8964</v>
      </c>
      <c r="D3685" s="1" t="s">
        <v>738</v>
      </c>
      <c r="E3685" s="1" t="s">
        <v>6076</v>
      </c>
      <c r="F3685" s="1" t="s">
        <v>6076</v>
      </c>
      <c r="G3685" s="1" t="s">
        <v>8938</v>
      </c>
      <c r="H3685">
        <v>2008</v>
      </c>
      <c r="I3685">
        <v>2010</v>
      </c>
      <c r="J3685">
        <f t="shared" si="114"/>
        <v>3</v>
      </c>
      <c r="K3685" s="1" t="s">
        <v>6076</v>
      </c>
      <c r="L3685" s="1" t="s">
        <v>6076</v>
      </c>
      <c r="M3685">
        <f t="shared" si="115"/>
        <v>16</v>
      </c>
      <c r="N3685" t="s">
        <v>650</v>
      </c>
    </row>
    <row r="3686" spans="1:14" x14ac:dyDescent="0.3">
      <c r="A3686" s="1" t="s">
        <v>8965</v>
      </c>
      <c r="B3686" s="1" t="s">
        <v>12756</v>
      </c>
      <c r="C3686" s="1" t="s">
        <v>8966</v>
      </c>
      <c r="D3686" s="1" t="s">
        <v>738</v>
      </c>
      <c r="E3686" s="1" t="s">
        <v>6076</v>
      </c>
      <c r="F3686" s="1" t="s">
        <v>6076</v>
      </c>
      <c r="G3686" s="1" t="s">
        <v>8938</v>
      </c>
      <c r="H3686">
        <v>2008</v>
      </c>
      <c r="I3686">
        <v>2010</v>
      </c>
      <c r="J3686">
        <f t="shared" si="114"/>
        <v>3</v>
      </c>
      <c r="K3686" s="1" t="s">
        <v>6076</v>
      </c>
      <c r="L3686" s="1" t="s">
        <v>6076</v>
      </c>
      <c r="M3686">
        <f t="shared" si="115"/>
        <v>16</v>
      </c>
      <c r="N3686" t="s">
        <v>650</v>
      </c>
    </row>
    <row r="3687" spans="1:14" x14ac:dyDescent="0.3">
      <c r="A3687" s="1" t="s">
        <v>8967</v>
      </c>
      <c r="B3687" s="1" t="s">
        <v>12756</v>
      </c>
      <c r="C3687" s="1" t="s">
        <v>8968</v>
      </c>
      <c r="D3687" s="1" t="s">
        <v>738</v>
      </c>
      <c r="E3687" s="1" t="s">
        <v>6076</v>
      </c>
      <c r="F3687" s="1" t="s">
        <v>6076</v>
      </c>
      <c r="G3687" s="1" t="s">
        <v>8938</v>
      </c>
      <c r="H3687">
        <v>2009</v>
      </c>
      <c r="I3687">
        <v>2010</v>
      </c>
      <c r="J3687">
        <f t="shared" si="114"/>
        <v>2</v>
      </c>
      <c r="K3687" s="1" t="s">
        <v>6076</v>
      </c>
      <c r="L3687" s="1" t="s">
        <v>6076</v>
      </c>
      <c r="M3687">
        <f t="shared" si="115"/>
        <v>16</v>
      </c>
      <c r="N3687" t="s">
        <v>650</v>
      </c>
    </row>
    <row r="3688" spans="1:14" x14ac:dyDescent="0.3">
      <c r="A3688" s="1" t="s">
        <v>8969</v>
      </c>
      <c r="B3688" s="1" t="s">
        <v>12756</v>
      </c>
      <c r="C3688" s="1" t="s">
        <v>8970</v>
      </c>
      <c r="D3688" s="1" t="s">
        <v>738</v>
      </c>
      <c r="E3688" s="1" t="s">
        <v>6076</v>
      </c>
      <c r="F3688" s="1" t="s">
        <v>6076</v>
      </c>
      <c r="G3688" s="1" t="s">
        <v>8938</v>
      </c>
      <c r="H3688">
        <v>2009</v>
      </c>
      <c r="I3688">
        <v>2010</v>
      </c>
      <c r="J3688">
        <f t="shared" si="114"/>
        <v>2</v>
      </c>
      <c r="K3688" s="1" t="s">
        <v>6076</v>
      </c>
      <c r="L3688" s="1" t="s">
        <v>6076</v>
      </c>
      <c r="M3688">
        <f t="shared" si="115"/>
        <v>16</v>
      </c>
      <c r="N3688" t="s">
        <v>650</v>
      </c>
    </row>
    <row r="3689" spans="1:14" x14ac:dyDescent="0.3">
      <c r="A3689" s="1" t="s">
        <v>8971</v>
      </c>
      <c r="B3689" s="1" t="s">
        <v>12756</v>
      </c>
      <c r="C3689" s="1" t="s">
        <v>8972</v>
      </c>
      <c r="D3689" s="1" t="s">
        <v>738</v>
      </c>
      <c r="E3689" s="1" t="s">
        <v>6076</v>
      </c>
      <c r="F3689" s="1" t="s">
        <v>6076</v>
      </c>
      <c r="G3689" s="1" t="s">
        <v>8938</v>
      </c>
      <c r="H3689">
        <v>2006</v>
      </c>
      <c r="I3689">
        <v>2011</v>
      </c>
      <c r="J3689">
        <f t="shared" si="114"/>
        <v>6</v>
      </c>
      <c r="K3689" s="1" t="s">
        <v>6076</v>
      </c>
      <c r="L3689" s="1" t="s">
        <v>6076</v>
      </c>
      <c r="M3689">
        <f t="shared" si="115"/>
        <v>15</v>
      </c>
      <c r="N3689" t="s">
        <v>650</v>
      </c>
    </row>
    <row r="3690" spans="1:14" x14ac:dyDescent="0.3">
      <c r="A3690" s="1" t="s">
        <v>8973</v>
      </c>
      <c r="B3690" s="1" t="s">
        <v>12756</v>
      </c>
      <c r="C3690" s="1" t="s">
        <v>8974</v>
      </c>
      <c r="D3690" s="1" t="s">
        <v>738</v>
      </c>
      <c r="E3690" s="1" t="s">
        <v>6076</v>
      </c>
      <c r="F3690" s="1" t="s">
        <v>6076</v>
      </c>
      <c r="G3690" s="1" t="s">
        <v>8938</v>
      </c>
      <c r="H3690">
        <v>2005</v>
      </c>
      <c r="I3690">
        <v>2011</v>
      </c>
      <c r="J3690">
        <f t="shared" si="114"/>
        <v>7</v>
      </c>
      <c r="K3690" s="1" t="s">
        <v>6076</v>
      </c>
      <c r="L3690" s="1" t="s">
        <v>6076</v>
      </c>
      <c r="M3690">
        <f t="shared" si="115"/>
        <v>15</v>
      </c>
      <c r="N3690" t="s">
        <v>650</v>
      </c>
    </row>
    <row r="3691" spans="1:14" x14ac:dyDescent="0.3">
      <c r="A3691" s="1" t="s">
        <v>8975</v>
      </c>
      <c r="B3691" s="1" t="s">
        <v>12756</v>
      </c>
      <c r="C3691" s="1" t="s">
        <v>8976</v>
      </c>
      <c r="D3691" s="1" t="s">
        <v>738</v>
      </c>
      <c r="E3691" s="1" t="s">
        <v>6076</v>
      </c>
      <c r="F3691" s="1" t="s">
        <v>6076</v>
      </c>
      <c r="G3691" s="1" t="s">
        <v>8938</v>
      </c>
      <c r="H3691">
        <v>2006</v>
      </c>
      <c r="I3691">
        <v>2009</v>
      </c>
      <c r="J3691">
        <f t="shared" si="114"/>
        <v>4</v>
      </c>
      <c r="K3691" s="1" t="s">
        <v>6076</v>
      </c>
      <c r="L3691" s="1" t="s">
        <v>6076</v>
      </c>
      <c r="M3691">
        <f t="shared" si="115"/>
        <v>17</v>
      </c>
      <c r="N3691" t="s">
        <v>650</v>
      </c>
    </row>
    <row r="3692" spans="1:14" x14ac:dyDescent="0.3">
      <c r="A3692" s="1" t="s">
        <v>8977</v>
      </c>
      <c r="B3692" s="1" t="s">
        <v>12756</v>
      </c>
      <c r="C3692" s="1" t="s">
        <v>8978</v>
      </c>
      <c r="D3692" s="1" t="s">
        <v>738</v>
      </c>
      <c r="E3692" s="1" t="s">
        <v>6076</v>
      </c>
      <c r="F3692" s="1" t="s">
        <v>6076</v>
      </c>
      <c r="G3692" s="1" t="s">
        <v>8938</v>
      </c>
      <c r="H3692">
        <v>2006</v>
      </c>
      <c r="I3692">
        <v>2011</v>
      </c>
      <c r="J3692">
        <f t="shared" si="114"/>
        <v>6</v>
      </c>
      <c r="K3692" s="1" t="s">
        <v>6076</v>
      </c>
      <c r="L3692" s="1" t="s">
        <v>6076</v>
      </c>
      <c r="M3692">
        <f t="shared" si="115"/>
        <v>15</v>
      </c>
      <c r="N3692" t="s">
        <v>650</v>
      </c>
    </row>
    <row r="3693" spans="1:14" x14ac:dyDescent="0.3">
      <c r="A3693" s="1" t="s">
        <v>8979</v>
      </c>
      <c r="B3693" s="1" t="s">
        <v>12756</v>
      </c>
      <c r="C3693" s="1" t="s">
        <v>8980</v>
      </c>
      <c r="D3693" s="1" t="s">
        <v>738</v>
      </c>
      <c r="E3693" s="1" t="s">
        <v>6076</v>
      </c>
      <c r="F3693" s="1" t="s">
        <v>6076</v>
      </c>
      <c r="G3693" s="1" t="s">
        <v>8938</v>
      </c>
      <c r="H3693">
        <v>2006</v>
      </c>
      <c r="I3693">
        <v>2011</v>
      </c>
      <c r="J3693">
        <f t="shared" si="114"/>
        <v>6</v>
      </c>
      <c r="K3693" s="1" t="s">
        <v>6076</v>
      </c>
      <c r="L3693" s="1" t="s">
        <v>6076</v>
      </c>
      <c r="M3693">
        <f t="shared" si="115"/>
        <v>15</v>
      </c>
      <c r="N3693" t="s">
        <v>650</v>
      </c>
    </row>
    <row r="3694" spans="1:14" x14ac:dyDescent="0.3">
      <c r="A3694" s="1" t="s">
        <v>8981</v>
      </c>
      <c r="B3694" s="1" t="s">
        <v>12756</v>
      </c>
      <c r="C3694" s="1" t="s">
        <v>8982</v>
      </c>
      <c r="D3694" s="1" t="s">
        <v>738</v>
      </c>
      <c r="E3694" s="1" t="s">
        <v>6076</v>
      </c>
      <c r="F3694" s="1" t="s">
        <v>6076</v>
      </c>
      <c r="G3694" s="1" t="s">
        <v>8938</v>
      </c>
      <c r="H3694">
        <v>2004</v>
      </c>
      <c r="I3694">
        <v>2010</v>
      </c>
      <c r="J3694">
        <f t="shared" si="114"/>
        <v>7</v>
      </c>
      <c r="K3694" s="1" t="s">
        <v>6076</v>
      </c>
      <c r="L3694" s="1" t="s">
        <v>6076</v>
      </c>
      <c r="M3694">
        <f t="shared" si="115"/>
        <v>16</v>
      </c>
      <c r="N3694" t="s">
        <v>650</v>
      </c>
    </row>
    <row r="3695" spans="1:14" x14ac:dyDescent="0.3">
      <c r="A3695" s="1" t="s">
        <v>8983</v>
      </c>
      <c r="B3695" s="1" t="s">
        <v>12756</v>
      </c>
      <c r="C3695" s="1" t="s">
        <v>8984</v>
      </c>
      <c r="D3695" s="1" t="s">
        <v>738</v>
      </c>
      <c r="E3695" s="1" t="s">
        <v>6076</v>
      </c>
      <c r="F3695" s="1" t="s">
        <v>6076</v>
      </c>
      <c r="G3695" s="1" t="s">
        <v>8938</v>
      </c>
      <c r="H3695">
        <v>1998</v>
      </c>
      <c r="I3695">
        <v>2000</v>
      </c>
      <c r="J3695">
        <f t="shared" si="114"/>
        <v>3</v>
      </c>
      <c r="K3695" s="1" t="s">
        <v>6076</v>
      </c>
      <c r="L3695" s="1" t="s">
        <v>6076</v>
      </c>
      <c r="M3695">
        <f t="shared" si="115"/>
        <v>26</v>
      </c>
      <c r="N3695" t="s">
        <v>640</v>
      </c>
    </row>
    <row r="3696" spans="1:14" x14ac:dyDescent="0.3">
      <c r="A3696" s="1" t="s">
        <v>8985</v>
      </c>
      <c r="B3696" s="1" t="s">
        <v>12756</v>
      </c>
      <c r="C3696" s="1" t="s">
        <v>8986</v>
      </c>
      <c r="D3696" s="1" t="s">
        <v>738</v>
      </c>
      <c r="E3696" s="1" t="s">
        <v>6076</v>
      </c>
      <c r="F3696" s="1" t="s">
        <v>6076</v>
      </c>
      <c r="G3696" s="1" t="s">
        <v>8938</v>
      </c>
      <c r="H3696">
        <v>1999</v>
      </c>
      <c r="I3696">
        <v>2001</v>
      </c>
      <c r="J3696">
        <f t="shared" si="114"/>
        <v>3</v>
      </c>
      <c r="K3696" s="1" t="s">
        <v>6076</v>
      </c>
      <c r="L3696" s="1" t="s">
        <v>6076</v>
      </c>
      <c r="M3696">
        <f t="shared" si="115"/>
        <v>25</v>
      </c>
      <c r="N3696" t="s">
        <v>640</v>
      </c>
    </row>
    <row r="3697" spans="1:14" x14ac:dyDescent="0.3">
      <c r="A3697" s="1" t="s">
        <v>8987</v>
      </c>
      <c r="B3697" s="1" t="s">
        <v>12756</v>
      </c>
      <c r="C3697" s="1" t="s">
        <v>8988</v>
      </c>
      <c r="D3697" s="1" t="s">
        <v>738</v>
      </c>
      <c r="E3697" s="1" t="s">
        <v>6076</v>
      </c>
      <c r="F3697" s="1" t="s">
        <v>6076</v>
      </c>
      <c r="G3697" s="1" t="s">
        <v>8938</v>
      </c>
      <c r="H3697">
        <v>2003</v>
      </c>
      <c r="I3697">
        <v>2006</v>
      </c>
      <c r="J3697">
        <f t="shared" si="114"/>
        <v>4</v>
      </c>
      <c r="K3697" s="1" t="s">
        <v>6076</v>
      </c>
      <c r="L3697" s="1" t="s">
        <v>6076</v>
      </c>
      <c r="M3697">
        <f t="shared" si="115"/>
        <v>20</v>
      </c>
      <c r="N3697" t="s">
        <v>640</v>
      </c>
    </row>
    <row r="3698" spans="1:14" x14ac:dyDescent="0.3">
      <c r="A3698" s="1" t="s">
        <v>8989</v>
      </c>
      <c r="B3698" s="1" t="s">
        <v>12756</v>
      </c>
      <c r="C3698" s="1" t="s">
        <v>8990</v>
      </c>
      <c r="D3698" s="1" t="s">
        <v>738</v>
      </c>
      <c r="E3698" s="1" t="s">
        <v>6076</v>
      </c>
      <c r="F3698" s="1" t="s">
        <v>6076</v>
      </c>
      <c r="G3698" s="1" t="s">
        <v>8938</v>
      </c>
      <c r="H3698">
        <v>1997</v>
      </c>
      <c r="I3698">
        <v>2001</v>
      </c>
      <c r="J3698">
        <f t="shared" si="114"/>
        <v>5</v>
      </c>
      <c r="K3698" s="1" t="s">
        <v>6076</v>
      </c>
      <c r="L3698" s="1" t="s">
        <v>6076</v>
      </c>
      <c r="M3698">
        <f t="shared" si="115"/>
        <v>25</v>
      </c>
      <c r="N3698" t="s">
        <v>640</v>
      </c>
    </row>
    <row r="3699" spans="1:14" hidden="1" x14ac:dyDescent="0.3">
      <c r="A3699" s="1" t="s">
        <v>2292</v>
      </c>
      <c r="B3699" s="1" t="s">
        <v>795</v>
      </c>
      <c r="C3699" s="1" t="s">
        <v>2293</v>
      </c>
      <c r="D3699" s="1" t="s">
        <v>738</v>
      </c>
      <c r="E3699" s="1" t="s">
        <v>739</v>
      </c>
      <c r="F3699" s="1" t="s">
        <v>740</v>
      </c>
      <c r="G3699" s="1" t="s">
        <v>2294</v>
      </c>
      <c r="H3699">
        <v>2003</v>
      </c>
      <c r="I3699">
        <v>2004</v>
      </c>
      <c r="J3699">
        <f t="shared" si="114"/>
        <v>2</v>
      </c>
      <c r="K3699" s="1" t="s">
        <v>741</v>
      </c>
      <c r="L3699" s="1" t="s">
        <v>666</v>
      </c>
      <c r="M3699">
        <f t="shared" si="115"/>
        <v>22</v>
      </c>
      <c r="N3699" t="s">
        <v>640</v>
      </c>
    </row>
    <row r="3700" spans="1:14" hidden="1" x14ac:dyDescent="0.3">
      <c r="A3700" s="1" t="s">
        <v>2295</v>
      </c>
      <c r="B3700" s="1" t="s">
        <v>795</v>
      </c>
      <c r="C3700" s="1" t="s">
        <v>2296</v>
      </c>
      <c r="D3700" s="1" t="s">
        <v>738</v>
      </c>
      <c r="E3700" s="1" t="s">
        <v>739</v>
      </c>
      <c r="F3700" s="1" t="s">
        <v>740</v>
      </c>
      <c r="G3700" s="1" t="s">
        <v>2294</v>
      </c>
      <c r="H3700">
        <v>2003</v>
      </c>
      <c r="I3700">
        <v>2004</v>
      </c>
      <c r="J3700">
        <f t="shared" si="114"/>
        <v>2</v>
      </c>
      <c r="K3700" s="1" t="s">
        <v>741</v>
      </c>
      <c r="L3700" s="1" t="s">
        <v>666</v>
      </c>
      <c r="M3700">
        <f t="shared" si="115"/>
        <v>22</v>
      </c>
      <c r="N3700" t="s">
        <v>640</v>
      </c>
    </row>
    <row r="3701" spans="1:14" hidden="1" x14ac:dyDescent="0.3">
      <c r="A3701" s="1" t="s">
        <v>2297</v>
      </c>
      <c r="B3701" s="1" t="s">
        <v>795</v>
      </c>
      <c r="C3701" s="1" t="s">
        <v>2298</v>
      </c>
      <c r="D3701" s="1" t="s">
        <v>738</v>
      </c>
      <c r="E3701" s="1" t="s">
        <v>739</v>
      </c>
      <c r="F3701" s="1" t="s">
        <v>740</v>
      </c>
      <c r="G3701" s="1" t="s">
        <v>2294</v>
      </c>
      <c r="H3701">
        <v>2004</v>
      </c>
      <c r="I3701">
        <v>2004</v>
      </c>
      <c r="J3701">
        <f t="shared" si="114"/>
        <v>1</v>
      </c>
      <c r="K3701" s="1" t="s">
        <v>741</v>
      </c>
      <c r="L3701" s="1" t="s">
        <v>666</v>
      </c>
      <c r="M3701">
        <f t="shared" si="115"/>
        <v>22</v>
      </c>
      <c r="N3701" t="s">
        <v>640</v>
      </c>
    </row>
    <row r="3702" spans="1:14" hidden="1" x14ac:dyDescent="0.3">
      <c r="A3702" s="1" t="s">
        <v>2299</v>
      </c>
      <c r="B3702" s="1" t="s">
        <v>795</v>
      </c>
      <c r="C3702" s="1" t="s">
        <v>2300</v>
      </c>
      <c r="D3702" s="1" t="s">
        <v>738</v>
      </c>
      <c r="E3702" s="1" t="s">
        <v>739</v>
      </c>
      <c r="F3702" s="1" t="s">
        <v>740</v>
      </c>
      <c r="G3702" s="1" t="s">
        <v>2294</v>
      </c>
      <c r="H3702">
        <v>2012</v>
      </c>
      <c r="I3702">
        <v>2012</v>
      </c>
      <c r="J3702">
        <f t="shared" si="114"/>
        <v>1</v>
      </c>
      <c r="K3702" s="1" t="s">
        <v>741</v>
      </c>
      <c r="L3702" s="1" t="s">
        <v>666</v>
      </c>
      <c r="M3702">
        <f t="shared" si="115"/>
        <v>14</v>
      </c>
      <c r="N3702" t="s">
        <v>650</v>
      </c>
    </row>
    <row r="3703" spans="1:14" hidden="1" x14ac:dyDescent="0.3">
      <c r="A3703" s="1" t="s">
        <v>2301</v>
      </c>
      <c r="B3703" s="1" t="s">
        <v>795</v>
      </c>
      <c r="C3703" s="1" t="s">
        <v>2302</v>
      </c>
      <c r="D3703" s="1" t="s">
        <v>738</v>
      </c>
      <c r="E3703" s="1" t="s">
        <v>739</v>
      </c>
      <c r="F3703" s="1" t="s">
        <v>740</v>
      </c>
      <c r="G3703" s="1" t="s">
        <v>2294</v>
      </c>
      <c r="H3703">
        <v>2009</v>
      </c>
      <c r="I3703">
        <v>2012</v>
      </c>
      <c r="J3703">
        <f t="shared" si="114"/>
        <v>4</v>
      </c>
      <c r="K3703" s="1" t="s">
        <v>741</v>
      </c>
      <c r="L3703" s="1" t="s">
        <v>666</v>
      </c>
      <c r="M3703">
        <f t="shared" si="115"/>
        <v>14</v>
      </c>
      <c r="N3703" t="s">
        <v>650</v>
      </c>
    </row>
    <row r="3704" spans="1:14" hidden="1" x14ac:dyDescent="0.3">
      <c r="A3704" s="1" t="s">
        <v>2303</v>
      </c>
      <c r="B3704" s="1" t="s">
        <v>795</v>
      </c>
      <c r="C3704" s="1" t="s">
        <v>2304</v>
      </c>
      <c r="D3704" s="1" t="s">
        <v>738</v>
      </c>
      <c r="E3704" s="1" t="s">
        <v>739</v>
      </c>
      <c r="F3704" s="1" t="s">
        <v>740</v>
      </c>
      <c r="G3704" s="1" t="s">
        <v>2294</v>
      </c>
      <c r="H3704">
        <v>2009</v>
      </c>
      <c r="I3704">
        <v>2012</v>
      </c>
      <c r="J3704">
        <f t="shared" si="114"/>
        <v>4</v>
      </c>
      <c r="K3704" s="1" t="s">
        <v>741</v>
      </c>
      <c r="L3704" s="1" t="s">
        <v>666</v>
      </c>
      <c r="M3704">
        <f t="shared" si="115"/>
        <v>14</v>
      </c>
      <c r="N3704" t="s">
        <v>650</v>
      </c>
    </row>
    <row r="3705" spans="1:14" hidden="1" x14ac:dyDescent="0.3">
      <c r="A3705" s="1" t="s">
        <v>2305</v>
      </c>
      <c r="B3705" s="1" t="s">
        <v>795</v>
      </c>
      <c r="C3705" s="1" t="s">
        <v>2306</v>
      </c>
      <c r="D3705" s="1" t="s">
        <v>738</v>
      </c>
      <c r="E3705" s="1" t="s">
        <v>739</v>
      </c>
      <c r="F3705" s="1" t="s">
        <v>740</v>
      </c>
      <c r="G3705" s="1" t="s">
        <v>2294</v>
      </c>
      <c r="H3705">
        <v>2005</v>
      </c>
      <c r="I3705">
        <v>2008</v>
      </c>
      <c r="J3705">
        <f t="shared" si="114"/>
        <v>4</v>
      </c>
      <c r="K3705" s="1" t="s">
        <v>741</v>
      </c>
      <c r="L3705" s="1" t="s">
        <v>666</v>
      </c>
      <c r="M3705">
        <f t="shared" si="115"/>
        <v>18</v>
      </c>
      <c r="N3705" t="s">
        <v>650</v>
      </c>
    </row>
    <row r="3706" spans="1:14" hidden="1" x14ac:dyDescent="0.3">
      <c r="A3706" s="1" t="s">
        <v>2307</v>
      </c>
      <c r="B3706" s="1" t="s">
        <v>795</v>
      </c>
      <c r="C3706" s="1" t="s">
        <v>2308</v>
      </c>
      <c r="D3706" s="1" t="s">
        <v>738</v>
      </c>
      <c r="E3706" s="1" t="s">
        <v>739</v>
      </c>
      <c r="F3706" s="1" t="s">
        <v>740</v>
      </c>
      <c r="G3706" s="1" t="s">
        <v>2294</v>
      </c>
      <c r="H3706">
        <v>2009</v>
      </c>
      <c r="I3706">
        <v>2012</v>
      </c>
      <c r="J3706">
        <f t="shared" si="114"/>
        <v>4</v>
      </c>
      <c r="K3706" s="1" t="s">
        <v>741</v>
      </c>
      <c r="L3706" s="1" t="s">
        <v>666</v>
      </c>
      <c r="M3706">
        <f t="shared" si="115"/>
        <v>14</v>
      </c>
      <c r="N3706" t="s">
        <v>650</v>
      </c>
    </row>
    <row r="3707" spans="1:14" hidden="1" x14ac:dyDescent="0.3">
      <c r="A3707" s="1" t="s">
        <v>2309</v>
      </c>
      <c r="B3707" s="1" t="s">
        <v>795</v>
      </c>
      <c r="C3707" s="1" t="s">
        <v>2310</v>
      </c>
      <c r="D3707" s="1" t="s">
        <v>738</v>
      </c>
      <c r="E3707" s="1" t="s">
        <v>739</v>
      </c>
      <c r="F3707" s="1" t="s">
        <v>740</v>
      </c>
      <c r="G3707" s="1" t="s">
        <v>2294</v>
      </c>
      <c r="H3707">
        <v>2005</v>
      </c>
      <c r="I3707">
        <v>2008</v>
      </c>
      <c r="J3707">
        <f t="shared" si="114"/>
        <v>4</v>
      </c>
      <c r="K3707" s="1" t="s">
        <v>741</v>
      </c>
      <c r="L3707" s="1" t="s">
        <v>666</v>
      </c>
      <c r="M3707">
        <f t="shared" si="115"/>
        <v>18</v>
      </c>
      <c r="N3707" t="s">
        <v>650</v>
      </c>
    </row>
    <row r="3708" spans="1:14" hidden="1" x14ac:dyDescent="0.3">
      <c r="A3708" s="1" t="s">
        <v>2311</v>
      </c>
      <c r="B3708" s="1" t="s">
        <v>795</v>
      </c>
      <c r="C3708" s="1" t="s">
        <v>2312</v>
      </c>
      <c r="D3708" s="1" t="s">
        <v>738</v>
      </c>
      <c r="E3708" s="1" t="s">
        <v>739</v>
      </c>
      <c r="F3708" s="1" t="s">
        <v>740</v>
      </c>
      <c r="G3708" s="1" t="s">
        <v>2294</v>
      </c>
      <c r="H3708">
        <v>2008</v>
      </c>
      <c r="I3708">
        <v>2012</v>
      </c>
      <c r="J3708">
        <f t="shared" si="114"/>
        <v>5</v>
      </c>
      <c r="K3708" s="1" t="s">
        <v>741</v>
      </c>
      <c r="L3708" s="1" t="s">
        <v>666</v>
      </c>
      <c r="M3708">
        <f t="shared" si="115"/>
        <v>14</v>
      </c>
      <c r="N3708" t="s">
        <v>650</v>
      </c>
    </row>
    <row r="3709" spans="1:14" x14ac:dyDescent="0.3">
      <c r="A3709" s="1" t="s">
        <v>8991</v>
      </c>
      <c r="B3709" s="1" t="s">
        <v>795</v>
      </c>
      <c r="C3709" s="1" t="s">
        <v>8992</v>
      </c>
      <c r="D3709" s="1" t="s">
        <v>738</v>
      </c>
      <c r="E3709" s="1" t="s">
        <v>6076</v>
      </c>
      <c r="F3709" s="1" t="s">
        <v>6076</v>
      </c>
      <c r="G3709" s="1" t="s">
        <v>2294</v>
      </c>
      <c r="H3709">
        <v>2005</v>
      </c>
      <c r="I3709">
        <v>2009</v>
      </c>
      <c r="J3709">
        <f t="shared" si="114"/>
        <v>5</v>
      </c>
      <c r="K3709" s="1" t="s">
        <v>6076</v>
      </c>
      <c r="L3709" s="1" t="s">
        <v>6076</v>
      </c>
      <c r="M3709">
        <f t="shared" si="115"/>
        <v>17</v>
      </c>
      <c r="N3709" t="s">
        <v>650</v>
      </c>
    </row>
    <row r="3710" spans="1:14" x14ac:dyDescent="0.3">
      <c r="A3710" s="1" t="s">
        <v>8993</v>
      </c>
      <c r="B3710" s="1" t="s">
        <v>795</v>
      </c>
      <c r="C3710" s="1" t="s">
        <v>8994</v>
      </c>
      <c r="D3710" s="1" t="s">
        <v>738</v>
      </c>
      <c r="E3710" s="1" t="s">
        <v>6076</v>
      </c>
      <c r="F3710" s="1" t="s">
        <v>6076</v>
      </c>
      <c r="G3710" s="1" t="s">
        <v>2294</v>
      </c>
      <c r="H3710">
        <v>2006</v>
      </c>
      <c r="I3710">
        <v>2009</v>
      </c>
      <c r="J3710">
        <f t="shared" si="114"/>
        <v>4</v>
      </c>
      <c r="K3710" s="1" t="s">
        <v>6076</v>
      </c>
      <c r="L3710" s="1" t="s">
        <v>6076</v>
      </c>
      <c r="M3710">
        <f t="shared" si="115"/>
        <v>17</v>
      </c>
      <c r="N3710" t="s">
        <v>650</v>
      </c>
    </row>
    <row r="3711" spans="1:14" x14ac:dyDescent="0.3">
      <c r="A3711" s="1" t="s">
        <v>8995</v>
      </c>
      <c r="B3711" s="1" t="s">
        <v>795</v>
      </c>
      <c r="C3711" s="1" t="s">
        <v>8996</v>
      </c>
      <c r="D3711" s="1" t="s">
        <v>738</v>
      </c>
      <c r="E3711" s="1" t="s">
        <v>6076</v>
      </c>
      <c r="F3711" s="1" t="s">
        <v>6076</v>
      </c>
      <c r="G3711" s="1" t="s">
        <v>2294</v>
      </c>
      <c r="H3711">
        <v>2009</v>
      </c>
      <c r="I3711">
        <v>2011</v>
      </c>
      <c r="J3711">
        <f t="shared" si="114"/>
        <v>3</v>
      </c>
      <c r="K3711" s="1" t="s">
        <v>6076</v>
      </c>
      <c r="L3711" s="1" t="s">
        <v>6076</v>
      </c>
      <c r="M3711">
        <f t="shared" si="115"/>
        <v>15</v>
      </c>
      <c r="N3711" t="s">
        <v>650</v>
      </c>
    </row>
    <row r="3712" spans="1:14" x14ac:dyDescent="0.3">
      <c r="A3712" s="1" t="s">
        <v>8997</v>
      </c>
      <c r="B3712" s="1" t="s">
        <v>2154</v>
      </c>
      <c r="C3712" s="1" t="s">
        <v>8998</v>
      </c>
      <c r="D3712" s="1" t="s">
        <v>746</v>
      </c>
      <c r="E3712" s="1" t="s">
        <v>6076</v>
      </c>
      <c r="F3712" s="1" t="s">
        <v>6076</v>
      </c>
      <c r="G3712" s="1" t="s">
        <v>8999</v>
      </c>
      <c r="H3712">
        <v>1995</v>
      </c>
      <c r="I3712">
        <v>1995</v>
      </c>
      <c r="J3712">
        <f t="shared" si="114"/>
        <v>1</v>
      </c>
      <c r="K3712" s="1" t="s">
        <v>6076</v>
      </c>
      <c r="L3712" s="1" t="s">
        <v>6076</v>
      </c>
      <c r="M3712">
        <f t="shared" si="115"/>
        <v>31</v>
      </c>
      <c r="N3712" t="s">
        <v>640</v>
      </c>
    </row>
    <row r="3713" spans="1:14" x14ac:dyDescent="0.3">
      <c r="A3713" s="1" t="s">
        <v>9000</v>
      </c>
      <c r="B3713" s="1" t="s">
        <v>4561</v>
      </c>
      <c r="C3713" s="1" t="s">
        <v>9001</v>
      </c>
      <c r="D3713" s="1" t="s">
        <v>738</v>
      </c>
      <c r="E3713" s="1" t="s">
        <v>6076</v>
      </c>
      <c r="F3713" s="1" t="s">
        <v>6076</v>
      </c>
      <c r="G3713" s="1" t="s">
        <v>9002</v>
      </c>
      <c r="H3713">
        <v>1992</v>
      </c>
      <c r="I3713">
        <v>1994</v>
      </c>
      <c r="J3713">
        <f t="shared" si="114"/>
        <v>3</v>
      </c>
      <c r="K3713" s="1" t="s">
        <v>6076</v>
      </c>
      <c r="L3713" s="1" t="s">
        <v>6076</v>
      </c>
      <c r="M3713">
        <f t="shared" si="115"/>
        <v>32</v>
      </c>
      <c r="N3713" t="s">
        <v>640</v>
      </c>
    </row>
    <row r="3714" spans="1:14" x14ac:dyDescent="0.3">
      <c r="A3714" s="1" t="s">
        <v>9003</v>
      </c>
      <c r="B3714" s="1" t="s">
        <v>4561</v>
      </c>
      <c r="C3714" s="1" t="s">
        <v>9004</v>
      </c>
      <c r="D3714" s="1" t="s">
        <v>738</v>
      </c>
      <c r="E3714" s="1" t="s">
        <v>6076</v>
      </c>
      <c r="F3714" s="1" t="s">
        <v>6076</v>
      </c>
      <c r="G3714" s="1" t="s">
        <v>9002</v>
      </c>
      <c r="H3714">
        <v>1991</v>
      </c>
      <c r="I3714">
        <v>1995</v>
      </c>
      <c r="J3714">
        <f t="shared" si="114"/>
        <v>5</v>
      </c>
      <c r="K3714" s="1" t="s">
        <v>6076</v>
      </c>
      <c r="L3714" s="1" t="s">
        <v>6076</v>
      </c>
      <c r="M3714">
        <f t="shared" si="115"/>
        <v>31</v>
      </c>
      <c r="N3714" t="s">
        <v>640</v>
      </c>
    </row>
    <row r="3715" spans="1:14" x14ac:dyDescent="0.3">
      <c r="A3715" s="1" t="s">
        <v>9005</v>
      </c>
      <c r="B3715" s="1" t="s">
        <v>4561</v>
      </c>
      <c r="C3715" s="1" t="s">
        <v>9006</v>
      </c>
      <c r="D3715" s="1" t="s">
        <v>738</v>
      </c>
      <c r="E3715" s="1" t="s">
        <v>6076</v>
      </c>
      <c r="F3715" s="1" t="s">
        <v>6076</v>
      </c>
      <c r="G3715" s="1" t="s">
        <v>9002</v>
      </c>
      <c r="H3715">
        <v>1991</v>
      </c>
      <c r="I3715">
        <v>1995</v>
      </c>
      <c r="J3715">
        <f t="shared" si="114"/>
        <v>5</v>
      </c>
      <c r="K3715" s="1" t="s">
        <v>6076</v>
      </c>
      <c r="L3715" s="1" t="s">
        <v>6076</v>
      </c>
      <c r="M3715">
        <f t="shared" si="115"/>
        <v>31</v>
      </c>
      <c r="N3715" t="s">
        <v>640</v>
      </c>
    </row>
    <row r="3716" spans="1:14" x14ac:dyDescent="0.3">
      <c r="A3716" s="1" t="s">
        <v>9007</v>
      </c>
      <c r="B3716" s="1" t="s">
        <v>5931</v>
      </c>
      <c r="C3716" s="1" t="s">
        <v>9008</v>
      </c>
      <c r="D3716" s="1" t="s">
        <v>1395</v>
      </c>
      <c r="E3716" s="1" t="s">
        <v>6076</v>
      </c>
      <c r="F3716" s="1" t="s">
        <v>6076</v>
      </c>
      <c r="G3716" s="1" t="s">
        <v>9009</v>
      </c>
      <c r="H3716">
        <v>1998</v>
      </c>
      <c r="I3716">
        <v>1999</v>
      </c>
      <c r="J3716">
        <f t="shared" si="114"/>
        <v>2</v>
      </c>
      <c r="K3716" s="1" t="s">
        <v>6076</v>
      </c>
      <c r="L3716" s="1" t="s">
        <v>6076</v>
      </c>
      <c r="M3716">
        <f t="shared" si="115"/>
        <v>27</v>
      </c>
    </row>
    <row r="3717" spans="1:14" x14ac:dyDescent="0.3">
      <c r="A3717" s="1" t="s">
        <v>9010</v>
      </c>
      <c r="B3717" s="1" t="s">
        <v>5931</v>
      </c>
      <c r="C3717" s="1" t="s">
        <v>9011</v>
      </c>
      <c r="D3717" s="1" t="s">
        <v>1395</v>
      </c>
      <c r="E3717" s="1" t="s">
        <v>6076</v>
      </c>
      <c r="F3717" s="1" t="s">
        <v>6076</v>
      </c>
      <c r="G3717" s="1" t="s">
        <v>9012</v>
      </c>
      <c r="H3717">
        <v>2007</v>
      </c>
      <c r="I3717">
        <v>2009</v>
      </c>
      <c r="J3717">
        <f t="shared" si="114"/>
        <v>3</v>
      </c>
      <c r="K3717" s="1" t="s">
        <v>6076</v>
      </c>
      <c r="L3717" s="1" t="s">
        <v>6076</v>
      </c>
      <c r="M3717">
        <f t="shared" si="115"/>
        <v>17</v>
      </c>
    </row>
    <row r="3718" spans="1:14" x14ac:dyDescent="0.3">
      <c r="A3718" s="1" t="s">
        <v>9013</v>
      </c>
      <c r="B3718" s="1" t="s">
        <v>5931</v>
      </c>
      <c r="C3718" s="1" t="s">
        <v>9014</v>
      </c>
      <c r="D3718" s="1" t="s">
        <v>1395</v>
      </c>
      <c r="E3718" s="1" t="s">
        <v>6076</v>
      </c>
      <c r="F3718" s="1" t="s">
        <v>6076</v>
      </c>
      <c r="G3718" s="1" t="s">
        <v>9012</v>
      </c>
      <c r="H3718">
        <v>1998</v>
      </c>
      <c r="I3718">
        <v>2002</v>
      </c>
      <c r="J3718">
        <f t="shared" ref="J3718:J3781" si="116">1+(I3718-H3718)</f>
        <v>5</v>
      </c>
      <c r="K3718" s="1" t="s">
        <v>6076</v>
      </c>
      <c r="L3718" s="1" t="s">
        <v>6076</v>
      </c>
      <c r="M3718">
        <f t="shared" ref="M3718:M3781" si="117">IF(I3718=0,0,$B$2-I3718)</f>
        <v>24</v>
      </c>
    </row>
    <row r="3719" spans="1:14" x14ac:dyDescent="0.3">
      <c r="A3719" s="1" t="s">
        <v>9015</v>
      </c>
      <c r="B3719" s="1" t="s">
        <v>5931</v>
      </c>
      <c r="C3719" s="1" t="s">
        <v>9016</v>
      </c>
      <c r="D3719" s="1" t="s">
        <v>1395</v>
      </c>
      <c r="E3719" s="1" t="s">
        <v>6076</v>
      </c>
      <c r="F3719" s="1" t="s">
        <v>6076</v>
      </c>
      <c r="G3719" s="1" t="s">
        <v>9017</v>
      </c>
      <c r="H3719">
        <v>2010</v>
      </c>
      <c r="I3719">
        <v>2015</v>
      </c>
      <c r="J3719">
        <f t="shared" si="116"/>
        <v>6</v>
      </c>
      <c r="K3719" s="1" t="s">
        <v>6076</v>
      </c>
      <c r="L3719" s="1" t="s">
        <v>6076</v>
      </c>
      <c r="M3719">
        <f t="shared" si="117"/>
        <v>11</v>
      </c>
    </row>
    <row r="3720" spans="1:14" x14ac:dyDescent="0.3">
      <c r="A3720" s="1" t="s">
        <v>9018</v>
      </c>
      <c r="B3720" s="1" t="s">
        <v>5931</v>
      </c>
      <c r="C3720" s="1" t="s">
        <v>9019</v>
      </c>
      <c r="D3720" s="1" t="s">
        <v>1395</v>
      </c>
      <c r="E3720" s="1" t="s">
        <v>6076</v>
      </c>
      <c r="F3720" s="1" t="s">
        <v>6076</v>
      </c>
      <c r="G3720" s="1" t="s">
        <v>9017</v>
      </c>
      <c r="H3720">
        <v>2004</v>
      </c>
      <c r="I3720">
        <v>2010</v>
      </c>
      <c r="J3720">
        <f t="shared" si="116"/>
        <v>7</v>
      </c>
      <c r="K3720" s="1" t="s">
        <v>6076</v>
      </c>
      <c r="L3720" s="1" t="s">
        <v>6076</v>
      </c>
      <c r="M3720">
        <f t="shared" si="117"/>
        <v>16</v>
      </c>
    </row>
    <row r="3721" spans="1:14" x14ac:dyDescent="0.3">
      <c r="A3721" s="1" t="s">
        <v>9020</v>
      </c>
      <c r="B3721" s="1" t="s">
        <v>5931</v>
      </c>
      <c r="C3721" s="1" t="s">
        <v>9021</v>
      </c>
      <c r="D3721" s="1" t="s">
        <v>1395</v>
      </c>
      <c r="E3721" s="1" t="s">
        <v>6076</v>
      </c>
      <c r="F3721" s="1" t="s">
        <v>6076</v>
      </c>
      <c r="G3721" s="1" t="s">
        <v>9017</v>
      </c>
      <c r="H3721">
        <v>2014</v>
      </c>
      <c r="I3721">
        <v>2015</v>
      </c>
      <c r="J3721">
        <f t="shared" si="116"/>
        <v>2</v>
      </c>
      <c r="K3721" s="1" t="s">
        <v>6076</v>
      </c>
      <c r="L3721" s="1" t="s">
        <v>6076</v>
      </c>
      <c r="M3721">
        <f t="shared" si="117"/>
        <v>11</v>
      </c>
    </row>
    <row r="3722" spans="1:14" x14ac:dyDescent="0.3">
      <c r="A3722" s="1" t="s">
        <v>9022</v>
      </c>
      <c r="B3722" s="1" t="s">
        <v>5931</v>
      </c>
      <c r="C3722" s="1" t="s">
        <v>9023</v>
      </c>
      <c r="D3722" s="1" t="s">
        <v>1395</v>
      </c>
      <c r="E3722" s="1" t="s">
        <v>6076</v>
      </c>
      <c r="F3722" s="1" t="s">
        <v>6076</v>
      </c>
      <c r="G3722" s="1" t="s">
        <v>9017</v>
      </c>
      <c r="H3722">
        <v>2012</v>
      </c>
      <c r="I3722">
        <v>2013</v>
      </c>
      <c r="J3722">
        <f t="shared" si="116"/>
        <v>2</v>
      </c>
      <c r="K3722" s="1" t="s">
        <v>6076</v>
      </c>
      <c r="L3722" s="1" t="s">
        <v>6076</v>
      </c>
      <c r="M3722">
        <f t="shared" si="117"/>
        <v>13</v>
      </c>
    </row>
    <row r="3723" spans="1:14" x14ac:dyDescent="0.3">
      <c r="A3723" s="1" t="s">
        <v>9024</v>
      </c>
      <c r="B3723" s="1" t="s">
        <v>5931</v>
      </c>
      <c r="C3723" s="1" t="s">
        <v>9025</v>
      </c>
      <c r="D3723" s="1" t="s">
        <v>1395</v>
      </c>
      <c r="E3723" s="1" t="s">
        <v>6076</v>
      </c>
      <c r="F3723" s="1" t="s">
        <v>6076</v>
      </c>
      <c r="G3723" s="1" t="s">
        <v>9025</v>
      </c>
      <c r="H3723">
        <v>1999</v>
      </c>
      <c r="I3723">
        <v>2001</v>
      </c>
      <c r="J3723">
        <f t="shared" si="116"/>
        <v>3</v>
      </c>
      <c r="K3723" s="1" t="s">
        <v>6076</v>
      </c>
      <c r="L3723" s="1" t="s">
        <v>6076</v>
      </c>
      <c r="M3723">
        <f t="shared" si="117"/>
        <v>25</v>
      </c>
    </row>
    <row r="3724" spans="1:14" x14ac:dyDescent="0.3">
      <c r="A3724" s="1" t="s">
        <v>9026</v>
      </c>
      <c r="B3724" s="1" t="s">
        <v>5931</v>
      </c>
      <c r="C3724" s="1" t="s">
        <v>9027</v>
      </c>
      <c r="D3724" s="1" t="s">
        <v>1395</v>
      </c>
      <c r="E3724" s="1" t="s">
        <v>6076</v>
      </c>
      <c r="F3724" s="1" t="s">
        <v>6076</v>
      </c>
      <c r="G3724" s="1" t="s">
        <v>9028</v>
      </c>
      <c r="H3724">
        <v>2002</v>
      </c>
      <c r="I3724">
        <v>2011</v>
      </c>
      <c r="J3724">
        <f t="shared" si="116"/>
        <v>10</v>
      </c>
      <c r="K3724" s="1" t="s">
        <v>6076</v>
      </c>
      <c r="L3724" s="1" t="s">
        <v>6076</v>
      </c>
      <c r="M3724">
        <f t="shared" si="117"/>
        <v>15</v>
      </c>
    </row>
    <row r="3725" spans="1:14" x14ac:dyDescent="0.3">
      <c r="A3725" s="1" t="s">
        <v>9029</v>
      </c>
      <c r="B3725" s="1" t="s">
        <v>5931</v>
      </c>
      <c r="C3725" s="1" t="s">
        <v>9030</v>
      </c>
      <c r="D3725" s="1" t="s">
        <v>1395</v>
      </c>
      <c r="E3725" s="1" t="s">
        <v>6076</v>
      </c>
      <c r="F3725" s="1" t="s">
        <v>6076</v>
      </c>
      <c r="G3725" s="1" t="s">
        <v>9031</v>
      </c>
      <c r="H3725">
        <v>2000</v>
      </c>
      <c r="I3725">
        <v>2005</v>
      </c>
      <c r="J3725">
        <f t="shared" si="116"/>
        <v>6</v>
      </c>
      <c r="K3725" s="1" t="s">
        <v>6076</v>
      </c>
      <c r="L3725" s="1" t="s">
        <v>6076</v>
      </c>
      <c r="M3725">
        <f t="shared" si="117"/>
        <v>21</v>
      </c>
    </row>
    <row r="3726" spans="1:14" x14ac:dyDescent="0.3">
      <c r="A3726" s="1" t="s">
        <v>9032</v>
      </c>
      <c r="B3726" s="1" t="s">
        <v>5931</v>
      </c>
      <c r="C3726" s="1" t="s">
        <v>9033</v>
      </c>
      <c r="D3726" s="1" t="s">
        <v>1395</v>
      </c>
      <c r="E3726" s="1" t="s">
        <v>6076</v>
      </c>
      <c r="F3726" s="1" t="s">
        <v>6076</v>
      </c>
      <c r="G3726" s="1" t="s">
        <v>9034</v>
      </c>
      <c r="H3726">
        <v>2012</v>
      </c>
      <c r="I3726">
        <v>2015</v>
      </c>
      <c r="J3726">
        <f t="shared" si="116"/>
        <v>4</v>
      </c>
      <c r="K3726" s="1" t="s">
        <v>6076</v>
      </c>
      <c r="L3726" s="1" t="s">
        <v>6076</v>
      </c>
      <c r="M3726">
        <f t="shared" si="117"/>
        <v>11</v>
      </c>
    </row>
    <row r="3727" spans="1:14" x14ac:dyDescent="0.3">
      <c r="A3727" s="1" t="s">
        <v>9035</v>
      </c>
      <c r="B3727" s="1" t="s">
        <v>5931</v>
      </c>
      <c r="C3727" s="1" t="s">
        <v>9036</v>
      </c>
      <c r="D3727" s="1" t="s">
        <v>1395</v>
      </c>
      <c r="E3727" s="1" t="s">
        <v>6076</v>
      </c>
      <c r="F3727" s="1" t="s">
        <v>6076</v>
      </c>
      <c r="G3727" s="1" t="s">
        <v>9034</v>
      </c>
      <c r="H3727">
        <v>2006</v>
      </c>
      <c r="I3727">
        <v>2011</v>
      </c>
      <c r="J3727">
        <f t="shared" si="116"/>
        <v>6</v>
      </c>
      <c r="K3727" s="1" t="s">
        <v>6076</v>
      </c>
      <c r="L3727" s="1" t="s">
        <v>6076</v>
      </c>
      <c r="M3727">
        <f t="shared" si="117"/>
        <v>15</v>
      </c>
    </row>
    <row r="3728" spans="1:14" hidden="1" x14ac:dyDescent="0.3">
      <c r="A3728" s="1" t="s">
        <v>2313</v>
      </c>
      <c r="B3728" s="1" t="s">
        <v>802</v>
      </c>
      <c r="C3728" s="1" t="s">
        <v>2314</v>
      </c>
      <c r="D3728" s="1" t="s">
        <v>746</v>
      </c>
      <c r="E3728" s="1" t="s">
        <v>747</v>
      </c>
      <c r="F3728" s="1" t="s">
        <v>748</v>
      </c>
      <c r="G3728" s="1" t="s">
        <v>2315</v>
      </c>
      <c r="H3728">
        <v>2017</v>
      </c>
      <c r="I3728">
        <v>2017</v>
      </c>
      <c r="J3728">
        <f t="shared" si="116"/>
        <v>1</v>
      </c>
      <c r="K3728" s="1" t="s">
        <v>741</v>
      </c>
      <c r="L3728" s="1" t="s">
        <v>798</v>
      </c>
      <c r="M3728">
        <f t="shared" si="117"/>
        <v>9</v>
      </c>
      <c r="N3728" t="s">
        <v>650</v>
      </c>
    </row>
    <row r="3729" spans="1:14" hidden="1" x14ac:dyDescent="0.3">
      <c r="A3729" s="1" t="s">
        <v>2316</v>
      </c>
      <c r="B3729" s="1" t="s">
        <v>802</v>
      </c>
      <c r="C3729" s="1" t="s">
        <v>2317</v>
      </c>
      <c r="D3729" s="1" t="s">
        <v>746</v>
      </c>
      <c r="E3729" s="1" t="s">
        <v>747</v>
      </c>
      <c r="F3729" s="1" t="s">
        <v>748</v>
      </c>
      <c r="G3729" s="1" t="s">
        <v>2315</v>
      </c>
      <c r="H3729">
        <v>2018</v>
      </c>
      <c r="I3729">
        <v>2018</v>
      </c>
      <c r="J3729">
        <f t="shared" si="116"/>
        <v>1</v>
      </c>
      <c r="K3729" s="1" t="s">
        <v>741</v>
      </c>
      <c r="L3729" s="1" t="s">
        <v>798</v>
      </c>
      <c r="M3729">
        <f t="shared" si="117"/>
        <v>8</v>
      </c>
      <c r="N3729" t="s">
        <v>650</v>
      </c>
    </row>
    <row r="3730" spans="1:14" hidden="1" x14ac:dyDescent="0.3">
      <c r="A3730" s="1" t="s">
        <v>2318</v>
      </c>
      <c r="B3730" s="1" t="s">
        <v>802</v>
      </c>
      <c r="C3730" s="1" t="s">
        <v>2319</v>
      </c>
      <c r="D3730" s="1" t="s">
        <v>746</v>
      </c>
      <c r="E3730" s="1" t="s">
        <v>747</v>
      </c>
      <c r="F3730" s="1" t="s">
        <v>748</v>
      </c>
      <c r="G3730" s="1" t="s">
        <v>2315</v>
      </c>
      <c r="H3730">
        <v>2017</v>
      </c>
      <c r="I3730">
        <v>2017</v>
      </c>
      <c r="J3730">
        <f t="shared" si="116"/>
        <v>1</v>
      </c>
      <c r="K3730" s="1" t="s">
        <v>741</v>
      </c>
      <c r="L3730" s="1" t="s">
        <v>798</v>
      </c>
      <c r="M3730">
        <f t="shared" si="117"/>
        <v>9</v>
      </c>
      <c r="N3730" t="s">
        <v>650</v>
      </c>
    </row>
    <row r="3731" spans="1:14" hidden="1" x14ac:dyDescent="0.3">
      <c r="A3731" s="1" t="s">
        <v>2320</v>
      </c>
      <c r="B3731" s="1" t="s">
        <v>802</v>
      </c>
      <c r="C3731" s="1" t="s">
        <v>2321</v>
      </c>
      <c r="D3731" s="1" t="s">
        <v>746</v>
      </c>
      <c r="E3731" s="1" t="s">
        <v>747</v>
      </c>
      <c r="F3731" s="1" t="s">
        <v>748</v>
      </c>
      <c r="G3731" s="1" t="s">
        <v>2315</v>
      </c>
      <c r="H3731">
        <v>2019</v>
      </c>
      <c r="I3731">
        <v>2019</v>
      </c>
      <c r="J3731">
        <f t="shared" si="116"/>
        <v>1</v>
      </c>
      <c r="K3731" s="1" t="s">
        <v>741</v>
      </c>
      <c r="L3731" s="1" t="s">
        <v>798</v>
      </c>
      <c r="M3731">
        <f t="shared" si="117"/>
        <v>7</v>
      </c>
      <c r="N3731" t="s">
        <v>650</v>
      </c>
    </row>
    <row r="3732" spans="1:14" hidden="1" x14ac:dyDescent="0.3">
      <c r="A3732" s="1" t="s">
        <v>2322</v>
      </c>
      <c r="B3732" s="1" t="s">
        <v>802</v>
      </c>
      <c r="C3732" s="1" t="s">
        <v>2323</v>
      </c>
      <c r="D3732" s="1" t="s">
        <v>746</v>
      </c>
      <c r="E3732" s="1" t="s">
        <v>747</v>
      </c>
      <c r="F3732" s="1" t="s">
        <v>748</v>
      </c>
      <c r="G3732" s="1" t="s">
        <v>2315</v>
      </c>
      <c r="H3732">
        <v>2017</v>
      </c>
      <c r="I3732">
        <v>2017</v>
      </c>
      <c r="J3732">
        <f t="shared" si="116"/>
        <v>1</v>
      </c>
      <c r="K3732" s="1" t="s">
        <v>741</v>
      </c>
      <c r="L3732" s="1" t="s">
        <v>798</v>
      </c>
      <c r="M3732">
        <f t="shared" si="117"/>
        <v>9</v>
      </c>
      <c r="N3732" t="s">
        <v>650</v>
      </c>
    </row>
    <row r="3733" spans="1:14" hidden="1" x14ac:dyDescent="0.3">
      <c r="A3733" s="1" t="s">
        <v>2324</v>
      </c>
      <c r="B3733" s="1" t="s">
        <v>802</v>
      </c>
      <c r="C3733" s="1" t="s">
        <v>2325</v>
      </c>
      <c r="D3733" s="1" t="s">
        <v>746</v>
      </c>
      <c r="E3733" s="1" t="s">
        <v>747</v>
      </c>
      <c r="F3733" s="1" t="s">
        <v>748</v>
      </c>
      <c r="G3733" s="1" t="s">
        <v>2315</v>
      </c>
      <c r="H3733">
        <v>2017</v>
      </c>
      <c r="I3733">
        <v>2017</v>
      </c>
      <c r="J3733">
        <f t="shared" si="116"/>
        <v>1</v>
      </c>
      <c r="K3733" s="1" t="s">
        <v>741</v>
      </c>
      <c r="L3733" s="1" t="s">
        <v>798</v>
      </c>
      <c r="M3733">
        <f t="shared" si="117"/>
        <v>9</v>
      </c>
      <c r="N3733" t="s">
        <v>650</v>
      </c>
    </row>
    <row r="3734" spans="1:14" hidden="1" x14ac:dyDescent="0.3">
      <c r="A3734" s="1" t="s">
        <v>2326</v>
      </c>
      <c r="B3734" s="1" t="s">
        <v>802</v>
      </c>
      <c r="C3734" s="1" t="s">
        <v>2327</v>
      </c>
      <c r="D3734" s="1" t="s">
        <v>746</v>
      </c>
      <c r="E3734" s="1" t="s">
        <v>747</v>
      </c>
      <c r="F3734" s="1" t="s">
        <v>748</v>
      </c>
      <c r="G3734" s="1" t="s">
        <v>2315</v>
      </c>
      <c r="H3734">
        <v>2017</v>
      </c>
      <c r="I3734">
        <v>2017</v>
      </c>
      <c r="J3734">
        <f t="shared" si="116"/>
        <v>1</v>
      </c>
      <c r="K3734" s="1" t="s">
        <v>741</v>
      </c>
      <c r="L3734" s="1" t="s">
        <v>798</v>
      </c>
      <c r="M3734">
        <f t="shared" si="117"/>
        <v>9</v>
      </c>
      <c r="N3734" t="s">
        <v>650</v>
      </c>
    </row>
    <row r="3735" spans="1:14" hidden="1" x14ac:dyDescent="0.3">
      <c r="A3735" s="1" t="s">
        <v>2328</v>
      </c>
      <c r="B3735" s="1" t="s">
        <v>802</v>
      </c>
      <c r="C3735" s="1" t="s">
        <v>2329</v>
      </c>
      <c r="D3735" s="1" t="s">
        <v>746</v>
      </c>
      <c r="E3735" s="1" t="s">
        <v>747</v>
      </c>
      <c r="F3735" s="1" t="s">
        <v>748</v>
      </c>
      <c r="G3735" s="1" t="s">
        <v>2315</v>
      </c>
      <c r="H3735">
        <v>2021</v>
      </c>
      <c r="I3735">
        <v>2022</v>
      </c>
      <c r="J3735">
        <f t="shared" si="116"/>
        <v>2</v>
      </c>
      <c r="K3735" s="1" t="s">
        <v>741</v>
      </c>
      <c r="L3735" s="1" t="s">
        <v>798</v>
      </c>
      <c r="M3735">
        <f t="shared" si="117"/>
        <v>4</v>
      </c>
      <c r="N3735" t="s">
        <v>650</v>
      </c>
    </row>
    <row r="3736" spans="1:14" hidden="1" x14ac:dyDescent="0.3">
      <c r="A3736" s="1" t="s">
        <v>2330</v>
      </c>
      <c r="B3736" s="1" t="s">
        <v>802</v>
      </c>
      <c r="C3736" s="1" t="s">
        <v>2331</v>
      </c>
      <c r="D3736" s="1" t="s">
        <v>746</v>
      </c>
      <c r="E3736" s="1" t="s">
        <v>747</v>
      </c>
      <c r="F3736" s="1" t="s">
        <v>748</v>
      </c>
      <c r="G3736" s="1" t="s">
        <v>2315</v>
      </c>
      <c r="H3736">
        <v>2017</v>
      </c>
      <c r="I3736">
        <v>2017</v>
      </c>
      <c r="J3736">
        <f t="shared" si="116"/>
        <v>1</v>
      </c>
      <c r="K3736" s="1" t="s">
        <v>741</v>
      </c>
      <c r="L3736" s="1" t="s">
        <v>798</v>
      </c>
      <c r="M3736">
        <f t="shared" si="117"/>
        <v>9</v>
      </c>
      <c r="N3736" t="s">
        <v>650</v>
      </c>
    </row>
    <row r="3737" spans="1:14" hidden="1" x14ac:dyDescent="0.3">
      <c r="A3737" s="1" t="s">
        <v>2332</v>
      </c>
      <c r="B3737" s="1" t="s">
        <v>802</v>
      </c>
      <c r="C3737" s="1" t="s">
        <v>2333</v>
      </c>
      <c r="D3737" s="1" t="s">
        <v>746</v>
      </c>
      <c r="E3737" s="1" t="s">
        <v>747</v>
      </c>
      <c r="F3737" s="1" t="s">
        <v>748</v>
      </c>
      <c r="G3737" s="1" t="s">
        <v>2315</v>
      </c>
      <c r="H3737">
        <v>2017</v>
      </c>
      <c r="I3737">
        <v>2017</v>
      </c>
      <c r="J3737">
        <f t="shared" si="116"/>
        <v>1</v>
      </c>
      <c r="K3737" s="1" t="s">
        <v>741</v>
      </c>
      <c r="L3737" s="1" t="s">
        <v>798</v>
      </c>
      <c r="M3737">
        <f t="shared" si="117"/>
        <v>9</v>
      </c>
      <c r="N3737" t="s">
        <v>650</v>
      </c>
    </row>
    <row r="3738" spans="1:14" x14ac:dyDescent="0.3">
      <c r="A3738" s="1" t="s">
        <v>9037</v>
      </c>
      <c r="B3738" s="1" t="s">
        <v>2667</v>
      </c>
      <c r="C3738" s="1" t="s">
        <v>9038</v>
      </c>
      <c r="D3738" s="1" t="s">
        <v>1395</v>
      </c>
      <c r="E3738" s="1" t="s">
        <v>6076</v>
      </c>
      <c r="F3738" s="1" t="s">
        <v>6076</v>
      </c>
      <c r="G3738" s="1" t="s">
        <v>9039</v>
      </c>
      <c r="H3738">
        <v>2008</v>
      </c>
      <c r="I3738">
        <v>2017</v>
      </c>
      <c r="J3738">
        <f t="shared" si="116"/>
        <v>10</v>
      </c>
      <c r="K3738" s="1" t="s">
        <v>6076</v>
      </c>
      <c r="L3738" s="1" t="s">
        <v>6076</v>
      </c>
      <c r="M3738">
        <f t="shared" si="117"/>
        <v>9</v>
      </c>
      <c r="N3738" t="s">
        <v>650</v>
      </c>
    </row>
    <row r="3739" spans="1:14" x14ac:dyDescent="0.3">
      <c r="A3739" s="1" t="s">
        <v>9040</v>
      </c>
      <c r="B3739" s="1" t="s">
        <v>2667</v>
      </c>
      <c r="C3739" s="1" t="s">
        <v>9041</v>
      </c>
      <c r="D3739" s="1" t="s">
        <v>1395</v>
      </c>
      <c r="E3739" s="1" t="s">
        <v>6076</v>
      </c>
      <c r="F3739" s="1" t="s">
        <v>6076</v>
      </c>
      <c r="G3739" s="1" t="s">
        <v>9039</v>
      </c>
      <c r="H3739">
        <v>2009</v>
      </c>
      <c r="I3739">
        <v>2013</v>
      </c>
      <c r="J3739">
        <f t="shared" si="116"/>
        <v>5</v>
      </c>
      <c r="K3739" s="1" t="s">
        <v>6076</v>
      </c>
      <c r="L3739" s="1" t="s">
        <v>6076</v>
      </c>
      <c r="M3739">
        <f t="shared" si="117"/>
        <v>13</v>
      </c>
      <c r="N3739" t="s">
        <v>650</v>
      </c>
    </row>
    <row r="3740" spans="1:14" x14ac:dyDescent="0.3">
      <c r="A3740" s="1" t="s">
        <v>9042</v>
      </c>
      <c r="B3740" s="1" t="s">
        <v>2667</v>
      </c>
      <c r="C3740" s="1" t="s">
        <v>9043</v>
      </c>
      <c r="D3740" s="1" t="s">
        <v>1395</v>
      </c>
      <c r="E3740" s="1" t="s">
        <v>6076</v>
      </c>
      <c r="F3740" s="1" t="s">
        <v>6076</v>
      </c>
      <c r="G3740" s="1" t="s">
        <v>9039</v>
      </c>
      <c r="H3740">
        <v>2009</v>
      </c>
      <c r="I3740">
        <v>2012</v>
      </c>
      <c r="J3740">
        <f t="shared" si="116"/>
        <v>4</v>
      </c>
      <c r="K3740" s="1" t="s">
        <v>6076</v>
      </c>
      <c r="L3740" s="1" t="s">
        <v>6076</v>
      </c>
      <c r="M3740">
        <f t="shared" si="117"/>
        <v>14</v>
      </c>
      <c r="N3740" t="s">
        <v>650</v>
      </c>
    </row>
    <row r="3741" spans="1:14" x14ac:dyDescent="0.3">
      <c r="A3741" s="1" t="s">
        <v>9044</v>
      </c>
      <c r="B3741" s="1" t="s">
        <v>1451</v>
      </c>
      <c r="C3741" s="1" t="s">
        <v>9045</v>
      </c>
      <c r="D3741" s="1" t="s">
        <v>738</v>
      </c>
      <c r="E3741" s="1" t="s">
        <v>6076</v>
      </c>
      <c r="F3741" s="1" t="s">
        <v>6076</v>
      </c>
      <c r="G3741" s="1" t="s">
        <v>9046</v>
      </c>
      <c r="H3741">
        <v>1995</v>
      </c>
      <c r="I3741">
        <v>1997</v>
      </c>
      <c r="J3741">
        <f t="shared" si="116"/>
        <v>3</v>
      </c>
      <c r="K3741" s="1" t="s">
        <v>6076</v>
      </c>
      <c r="L3741" s="1" t="s">
        <v>6076</v>
      </c>
      <c r="M3741">
        <f t="shared" si="117"/>
        <v>29</v>
      </c>
      <c r="N3741" t="s">
        <v>640</v>
      </c>
    </row>
    <row r="3742" spans="1:14" x14ac:dyDescent="0.3">
      <c r="A3742" s="1" t="s">
        <v>9047</v>
      </c>
      <c r="B3742" s="1" t="s">
        <v>1451</v>
      </c>
      <c r="C3742" s="1" t="s">
        <v>9048</v>
      </c>
      <c r="D3742" s="1" t="s">
        <v>738</v>
      </c>
      <c r="E3742" s="1" t="s">
        <v>6076</v>
      </c>
      <c r="F3742" s="1" t="s">
        <v>6076</v>
      </c>
      <c r="G3742" s="1" t="s">
        <v>9046</v>
      </c>
      <c r="H3742">
        <v>1995</v>
      </c>
      <c r="I3742">
        <v>1997</v>
      </c>
      <c r="J3742">
        <f t="shared" si="116"/>
        <v>3</v>
      </c>
      <c r="K3742" s="1" t="s">
        <v>6076</v>
      </c>
      <c r="L3742" s="1" t="s">
        <v>6076</v>
      </c>
      <c r="M3742">
        <f t="shared" si="117"/>
        <v>29</v>
      </c>
      <c r="N3742" t="s">
        <v>640</v>
      </c>
    </row>
    <row r="3743" spans="1:14" x14ac:dyDescent="0.3">
      <c r="A3743" s="1" t="s">
        <v>9049</v>
      </c>
      <c r="B3743" s="1" t="s">
        <v>1451</v>
      </c>
      <c r="C3743" s="1" t="s">
        <v>9050</v>
      </c>
      <c r="D3743" s="1" t="s">
        <v>738</v>
      </c>
      <c r="E3743" s="1" t="s">
        <v>6076</v>
      </c>
      <c r="F3743" s="1" t="s">
        <v>6076</v>
      </c>
      <c r="G3743" s="1" t="s">
        <v>9046</v>
      </c>
      <c r="H3743">
        <v>1996</v>
      </c>
      <c r="I3743">
        <v>2000</v>
      </c>
      <c r="J3743">
        <f t="shared" si="116"/>
        <v>5</v>
      </c>
      <c r="K3743" s="1" t="s">
        <v>6076</v>
      </c>
      <c r="L3743" s="1" t="s">
        <v>6076</v>
      </c>
      <c r="M3743">
        <f t="shared" si="117"/>
        <v>26</v>
      </c>
      <c r="N3743" t="s">
        <v>640</v>
      </c>
    </row>
    <row r="3744" spans="1:14" x14ac:dyDescent="0.3">
      <c r="A3744" s="1" t="s">
        <v>9051</v>
      </c>
      <c r="B3744" s="1" t="s">
        <v>1451</v>
      </c>
      <c r="C3744" s="1" t="s">
        <v>9052</v>
      </c>
      <c r="D3744" s="1" t="s">
        <v>738</v>
      </c>
      <c r="E3744" s="1" t="s">
        <v>6076</v>
      </c>
      <c r="F3744" s="1" t="s">
        <v>6076</v>
      </c>
      <c r="G3744" s="1" t="s">
        <v>9046</v>
      </c>
      <c r="H3744">
        <v>1995</v>
      </c>
      <c r="I3744">
        <v>2000</v>
      </c>
      <c r="J3744">
        <f t="shared" si="116"/>
        <v>6</v>
      </c>
      <c r="K3744" s="1" t="s">
        <v>6076</v>
      </c>
      <c r="L3744" s="1" t="s">
        <v>6076</v>
      </c>
      <c r="M3744">
        <f t="shared" si="117"/>
        <v>26</v>
      </c>
      <c r="N3744" t="s">
        <v>640</v>
      </c>
    </row>
    <row r="3745" spans="1:14" x14ac:dyDescent="0.3">
      <c r="A3745" s="1" t="s">
        <v>9053</v>
      </c>
      <c r="B3745" s="1" t="s">
        <v>1451</v>
      </c>
      <c r="C3745" s="1" t="s">
        <v>9054</v>
      </c>
      <c r="D3745" s="1" t="s">
        <v>738</v>
      </c>
      <c r="E3745" s="1" t="s">
        <v>6076</v>
      </c>
      <c r="F3745" s="1" t="s">
        <v>6076</v>
      </c>
      <c r="G3745" s="1" t="s">
        <v>9046</v>
      </c>
      <c r="H3745">
        <v>1996</v>
      </c>
      <c r="I3745">
        <v>2000</v>
      </c>
      <c r="J3745">
        <f t="shared" si="116"/>
        <v>5</v>
      </c>
      <c r="K3745" s="1" t="s">
        <v>6076</v>
      </c>
      <c r="L3745" s="1" t="s">
        <v>6076</v>
      </c>
      <c r="M3745">
        <f t="shared" si="117"/>
        <v>26</v>
      </c>
      <c r="N3745" t="s">
        <v>640</v>
      </c>
    </row>
    <row r="3746" spans="1:14" x14ac:dyDescent="0.3">
      <c r="A3746" s="1" t="s">
        <v>9055</v>
      </c>
      <c r="B3746" s="1" t="s">
        <v>1451</v>
      </c>
      <c r="C3746" s="1" t="s">
        <v>9056</v>
      </c>
      <c r="D3746" s="1" t="s">
        <v>738</v>
      </c>
      <c r="E3746" s="1" t="s">
        <v>6076</v>
      </c>
      <c r="F3746" s="1" t="s">
        <v>6076</v>
      </c>
      <c r="G3746" s="1" t="s">
        <v>9046</v>
      </c>
      <c r="H3746">
        <v>1995</v>
      </c>
      <c r="I3746">
        <v>1999</v>
      </c>
      <c r="J3746">
        <f t="shared" si="116"/>
        <v>5</v>
      </c>
      <c r="K3746" s="1" t="s">
        <v>6076</v>
      </c>
      <c r="L3746" s="1" t="s">
        <v>6076</v>
      </c>
      <c r="M3746">
        <f t="shared" si="117"/>
        <v>27</v>
      </c>
      <c r="N3746" t="s">
        <v>640</v>
      </c>
    </row>
    <row r="3747" spans="1:14" x14ac:dyDescent="0.3">
      <c r="A3747" s="1" t="s">
        <v>9057</v>
      </c>
      <c r="B3747" s="1" t="s">
        <v>1451</v>
      </c>
      <c r="C3747" s="1" t="s">
        <v>9058</v>
      </c>
      <c r="D3747" s="1" t="s">
        <v>738</v>
      </c>
      <c r="E3747" s="1" t="s">
        <v>6076</v>
      </c>
      <c r="F3747" s="1" t="s">
        <v>6076</v>
      </c>
      <c r="G3747" s="1" t="s">
        <v>9046</v>
      </c>
      <c r="H3747">
        <v>2001</v>
      </c>
      <c r="I3747">
        <v>2006</v>
      </c>
      <c r="J3747">
        <f t="shared" si="116"/>
        <v>6</v>
      </c>
      <c r="K3747" s="1" t="s">
        <v>6076</v>
      </c>
      <c r="L3747" s="1" t="s">
        <v>6076</v>
      </c>
      <c r="M3747">
        <f t="shared" si="117"/>
        <v>20</v>
      </c>
      <c r="N3747" t="s">
        <v>640</v>
      </c>
    </row>
    <row r="3748" spans="1:14" x14ac:dyDescent="0.3">
      <c r="A3748" s="1" t="s">
        <v>9059</v>
      </c>
      <c r="B3748" s="1" t="s">
        <v>1451</v>
      </c>
      <c r="C3748" s="1" t="s">
        <v>9060</v>
      </c>
      <c r="D3748" s="1" t="s">
        <v>738</v>
      </c>
      <c r="E3748" s="1" t="s">
        <v>6076</v>
      </c>
      <c r="F3748" s="1" t="s">
        <v>6076</v>
      </c>
      <c r="G3748" s="1" t="s">
        <v>9046</v>
      </c>
      <c r="H3748">
        <v>2001</v>
      </c>
      <c r="I3748">
        <v>2004</v>
      </c>
      <c r="J3748">
        <f t="shared" si="116"/>
        <v>4</v>
      </c>
      <c r="K3748" s="1" t="s">
        <v>6076</v>
      </c>
      <c r="L3748" s="1" t="s">
        <v>6076</v>
      </c>
      <c r="M3748">
        <f t="shared" si="117"/>
        <v>22</v>
      </c>
      <c r="N3748" t="s">
        <v>640</v>
      </c>
    </row>
    <row r="3749" spans="1:14" x14ac:dyDescent="0.3">
      <c r="A3749" s="1" t="s">
        <v>9061</v>
      </c>
      <c r="B3749" s="1" t="s">
        <v>1451</v>
      </c>
      <c r="C3749" s="1" t="s">
        <v>9062</v>
      </c>
      <c r="D3749" s="1" t="s">
        <v>738</v>
      </c>
      <c r="E3749" s="1" t="s">
        <v>6076</v>
      </c>
      <c r="F3749" s="1" t="s">
        <v>6076</v>
      </c>
      <c r="G3749" s="1" t="s">
        <v>9046</v>
      </c>
      <c r="H3749">
        <v>1999</v>
      </c>
      <c r="I3749">
        <v>2000</v>
      </c>
      <c r="J3749">
        <f t="shared" si="116"/>
        <v>2</v>
      </c>
      <c r="K3749" s="1" t="s">
        <v>6076</v>
      </c>
      <c r="L3749" s="1" t="s">
        <v>6076</v>
      </c>
      <c r="M3749">
        <f t="shared" si="117"/>
        <v>26</v>
      </c>
      <c r="N3749" t="s">
        <v>640</v>
      </c>
    </row>
    <row r="3750" spans="1:14" x14ac:dyDescent="0.3">
      <c r="A3750" s="1" t="s">
        <v>9063</v>
      </c>
      <c r="B3750" s="1" t="s">
        <v>1451</v>
      </c>
      <c r="C3750" s="1" t="s">
        <v>9064</v>
      </c>
      <c r="D3750" s="1" t="s">
        <v>738</v>
      </c>
      <c r="E3750" s="1" t="s">
        <v>6076</v>
      </c>
      <c r="F3750" s="1" t="s">
        <v>6076</v>
      </c>
      <c r="G3750" s="1" t="s">
        <v>9046</v>
      </c>
      <c r="H3750">
        <v>1999</v>
      </c>
      <c r="I3750">
        <v>2000</v>
      </c>
      <c r="J3750">
        <f t="shared" si="116"/>
        <v>2</v>
      </c>
      <c r="K3750" s="1" t="s">
        <v>6076</v>
      </c>
      <c r="L3750" s="1" t="s">
        <v>6076</v>
      </c>
      <c r="M3750">
        <f t="shared" si="117"/>
        <v>26</v>
      </c>
      <c r="N3750" t="s">
        <v>640</v>
      </c>
    </row>
    <row r="3751" spans="1:14" x14ac:dyDescent="0.3">
      <c r="A3751" s="1" t="s">
        <v>9065</v>
      </c>
      <c r="B3751" s="1" t="s">
        <v>1451</v>
      </c>
      <c r="C3751" s="1" t="s">
        <v>9066</v>
      </c>
      <c r="D3751" s="1" t="s">
        <v>738</v>
      </c>
      <c r="E3751" s="1" t="s">
        <v>6076</v>
      </c>
      <c r="F3751" s="1" t="s">
        <v>6076</v>
      </c>
      <c r="G3751" s="1" t="s">
        <v>9046</v>
      </c>
      <c r="H3751">
        <v>1995</v>
      </c>
      <c r="I3751">
        <v>2000</v>
      </c>
      <c r="J3751">
        <f t="shared" si="116"/>
        <v>6</v>
      </c>
      <c r="K3751" s="1" t="s">
        <v>6076</v>
      </c>
      <c r="L3751" s="1" t="s">
        <v>6076</v>
      </c>
      <c r="M3751">
        <f t="shared" si="117"/>
        <v>26</v>
      </c>
      <c r="N3751" t="s">
        <v>640</v>
      </c>
    </row>
    <row r="3752" spans="1:14" x14ac:dyDescent="0.3">
      <c r="A3752" s="1" t="s">
        <v>9067</v>
      </c>
      <c r="B3752" s="1" t="s">
        <v>1451</v>
      </c>
      <c r="C3752" s="1" t="s">
        <v>9068</v>
      </c>
      <c r="D3752" s="1" t="s">
        <v>738</v>
      </c>
      <c r="E3752" s="1" t="s">
        <v>6076</v>
      </c>
      <c r="F3752" s="1" t="s">
        <v>6076</v>
      </c>
      <c r="G3752" s="1" t="s">
        <v>9046</v>
      </c>
      <c r="H3752">
        <v>1994</v>
      </c>
      <c r="I3752">
        <v>2001</v>
      </c>
      <c r="J3752">
        <f t="shared" si="116"/>
        <v>8</v>
      </c>
      <c r="K3752" s="1" t="s">
        <v>6076</v>
      </c>
      <c r="L3752" s="1" t="s">
        <v>6076</v>
      </c>
      <c r="M3752">
        <f t="shared" si="117"/>
        <v>25</v>
      </c>
      <c r="N3752" t="s">
        <v>640</v>
      </c>
    </row>
    <row r="3753" spans="1:14" x14ac:dyDescent="0.3">
      <c r="A3753" s="1" t="s">
        <v>9069</v>
      </c>
      <c r="B3753" s="1" t="s">
        <v>1451</v>
      </c>
      <c r="C3753" s="1" t="s">
        <v>9070</v>
      </c>
      <c r="D3753" s="1" t="s">
        <v>738</v>
      </c>
      <c r="E3753" s="1" t="s">
        <v>6076</v>
      </c>
      <c r="F3753" s="1" t="s">
        <v>6076</v>
      </c>
      <c r="G3753" s="1" t="s">
        <v>9046</v>
      </c>
      <c r="H3753">
        <v>1995</v>
      </c>
      <c r="I3753">
        <v>1999</v>
      </c>
      <c r="J3753">
        <f t="shared" si="116"/>
        <v>5</v>
      </c>
      <c r="K3753" s="1" t="s">
        <v>6076</v>
      </c>
      <c r="L3753" s="1" t="s">
        <v>6076</v>
      </c>
      <c r="M3753">
        <f t="shared" si="117"/>
        <v>27</v>
      </c>
      <c r="N3753" t="s">
        <v>640</v>
      </c>
    </row>
    <row r="3754" spans="1:14" hidden="1" x14ac:dyDescent="0.3">
      <c r="A3754" t="s">
        <v>11077</v>
      </c>
      <c r="B3754" t="s">
        <v>795</v>
      </c>
      <c r="C3754" t="s">
        <v>11078</v>
      </c>
      <c r="E3754" s="1" t="e">
        <v>#N/A</v>
      </c>
      <c r="F3754" s="1" t="e">
        <v>#N/A</v>
      </c>
      <c r="G3754" s="1" t="s">
        <v>2336</v>
      </c>
      <c r="H3754">
        <v>2023</v>
      </c>
      <c r="I3754">
        <v>2026</v>
      </c>
      <c r="J3754">
        <f t="shared" si="116"/>
        <v>4</v>
      </c>
      <c r="K3754" s="1" t="s">
        <v>741</v>
      </c>
      <c r="L3754" s="1" t="s">
        <v>666</v>
      </c>
      <c r="M3754">
        <f t="shared" si="117"/>
        <v>0</v>
      </c>
    </row>
    <row r="3755" spans="1:14" hidden="1" x14ac:dyDescent="0.3">
      <c r="A3755" s="1" t="s">
        <v>4622</v>
      </c>
      <c r="B3755" s="1" t="s">
        <v>795</v>
      </c>
      <c r="C3755" s="1" t="s">
        <v>4623</v>
      </c>
      <c r="D3755" s="1" t="s">
        <v>1242</v>
      </c>
      <c r="E3755" s="1" t="s">
        <v>1243</v>
      </c>
      <c r="F3755" s="1" t="s">
        <v>1244</v>
      </c>
      <c r="G3755" s="1" t="s">
        <v>2336</v>
      </c>
      <c r="H3755">
        <v>2008</v>
      </c>
      <c r="I3755">
        <v>2010</v>
      </c>
      <c r="J3755">
        <f t="shared" si="116"/>
        <v>3</v>
      </c>
      <c r="K3755" s="1" t="s">
        <v>3665</v>
      </c>
      <c r="L3755" s="1" t="s">
        <v>666</v>
      </c>
      <c r="M3755">
        <f t="shared" si="117"/>
        <v>16</v>
      </c>
      <c r="N3755" t="s">
        <v>650</v>
      </c>
    </row>
    <row r="3756" spans="1:14" hidden="1" x14ac:dyDescent="0.3">
      <c r="A3756" s="1" t="s">
        <v>4624</v>
      </c>
      <c r="B3756" s="1" t="s">
        <v>795</v>
      </c>
      <c r="C3756" s="1" t="s">
        <v>4625</v>
      </c>
      <c r="D3756" s="1" t="s">
        <v>1242</v>
      </c>
      <c r="E3756" s="1" t="s">
        <v>1243</v>
      </c>
      <c r="F3756" s="1" t="s">
        <v>1244</v>
      </c>
      <c r="G3756" s="1" t="s">
        <v>2336</v>
      </c>
      <c r="H3756">
        <v>2004</v>
      </c>
      <c r="I3756">
        <v>2007</v>
      </c>
      <c r="J3756">
        <f t="shared" si="116"/>
        <v>4</v>
      </c>
      <c r="K3756" s="1" t="s">
        <v>3665</v>
      </c>
      <c r="L3756" s="1" t="s">
        <v>666</v>
      </c>
      <c r="M3756">
        <f t="shared" si="117"/>
        <v>19</v>
      </c>
      <c r="N3756" t="s">
        <v>650</v>
      </c>
    </row>
    <row r="3757" spans="1:14" hidden="1" x14ac:dyDescent="0.3">
      <c r="A3757" s="1" t="s">
        <v>4626</v>
      </c>
      <c r="B3757" s="1" t="s">
        <v>795</v>
      </c>
      <c r="C3757" s="1" t="s">
        <v>4627</v>
      </c>
      <c r="D3757" s="1" t="s">
        <v>1242</v>
      </c>
      <c r="E3757" s="1" t="s">
        <v>1243</v>
      </c>
      <c r="F3757" s="1" t="s">
        <v>1244</v>
      </c>
      <c r="G3757" s="1" t="s">
        <v>2336</v>
      </c>
      <c r="H3757">
        <v>2010</v>
      </c>
      <c r="I3757">
        <v>2010</v>
      </c>
      <c r="J3757">
        <f t="shared" si="116"/>
        <v>1</v>
      </c>
      <c r="K3757" s="1" t="s">
        <v>3665</v>
      </c>
      <c r="L3757" s="1" t="s">
        <v>666</v>
      </c>
      <c r="M3757">
        <f t="shared" si="117"/>
        <v>16</v>
      </c>
      <c r="N3757" t="s">
        <v>650</v>
      </c>
    </row>
    <row r="3758" spans="1:14" hidden="1" x14ac:dyDescent="0.3">
      <c r="A3758" s="1" t="s">
        <v>4628</v>
      </c>
      <c r="B3758" s="1" t="s">
        <v>795</v>
      </c>
      <c r="C3758" s="1" t="s">
        <v>4629</v>
      </c>
      <c r="D3758" s="1" t="s">
        <v>1242</v>
      </c>
      <c r="E3758" s="1" t="s">
        <v>1243</v>
      </c>
      <c r="F3758" s="1" t="s">
        <v>1244</v>
      </c>
      <c r="G3758" s="1" t="s">
        <v>2336</v>
      </c>
      <c r="H3758">
        <v>2008</v>
      </c>
      <c r="I3758">
        <v>2010</v>
      </c>
      <c r="J3758">
        <f t="shared" si="116"/>
        <v>3</v>
      </c>
      <c r="K3758" s="1" t="s">
        <v>3665</v>
      </c>
      <c r="L3758" s="1" t="s">
        <v>666</v>
      </c>
      <c r="M3758">
        <f t="shared" si="117"/>
        <v>16</v>
      </c>
      <c r="N3758" t="s">
        <v>650</v>
      </c>
    </row>
    <row r="3759" spans="1:14" hidden="1" x14ac:dyDescent="0.3">
      <c r="A3759" s="1" t="s">
        <v>2334</v>
      </c>
      <c r="B3759" s="1" t="s">
        <v>795</v>
      </c>
      <c r="C3759" s="1" t="s">
        <v>2335</v>
      </c>
      <c r="D3759" s="1" t="s">
        <v>1242</v>
      </c>
      <c r="E3759" s="1" t="s">
        <v>1243</v>
      </c>
      <c r="F3759" s="1" t="s">
        <v>1244</v>
      </c>
      <c r="G3759" s="1" t="s">
        <v>2336</v>
      </c>
      <c r="H3759">
        <v>2011</v>
      </c>
      <c r="I3759">
        <v>2022</v>
      </c>
      <c r="J3759">
        <f t="shared" si="116"/>
        <v>12</v>
      </c>
      <c r="K3759" s="1" t="s">
        <v>741</v>
      </c>
      <c r="L3759" s="1" t="s">
        <v>798</v>
      </c>
      <c r="M3759">
        <f t="shared" si="117"/>
        <v>4</v>
      </c>
      <c r="N3759" t="s">
        <v>650</v>
      </c>
    </row>
    <row r="3760" spans="1:14" hidden="1" x14ac:dyDescent="0.3">
      <c r="A3760" s="1" t="s">
        <v>2337</v>
      </c>
      <c r="B3760" s="1" t="s">
        <v>795</v>
      </c>
      <c r="C3760" s="1" t="s">
        <v>2338</v>
      </c>
      <c r="D3760" s="1" t="s">
        <v>1242</v>
      </c>
      <c r="E3760" s="1" t="s">
        <v>1243</v>
      </c>
      <c r="F3760" s="1" t="s">
        <v>1244</v>
      </c>
      <c r="G3760" s="1" t="s">
        <v>2336</v>
      </c>
      <c r="H3760">
        <v>2013</v>
      </c>
      <c r="I3760">
        <v>2014</v>
      </c>
      <c r="J3760">
        <f t="shared" si="116"/>
        <v>2</v>
      </c>
      <c r="K3760" s="1" t="s">
        <v>741</v>
      </c>
      <c r="L3760" s="1" t="s">
        <v>649</v>
      </c>
      <c r="M3760">
        <f t="shared" si="117"/>
        <v>12</v>
      </c>
      <c r="N3760" t="s">
        <v>650</v>
      </c>
    </row>
    <row r="3761" spans="1:14" hidden="1" x14ac:dyDescent="0.3">
      <c r="A3761" t="s">
        <v>11079</v>
      </c>
      <c r="B3761" t="s">
        <v>795</v>
      </c>
      <c r="C3761" t="s">
        <v>11080</v>
      </c>
      <c r="E3761" s="1" t="e">
        <v>#N/A</v>
      </c>
      <c r="F3761" s="1" t="e">
        <v>#N/A</v>
      </c>
      <c r="G3761" s="1" t="s">
        <v>2336</v>
      </c>
      <c r="H3761">
        <v>2023</v>
      </c>
      <c r="I3761">
        <v>2026</v>
      </c>
      <c r="J3761">
        <f t="shared" si="116"/>
        <v>4</v>
      </c>
      <c r="K3761" s="1" t="s">
        <v>741</v>
      </c>
      <c r="L3761" s="1" t="s">
        <v>666</v>
      </c>
      <c r="M3761">
        <f t="shared" si="117"/>
        <v>0</v>
      </c>
    </row>
    <row r="3762" spans="1:14" hidden="1" x14ac:dyDescent="0.3">
      <c r="A3762" t="s">
        <v>11081</v>
      </c>
      <c r="B3762" t="s">
        <v>795</v>
      </c>
      <c r="C3762" t="s">
        <v>11082</v>
      </c>
      <c r="E3762" s="1" t="e">
        <v>#N/A</v>
      </c>
      <c r="F3762" s="1" t="e">
        <v>#N/A</v>
      </c>
      <c r="G3762" s="1" t="s">
        <v>2336</v>
      </c>
      <c r="H3762">
        <v>2023</v>
      </c>
      <c r="I3762">
        <v>2026</v>
      </c>
      <c r="J3762">
        <f t="shared" si="116"/>
        <v>4</v>
      </c>
      <c r="K3762" s="1" t="s">
        <v>741</v>
      </c>
      <c r="L3762" s="1" t="s">
        <v>666</v>
      </c>
      <c r="M3762">
        <f t="shared" si="117"/>
        <v>0</v>
      </c>
    </row>
    <row r="3763" spans="1:14" hidden="1" x14ac:dyDescent="0.3">
      <c r="A3763" s="1" t="s">
        <v>4630</v>
      </c>
      <c r="B3763" s="1" t="s">
        <v>795</v>
      </c>
      <c r="C3763" s="1" t="s">
        <v>4631</v>
      </c>
      <c r="D3763" s="1" t="s">
        <v>1242</v>
      </c>
      <c r="E3763" s="1" t="s">
        <v>1243</v>
      </c>
      <c r="F3763" s="1" t="s">
        <v>1244</v>
      </c>
      <c r="G3763" s="1" t="s">
        <v>2336</v>
      </c>
      <c r="H3763">
        <v>2004</v>
      </c>
      <c r="I3763">
        <v>2006</v>
      </c>
      <c r="J3763">
        <f t="shared" si="116"/>
        <v>3</v>
      </c>
      <c r="K3763" s="1" t="s">
        <v>3665</v>
      </c>
      <c r="L3763" s="1" t="s">
        <v>666</v>
      </c>
      <c r="M3763">
        <f t="shared" si="117"/>
        <v>20</v>
      </c>
      <c r="N3763" t="s">
        <v>640</v>
      </c>
    </row>
    <row r="3764" spans="1:14" hidden="1" x14ac:dyDescent="0.3">
      <c r="A3764" t="s">
        <v>11083</v>
      </c>
      <c r="B3764" t="s">
        <v>795</v>
      </c>
      <c r="C3764" t="s">
        <v>11084</v>
      </c>
      <c r="E3764" s="1" t="e">
        <v>#N/A</v>
      </c>
      <c r="F3764" s="1" t="e">
        <v>#N/A</v>
      </c>
      <c r="G3764" s="1" t="s">
        <v>2336</v>
      </c>
      <c r="H3764">
        <v>2023</v>
      </c>
      <c r="I3764">
        <v>2026</v>
      </c>
      <c r="J3764">
        <f t="shared" si="116"/>
        <v>4</v>
      </c>
      <c r="K3764" s="1" t="s">
        <v>741</v>
      </c>
      <c r="L3764" s="1" t="s">
        <v>666</v>
      </c>
      <c r="M3764">
        <f t="shared" si="117"/>
        <v>0</v>
      </c>
    </row>
    <row r="3765" spans="1:14" hidden="1" x14ac:dyDescent="0.3">
      <c r="A3765" t="s">
        <v>11085</v>
      </c>
      <c r="B3765" t="s">
        <v>795</v>
      </c>
      <c r="C3765" t="s">
        <v>11086</v>
      </c>
      <c r="E3765" s="1" t="e">
        <v>#N/A</v>
      </c>
      <c r="F3765" s="1" t="e">
        <v>#N/A</v>
      </c>
      <c r="G3765" s="1" t="s">
        <v>2336</v>
      </c>
      <c r="H3765">
        <v>2024</v>
      </c>
      <c r="I3765">
        <v>2026</v>
      </c>
      <c r="J3765">
        <f t="shared" si="116"/>
        <v>3</v>
      </c>
      <c r="K3765" s="1" t="s">
        <v>741</v>
      </c>
      <c r="L3765" s="1" t="s">
        <v>666</v>
      </c>
      <c r="M3765">
        <f t="shared" si="117"/>
        <v>0</v>
      </c>
    </row>
    <row r="3766" spans="1:14" hidden="1" x14ac:dyDescent="0.3">
      <c r="A3766" s="1" t="s">
        <v>2339</v>
      </c>
      <c r="B3766" s="1" t="s">
        <v>795</v>
      </c>
      <c r="C3766" s="1" t="s">
        <v>2340</v>
      </c>
      <c r="D3766" s="1" t="s">
        <v>1242</v>
      </c>
      <c r="E3766" s="1" t="s">
        <v>1243</v>
      </c>
      <c r="F3766" s="1" t="s">
        <v>1244</v>
      </c>
      <c r="G3766" s="1" t="s">
        <v>2336</v>
      </c>
      <c r="H3766">
        <v>2010</v>
      </c>
      <c r="I3766">
        <v>2020</v>
      </c>
      <c r="J3766">
        <f t="shared" si="116"/>
        <v>11</v>
      </c>
      <c r="K3766" s="1" t="s">
        <v>741</v>
      </c>
      <c r="L3766" s="1" t="s">
        <v>666</v>
      </c>
      <c r="M3766">
        <f t="shared" si="117"/>
        <v>6</v>
      </c>
      <c r="N3766" t="s">
        <v>650</v>
      </c>
    </row>
    <row r="3767" spans="1:14" hidden="1" x14ac:dyDescent="0.3">
      <c r="A3767" s="1" t="s">
        <v>4632</v>
      </c>
      <c r="B3767" s="1" t="s">
        <v>795</v>
      </c>
      <c r="C3767" s="1" t="s">
        <v>4633</v>
      </c>
      <c r="D3767" s="1" t="s">
        <v>1242</v>
      </c>
      <c r="E3767" s="1" t="s">
        <v>1243</v>
      </c>
      <c r="F3767" s="1" t="s">
        <v>1244</v>
      </c>
      <c r="G3767" s="1" t="s">
        <v>2336</v>
      </c>
      <c r="H3767">
        <v>2004</v>
      </c>
      <c r="I3767">
        <v>2010</v>
      </c>
      <c r="J3767">
        <f t="shared" si="116"/>
        <v>7</v>
      </c>
      <c r="K3767" s="1" t="s">
        <v>3665</v>
      </c>
      <c r="L3767" s="1" t="s">
        <v>666</v>
      </c>
      <c r="M3767">
        <f t="shared" si="117"/>
        <v>16</v>
      </c>
      <c r="N3767" t="s">
        <v>650</v>
      </c>
    </row>
    <row r="3768" spans="1:14" x14ac:dyDescent="0.3">
      <c r="A3768" s="1" t="s">
        <v>9071</v>
      </c>
      <c r="B3768" s="1" t="s">
        <v>4561</v>
      </c>
      <c r="C3768" s="1" t="s">
        <v>9072</v>
      </c>
      <c r="D3768" s="1" t="s">
        <v>1395</v>
      </c>
      <c r="E3768" s="1" t="s">
        <v>6076</v>
      </c>
      <c r="F3768" s="1" t="s">
        <v>6076</v>
      </c>
      <c r="G3768" s="1" t="s">
        <v>5406</v>
      </c>
      <c r="H3768">
        <v>1992</v>
      </c>
      <c r="I3768">
        <v>1995</v>
      </c>
      <c r="J3768">
        <f t="shared" si="116"/>
        <v>4</v>
      </c>
      <c r="K3768" s="1" t="s">
        <v>6076</v>
      </c>
      <c r="L3768" s="1" t="s">
        <v>6076</v>
      </c>
      <c r="M3768">
        <f t="shared" si="117"/>
        <v>31</v>
      </c>
      <c r="N3768" t="s">
        <v>640</v>
      </c>
    </row>
    <row r="3769" spans="1:14" x14ac:dyDescent="0.3">
      <c r="A3769" s="1" t="s">
        <v>9073</v>
      </c>
      <c r="B3769" s="1" t="s">
        <v>795</v>
      </c>
      <c r="C3769" s="1" t="s">
        <v>9074</v>
      </c>
      <c r="D3769" s="1" t="s">
        <v>738</v>
      </c>
      <c r="E3769" s="1" t="s">
        <v>6076</v>
      </c>
      <c r="F3769" s="1" t="s">
        <v>6076</v>
      </c>
      <c r="G3769" s="1" t="s">
        <v>9075</v>
      </c>
      <c r="H3769">
        <v>1985</v>
      </c>
      <c r="I3769">
        <v>1987</v>
      </c>
      <c r="J3769">
        <f t="shared" si="116"/>
        <v>3</v>
      </c>
      <c r="K3769" s="1" t="s">
        <v>6076</v>
      </c>
      <c r="L3769" s="1" t="s">
        <v>6076</v>
      </c>
      <c r="M3769">
        <f t="shared" si="117"/>
        <v>39</v>
      </c>
      <c r="N3769" t="s">
        <v>640</v>
      </c>
    </row>
    <row r="3770" spans="1:14" x14ac:dyDescent="0.3">
      <c r="A3770" s="1" t="s">
        <v>9076</v>
      </c>
      <c r="B3770" s="1" t="s">
        <v>795</v>
      </c>
      <c r="C3770" s="1" t="s">
        <v>9077</v>
      </c>
      <c r="D3770" s="1" t="s">
        <v>738</v>
      </c>
      <c r="E3770" s="1" t="s">
        <v>6076</v>
      </c>
      <c r="F3770" s="1" t="s">
        <v>6076</v>
      </c>
      <c r="G3770" s="1" t="s">
        <v>9075</v>
      </c>
      <c r="H3770">
        <v>1993</v>
      </c>
      <c r="I3770">
        <v>1993</v>
      </c>
      <c r="J3770">
        <f t="shared" si="116"/>
        <v>1</v>
      </c>
      <c r="K3770" s="1" t="s">
        <v>6076</v>
      </c>
      <c r="L3770" s="1" t="s">
        <v>6076</v>
      </c>
      <c r="M3770">
        <f t="shared" si="117"/>
        <v>33</v>
      </c>
      <c r="N3770" t="s">
        <v>640</v>
      </c>
    </row>
    <row r="3771" spans="1:14" x14ac:dyDescent="0.3">
      <c r="A3771" s="1" t="s">
        <v>9078</v>
      </c>
      <c r="B3771" s="1" t="s">
        <v>795</v>
      </c>
      <c r="C3771" s="1" t="s">
        <v>9079</v>
      </c>
      <c r="D3771" s="1" t="s">
        <v>738</v>
      </c>
      <c r="E3771" s="1" t="s">
        <v>6076</v>
      </c>
      <c r="F3771" s="1" t="s">
        <v>6076</v>
      </c>
      <c r="G3771" s="1" t="s">
        <v>9075</v>
      </c>
      <c r="H3771">
        <v>1985</v>
      </c>
      <c r="I3771">
        <v>1994</v>
      </c>
      <c r="J3771">
        <f t="shared" si="116"/>
        <v>10</v>
      </c>
      <c r="K3771" s="1" t="s">
        <v>6076</v>
      </c>
      <c r="L3771" s="1" t="s">
        <v>6076</v>
      </c>
      <c r="M3771">
        <f t="shared" si="117"/>
        <v>32</v>
      </c>
      <c r="N3771" t="s">
        <v>640</v>
      </c>
    </row>
    <row r="3772" spans="1:14" x14ac:dyDescent="0.3">
      <c r="A3772" s="1" t="s">
        <v>9080</v>
      </c>
      <c r="B3772" s="1" t="s">
        <v>795</v>
      </c>
      <c r="C3772" s="1" t="s">
        <v>9081</v>
      </c>
      <c r="D3772" s="1" t="s">
        <v>738</v>
      </c>
      <c r="E3772" s="1" t="s">
        <v>6076</v>
      </c>
      <c r="F3772" s="1" t="s">
        <v>6076</v>
      </c>
      <c r="G3772" s="1" t="s">
        <v>9075</v>
      </c>
      <c r="H3772">
        <v>1985</v>
      </c>
      <c r="I3772">
        <v>1994</v>
      </c>
      <c r="J3772">
        <f t="shared" si="116"/>
        <v>10</v>
      </c>
      <c r="K3772" s="1" t="s">
        <v>6076</v>
      </c>
      <c r="L3772" s="1" t="s">
        <v>6076</v>
      </c>
      <c r="M3772">
        <f t="shared" si="117"/>
        <v>32</v>
      </c>
      <c r="N3772" t="s">
        <v>640</v>
      </c>
    </row>
    <row r="3773" spans="1:14" x14ac:dyDescent="0.3">
      <c r="A3773" s="1" t="s">
        <v>9082</v>
      </c>
      <c r="B3773" s="1" t="s">
        <v>795</v>
      </c>
      <c r="C3773" s="1" t="s">
        <v>9083</v>
      </c>
      <c r="D3773" s="1" t="s">
        <v>738</v>
      </c>
      <c r="E3773" s="1" t="s">
        <v>6076</v>
      </c>
      <c r="F3773" s="1" t="s">
        <v>6076</v>
      </c>
      <c r="G3773" s="1" t="s">
        <v>9075</v>
      </c>
      <c r="H3773">
        <v>1986</v>
      </c>
      <c r="I3773">
        <v>1996</v>
      </c>
      <c r="J3773">
        <f t="shared" si="116"/>
        <v>11</v>
      </c>
      <c r="K3773" s="1" t="s">
        <v>6076</v>
      </c>
      <c r="L3773" s="1" t="s">
        <v>6076</v>
      </c>
      <c r="M3773">
        <f t="shared" si="117"/>
        <v>30</v>
      </c>
      <c r="N3773" t="s">
        <v>640</v>
      </c>
    </row>
    <row r="3774" spans="1:14" x14ac:dyDescent="0.3">
      <c r="A3774" s="1" t="s">
        <v>9084</v>
      </c>
      <c r="B3774" s="1" t="s">
        <v>795</v>
      </c>
      <c r="C3774" s="1" t="s">
        <v>9085</v>
      </c>
      <c r="D3774" s="1" t="s">
        <v>738</v>
      </c>
      <c r="E3774" s="1" t="s">
        <v>6076</v>
      </c>
      <c r="F3774" s="1" t="s">
        <v>6076</v>
      </c>
      <c r="G3774" s="1" t="s">
        <v>9075</v>
      </c>
      <c r="H3774">
        <v>1986</v>
      </c>
      <c r="I3774">
        <v>1996</v>
      </c>
      <c r="J3774">
        <f t="shared" si="116"/>
        <v>11</v>
      </c>
      <c r="K3774" s="1" t="s">
        <v>6076</v>
      </c>
      <c r="L3774" s="1" t="s">
        <v>6076</v>
      </c>
      <c r="M3774">
        <f t="shared" si="117"/>
        <v>30</v>
      </c>
      <c r="N3774" t="s">
        <v>640</v>
      </c>
    </row>
    <row r="3775" spans="1:14" x14ac:dyDescent="0.3">
      <c r="A3775" s="1" t="s">
        <v>9086</v>
      </c>
      <c r="B3775" s="1" t="s">
        <v>795</v>
      </c>
      <c r="C3775" s="1" t="s">
        <v>9087</v>
      </c>
      <c r="D3775" s="1" t="s">
        <v>738</v>
      </c>
      <c r="E3775" s="1" t="s">
        <v>6076</v>
      </c>
      <c r="F3775" s="1" t="s">
        <v>6076</v>
      </c>
      <c r="G3775" s="1" t="s">
        <v>9075</v>
      </c>
      <c r="H3775">
        <v>1994</v>
      </c>
      <c r="I3775">
        <v>1997</v>
      </c>
      <c r="J3775">
        <f t="shared" si="116"/>
        <v>4</v>
      </c>
      <c r="K3775" s="1" t="s">
        <v>6076</v>
      </c>
      <c r="L3775" s="1" t="s">
        <v>6076</v>
      </c>
      <c r="M3775">
        <f t="shared" si="117"/>
        <v>29</v>
      </c>
      <c r="N3775" t="s">
        <v>640</v>
      </c>
    </row>
    <row r="3776" spans="1:14" x14ac:dyDescent="0.3">
      <c r="A3776" s="1" t="s">
        <v>9088</v>
      </c>
      <c r="B3776" s="1" t="s">
        <v>795</v>
      </c>
      <c r="C3776" s="1" t="s">
        <v>9089</v>
      </c>
      <c r="D3776" s="1" t="s">
        <v>738</v>
      </c>
      <c r="E3776" s="1" t="s">
        <v>6076</v>
      </c>
      <c r="F3776" s="1" t="s">
        <v>6076</v>
      </c>
      <c r="G3776" s="1" t="s">
        <v>9075</v>
      </c>
      <c r="H3776">
        <v>1987</v>
      </c>
      <c r="I3776">
        <v>1993</v>
      </c>
      <c r="J3776">
        <f t="shared" si="116"/>
        <v>7</v>
      </c>
      <c r="K3776" s="1" t="s">
        <v>6076</v>
      </c>
      <c r="L3776" s="1" t="s">
        <v>6076</v>
      </c>
      <c r="M3776">
        <f t="shared" si="117"/>
        <v>33</v>
      </c>
      <c r="N3776" t="s">
        <v>640</v>
      </c>
    </row>
    <row r="3777" spans="1:14" x14ac:dyDescent="0.3">
      <c r="A3777" s="1" t="s">
        <v>9090</v>
      </c>
      <c r="B3777" s="1" t="s">
        <v>1205</v>
      </c>
      <c r="C3777" s="1" t="s">
        <v>9091</v>
      </c>
      <c r="D3777" s="1" t="s">
        <v>3850</v>
      </c>
      <c r="E3777" s="1" t="s">
        <v>6076</v>
      </c>
      <c r="F3777" s="1" t="s">
        <v>6076</v>
      </c>
      <c r="G3777" s="1" t="s">
        <v>9092</v>
      </c>
      <c r="H3777">
        <v>1991</v>
      </c>
      <c r="I3777">
        <v>1994</v>
      </c>
      <c r="J3777">
        <f t="shared" si="116"/>
        <v>4</v>
      </c>
      <c r="K3777" s="1" t="s">
        <v>6076</v>
      </c>
      <c r="L3777" s="1" t="s">
        <v>6076</v>
      </c>
      <c r="M3777">
        <f t="shared" si="117"/>
        <v>32</v>
      </c>
      <c r="N3777" t="s">
        <v>640</v>
      </c>
    </row>
    <row r="3778" spans="1:14" x14ac:dyDescent="0.3">
      <c r="A3778" s="1" t="s">
        <v>9093</v>
      </c>
      <c r="B3778" s="1" t="s">
        <v>2154</v>
      </c>
      <c r="C3778" s="1" t="s">
        <v>9094</v>
      </c>
      <c r="D3778" s="1" t="s">
        <v>1395</v>
      </c>
      <c r="E3778" s="1" t="s">
        <v>6076</v>
      </c>
      <c r="F3778" s="1" t="s">
        <v>6076</v>
      </c>
      <c r="G3778" s="1" t="s">
        <v>9095</v>
      </c>
      <c r="H3778">
        <v>2007</v>
      </c>
      <c r="I3778">
        <v>2009</v>
      </c>
      <c r="J3778">
        <f t="shared" si="116"/>
        <v>3</v>
      </c>
      <c r="K3778" s="1" t="s">
        <v>6076</v>
      </c>
      <c r="L3778" s="1" t="s">
        <v>6076</v>
      </c>
      <c r="M3778">
        <f t="shared" si="117"/>
        <v>17</v>
      </c>
      <c r="N3778" t="s">
        <v>640</v>
      </c>
    </row>
    <row r="3779" spans="1:14" x14ac:dyDescent="0.3">
      <c r="A3779" s="1" t="s">
        <v>9096</v>
      </c>
      <c r="B3779" s="1" t="s">
        <v>1451</v>
      </c>
      <c r="C3779" s="1" t="s">
        <v>9097</v>
      </c>
      <c r="D3779" s="1" t="s">
        <v>3850</v>
      </c>
      <c r="E3779" s="1" t="s">
        <v>6076</v>
      </c>
      <c r="F3779" s="1" t="s">
        <v>6076</v>
      </c>
      <c r="G3779" s="1" t="s">
        <v>9098</v>
      </c>
      <c r="H3779">
        <v>1994</v>
      </c>
      <c r="I3779">
        <v>1995</v>
      </c>
      <c r="J3779">
        <f t="shared" si="116"/>
        <v>2</v>
      </c>
      <c r="K3779" s="1" t="s">
        <v>6076</v>
      </c>
      <c r="L3779" s="1" t="s">
        <v>6076</v>
      </c>
      <c r="M3779">
        <f t="shared" si="117"/>
        <v>31</v>
      </c>
      <c r="N3779" t="s">
        <v>640</v>
      </c>
    </row>
    <row r="3780" spans="1:14" x14ac:dyDescent="0.3">
      <c r="A3780" s="1" t="s">
        <v>9099</v>
      </c>
      <c r="B3780" s="1" t="s">
        <v>1451</v>
      </c>
      <c r="C3780" s="1" t="s">
        <v>9100</v>
      </c>
      <c r="D3780" s="1" t="s">
        <v>3850</v>
      </c>
      <c r="E3780" s="1" t="s">
        <v>6076</v>
      </c>
      <c r="F3780" s="1" t="s">
        <v>6076</v>
      </c>
      <c r="G3780" s="1" t="s">
        <v>9098</v>
      </c>
      <c r="H3780">
        <v>1994</v>
      </c>
      <c r="I3780">
        <v>1995</v>
      </c>
      <c r="J3780">
        <f t="shared" si="116"/>
        <v>2</v>
      </c>
      <c r="K3780" s="1" t="s">
        <v>6076</v>
      </c>
      <c r="L3780" s="1" t="s">
        <v>6076</v>
      </c>
      <c r="M3780">
        <f t="shared" si="117"/>
        <v>31</v>
      </c>
      <c r="N3780" t="s">
        <v>640</v>
      </c>
    </row>
    <row r="3781" spans="1:14" x14ac:dyDescent="0.3">
      <c r="A3781" s="1" t="s">
        <v>9101</v>
      </c>
      <c r="B3781" s="1" t="s">
        <v>1451</v>
      </c>
      <c r="C3781" s="1" t="s">
        <v>9102</v>
      </c>
      <c r="D3781" s="1" t="s">
        <v>3850</v>
      </c>
      <c r="E3781" s="1" t="s">
        <v>6076</v>
      </c>
      <c r="F3781" s="1" t="s">
        <v>6076</v>
      </c>
      <c r="G3781" s="1" t="s">
        <v>9098</v>
      </c>
      <c r="H3781">
        <v>2020</v>
      </c>
      <c r="I3781">
        <v>2022</v>
      </c>
      <c r="J3781">
        <f t="shared" si="116"/>
        <v>3</v>
      </c>
      <c r="K3781" s="1" t="s">
        <v>6076</v>
      </c>
      <c r="L3781" s="1" t="s">
        <v>6076</v>
      </c>
      <c r="M3781">
        <f t="shared" si="117"/>
        <v>4</v>
      </c>
      <c r="N3781" t="s">
        <v>650</v>
      </c>
    </row>
    <row r="3782" spans="1:14" x14ac:dyDescent="0.3">
      <c r="A3782" s="1" t="s">
        <v>9103</v>
      </c>
      <c r="B3782" s="1" t="s">
        <v>1451</v>
      </c>
      <c r="C3782" s="1" t="s">
        <v>9104</v>
      </c>
      <c r="D3782" s="1" t="s">
        <v>3850</v>
      </c>
      <c r="E3782" s="1" t="s">
        <v>6076</v>
      </c>
      <c r="F3782" s="1" t="s">
        <v>6076</v>
      </c>
      <c r="G3782" s="1" t="s">
        <v>9098</v>
      </c>
      <c r="H3782">
        <v>1995</v>
      </c>
      <c r="I3782">
        <v>1995</v>
      </c>
      <c r="J3782">
        <f t="shared" ref="J3782:J3845" si="118">1+(I3782-H3782)</f>
        <v>1</v>
      </c>
      <c r="K3782" s="1" t="s">
        <v>6076</v>
      </c>
      <c r="L3782" s="1" t="s">
        <v>6076</v>
      </c>
      <c r="M3782">
        <f t="shared" ref="M3782:M3845" si="119">IF(I3782=0,0,$B$2-I3782)</f>
        <v>31</v>
      </c>
      <c r="N3782" t="s">
        <v>640</v>
      </c>
    </row>
    <row r="3783" spans="1:14" x14ac:dyDescent="0.3">
      <c r="A3783" t="s">
        <v>11465</v>
      </c>
      <c r="B3783" t="s">
        <v>1451</v>
      </c>
      <c r="C3783" t="s">
        <v>11466</v>
      </c>
      <c r="E3783" s="1" t="s">
        <v>6076</v>
      </c>
      <c r="F3783" s="1" t="s">
        <v>6076</v>
      </c>
      <c r="G3783" s="1" t="s">
        <v>12825</v>
      </c>
      <c r="H3783">
        <v>2025</v>
      </c>
      <c r="I3783">
        <v>2026</v>
      </c>
      <c r="J3783">
        <f t="shared" si="118"/>
        <v>2</v>
      </c>
      <c r="K3783" s="1" t="s">
        <v>6076</v>
      </c>
      <c r="L3783" s="1" t="s">
        <v>6076</v>
      </c>
      <c r="M3783">
        <f t="shared" si="119"/>
        <v>0</v>
      </c>
    </row>
    <row r="3784" spans="1:14" x14ac:dyDescent="0.3">
      <c r="A3784" t="s">
        <v>11467</v>
      </c>
      <c r="B3784" t="s">
        <v>1451</v>
      </c>
      <c r="C3784" t="s">
        <v>11468</v>
      </c>
      <c r="E3784" s="1" t="s">
        <v>6076</v>
      </c>
      <c r="F3784" s="1" t="s">
        <v>6076</v>
      </c>
      <c r="G3784" s="1" t="s">
        <v>12825</v>
      </c>
      <c r="H3784">
        <v>2024</v>
      </c>
      <c r="I3784">
        <v>2026</v>
      </c>
      <c r="J3784">
        <f t="shared" si="118"/>
        <v>3</v>
      </c>
      <c r="K3784" s="1" t="s">
        <v>6076</v>
      </c>
      <c r="L3784" s="1" t="s">
        <v>6076</v>
      </c>
      <c r="M3784">
        <f t="shared" si="119"/>
        <v>0</v>
      </c>
    </row>
    <row r="3785" spans="1:14" x14ac:dyDescent="0.3">
      <c r="A3785" t="s">
        <v>11469</v>
      </c>
      <c r="B3785" t="s">
        <v>1451</v>
      </c>
      <c r="C3785" t="s">
        <v>11470</v>
      </c>
      <c r="E3785" s="1" t="s">
        <v>6076</v>
      </c>
      <c r="F3785" s="1" t="s">
        <v>6076</v>
      </c>
      <c r="G3785" s="1" t="s">
        <v>12825</v>
      </c>
      <c r="H3785">
        <v>2025</v>
      </c>
      <c r="I3785">
        <v>2026</v>
      </c>
      <c r="J3785">
        <f t="shared" si="118"/>
        <v>2</v>
      </c>
      <c r="K3785" s="1" t="s">
        <v>6076</v>
      </c>
      <c r="L3785" s="1" t="s">
        <v>6076</v>
      </c>
      <c r="M3785">
        <f t="shared" si="119"/>
        <v>0</v>
      </c>
    </row>
    <row r="3786" spans="1:14" x14ac:dyDescent="0.3">
      <c r="A3786" s="1" t="s">
        <v>9105</v>
      </c>
      <c r="B3786" s="1" t="s">
        <v>1451</v>
      </c>
      <c r="C3786" s="1" t="s">
        <v>9106</v>
      </c>
      <c r="D3786" s="1" t="s">
        <v>3850</v>
      </c>
      <c r="E3786" s="1" t="s">
        <v>6076</v>
      </c>
      <c r="F3786" s="1" t="s">
        <v>6076</v>
      </c>
      <c r="G3786" s="1" t="s">
        <v>9098</v>
      </c>
      <c r="H3786">
        <v>2018</v>
      </c>
      <c r="I3786">
        <v>2019</v>
      </c>
      <c r="J3786">
        <f t="shared" si="118"/>
        <v>2</v>
      </c>
      <c r="K3786" s="1" t="s">
        <v>6076</v>
      </c>
      <c r="L3786" s="1" t="s">
        <v>6076</v>
      </c>
      <c r="M3786">
        <f t="shared" si="119"/>
        <v>7</v>
      </c>
      <c r="N3786" t="s">
        <v>650</v>
      </c>
    </row>
    <row r="3787" spans="1:14" x14ac:dyDescent="0.3">
      <c r="A3787" s="1" t="s">
        <v>9107</v>
      </c>
      <c r="B3787" s="1" t="s">
        <v>1451</v>
      </c>
      <c r="C3787" s="1" t="s">
        <v>9108</v>
      </c>
      <c r="D3787" s="1" t="s">
        <v>3850</v>
      </c>
      <c r="E3787" s="1" t="s">
        <v>6076</v>
      </c>
      <c r="F3787" s="1" t="s">
        <v>6076</v>
      </c>
      <c r="G3787" s="1" t="s">
        <v>9098</v>
      </c>
      <c r="H3787">
        <v>1994</v>
      </c>
      <c r="I3787">
        <v>2016</v>
      </c>
      <c r="J3787">
        <f t="shared" si="118"/>
        <v>23</v>
      </c>
      <c r="K3787" s="1" t="s">
        <v>6076</v>
      </c>
      <c r="L3787" s="1" t="s">
        <v>6076</v>
      </c>
      <c r="M3787">
        <f t="shared" si="119"/>
        <v>10</v>
      </c>
      <c r="N3787" t="s">
        <v>650</v>
      </c>
    </row>
    <row r="3788" spans="1:14" x14ac:dyDescent="0.3">
      <c r="A3788" s="1" t="s">
        <v>9109</v>
      </c>
      <c r="B3788" s="1" t="s">
        <v>1451</v>
      </c>
      <c r="C3788" s="1" t="s">
        <v>9110</v>
      </c>
      <c r="D3788" s="1" t="s">
        <v>3850</v>
      </c>
      <c r="E3788" s="1" t="s">
        <v>6076</v>
      </c>
      <c r="F3788" s="1" t="s">
        <v>6076</v>
      </c>
      <c r="G3788" s="1" t="s">
        <v>9098</v>
      </c>
      <c r="H3788">
        <v>1994</v>
      </c>
      <c r="I3788">
        <v>2015</v>
      </c>
      <c r="J3788">
        <f t="shared" si="118"/>
        <v>22</v>
      </c>
      <c r="K3788" s="1" t="s">
        <v>6076</v>
      </c>
      <c r="L3788" s="1" t="s">
        <v>6076</v>
      </c>
      <c r="M3788">
        <f t="shared" si="119"/>
        <v>11</v>
      </c>
      <c r="N3788" t="s">
        <v>650</v>
      </c>
    </row>
    <row r="3789" spans="1:14" x14ac:dyDescent="0.3">
      <c r="A3789" s="1" t="s">
        <v>9111</v>
      </c>
      <c r="B3789" s="1" t="s">
        <v>1451</v>
      </c>
      <c r="C3789" s="1" t="s">
        <v>9112</v>
      </c>
      <c r="D3789" s="1" t="s">
        <v>3850</v>
      </c>
      <c r="E3789" s="1" t="s">
        <v>6076</v>
      </c>
      <c r="F3789" s="1" t="s">
        <v>6076</v>
      </c>
      <c r="G3789" s="1" t="s">
        <v>9098</v>
      </c>
      <c r="H3789">
        <v>2020</v>
      </c>
      <c r="I3789">
        <v>2022</v>
      </c>
      <c r="J3789">
        <f t="shared" si="118"/>
        <v>3</v>
      </c>
      <c r="K3789" s="1" t="s">
        <v>6076</v>
      </c>
      <c r="L3789" s="1" t="s">
        <v>6076</v>
      </c>
      <c r="M3789">
        <f t="shared" si="119"/>
        <v>4</v>
      </c>
      <c r="N3789" t="s">
        <v>650</v>
      </c>
    </row>
    <row r="3790" spans="1:14" x14ac:dyDescent="0.3">
      <c r="A3790" t="s">
        <v>11471</v>
      </c>
      <c r="B3790" t="s">
        <v>1451</v>
      </c>
      <c r="C3790" t="s">
        <v>11472</v>
      </c>
      <c r="E3790" s="1" t="s">
        <v>6076</v>
      </c>
      <c r="F3790" s="1" t="s">
        <v>6076</v>
      </c>
      <c r="G3790" s="1" t="s">
        <v>12825</v>
      </c>
      <c r="H3790">
        <v>2023</v>
      </c>
      <c r="I3790">
        <v>2026</v>
      </c>
      <c r="J3790">
        <f t="shared" si="118"/>
        <v>4</v>
      </c>
      <c r="K3790" s="1" t="s">
        <v>6076</v>
      </c>
      <c r="L3790" s="1" t="s">
        <v>6076</v>
      </c>
      <c r="M3790">
        <f t="shared" si="119"/>
        <v>0</v>
      </c>
    </row>
    <row r="3791" spans="1:14" x14ac:dyDescent="0.3">
      <c r="A3791" t="s">
        <v>11149</v>
      </c>
      <c r="B3791" t="s">
        <v>10997</v>
      </c>
      <c r="C3791" t="s">
        <v>11150</v>
      </c>
      <c r="E3791" s="1" t="s">
        <v>6076</v>
      </c>
      <c r="F3791" s="1" t="s">
        <v>6076</v>
      </c>
      <c r="G3791" s="1" t="s">
        <v>12793</v>
      </c>
      <c r="H3791">
        <v>1997</v>
      </c>
      <c r="I3791">
        <v>1999</v>
      </c>
      <c r="J3791">
        <f t="shared" si="118"/>
        <v>3</v>
      </c>
      <c r="K3791" s="1" t="s">
        <v>6076</v>
      </c>
      <c r="L3791" s="1" t="s">
        <v>6076</v>
      </c>
      <c r="M3791">
        <f t="shared" si="119"/>
        <v>27</v>
      </c>
    </row>
    <row r="3792" spans="1:14" x14ac:dyDescent="0.3">
      <c r="A3792" t="s">
        <v>11151</v>
      </c>
      <c r="B3792" t="s">
        <v>10997</v>
      </c>
      <c r="C3792" t="s">
        <v>11152</v>
      </c>
      <c r="E3792" s="1" t="s">
        <v>6076</v>
      </c>
      <c r="F3792" s="1" t="s">
        <v>6076</v>
      </c>
      <c r="G3792" s="1" t="s">
        <v>12793</v>
      </c>
      <c r="H3792">
        <v>1994</v>
      </c>
      <c r="I3792">
        <v>2001</v>
      </c>
      <c r="J3792">
        <f t="shared" si="118"/>
        <v>8</v>
      </c>
      <c r="K3792" s="1" t="s">
        <v>6076</v>
      </c>
      <c r="L3792" s="1" t="s">
        <v>6076</v>
      </c>
      <c r="M3792">
        <f t="shared" si="119"/>
        <v>25</v>
      </c>
    </row>
    <row r="3793" spans="1:14" x14ac:dyDescent="0.3">
      <c r="A3793" t="s">
        <v>11153</v>
      </c>
      <c r="B3793" t="s">
        <v>10997</v>
      </c>
      <c r="C3793" t="s">
        <v>11154</v>
      </c>
      <c r="E3793" s="1" t="s">
        <v>6076</v>
      </c>
      <c r="F3793" s="1" t="s">
        <v>6076</v>
      </c>
      <c r="G3793" s="1" t="s">
        <v>12793</v>
      </c>
      <c r="H3793">
        <v>1994</v>
      </c>
      <c r="I3793">
        <v>1999</v>
      </c>
      <c r="J3793">
        <f t="shared" si="118"/>
        <v>6</v>
      </c>
      <c r="K3793" s="1" t="s">
        <v>6076</v>
      </c>
      <c r="L3793" s="1" t="s">
        <v>6076</v>
      </c>
      <c r="M3793">
        <f t="shared" si="119"/>
        <v>27</v>
      </c>
    </row>
    <row r="3794" spans="1:14" x14ac:dyDescent="0.3">
      <c r="A3794" s="1" t="s">
        <v>9113</v>
      </c>
      <c r="B3794" s="1" t="s">
        <v>810</v>
      </c>
      <c r="C3794" s="1" t="s">
        <v>9114</v>
      </c>
      <c r="D3794" s="1" t="s">
        <v>3850</v>
      </c>
      <c r="E3794" s="1" t="s">
        <v>6076</v>
      </c>
      <c r="F3794" s="1" t="s">
        <v>6076</v>
      </c>
      <c r="G3794" s="1" t="s">
        <v>9115</v>
      </c>
      <c r="H3794">
        <v>1999</v>
      </c>
      <c r="I3794">
        <v>2010</v>
      </c>
      <c r="J3794">
        <f t="shared" si="118"/>
        <v>12</v>
      </c>
      <c r="K3794" s="1" t="s">
        <v>6076</v>
      </c>
      <c r="L3794" s="1" t="s">
        <v>6076</v>
      </c>
      <c r="M3794">
        <f t="shared" si="119"/>
        <v>16</v>
      </c>
      <c r="N3794" t="s">
        <v>650</v>
      </c>
    </row>
    <row r="3795" spans="1:14" hidden="1" x14ac:dyDescent="0.3">
      <c r="A3795" t="s">
        <v>11748</v>
      </c>
      <c r="B3795" t="s">
        <v>2667</v>
      </c>
      <c r="C3795" t="s">
        <v>11749</v>
      </c>
      <c r="E3795" s="1" t="e">
        <v>#N/A</v>
      </c>
      <c r="F3795" s="1" t="e">
        <v>#N/A</v>
      </c>
      <c r="G3795" s="1" t="s">
        <v>12849</v>
      </c>
      <c r="H3795">
        <v>2023</v>
      </c>
      <c r="I3795">
        <v>2026</v>
      </c>
      <c r="J3795">
        <f t="shared" si="118"/>
        <v>4</v>
      </c>
      <c r="K3795" s="1" t="s">
        <v>12912</v>
      </c>
      <c r="L3795" s="1" t="s">
        <v>12912</v>
      </c>
      <c r="M3795">
        <f t="shared" si="119"/>
        <v>0</v>
      </c>
    </row>
    <row r="3796" spans="1:14" hidden="1" x14ac:dyDescent="0.3">
      <c r="A3796" t="s">
        <v>11750</v>
      </c>
      <c r="B3796" t="s">
        <v>2667</v>
      </c>
      <c r="C3796" t="s">
        <v>11751</v>
      </c>
      <c r="E3796" s="1" t="e">
        <v>#N/A</v>
      </c>
      <c r="F3796" s="1" t="e">
        <v>#N/A</v>
      </c>
      <c r="G3796" s="1" t="s">
        <v>12849</v>
      </c>
      <c r="H3796">
        <v>2023</v>
      </c>
      <c r="I3796">
        <v>2026</v>
      </c>
      <c r="J3796">
        <f t="shared" si="118"/>
        <v>4</v>
      </c>
      <c r="K3796" s="1" t="s">
        <v>12912</v>
      </c>
      <c r="L3796" s="1" t="s">
        <v>12912</v>
      </c>
      <c r="M3796">
        <f t="shared" si="119"/>
        <v>0</v>
      </c>
    </row>
    <row r="3797" spans="1:14" hidden="1" x14ac:dyDescent="0.3">
      <c r="A3797" t="s">
        <v>11752</v>
      </c>
      <c r="B3797" t="s">
        <v>2667</v>
      </c>
      <c r="C3797" t="s">
        <v>11753</v>
      </c>
      <c r="E3797" s="1" t="e">
        <v>#N/A</v>
      </c>
      <c r="F3797" s="1" t="e">
        <v>#N/A</v>
      </c>
      <c r="G3797" s="1" t="s">
        <v>12849</v>
      </c>
      <c r="H3797">
        <v>2024</v>
      </c>
      <c r="I3797">
        <v>2024</v>
      </c>
      <c r="J3797">
        <f t="shared" si="118"/>
        <v>1</v>
      </c>
      <c r="K3797" s="1" t="s">
        <v>12912</v>
      </c>
      <c r="L3797" s="1" t="s">
        <v>12912</v>
      </c>
      <c r="M3797">
        <f t="shared" si="119"/>
        <v>2</v>
      </c>
    </row>
    <row r="3798" spans="1:14" hidden="1" x14ac:dyDescent="0.3">
      <c r="A3798" s="1" t="s">
        <v>2341</v>
      </c>
      <c r="B3798" s="1" t="s">
        <v>810</v>
      </c>
      <c r="C3798" s="1" t="s">
        <v>2342</v>
      </c>
      <c r="D3798" s="1" t="s">
        <v>746</v>
      </c>
      <c r="E3798" s="1" t="s">
        <v>747</v>
      </c>
      <c r="F3798" s="1" t="s">
        <v>1348</v>
      </c>
      <c r="G3798" s="1" t="s">
        <v>2343</v>
      </c>
      <c r="H3798">
        <v>2021</v>
      </c>
      <c r="I3798">
        <v>2022</v>
      </c>
      <c r="J3798">
        <f t="shared" si="118"/>
        <v>2</v>
      </c>
      <c r="K3798" s="1" t="s">
        <v>741</v>
      </c>
      <c r="L3798" s="1" t="s">
        <v>666</v>
      </c>
      <c r="M3798">
        <f t="shared" si="119"/>
        <v>4</v>
      </c>
      <c r="N3798" t="s">
        <v>650</v>
      </c>
    </row>
    <row r="3799" spans="1:14" hidden="1" x14ac:dyDescent="0.3">
      <c r="A3799" t="s">
        <v>12706</v>
      </c>
      <c r="B3799" t="s">
        <v>810</v>
      </c>
      <c r="C3799" t="s">
        <v>12707</v>
      </c>
      <c r="E3799" s="1" t="e">
        <v>#N/A</v>
      </c>
      <c r="F3799" s="1" t="e">
        <v>#N/A</v>
      </c>
      <c r="G3799" s="1" t="s">
        <v>12886</v>
      </c>
      <c r="H3799">
        <v>2025</v>
      </c>
      <c r="I3799">
        <v>2026</v>
      </c>
      <c r="J3799">
        <f t="shared" si="118"/>
        <v>2</v>
      </c>
      <c r="K3799" s="1" t="s">
        <v>741</v>
      </c>
      <c r="L3799" s="1" t="s">
        <v>666</v>
      </c>
      <c r="M3799">
        <f t="shared" si="119"/>
        <v>0</v>
      </c>
    </row>
    <row r="3800" spans="1:14" hidden="1" x14ac:dyDescent="0.3">
      <c r="A3800" s="1" t="s">
        <v>2344</v>
      </c>
      <c r="B3800" s="1" t="s">
        <v>810</v>
      </c>
      <c r="C3800" s="1" t="s">
        <v>2345</v>
      </c>
      <c r="D3800" s="1" t="s">
        <v>746</v>
      </c>
      <c r="E3800" s="1" t="s">
        <v>747</v>
      </c>
      <c r="F3800" s="1" t="s">
        <v>1348</v>
      </c>
      <c r="G3800" s="1" t="s">
        <v>2343</v>
      </c>
      <c r="H3800">
        <v>2021</v>
      </c>
      <c r="I3800">
        <v>2022</v>
      </c>
      <c r="J3800">
        <f t="shared" si="118"/>
        <v>2</v>
      </c>
      <c r="K3800" s="1" t="s">
        <v>741</v>
      </c>
      <c r="L3800" s="1" t="s">
        <v>666</v>
      </c>
      <c r="M3800">
        <f t="shared" si="119"/>
        <v>4</v>
      </c>
      <c r="N3800" t="s">
        <v>650</v>
      </c>
    </row>
    <row r="3801" spans="1:14" hidden="1" x14ac:dyDescent="0.3">
      <c r="A3801" s="1" t="s">
        <v>2346</v>
      </c>
      <c r="B3801" s="1" t="s">
        <v>810</v>
      </c>
      <c r="C3801" s="1" t="s">
        <v>2347</v>
      </c>
      <c r="D3801" s="1" t="s">
        <v>746</v>
      </c>
      <c r="E3801" s="1" t="s">
        <v>747</v>
      </c>
      <c r="F3801" s="1" t="s">
        <v>1348</v>
      </c>
      <c r="G3801" s="1" t="s">
        <v>2343</v>
      </c>
      <c r="H3801">
        <v>2021</v>
      </c>
      <c r="I3801">
        <v>2022</v>
      </c>
      <c r="J3801">
        <f t="shared" si="118"/>
        <v>2</v>
      </c>
      <c r="K3801" s="1" t="s">
        <v>741</v>
      </c>
      <c r="L3801" s="1" t="s">
        <v>666</v>
      </c>
      <c r="M3801">
        <f t="shared" si="119"/>
        <v>4</v>
      </c>
      <c r="N3801" t="s">
        <v>650</v>
      </c>
    </row>
    <row r="3802" spans="1:14" hidden="1" x14ac:dyDescent="0.3">
      <c r="A3802" t="s">
        <v>12708</v>
      </c>
      <c r="B3802" t="s">
        <v>810</v>
      </c>
      <c r="C3802" t="s">
        <v>12709</v>
      </c>
      <c r="E3802" s="1" t="e">
        <v>#N/A</v>
      </c>
      <c r="F3802" s="1" t="e">
        <v>#N/A</v>
      </c>
      <c r="G3802" s="1" t="s">
        <v>12886</v>
      </c>
      <c r="H3802">
        <v>2024</v>
      </c>
      <c r="I3802">
        <v>2026</v>
      </c>
      <c r="J3802">
        <f t="shared" si="118"/>
        <v>3</v>
      </c>
      <c r="K3802" s="1" t="s">
        <v>741</v>
      </c>
      <c r="L3802" s="1" t="s">
        <v>666</v>
      </c>
      <c r="M3802">
        <f t="shared" si="119"/>
        <v>0</v>
      </c>
    </row>
    <row r="3803" spans="1:14" x14ac:dyDescent="0.3">
      <c r="A3803" s="1" t="s">
        <v>9116</v>
      </c>
      <c r="B3803" s="1" t="s">
        <v>2154</v>
      </c>
      <c r="C3803" s="1" t="s">
        <v>9117</v>
      </c>
      <c r="D3803" s="1" t="s">
        <v>3850</v>
      </c>
      <c r="E3803" s="1" t="s">
        <v>6076</v>
      </c>
      <c r="F3803" s="1" t="s">
        <v>6076</v>
      </c>
      <c r="G3803" s="1" t="s">
        <v>9117</v>
      </c>
      <c r="H3803">
        <v>1992</v>
      </c>
      <c r="I3803">
        <v>1994</v>
      </c>
      <c r="J3803">
        <f t="shared" si="118"/>
        <v>3</v>
      </c>
      <c r="K3803" s="1" t="s">
        <v>6076</v>
      </c>
      <c r="L3803" s="1" t="s">
        <v>6076</v>
      </c>
      <c r="M3803">
        <f t="shared" si="119"/>
        <v>32</v>
      </c>
      <c r="N3803" t="s">
        <v>640</v>
      </c>
    </row>
    <row r="3804" spans="1:14" x14ac:dyDescent="0.3">
      <c r="A3804" s="1" t="s">
        <v>9118</v>
      </c>
      <c r="B3804" s="1" t="s">
        <v>2154</v>
      </c>
      <c r="C3804" s="1" t="s">
        <v>9119</v>
      </c>
      <c r="D3804" s="1" t="s">
        <v>3850</v>
      </c>
      <c r="E3804" s="1" t="s">
        <v>6076</v>
      </c>
      <c r="F3804" s="1" t="s">
        <v>6076</v>
      </c>
      <c r="G3804" s="1" t="s">
        <v>9117</v>
      </c>
      <c r="H3804">
        <v>1992</v>
      </c>
      <c r="I3804">
        <v>1993</v>
      </c>
      <c r="J3804">
        <f t="shared" si="118"/>
        <v>2</v>
      </c>
      <c r="K3804" s="1" t="s">
        <v>6076</v>
      </c>
      <c r="L3804" s="1" t="s">
        <v>6076</v>
      </c>
      <c r="M3804">
        <f t="shared" si="119"/>
        <v>33</v>
      </c>
      <c r="N3804" t="s">
        <v>640</v>
      </c>
    </row>
    <row r="3805" spans="1:14" x14ac:dyDescent="0.3">
      <c r="A3805" s="1" t="s">
        <v>9120</v>
      </c>
      <c r="B3805" s="1" t="s">
        <v>910</v>
      </c>
      <c r="C3805" s="1" t="s">
        <v>9121</v>
      </c>
      <c r="D3805" s="1" t="s">
        <v>644</v>
      </c>
      <c r="E3805" s="1" t="s">
        <v>6076</v>
      </c>
      <c r="F3805" s="1" t="s">
        <v>6076</v>
      </c>
      <c r="G3805" s="1" t="s">
        <v>9122</v>
      </c>
      <c r="H3805">
        <v>1995</v>
      </c>
      <c r="I3805">
        <v>1997</v>
      </c>
      <c r="J3805">
        <f t="shared" si="118"/>
        <v>3</v>
      </c>
      <c r="K3805" s="1" t="s">
        <v>6076</v>
      </c>
      <c r="L3805" s="1" t="s">
        <v>6076</v>
      </c>
      <c r="M3805">
        <f t="shared" si="119"/>
        <v>29</v>
      </c>
      <c r="N3805" t="s">
        <v>640</v>
      </c>
    </row>
    <row r="3806" spans="1:14" x14ac:dyDescent="0.3">
      <c r="A3806" s="1" t="s">
        <v>9123</v>
      </c>
      <c r="B3806" s="1" t="s">
        <v>910</v>
      </c>
      <c r="C3806" s="1" t="s">
        <v>9124</v>
      </c>
      <c r="D3806" s="1" t="s">
        <v>644</v>
      </c>
      <c r="E3806" s="1" t="s">
        <v>6076</v>
      </c>
      <c r="F3806" s="1" t="s">
        <v>6076</v>
      </c>
      <c r="G3806" s="1" t="s">
        <v>9122</v>
      </c>
      <c r="H3806">
        <v>1996</v>
      </c>
      <c r="I3806">
        <v>1998</v>
      </c>
      <c r="J3806">
        <f t="shared" si="118"/>
        <v>3</v>
      </c>
      <c r="K3806" s="1" t="s">
        <v>6076</v>
      </c>
      <c r="L3806" s="1" t="s">
        <v>6076</v>
      </c>
      <c r="M3806">
        <f t="shared" si="119"/>
        <v>28</v>
      </c>
      <c r="N3806" t="s">
        <v>640</v>
      </c>
    </row>
    <row r="3807" spans="1:14" x14ac:dyDescent="0.3">
      <c r="A3807" s="1" t="s">
        <v>9125</v>
      </c>
      <c r="B3807" s="1" t="s">
        <v>802</v>
      </c>
      <c r="C3807" s="1" t="s">
        <v>9126</v>
      </c>
      <c r="D3807" s="1" t="s">
        <v>738</v>
      </c>
      <c r="E3807" s="1" t="s">
        <v>6076</v>
      </c>
      <c r="F3807" s="1" t="s">
        <v>6076</v>
      </c>
      <c r="G3807" s="1" t="s">
        <v>9127</v>
      </c>
      <c r="H3807">
        <v>1985</v>
      </c>
      <c r="I3807">
        <v>1985</v>
      </c>
      <c r="J3807">
        <f t="shared" si="118"/>
        <v>1</v>
      </c>
      <c r="K3807" s="1" t="s">
        <v>6076</v>
      </c>
      <c r="L3807" s="1" t="s">
        <v>6076</v>
      </c>
      <c r="M3807">
        <f t="shared" si="119"/>
        <v>41</v>
      </c>
      <c r="N3807" t="s">
        <v>640</v>
      </c>
    </row>
    <row r="3808" spans="1:14" x14ac:dyDescent="0.3">
      <c r="A3808" s="1" t="s">
        <v>9128</v>
      </c>
      <c r="B3808" s="1" t="s">
        <v>795</v>
      </c>
      <c r="C3808" s="1" t="s">
        <v>9129</v>
      </c>
      <c r="D3808" s="1" t="s">
        <v>738</v>
      </c>
      <c r="E3808" s="1" t="s">
        <v>6076</v>
      </c>
      <c r="F3808" s="1" t="s">
        <v>6076</v>
      </c>
      <c r="G3808" s="1" t="s">
        <v>5403</v>
      </c>
      <c r="H3808">
        <v>1998</v>
      </c>
      <c r="I3808">
        <v>2004</v>
      </c>
      <c r="J3808">
        <f t="shared" si="118"/>
        <v>7</v>
      </c>
      <c r="K3808" s="1" t="s">
        <v>6076</v>
      </c>
      <c r="L3808" s="1" t="s">
        <v>6076</v>
      </c>
      <c r="M3808">
        <f t="shared" si="119"/>
        <v>22</v>
      </c>
      <c r="N3808" t="s">
        <v>640</v>
      </c>
    </row>
    <row r="3809" spans="1:14" x14ac:dyDescent="0.3">
      <c r="A3809" s="1" t="s">
        <v>9130</v>
      </c>
      <c r="B3809" s="1" t="s">
        <v>795</v>
      </c>
      <c r="C3809" s="1" t="s">
        <v>9131</v>
      </c>
      <c r="D3809" s="1" t="s">
        <v>738</v>
      </c>
      <c r="E3809" s="1" t="s">
        <v>6076</v>
      </c>
      <c r="F3809" s="1" t="s">
        <v>6076</v>
      </c>
      <c r="G3809" s="1" t="s">
        <v>5403</v>
      </c>
      <c r="H3809">
        <v>1992</v>
      </c>
      <c r="I3809">
        <v>1998</v>
      </c>
      <c r="J3809">
        <f t="shared" si="118"/>
        <v>7</v>
      </c>
      <c r="K3809" s="1" t="s">
        <v>6076</v>
      </c>
      <c r="L3809" s="1" t="s">
        <v>6076</v>
      </c>
      <c r="M3809">
        <f t="shared" si="119"/>
        <v>28</v>
      </c>
      <c r="N3809" t="s">
        <v>640</v>
      </c>
    </row>
    <row r="3810" spans="1:14" hidden="1" x14ac:dyDescent="0.3">
      <c r="A3810" s="1" t="s">
        <v>5401</v>
      </c>
      <c r="B3810" s="1" t="s">
        <v>795</v>
      </c>
      <c r="C3810" s="1" t="s">
        <v>5402</v>
      </c>
      <c r="D3810" s="1" t="s">
        <v>738</v>
      </c>
      <c r="E3810" s="1" t="s">
        <v>4892</v>
      </c>
      <c r="F3810" s="1" t="s">
        <v>4893</v>
      </c>
      <c r="G3810" s="1" t="s">
        <v>5403</v>
      </c>
      <c r="H3810">
        <v>2005</v>
      </c>
      <c r="I3810">
        <v>2012</v>
      </c>
      <c r="J3810">
        <f t="shared" si="118"/>
        <v>8</v>
      </c>
      <c r="K3810" s="1" t="s">
        <v>4668</v>
      </c>
      <c r="L3810" s="1" t="s">
        <v>649</v>
      </c>
      <c r="M3810">
        <f t="shared" si="119"/>
        <v>14</v>
      </c>
      <c r="N3810" t="s">
        <v>650</v>
      </c>
    </row>
    <row r="3811" spans="1:14" x14ac:dyDescent="0.3">
      <c r="A3811" s="1" t="s">
        <v>9132</v>
      </c>
      <c r="B3811" s="1" t="s">
        <v>795</v>
      </c>
      <c r="C3811" s="1" t="s">
        <v>9133</v>
      </c>
      <c r="D3811" s="1" t="s">
        <v>738</v>
      </c>
      <c r="E3811" s="1" t="s">
        <v>6076</v>
      </c>
      <c r="F3811" s="1" t="s">
        <v>6076</v>
      </c>
      <c r="G3811" s="1" t="s">
        <v>5403</v>
      </c>
      <c r="H3811">
        <v>1994</v>
      </c>
      <c r="I3811">
        <v>1994</v>
      </c>
      <c r="J3811">
        <f t="shared" si="118"/>
        <v>1</v>
      </c>
      <c r="K3811" s="1" t="s">
        <v>6076</v>
      </c>
      <c r="L3811" s="1" t="s">
        <v>6076</v>
      </c>
      <c r="M3811">
        <f t="shared" si="119"/>
        <v>32</v>
      </c>
      <c r="N3811" t="s">
        <v>640</v>
      </c>
    </row>
    <row r="3812" spans="1:14" x14ac:dyDescent="0.3">
      <c r="A3812" s="1" t="s">
        <v>9134</v>
      </c>
      <c r="B3812" s="1" t="s">
        <v>795</v>
      </c>
      <c r="C3812" s="1" t="s">
        <v>9135</v>
      </c>
      <c r="D3812" s="1" t="s">
        <v>738</v>
      </c>
      <c r="E3812" s="1" t="s">
        <v>6076</v>
      </c>
      <c r="F3812" s="1" t="s">
        <v>6076</v>
      </c>
      <c r="G3812" s="1" t="s">
        <v>5403</v>
      </c>
      <c r="H3812">
        <v>1994</v>
      </c>
      <c r="I3812">
        <v>1995</v>
      </c>
      <c r="J3812">
        <f t="shared" si="118"/>
        <v>2</v>
      </c>
      <c r="K3812" s="1" t="s">
        <v>6076</v>
      </c>
      <c r="L3812" s="1" t="s">
        <v>6076</v>
      </c>
      <c r="M3812">
        <f t="shared" si="119"/>
        <v>31</v>
      </c>
      <c r="N3812" t="s">
        <v>640</v>
      </c>
    </row>
    <row r="3813" spans="1:14" x14ac:dyDescent="0.3">
      <c r="A3813" s="1" t="s">
        <v>9136</v>
      </c>
      <c r="B3813" s="1" t="s">
        <v>795</v>
      </c>
      <c r="C3813" s="1" t="s">
        <v>9137</v>
      </c>
      <c r="D3813" s="1" t="s">
        <v>738</v>
      </c>
      <c r="E3813" s="1" t="s">
        <v>6076</v>
      </c>
      <c r="F3813" s="1" t="s">
        <v>6076</v>
      </c>
      <c r="G3813" s="1" t="s">
        <v>5403</v>
      </c>
      <c r="H3813">
        <v>1992</v>
      </c>
      <c r="I3813">
        <v>1998</v>
      </c>
      <c r="J3813">
        <f t="shared" si="118"/>
        <v>7</v>
      </c>
      <c r="K3813" s="1" t="s">
        <v>6076</v>
      </c>
      <c r="L3813" s="1" t="s">
        <v>6076</v>
      </c>
      <c r="M3813">
        <f t="shared" si="119"/>
        <v>28</v>
      </c>
      <c r="N3813" t="s">
        <v>640</v>
      </c>
    </row>
    <row r="3814" spans="1:14" x14ac:dyDescent="0.3">
      <c r="A3814" s="1" t="s">
        <v>9138</v>
      </c>
      <c r="B3814" s="1" t="s">
        <v>795</v>
      </c>
      <c r="C3814" s="1" t="s">
        <v>9139</v>
      </c>
      <c r="D3814" s="1" t="s">
        <v>738</v>
      </c>
      <c r="E3814" s="1" t="s">
        <v>6076</v>
      </c>
      <c r="F3814" s="1" t="s">
        <v>6076</v>
      </c>
      <c r="G3814" s="1" t="s">
        <v>5403</v>
      </c>
      <c r="H3814">
        <v>1995</v>
      </c>
      <c r="I3814">
        <v>1997</v>
      </c>
      <c r="J3814">
        <f t="shared" si="118"/>
        <v>3</v>
      </c>
      <c r="K3814" s="1" t="s">
        <v>6076</v>
      </c>
      <c r="L3814" s="1" t="s">
        <v>6076</v>
      </c>
      <c r="M3814">
        <f t="shared" si="119"/>
        <v>29</v>
      </c>
      <c r="N3814" t="s">
        <v>640</v>
      </c>
    </row>
    <row r="3815" spans="1:14" x14ac:dyDescent="0.3">
      <c r="A3815" t="s">
        <v>12055</v>
      </c>
      <c r="B3815" t="s">
        <v>12061</v>
      </c>
      <c r="C3815" t="s">
        <v>12056</v>
      </c>
      <c r="E3815" s="1" t="s">
        <v>6076</v>
      </c>
      <c r="F3815" s="1" t="s">
        <v>6076</v>
      </c>
      <c r="G3815" s="1" t="s">
        <v>12866</v>
      </c>
      <c r="H3815">
        <v>2015</v>
      </c>
      <c r="I3815">
        <v>2015</v>
      </c>
      <c r="J3815">
        <f t="shared" si="118"/>
        <v>1</v>
      </c>
      <c r="K3815" s="1" t="s">
        <v>6076</v>
      </c>
      <c r="L3815" s="1" t="s">
        <v>6076</v>
      </c>
      <c r="M3815">
        <f t="shared" si="119"/>
        <v>11</v>
      </c>
    </row>
    <row r="3816" spans="1:14" x14ac:dyDescent="0.3">
      <c r="A3816" t="s">
        <v>12059</v>
      </c>
      <c r="B3816" t="s">
        <v>12061</v>
      </c>
      <c r="C3816" t="s">
        <v>12060</v>
      </c>
      <c r="E3816" s="1" t="s">
        <v>6076</v>
      </c>
      <c r="F3816" s="1" t="s">
        <v>6076</v>
      </c>
      <c r="G3816" s="1" t="s">
        <v>12866</v>
      </c>
      <c r="H3816">
        <v>2012</v>
      </c>
      <c r="I3816">
        <v>2013</v>
      </c>
      <c r="J3816">
        <f t="shared" si="118"/>
        <v>2</v>
      </c>
      <c r="K3816" s="1" t="s">
        <v>6076</v>
      </c>
      <c r="L3816" s="1" t="s">
        <v>6076</v>
      </c>
      <c r="M3816">
        <f t="shared" si="119"/>
        <v>13</v>
      </c>
    </row>
    <row r="3817" spans="1:14" x14ac:dyDescent="0.3">
      <c r="A3817" t="s">
        <v>12057</v>
      </c>
      <c r="B3817" t="s">
        <v>12061</v>
      </c>
      <c r="C3817" t="s">
        <v>12058</v>
      </c>
      <c r="E3817" s="1" t="s">
        <v>6076</v>
      </c>
      <c r="F3817" s="1" t="s">
        <v>6076</v>
      </c>
      <c r="G3817" s="1" t="s">
        <v>12866</v>
      </c>
      <c r="H3817">
        <v>2011</v>
      </c>
      <c r="I3817">
        <v>2013</v>
      </c>
      <c r="J3817">
        <f t="shared" si="118"/>
        <v>3</v>
      </c>
      <c r="K3817" s="1" t="s">
        <v>6076</v>
      </c>
      <c r="L3817" s="1" t="s">
        <v>6076</v>
      </c>
      <c r="M3817">
        <f t="shared" si="119"/>
        <v>13</v>
      </c>
    </row>
    <row r="3818" spans="1:14" hidden="1" x14ac:dyDescent="0.3">
      <c r="A3818" s="1" t="s">
        <v>2348</v>
      </c>
      <c r="B3818" s="1" t="s">
        <v>795</v>
      </c>
      <c r="C3818" s="1" t="s">
        <v>2349</v>
      </c>
      <c r="D3818" s="1" t="s">
        <v>746</v>
      </c>
      <c r="E3818" s="1" t="s">
        <v>747</v>
      </c>
      <c r="F3818" s="1" t="s">
        <v>748</v>
      </c>
      <c r="G3818" s="1" t="s">
        <v>2051</v>
      </c>
      <c r="H3818">
        <v>2020</v>
      </c>
      <c r="I3818">
        <v>2022</v>
      </c>
      <c r="J3818">
        <f t="shared" si="118"/>
        <v>3</v>
      </c>
      <c r="K3818" s="1" t="s">
        <v>741</v>
      </c>
      <c r="L3818" s="1" t="s">
        <v>798</v>
      </c>
      <c r="M3818">
        <f t="shared" si="119"/>
        <v>4</v>
      </c>
      <c r="N3818" t="s">
        <v>650</v>
      </c>
    </row>
    <row r="3819" spans="1:14" hidden="1" x14ac:dyDescent="0.3">
      <c r="A3819" t="s">
        <v>11087</v>
      </c>
      <c r="B3819" t="s">
        <v>795</v>
      </c>
      <c r="C3819" t="s">
        <v>11088</v>
      </c>
      <c r="E3819" s="1" t="e">
        <v>#N/A</v>
      </c>
      <c r="F3819" s="1" t="e">
        <v>#N/A</v>
      </c>
      <c r="G3819" s="1" t="s">
        <v>2051</v>
      </c>
      <c r="H3819">
        <v>2025</v>
      </c>
      <c r="I3819">
        <v>2026</v>
      </c>
      <c r="J3819">
        <f t="shared" si="118"/>
        <v>2</v>
      </c>
      <c r="K3819" s="1" t="s">
        <v>741</v>
      </c>
      <c r="L3819" s="1" t="s">
        <v>798</v>
      </c>
      <c r="M3819">
        <f t="shared" si="119"/>
        <v>0</v>
      </c>
    </row>
    <row r="3820" spans="1:14" hidden="1" x14ac:dyDescent="0.3">
      <c r="A3820" s="1" t="s">
        <v>2350</v>
      </c>
      <c r="B3820" s="1" t="s">
        <v>795</v>
      </c>
      <c r="C3820" s="1" t="s">
        <v>2351</v>
      </c>
      <c r="D3820" s="1" t="s">
        <v>746</v>
      </c>
      <c r="E3820" s="1" t="s">
        <v>747</v>
      </c>
      <c r="F3820" s="1" t="s">
        <v>748</v>
      </c>
      <c r="G3820" s="1" t="s">
        <v>2051</v>
      </c>
      <c r="H3820">
        <v>2020</v>
      </c>
      <c r="I3820">
        <v>2022</v>
      </c>
      <c r="J3820">
        <f t="shared" si="118"/>
        <v>3</v>
      </c>
      <c r="K3820" s="1" t="s">
        <v>741</v>
      </c>
      <c r="L3820" s="1" t="s">
        <v>798</v>
      </c>
      <c r="M3820">
        <f t="shared" si="119"/>
        <v>4</v>
      </c>
      <c r="N3820" t="s">
        <v>650</v>
      </c>
    </row>
    <row r="3821" spans="1:14" hidden="1" x14ac:dyDescent="0.3">
      <c r="A3821" t="s">
        <v>11089</v>
      </c>
      <c r="B3821" t="s">
        <v>795</v>
      </c>
      <c r="C3821" t="s">
        <v>11090</v>
      </c>
      <c r="E3821" s="1" t="e">
        <v>#N/A</v>
      </c>
      <c r="F3821" s="1" t="e">
        <v>#N/A</v>
      </c>
      <c r="G3821" s="1" t="s">
        <v>2051</v>
      </c>
      <c r="H3821">
        <v>2025</v>
      </c>
      <c r="I3821">
        <v>2026</v>
      </c>
      <c r="J3821">
        <f t="shared" si="118"/>
        <v>2</v>
      </c>
      <c r="K3821" s="1" t="s">
        <v>741</v>
      </c>
      <c r="L3821" s="1" t="s">
        <v>798</v>
      </c>
      <c r="M3821">
        <f t="shared" si="119"/>
        <v>0</v>
      </c>
    </row>
    <row r="3822" spans="1:14" hidden="1" x14ac:dyDescent="0.3">
      <c r="A3822" s="1" t="s">
        <v>2352</v>
      </c>
      <c r="B3822" s="1" t="s">
        <v>795</v>
      </c>
      <c r="C3822" s="1" t="s">
        <v>2353</v>
      </c>
      <c r="D3822" s="1" t="s">
        <v>746</v>
      </c>
      <c r="E3822" s="1" t="s">
        <v>747</v>
      </c>
      <c r="F3822" s="1" t="s">
        <v>748</v>
      </c>
      <c r="G3822" s="1" t="s">
        <v>2051</v>
      </c>
      <c r="H3822">
        <v>2017</v>
      </c>
      <c r="I3822">
        <v>2019</v>
      </c>
      <c r="J3822">
        <f t="shared" si="118"/>
        <v>3</v>
      </c>
      <c r="K3822" s="1" t="s">
        <v>741</v>
      </c>
      <c r="L3822" s="1" t="s">
        <v>798</v>
      </c>
      <c r="M3822">
        <f t="shared" si="119"/>
        <v>7</v>
      </c>
      <c r="N3822" t="s">
        <v>650</v>
      </c>
    </row>
    <row r="3823" spans="1:14" hidden="1" x14ac:dyDescent="0.3">
      <c r="A3823" s="1" t="s">
        <v>2354</v>
      </c>
      <c r="B3823" s="1" t="s">
        <v>795</v>
      </c>
      <c r="C3823" s="1" t="s">
        <v>2355</v>
      </c>
      <c r="D3823" s="1" t="s">
        <v>746</v>
      </c>
      <c r="E3823" s="1" t="s">
        <v>747</v>
      </c>
      <c r="F3823" s="1" t="s">
        <v>748</v>
      </c>
      <c r="G3823" s="1" t="s">
        <v>2051</v>
      </c>
      <c r="H3823">
        <v>2017</v>
      </c>
      <c r="I3823">
        <v>2019</v>
      </c>
      <c r="J3823">
        <f t="shared" si="118"/>
        <v>3</v>
      </c>
      <c r="K3823" s="1" t="s">
        <v>741</v>
      </c>
      <c r="L3823" s="1" t="s">
        <v>798</v>
      </c>
      <c r="M3823">
        <f t="shared" si="119"/>
        <v>7</v>
      </c>
      <c r="N3823" t="s">
        <v>650</v>
      </c>
    </row>
    <row r="3824" spans="1:14" hidden="1" x14ac:dyDescent="0.3">
      <c r="A3824" s="1" t="s">
        <v>2356</v>
      </c>
      <c r="B3824" s="1" t="s">
        <v>795</v>
      </c>
      <c r="C3824" s="1" t="s">
        <v>2357</v>
      </c>
      <c r="D3824" s="1" t="s">
        <v>746</v>
      </c>
      <c r="E3824" s="1" t="s">
        <v>747</v>
      </c>
      <c r="F3824" s="1" t="s">
        <v>748</v>
      </c>
      <c r="G3824" s="1" t="s">
        <v>2051</v>
      </c>
      <c r="H3824">
        <v>2018</v>
      </c>
      <c r="I3824">
        <v>2019</v>
      </c>
      <c r="J3824">
        <f t="shared" si="118"/>
        <v>2</v>
      </c>
      <c r="K3824" s="1" t="s">
        <v>741</v>
      </c>
      <c r="L3824" s="1" t="s">
        <v>798</v>
      </c>
      <c r="M3824">
        <f t="shared" si="119"/>
        <v>7</v>
      </c>
      <c r="N3824" t="s">
        <v>650</v>
      </c>
    </row>
    <row r="3825" spans="1:14" hidden="1" x14ac:dyDescent="0.3">
      <c r="A3825" s="1" t="s">
        <v>2358</v>
      </c>
      <c r="B3825" s="1" t="s">
        <v>795</v>
      </c>
      <c r="C3825" s="1" t="s">
        <v>2359</v>
      </c>
      <c r="D3825" s="1" t="s">
        <v>746</v>
      </c>
      <c r="E3825" s="1" t="s">
        <v>747</v>
      </c>
      <c r="F3825" s="1" t="s">
        <v>748</v>
      </c>
      <c r="G3825" s="1" t="s">
        <v>2051</v>
      </c>
      <c r="H3825">
        <v>2015</v>
      </c>
      <c r="I3825">
        <v>2019</v>
      </c>
      <c r="J3825">
        <f t="shared" si="118"/>
        <v>5</v>
      </c>
      <c r="K3825" s="1" t="s">
        <v>741</v>
      </c>
      <c r="L3825" s="1" t="s">
        <v>798</v>
      </c>
      <c r="M3825">
        <f t="shared" si="119"/>
        <v>7</v>
      </c>
      <c r="N3825" t="s">
        <v>650</v>
      </c>
    </row>
    <row r="3826" spans="1:14" hidden="1" x14ac:dyDescent="0.3">
      <c r="A3826" s="1" t="s">
        <v>2360</v>
      </c>
      <c r="B3826" s="1" t="s">
        <v>795</v>
      </c>
      <c r="C3826" s="1" t="s">
        <v>2361</v>
      </c>
      <c r="D3826" s="1" t="s">
        <v>746</v>
      </c>
      <c r="E3826" s="1" t="s">
        <v>747</v>
      </c>
      <c r="F3826" s="1" t="s">
        <v>748</v>
      </c>
      <c r="G3826" s="1" t="s">
        <v>2051</v>
      </c>
      <c r="H3826">
        <v>2020</v>
      </c>
      <c r="I3826">
        <v>2022</v>
      </c>
      <c r="J3826">
        <f t="shared" si="118"/>
        <v>3</v>
      </c>
      <c r="K3826" s="1" t="s">
        <v>741</v>
      </c>
      <c r="L3826" s="1" t="s">
        <v>798</v>
      </c>
      <c r="M3826">
        <f t="shared" si="119"/>
        <v>4</v>
      </c>
      <c r="N3826" t="s">
        <v>650</v>
      </c>
    </row>
    <row r="3827" spans="1:14" hidden="1" x14ac:dyDescent="0.3">
      <c r="A3827" s="1" t="s">
        <v>2362</v>
      </c>
      <c r="B3827" s="1" t="s">
        <v>795</v>
      </c>
      <c r="C3827" s="1" t="s">
        <v>2363</v>
      </c>
      <c r="D3827" s="1" t="s">
        <v>746</v>
      </c>
      <c r="E3827" s="1" t="s">
        <v>747</v>
      </c>
      <c r="F3827" s="1" t="s">
        <v>748</v>
      </c>
      <c r="G3827" s="1" t="s">
        <v>2051</v>
      </c>
      <c r="H3827">
        <v>2013</v>
      </c>
      <c r="I3827">
        <v>2016</v>
      </c>
      <c r="J3827">
        <f t="shared" si="118"/>
        <v>4</v>
      </c>
      <c r="K3827" s="1" t="s">
        <v>741</v>
      </c>
      <c r="L3827" s="1" t="s">
        <v>798</v>
      </c>
      <c r="M3827">
        <f t="shared" si="119"/>
        <v>10</v>
      </c>
      <c r="N3827" t="s">
        <v>650</v>
      </c>
    </row>
    <row r="3828" spans="1:14" hidden="1" x14ac:dyDescent="0.3">
      <c r="A3828" s="1" t="s">
        <v>2364</v>
      </c>
      <c r="B3828" s="1" t="s">
        <v>795</v>
      </c>
      <c r="C3828" s="1" t="s">
        <v>2365</v>
      </c>
      <c r="D3828" s="1" t="s">
        <v>746</v>
      </c>
      <c r="E3828" s="1" t="s">
        <v>747</v>
      </c>
      <c r="F3828" s="1" t="s">
        <v>748</v>
      </c>
      <c r="G3828" s="1" t="s">
        <v>2051</v>
      </c>
      <c r="H3828">
        <v>2020</v>
      </c>
      <c r="I3828">
        <v>2022</v>
      </c>
      <c r="J3828">
        <f t="shared" si="118"/>
        <v>3</v>
      </c>
      <c r="K3828" s="1" t="s">
        <v>741</v>
      </c>
      <c r="L3828" s="1" t="s">
        <v>798</v>
      </c>
      <c r="M3828">
        <f t="shared" si="119"/>
        <v>4</v>
      </c>
      <c r="N3828" t="s">
        <v>650</v>
      </c>
    </row>
    <row r="3829" spans="1:14" hidden="1" x14ac:dyDescent="0.3">
      <c r="A3829" s="1" t="s">
        <v>2366</v>
      </c>
      <c r="B3829" s="1" t="s">
        <v>795</v>
      </c>
      <c r="C3829" s="1" t="s">
        <v>2367</v>
      </c>
      <c r="D3829" s="1" t="s">
        <v>746</v>
      </c>
      <c r="E3829" s="1" t="s">
        <v>747</v>
      </c>
      <c r="F3829" s="1" t="s">
        <v>748</v>
      </c>
      <c r="G3829" s="1" t="s">
        <v>2051</v>
      </c>
      <c r="H3829">
        <v>2020</v>
      </c>
      <c r="I3829">
        <v>2022</v>
      </c>
      <c r="J3829">
        <f t="shared" si="118"/>
        <v>3</v>
      </c>
      <c r="K3829" s="1" t="s">
        <v>741</v>
      </c>
      <c r="L3829" s="1" t="s">
        <v>798</v>
      </c>
      <c r="M3829">
        <f t="shared" si="119"/>
        <v>4</v>
      </c>
      <c r="N3829" t="s">
        <v>650</v>
      </c>
    </row>
    <row r="3830" spans="1:14" hidden="1" x14ac:dyDescent="0.3">
      <c r="A3830" s="1" t="s">
        <v>2368</v>
      </c>
      <c r="B3830" s="1" t="s">
        <v>795</v>
      </c>
      <c r="C3830" s="1" t="s">
        <v>2369</v>
      </c>
      <c r="D3830" s="1" t="s">
        <v>746</v>
      </c>
      <c r="E3830" s="1" t="s">
        <v>747</v>
      </c>
      <c r="F3830" s="1" t="s">
        <v>748</v>
      </c>
      <c r="G3830" s="1" t="s">
        <v>2051</v>
      </c>
      <c r="H3830">
        <v>2020</v>
      </c>
      <c r="I3830">
        <v>2022</v>
      </c>
      <c r="J3830">
        <f t="shared" si="118"/>
        <v>3</v>
      </c>
      <c r="K3830" s="1" t="s">
        <v>741</v>
      </c>
      <c r="L3830" s="1" t="s">
        <v>798</v>
      </c>
      <c r="M3830">
        <f t="shared" si="119"/>
        <v>4</v>
      </c>
      <c r="N3830" t="s">
        <v>650</v>
      </c>
    </row>
    <row r="3831" spans="1:14" hidden="1" x14ac:dyDescent="0.3">
      <c r="A3831" s="1" t="s">
        <v>2370</v>
      </c>
      <c r="B3831" s="1" t="s">
        <v>795</v>
      </c>
      <c r="C3831" s="1" t="s">
        <v>2371</v>
      </c>
      <c r="D3831" s="1" t="s">
        <v>746</v>
      </c>
      <c r="E3831" s="1" t="s">
        <v>747</v>
      </c>
      <c r="F3831" s="1" t="s">
        <v>748</v>
      </c>
      <c r="G3831" s="1" t="s">
        <v>2051</v>
      </c>
      <c r="H3831">
        <v>2013</v>
      </c>
      <c r="I3831">
        <v>2019</v>
      </c>
      <c r="J3831">
        <f t="shared" si="118"/>
        <v>7</v>
      </c>
      <c r="K3831" s="1" t="s">
        <v>741</v>
      </c>
      <c r="L3831" s="1" t="s">
        <v>798</v>
      </c>
      <c r="M3831">
        <f t="shared" si="119"/>
        <v>7</v>
      </c>
      <c r="N3831" t="s">
        <v>650</v>
      </c>
    </row>
    <row r="3832" spans="1:14" hidden="1" x14ac:dyDescent="0.3">
      <c r="A3832" s="1" t="s">
        <v>2372</v>
      </c>
      <c r="B3832" s="1" t="s">
        <v>795</v>
      </c>
      <c r="C3832" s="1" t="s">
        <v>2373</v>
      </c>
      <c r="D3832" s="1" t="s">
        <v>746</v>
      </c>
      <c r="E3832" s="1" t="s">
        <v>747</v>
      </c>
      <c r="F3832" s="1" t="s">
        <v>748</v>
      </c>
      <c r="G3832" s="1" t="s">
        <v>2051</v>
      </c>
      <c r="H3832">
        <v>2014</v>
      </c>
      <c r="I3832">
        <v>2019</v>
      </c>
      <c r="J3832">
        <f t="shared" si="118"/>
        <v>6</v>
      </c>
      <c r="K3832" s="1" t="s">
        <v>741</v>
      </c>
      <c r="L3832" s="1" t="s">
        <v>798</v>
      </c>
      <c r="M3832">
        <f t="shared" si="119"/>
        <v>7</v>
      </c>
      <c r="N3832" t="s">
        <v>650</v>
      </c>
    </row>
    <row r="3833" spans="1:14" hidden="1" x14ac:dyDescent="0.3">
      <c r="A3833" s="1" t="s">
        <v>2374</v>
      </c>
      <c r="B3833" s="1" t="s">
        <v>795</v>
      </c>
      <c r="C3833" s="1" t="s">
        <v>2375</v>
      </c>
      <c r="D3833" s="1" t="s">
        <v>746</v>
      </c>
      <c r="E3833" s="1" t="s">
        <v>747</v>
      </c>
      <c r="F3833" s="1" t="s">
        <v>748</v>
      </c>
      <c r="G3833" s="1" t="s">
        <v>2051</v>
      </c>
      <c r="H3833">
        <v>2013</v>
      </c>
      <c r="I3833">
        <v>2019</v>
      </c>
      <c r="J3833">
        <f t="shared" si="118"/>
        <v>7</v>
      </c>
      <c r="K3833" s="1" t="s">
        <v>741</v>
      </c>
      <c r="L3833" s="1" t="s">
        <v>798</v>
      </c>
      <c r="M3833">
        <f t="shared" si="119"/>
        <v>7</v>
      </c>
      <c r="N3833" t="s">
        <v>650</v>
      </c>
    </row>
    <row r="3834" spans="1:14" hidden="1" x14ac:dyDescent="0.3">
      <c r="A3834" s="1" t="s">
        <v>2376</v>
      </c>
      <c r="B3834" s="1" t="s">
        <v>795</v>
      </c>
      <c r="C3834" s="1" t="s">
        <v>2377</v>
      </c>
      <c r="D3834" s="1" t="s">
        <v>746</v>
      </c>
      <c r="E3834" s="1" t="s">
        <v>747</v>
      </c>
      <c r="F3834" s="1" t="s">
        <v>748</v>
      </c>
      <c r="G3834" s="1" t="s">
        <v>2051</v>
      </c>
      <c r="H3834">
        <v>2020</v>
      </c>
      <c r="I3834">
        <v>2022</v>
      </c>
      <c r="J3834">
        <f t="shared" si="118"/>
        <v>3</v>
      </c>
      <c r="K3834" s="1" t="s">
        <v>741</v>
      </c>
      <c r="L3834" s="1" t="s">
        <v>798</v>
      </c>
      <c r="M3834">
        <f t="shared" si="119"/>
        <v>4</v>
      </c>
      <c r="N3834" t="s">
        <v>650</v>
      </c>
    </row>
    <row r="3835" spans="1:14" hidden="1" x14ac:dyDescent="0.3">
      <c r="A3835" s="1" t="s">
        <v>2378</v>
      </c>
      <c r="B3835" s="1" t="s">
        <v>795</v>
      </c>
      <c r="C3835" s="1" t="s">
        <v>2379</v>
      </c>
      <c r="D3835" s="1" t="s">
        <v>746</v>
      </c>
      <c r="E3835" s="1" t="s">
        <v>747</v>
      </c>
      <c r="F3835" s="1" t="s">
        <v>748</v>
      </c>
      <c r="G3835" s="1" t="s">
        <v>2051</v>
      </c>
      <c r="H3835">
        <v>2020</v>
      </c>
      <c r="I3835">
        <v>2022</v>
      </c>
      <c r="J3835">
        <f t="shared" si="118"/>
        <v>3</v>
      </c>
      <c r="K3835" s="1" t="s">
        <v>741</v>
      </c>
      <c r="L3835" s="1" t="s">
        <v>798</v>
      </c>
      <c r="M3835">
        <f t="shared" si="119"/>
        <v>4</v>
      </c>
      <c r="N3835" t="s">
        <v>650</v>
      </c>
    </row>
    <row r="3836" spans="1:14" hidden="1" x14ac:dyDescent="0.3">
      <c r="A3836" s="1" t="s">
        <v>2380</v>
      </c>
      <c r="B3836" s="1" t="s">
        <v>795</v>
      </c>
      <c r="C3836" s="1" t="s">
        <v>2381</v>
      </c>
      <c r="D3836" s="1" t="s">
        <v>746</v>
      </c>
      <c r="E3836" s="1" t="s">
        <v>747</v>
      </c>
      <c r="F3836" s="1" t="s">
        <v>748</v>
      </c>
      <c r="G3836" s="1" t="s">
        <v>2051</v>
      </c>
      <c r="H3836">
        <v>2013</v>
      </c>
      <c r="I3836">
        <v>2019</v>
      </c>
      <c r="J3836">
        <f t="shared" si="118"/>
        <v>7</v>
      </c>
      <c r="K3836" s="1" t="s">
        <v>741</v>
      </c>
      <c r="L3836" s="1" t="s">
        <v>798</v>
      </c>
      <c r="M3836">
        <f t="shared" si="119"/>
        <v>7</v>
      </c>
      <c r="N3836" t="s">
        <v>650</v>
      </c>
    </row>
    <row r="3837" spans="1:14" hidden="1" x14ac:dyDescent="0.3">
      <c r="A3837" s="1" t="s">
        <v>2382</v>
      </c>
      <c r="B3837" s="1" t="s">
        <v>795</v>
      </c>
      <c r="C3837" s="1" t="s">
        <v>2383</v>
      </c>
      <c r="D3837" s="1" t="s">
        <v>746</v>
      </c>
      <c r="E3837" s="1" t="s">
        <v>747</v>
      </c>
      <c r="F3837" s="1" t="s">
        <v>748</v>
      </c>
      <c r="G3837" s="1" t="s">
        <v>2051</v>
      </c>
      <c r="H3837">
        <v>2014</v>
      </c>
      <c r="I3837">
        <v>2019</v>
      </c>
      <c r="J3837">
        <f t="shared" si="118"/>
        <v>6</v>
      </c>
      <c r="K3837" s="1" t="s">
        <v>741</v>
      </c>
      <c r="L3837" s="1" t="s">
        <v>798</v>
      </c>
      <c r="M3837">
        <f t="shared" si="119"/>
        <v>7</v>
      </c>
      <c r="N3837" t="s">
        <v>650</v>
      </c>
    </row>
    <row r="3838" spans="1:14" hidden="1" x14ac:dyDescent="0.3">
      <c r="A3838" s="1" t="s">
        <v>2384</v>
      </c>
      <c r="B3838" s="1" t="s">
        <v>795</v>
      </c>
      <c r="C3838" s="1" t="s">
        <v>2385</v>
      </c>
      <c r="D3838" s="1" t="s">
        <v>746</v>
      </c>
      <c r="E3838" s="1" t="s">
        <v>747</v>
      </c>
      <c r="F3838" s="1" t="s">
        <v>748</v>
      </c>
      <c r="G3838" s="1" t="s">
        <v>2051</v>
      </c>
      <c r="H3838">
        <v>2020</v>
      </c>
      <c r="I3838">
        <v>2022</v>
      </c>
      <c r="J3838">
        <f t="shared" si="118"/>
        <v>3</v>
      </c>
      <c r="K3838" s="1" t="s">
        <v>741</v>
      </c>
      <c r="L3838" s="1" t="s">
        <v>798</v>
      </c>
      <c r="M3838">
        <f t="shared" si="119"/>
        <v>4</v>
      </c>
      <c r="N3838" t="s">
        <v>650</v>
      </c>
    </row>
    <row r="3839" spans="1:14" hidden="1" x14ac:dyDescent="0.3">
      <c r="A3839" s="1" t="s">
        <v>2386</v>
      </c>
      <c r="B3839" s="1" t="s">
        <v>795</v>
      </c>
      <c r="C3839" s="1" t="s">
        <v>2387</v>
      </c>
      <c r="D3839" s="1" t="s">
        <v>746</v>
      </c>
      <c r="E3839" s="1" t="s">
        <v>747</v>
      </c>
      <c r="F3839" s="1" t="s">
        <v>748</v>
      </c>
      <c r="G3839" s="1" t="s">
        <v>2051</v>
      </c>
      <c r="H3839">
        <v>2021</v>
      </c>
      <c r="I3839">
        <v>2022</v>
      </c>
      <c r="J3839">
        <f t="shared" si="118"/>
        <v>2</v>
      </c>
      <c r="K3839" s="1" t="s">
        <v>741</v>
      </c>
      <c r="L3839" s="1" t="s">
        <v>798</v>
      </c>
      <c r="M3839">
        <f t="shared" si="119"/>
        <v>4</v>
      </c>
      <c r="N3839" t="s">
        <v>650</v>
      </c>
    </row>
    <row r="3840" spans="1:14" hidden="1" x14ac:dyDescent="0.3">
      <c r="A3840" s="1" t="s">
        <v>2388</v>
      </c>
      <c r="B3840" s="1" t="s">
        <v>795</v>
      </c>
      <c r="C3840" s="1" t="s">
        <v>2389</v>
      </c>
      <c r="D3840" s="1" t="s">
        <v>746</v>
      </c>
      <c r="E3840" s="1" t="s">
        <v>747</v>
      </c>
      <c r="F3840" s="1" t="s">
        <v>748</v>
      </c>
      <c r="G3840" s="1" t="s">
        <v>2051</v>
      </c>
      <c r="H3840">
        <v>2015</v>
      </c>
      <c r="I3840">
        <v>2015</v>
      </c>
      <c r="J3840">
        <f t="shared" si="118"/>
        <v>1</v>
      </c>
      <c r="K3840" s="1" t="s">
        <v>741</v>
      </c>
      <c r="L3840" s="1" t="s">
        <v>798</v>
      </c>
      <c r="M3840">
        <f t="shared" si="119"/>
        <v>11</v>
      </c>
      <c r="N3840" t="s">
        <v>650</v>
      </c>
    </row>
    <row r="3841" spans="1:14" hidden="1" x14ac:dyDescent="0.3">
      <c r="A3841" s="1" t="s">
        <v>2390</v>
      </c>
      <c r="B3841" s="1" t="s">
        <v>795</v>
      </c>
      <c r="C3841" s="1" t="s">
        <v>2391</v>
      </c>
      <c r="D3841" s="1" t="s">
        <v>746</v>
      </c>
      <c r="E3841" s="1" t="s">
        <v>747</v>
      </c>
      <c r="F3841" s="1" t="s">
        <v>748</v>
      </c>
      <c r="G3841" s="1" t="s">
        <v>2051</v>
      </c>
      <c r="H3841">
        <v>2014</v>
      </c>
      <c r="I3841">
        <v>2014</v>
      </c>
      <c r="J3841">
        <f t="shared" si="118"/>
        <v>1</v>
      </c>
      <c r="K3841" s="1" t="s">
        <v>741</v>
      </c>
      <c r="L3841" s="1" t="s">
        <v>798</v>
      </c>
      <c r="M3841">
        <f t="shared" si="119"/>
        <v>12</v>
      </c>
      <c r="N3841" t="s">
        <v>650</v>
      </c>
    </row>
    <row r="3842" spans="1:14" hidden="1" x14ac:dyDescent="0.3">
      <c r="A3842" s="1" t="s">
        <v>2392</v>
      </c>
      <c r="B3842" s="1" t="s">
        <v>795</v>
      </c>
      <c r="C3842" s="1" t="s">
        <v>2393</v>
      </c>
      <c r="D3842" s="1" t="s">
        <v>738</v>
      </c>
      <c r="E3842" s="1" t="s">
        <v>739</v>
      </c>
      <c r="F3842" s="1" t="s">
        <v>781</v>
      </c>
      <c r="G3842" s="1" t="s">
        <v>2051</v>
      </c>
      <c r="H3842">
        <v>2021</v>
      </c>
      <c r="I3842">
        <v>2022</v>
      </c>
      <c r="J3842">
        <f t="shared" si="118"/>
        <v>2</v>
      </c>
      <c r="K3842" s="1" t="s">
        <v>741</v>
      </c>
      <c r="L3842" s="1" t="s">
        <v>798</v>
      </c>
      <c r="M3842">
        <f t="shared" si="119"/>
        <v>4</v>
      </c>
      <c r="N3842" t="s">
        <v>650</v>
      </c>
    </row>
    <row r="3843" spans="1:14" hidden="1" x14ac:dyDescent="0.3">
      <c r="A3843" s="1" t="s">
        <v>2394</v>
      </c>
      <c r="B3843" s="1" t="s">
        <v>795</v>
      </c>
      <c r="C3843" s="1" t="s">
        <v>2395</v>
      </c>
      <c r="D3843" s="1" t="s">
        <v>738</v>
      </c>
      <c r="E3843" s="1" t="s">
        <v>739</v>
      </c>
      <c r="F3843" s="1" t="s">
        <v>781</v>
      </c>
      <c r="G3843" s="1" t="s">
        <v>2051</v>
      </c>
      <c r="H3843">
        <v>2020</v>
      </c>
      <c r="I3843">
        <v>2022</v>
      </c>
      <c r="J3843">
        <f t="shared" si="118"/>
        <v>3</v>
      </c>
      <c r="K3843" s="1" t="s">
        <v>741</v>
      </c>
      <c r="L3843" s="1" t="s">
        <v>798</v>
      </c>
      <c r="M3843">
        <f t="shared" si="119"/>
        <v>4</v>
      </c>
      <c r="N3843" t="s">
        <v>650</v>
      </c>
    </row>
    <row r="3844" spans="1:14" hidden="1" x14ac:dyDescent="0.3">
      <c r="A3844" t="s">
        <v>11091</v>
      </c>
      <c r="B3844" t="s">
        <v>795</v>
      </c>
      <c r="C3844" t="s">
        <v>11092</v>
      </c>
      <c r="E3844" s="1" t="e">
        <v>#N/A</v>
      </c>
      <c r="F3844" s="1" t="e">
        <v>#N/A</v>
      </c>
      <c r="G3844" s="1" t="s">
        <v>2051</v>
      </c>
      <c r="H3844">
        <v>2025</v>
      </c>
      <c r="I3844">
        <v>2026</v>
      </c>
      <c r="J3844">
        <f t="shared" si="118"/>
        <v>2</v>
      </c>
      <c r="K3844" s="1" t="s">
        <v>741</v>
      </c>
      <c r="L3844" s="1" t="s">
        <v>798</v>
      </c>
      <c r="M3844">
        <f t="shared" si="119"/>
        <v>0</v>
      </c>
    </row>
    <row r="3845" spans="1:14" hidden="1" x14ac:dyDescent="0.3">
      <c r="A3845" s="1" t="s">
        <v>2396</v>
      </c>
      <c r="B3845" s="1" t="s">
        <v>795</v>
      </c>
      <c r="C3845" s="1" t="s">
        <v>2397</v>
      </c>
      <c r="D3845" s="1" t="s">
        <v>738</v>
      </c>
      <c r="E3845" s="1" t="s">
        <v>739</v>
      </c>
      <c r="F3845" s="1" t="s">
        <v>781</v>
      </c>
      <c r="G3845" s="1" t="s">
        <v>2051</v>
      </c>
      <c r="H3845">
        <v>2020</v>
      </c>
      <c r="I3845">
        <v>2022</v>
      </c>
      <c r="J3845">
        <f t="shared" si="118"/>
        <v>3</v>
      </c>
      <c r="K3845" s="1" t="s">
        <v>741</v>
      </c>
      <c r="L3845" s="1" t="s">
        <v>798</v>
      </c>
      <c r="M3845">
        <f t="shared" si="119"/>
        <v>4</v>
      </c>
      <c r="N3845" t="s">
        <v>650</v>
      </c>
    </row>
    <row r="3846" spans="1:14" hidden="1" x14ac:dyDescent="0.3">
      <c r="A3846" t="s">
        <v>11093</v>
      </c>
      <c r="B3846" t="s">
        <v>795</v>
      </c>
      <c r="C3846" t="s">
        <v>11094</v>
      </c>
      <c r="E3846" s="1" t="e">
        <v>#N/A</v>
      </c>
      <c r="F3846" s="1" t="e">
        <v>#N/A</v>
      </c>
      <c r="G3846" s="1" t="s">
        <v>2051</v>
      </c>
      <c r="H3846">
        <v>2025</v>
      </c>
      <c r="I3846">
        <v>2026</v>
      </c>
      <c r="J3846">
        <f t="shared" ref="J3846:J3909" si="120">1+(I3846-H3846)</f>
        <v>2</v>
      </c>
      <c r="K3846" s="1" t="s">
        <v>741</v>
      </c>
      <c r="L3846" s="1" t="s">
        <v>798</v>
      </c>
      <c r="M3846">
        <f t="shared" ref="M3846:M3909" si="121">IF(I3846=0,0,$B$2-I3846)</f>
        <v>0</v>
      </c>
    </row>
    <row r="3847" spans="1:14" hidden="1" x14ac:dyDescent="0.3">
      <c r="A3847" s="1" t="s">
        <v>2398</v>
      </c>
      <c r="B3847" s="1" t="s">
        <v>795</v>
      </c>
      <c r="C3847" s="1" t="s">
        <v>2399</v>
      </c>
      <c r="D3847" s="1" t="s">
        <v>738</v>
      </c>
      <c r="E3847" s="1" t="s">
        <v>739</v>
      </c>
      <c r="F3847" s="1" t="s">
        <v>781</v>
      </c>
      <c r="G3847" s="1" t="s">
        <v>2051</v>
      </c>
      <c r="H3847">
        <v>2020</v>
      </c>
      <c r="I3847">
        <v>2022</v>
      </c>
      <c r="J3847">
        <f t="shared" si="120"/>
        <v>3</v>
      </c>
      <c r="K3847" s="1" t="s">
        <v>741</v>
      </c>
      <c r="L3847" s="1" t="s">
        <v>798</v>
      </c>
      <c r="M3847">
        <f t="shared" si="121"/>
        <v>4</v>
      </c>
      <c r="N3847" t="s">
        <v>650</v>
      </c>
    </row>
    <row r="3848" spans="1:14" hidden="1" x14ac:dyDescent="0.3">
      <c r="A3848" s="1" t="s">
        <v>2400</v>
      </c>
      <c r="B3848" s="1" t="s">
        <v>795</v>
      </c>
      <c r="C3848" s="1" t="s">
        <v>2401</v>
      </c>
      <c r="D3848" s="1" t="s">
        <v>738</v>
      </c>
      <c r="E3848" s="1" t="s">
        <v>739</v>
      </c>
      <c r="F3848" s="1" t="s">
        <v>781</v>
      </c>
      <c r="G3848" s="1" t="s">
        <v>2051</v>
      </c>
      <c r="H3848">
        <v>2020</v>
      </c>
      <c r="I3848">
        <v>2022</v>
      </c>
      <c r="J3848">
        <f t="shared" si="120"/>
        <v>3</v>
      </c>
      <c r="K3848" s="1" t="s">
        <v>741</v>
      </c>
      <c r="L3848" s="1" t="s">
        <v>798</v>
      </c>
      <c r="M3848">
        <f t="shared" si="121"/>
        <v>4</v>
      </c>
      <c r="N3848" t="s">
        <v>650</v>
      </c>
    </row>
    <row r="3849" spans="1:14" hidden="1" x14ac:dyDescent="0.3">
      <c r="A3849" s="1" t="s">
        <v>2402</v>
      </c>
      <c r="B3849" s="1" t="s">
        <v>795</v>
      </c>
      <c r="C3849" s="1" t="s">
        <v>2403</v>
      </c>
      <c r="D3849" s="1" t="s">
        <v>738</v>
      </c>
      <c r="E3849" s="1" t="s">
        <v>739</v>
      </c>
      <c r="F3849" s="1" t="s">
        <v>781</v>
      </c>
      <c r="G3849" s="1" t="s">
        <v>2051</v>
      </c>
      <c r="H3849">
        <v>2020</v>
      </c>
      <c r="I3849">
        <v>2022</v>
      </c>
      <c r="J3849">
        <f t="shared" si="120"/>
        <v>3</v>
      </c>
      <c r="K3849" s="1" t="s">
        <v>741</v>
      </c>
      <c r="L3849" s="1" t="s">
        <v>798</v>
      </c>
      <c r="M3849">
        <f t="shared" si="121"/>
        <v>4</v>
      </c>
      <c r="N3849" t="s">
        <v>650</v>
      </c>
    </row>
    <row r="3850" spans="1:14" hidden="1" x14ac:dyDescent="0.3">
      <c r="A3850" s="1" t="s">
        <v>2404</v>
      </c>
      <c r="B3850" s="1" t="s">
        <v>795</v>
      </c>
      <c r="C3850" s="1" t="s">
        <v>2405</v>
      </c>
      <c r="D3850" s="1" t="s">
        <v>738</v>
      </c>
      <c r="E3850" s="1" t="s">
        <v>739</v>
      </c>
      <c r="F3850" s="1" t="s">
        <v>781</v>
      </c>
      <c r="G3850" s="1" t="s">
        <v>2051</v>
      </c>
      <c r="H3850">
        <v>2020</v>
      </c>
      <c r="I3850">
        <v>2022</v>
      </c>
      <c r="J3850">
        <f t="shared" si="120"/>
        <v>3</v>
      </c>
      <c r="K3850" s="1" t="s">
        <v>741</v>
      </c>
      <c r="L3850" s="1" t="s">
        <v>798</v>
      </c>
      <c r="M3850">
        <f t="shared" si="121"/>
        <v>4</v>
      </c>
      <c r="N3850" t="s">
        <v>650</v>
      </c>
    </row>
    <row r="3851" spans="1:14" hidden="1" x14ac:dyDescent="0.3">
      <c r="A3851" s="1" t="s">
        <v>2406</v>
      </c>
      <c r="B3851" s="1" t="s">
        <v>795</v>
      </c>
      <c r="C3851" s="1" t="s">
        <v>2407</v>
      </c>
      <c r="D3851" s="1" t="s">
        <v>738</v>
      </c>
      <c r="E3851" s="1" t="s">
        <v>739</v>
      </c>
      <c r="F3851" s="1" t="s">
        <v>781</v>
      </c>
      <c r="G3851" s="1" t="s">
        <v>2051</v>
      </c>
      <c r="H3851">
        <v>2020</v>
      </c>
      <c r="I3851">
        <v>2022</v>
      </c>
      <c r="J3851">
        <f t="shared" si="120"/>
        <v>3</v>
      </c>
      <c r="K3851" s="1" t="s">
        <v>741</v>
      </c>
      <c r="L3851" s="1" t="s">
        <v>798</v>
      </c>
      <c r="M3851">
        <f t="shared" si="121"/>
        <v>4</v>
      </c>
      <c r="N3851" t="s">
        <v>650</v>
      </c>
    </row>
    <row r="3852" spans="1:14" x14ac:dyDescent="0.3">
      <c r="A3852" s="1" t="s">
        <v>9140</v>
      </c>
      <c r="B3852" s="1" t="s">
        <v>795</v>
      </c>
      <c r="C3852" s="1" t="s">
        <v>9141</v>
      </c>
      <c r="D3852" s="1" t="s">
        <v>738</v>
      </c>
      <c r="E3852" s="1" t="s">
        <v>6076</v>
      </c>
      <c r="F3852" s="1" t="s">
        <v>6076</v>
      </c>
      <c r="G3852" s="1" t="s">
        <v>9142</v>
      </c>
      <c r="H3852">
        <v>1985</v>
      </c>
      <c r="I3852">
        <v>1992</v>
      </c>
      <c r="J3852">
        <f t="shared" si="120"/>
        <v>8</v>
      </c>
      <c r="K3852" s="1" t="s">
        <v>6076</v>
      </c>
      <c r="L3852" s="1" t="s">
        <v>6076</v>
      </c>
      <c r="M3852">
        <f t="shared" si="121"/>
        <v>34</v>
      </c>
      <c r="N3852" t="s">
        <v>640</v>
      </c>
    </row>
    <row r="3853" spans="1:14" x14ac:dyDescent="0.3">
      <c r="A3853" s="1" t="s">
        <v>9143</v>
      </c>
      <c r="B3853" s="1" t="s">
        <v>795</v>
      </c>
      <c r="C3853" s="1" t="s">
        <v>9144</v>
      </c>
      <c r="D3853" s="1" t="s">
        <v>738</v>
      </c>
      <c r="E3853" s="1" t="s">
        <v>6076</v>
      </c>
      <c r="F3853" s="1" t="s">
        <v>6076</v>
      </c>
      <c r="G3853" s="1" t="s">
        <v>9142</v>
      </c>
      <c r="H3853">
        <v>1985</v>
      </c>
      <c r="I3853">
        <v>1992</v>
      </c>
      <c r="J3853">
        <f t="shared" si="120"/>
        <v>8</v>
      </c>
      <c r="K3853" s="1" t="s">
        <v>6076</v>
      </c>
      <c r="L3853" s="1" t="s">
        <v>6076</v>
      </c>
      <c r="M3853">
        <f t="shared" si="121"/>
        <v>34</v>
      </c>
      <c r="N3853" t="s">
        <v>640</v>
      </c>
    </row>
    <row r="3854" spans="1:14" x14ac:dyDescent="0.3">
      <c r="A3854" s="1" t="s">
        <v>9145</v>
      </c>
      <c r="B3854" s="1" t="s">
        <v>795</v>
      </c>
      <c r="C3854" s="1" t="s">
        <v>9146</v>
      </c>
      <c r="D3854" s="1" t="s">
        <v>738</v>
      </c>
      <c r="E3854" s="1" t="s">
        <v>6076</v>
      </c>
      <c r="F3854" s="1" t="s">
        <v>6076</v>
      </c>
      <c r="G3854" s="1" t="s">
        <v>9142</v>
      </c>
      <c r="H3854">
        <v>1985</v>
      </c>
      <c r="I3854">
        <v>1992</v>
      </c>
      <c r="J3854">
        <f t="shared" si="120"/>
        <v>8</v>
      </c>
      <c r="K3854" s="1" t="s">
        <v>6076</v>
      </c>
      <c r="L3854" s="1" t="s">
        <v>6076</v>
      </c>
      <c r="M3854">
        <f t="shared" si="121"/>
        <v>34</v>
      </c>
      <c r="N3854" t="s">
        <v>640</v>
      </c>
    </row>
    <row r="3855" spans="1:14" x14ac:dyDescent="0.3">
      <c r="A3855" s="1" t="s">
        <v>9147</v>
      </c>
      <c r="B3855" s="1" t="s">
        <v>2667</v>
      </c>
      <c r="C3855" s="1" t="s">
        <v>9148</v>
      </c>
      <c r="D3855" s="1" t="s">
        <v>738</v>
      </c>
      <c r="E3855" s="1" t="s">
        <v>6076</v>
      </c>
      <c r="F3855" s="1" t="s">
        <v>6076</v>
      </c>
      <c r="G3855" s="1" t="s">
        <v>9149</v>
      </c>
      <c r="H3855">
        <v>2004</v>
      </c>
      <c r="I3855">
        <v>2007</v>
      </c>
      <c r="J3855">
        <f t="shared" si="120"/>
        <v>4</v>
      </c>
      <c r="K3855" s="1" t="s">
        <v>6076</v>
      </c>
      <c r="L3855" s="1" t="s">
        <v>6076</v>
      </c>
      <c r="M3855">
        <f t="shared" si="121"/>
        <v>19</v>
      </c>
      <c r="N3855" t="s">
        <v>640</v>
      </c>
    </row>
    <row r="3856" spans="1:14" x14ac:dyDescent="0.3">
      <c r="A3856" s="1" t="s">
        <v>9150</v>
      </c>
      <c r="B3856" s="1" t="s">
        <v>2667</v>
      </c>
      <c r="C3856" s="1" t="s">
        <v>9151</v>
      </c>
      <c r="D3856" s="1" t="s">
        <v>738</v>
      </c>
      <c r="E3856" s="1" t="s">
        <v>6076</v>
      </c>
      <c r="F3856" s="1" t="s">
        <v>6076</v>
      </c>
      <c r="G3856" s="1" t="s">
        <v>9149</v>
      </c>
      <c r="H3856">
        <v>2008</v>
      </c>
      <c r="I3856">
        <v>2009</v>
      </c>
      <c r="J3856">
        <f t="shared" si="120"/>
        <v>2</v>
      </c>
      <c r="K3856" s="1" t="s">
        <v>6076</v>
      </c>
      <c r="L3856" s="1" t="s">
        <v>6076</v>
      </c>
      <c r="M3856">
        <f t="shared" si="121"/>
        <v>17</v>
      </c>
      <c r="N3856" t="s">
        <v>640</v>
      </c>
    </row>
    <row r="3857" spans="1:14" x14ac:dyDescent="0.3">
      <c r="A3857" s="1" t="s">
        <v>9152</v>
      </c>
      <c r="B3857" s="1" t="s">
        <v>2667</v>
      </c>
      <c r="C3857" s="1" t="s">
        <v>9153</v>
      </c>
      <c r="D3857" s="1" t="s">
        <v>738</v>
      </c>
      <c r="E3857" s="1" t="s">
        <v>6076</v>
      </c>
      <c r="F3857" s="1" t="s">
        <v>6076</v>
      </c>
      <c r="G3857" s="1" t="s">
        <v>9154</v>
      </c>
      <c r="H3857">
        <v>2014</v>
      </c>
      <c r="I3857">
        <v>2016</v>
      </c>
      <c r="J3857">
        <f t="shared" si="120"/>
        <v>3</v>
      </c>
      <c r="K3857" s="1" t="s">
        <v>6076</v>
      </c>
      <c r="L3857" s="1" t="s">
        <v>6076</v>
      </c>
      <c r="M3857">
        <f t="shared" si="121"/>
        <v>10</v>
      </c>
      <c r="N3857" t="s">
        <v>650</v>
      </c>
    </row>
    <row r="3858" spans="1:14" x14ac:dyDescent="0.3">
      <c r="A3858" s="1" t="s">
        <v>9155</v>
      </c>
      <c r="B3858" s="1" t="s">
        <v>2667</v>
      </c>
      <c r="C3858" s="1" t="s">
        <v>9156</v>
      </c>
      <c r="D3858" s="1" t="s">
        <v>738</v>
      </c>
      <c r="E3858" s="1" t="s">
        <v>6076</v>
      </c>
      <c r="F3858" s="1" t="s">
        <v>6076</v>
      </c>
      <c r="G3858" s="1" t="s">
        <v>9154</v>
      </c>
      <c r="H3858">
        <v>2013</v>
      </c>
      <c r="I3858">
        <v>2022</v>
      </c>
      <c r="J3858">
        <f t="shared" si="120"/>
        <v>10</v>
      </c>
      <c r="K3858" s="1" t="s">
        <v>6076</v>
      </c>
      <c r="L3858" s="1" t="s">
        <v>6076</v>
      </c>
      <c r="M3858">
        <f t="shared" si="121"/>
        <v>4</v>
      </c>
      <c r="N3858" t="s">
        <v>650</v>
      </c>
    </row>
    <row r="3859" spans="1:14" x14ac:dyDescent="0.3">
      <c r="A3859" t="s">
        <v>11540</v>
      </c>
      <c r="B3859" t="s">
        <v>10999</v>
      </c>
      <c r="C3859" t="s">
        <v>11541</v>
      </c>
      <c r="E3859" s="1" t="s">
        <v>6076</v>
      </c>
      <c r="F3859" s="1" t="s">
        <v>6076</v>
      </c>
      <c r="G3859" s="1" t="s">
        <v>12832</v>
      </c>
      <c r="H3859">
        <v>2025</v>
      </c>
      <c r="I3859">
        <v>2026</v>
      </c>
      <c r="J3859">
        <f t="shared" si="120"/>
        <v>2</v>
      </c>
      <c r="K3859" s="1" t="s">
        <v>6076</v>
      </c>
      <c r="L3859" s="1" t="s">
        <v>6076</v>
      </c>
      <c r="M3859">
        <f t="shared" si="121"/>
        <v>0</v>
      </c>
    </row>
    <row r="3860" spans="1:14" x14ac:dyDescent="0.3">
      <c r="A3860" t="s">
        <v>11542</v>
      </c>
      <c r="B3860" t="s">
        <v>10999</v>
      </c>
      <c r="C3860" t="s">
        <v>11543</v>
      </c>
      <c r="E3860" s="1" t="s">
        <v>6076</v>
      </c>
      <c r="F3860" s="1" t="s">
        <v>6076</v>
      </c>
      <c r="G3860" s="1" t="s">
        <v>12832</v>
      </c>
      <c r="H3860">
        <v>2024</v>
      </c>
      <c r="I3860">
        <v>2026</v>
      </c>
      <c r="J3860">
        <f t="shared" si="120"/>
        <v>3</v>
      </c>
      <c r="K3860" s="1" t="s">
        <v>6076</v>
      </c>
      <c r="L3860" s="1" t="s">
        <v>6076</v>
      </c>
      <c r="M3860">
        <f t="shared" si="121"/>
        <v>0</v>
      </c>
    </row>
    <row r="3861" spans="1:14" x14ac:dyDescent="0.3">
      <c r="A3861" t="s">
        <v>11544</v>
      </c>
      <c r="B3861" t="s">
        <v>10999</v>
      </c>
      <c r="C3861" t="s">
        <v>11545</v>
      </c>
      <c r="E3861" s="1" t="s">
        <v>6076</v>
      </c>
      <c r="F3861" s="1" t="s">
        <v>6076</v>
      </c>
      <c r="G3861" s="1" t="s">
        <v>12832</v>
      </c>
      <c r="H3861">
        <v>2023</v>
      </c>
      <c r="I3861">
        <v>2026</v>
      </c>
      <c r="J3861">
        <f t="shared" si="120"/>
        <v>4</v>
      </c>
      <c r="K3861" s="1" t="s">
        <v>6076</v>
      </c>
      <c r="L3861" s="1" t="s">
        <v>6076</v>
      </c>
      <c r="M3861">
        <f t="shared" si="121"/>
        <v>0</v>
      </c>
    </row>
    <row r="3862" spans="1:14" hidden="1" x14ac:dyDescent="0.3">
      <c r="A3862" t="s">
        <v>12297</v>
      </c>
      <c r="B3862" t="s">
        <v>12756</v>
      </c>
      <c r="C3862" t="s">
        <v>12298</v>
      </c>
      <c r="E3862" s="1" t="e">
        <v>#N/A</v>
      </c>
      <c r="F3862" s="1" t="e">
        <v>#N/A</v>
      </c>
      <c r="G3862" s="1" t="s">
        <v>12252</v>
      </c>
      <c r="H3862">
        <v>2025</v>
      </c>
      <c r="I3862">
        <v>2026</v>
      </c>
      <c r="J3862">
        <f t="shared" si="120"/>
        <v>2</v>
      </c>
      <c r="K3862" s="1" t="s">
        <v>3665</v>
      </c>
      <c r="L3862" s="1" t="s">
        <v>666</v>
      </c>
      <c r="M3862">
        <f t="shared" si="121"/>
        <v>0</v>
      </c>
    </row>
    <row r="3863" spans="1:14" hidden="1" x14ac:dyDescent="0.3">
      <c r="A3863" t="s">
        <v>12299</v>
      </c>
      <c r="B3863" t="s">
        <v>12756</v>
      </c>
      <c r="C3863" t="s">
        <v>12300</v>
      </c>
      <c r="E3863" s="1" t="e">
        <v>#N/A</v>
      </c>
      <c r="F3863" s="1" t="e">
        <v>#N/A</v>
      </c>
      <c r="G3863" s="1" t="s">
        <v>12252</v>
      </c>
      <c r="H3863">
        <v>2023</v>
      </c>
      <c r="I3863">
        <v>2026</v>
      </c>
      <c r="J3863">
        <f t="shared" si="120"/>
        <v>4</v>
      </c>
      <c r="K3863" s="1" t="s">
        <v>3665</v>
      </c>
      <c r="L3863" s="1" t="s">
        <v>666</v>
      </c>
      <c r="M3863">
        <f t="shared" si="121"/>
        <v>0</v>
      </c>
    </row>
    <row r="3864" spans="1:14" hidden="1" x14ac:dyDescent="0.3">
      <c r="A3864" t="s">
        <v>12301</v>
      </c>
      <c r="B3864" t="s">
        <v>12756</v>
      </c>
      <c r="C3864" t="s">
        <v>12302</v>
      </c>
      <c r="E3864" s="1" t="e">
        <v>#N/A</v>
      </c>
      <c r="F3864" s="1" t="e">
        <v>#N/A</v>
      </c>
      <c r="G3864" s="1" t="s">
        <v>12252</v>
      </c>
      <c r="H3864">
        <v>2023</v>
      </c>
      <c r="I3864">
        <v>2026</v>
      </c>
      <c r="J3864">
        <f t="shared" si="120"/>
        <v>4</v>
      </c>
      <c r="K3864" s="1" t="s">
        <v>3665</v>
      </c>
      <c r="L3864" s="1" t="s">
        <v>666</v>
      </c>
      <c r="M3864">
        <f t="shared" si="121"/>
        <v>0</v>
      </c>
    </row>
    <row r="3865" spans="1:14" hidden="1" x14ac:dyDescent="0.3">
      <c r="A3865" t="s">
        <v>12303</v>
      </c>
      <c r="B3865" t="s">
        <v>12756</v>
      </c>
      <c r="C3865" t="s">
        <v>12304</v>
      </c>
      <c r="E3865" s="1" t="e">
        <v>#N/A</v>
      </c>
      <c r="F3865" s="1" t="e">
        <v>#N/A</v>
      </c>
      <c r="G3865" s="1" t="s">
        <v>12252</v>
      </c>
      <c r="H3865">
        <v>2023</v>
      </c>
      <c r="I3865">
        <v>2026</v>
      </c>
      <c r="J3865">
        <f t="shared" si="120"/>
        <v>4</v>
      </c>
      <c r="K3865" s="1" t="s">
        <v>3665</v>
      </c>
      <c r="L3865" s="1" t="s">
        <v>666</v>
      </c>
      <c r="M3865">
        <f t="shared" si="121"/>
        <v>0</v>
      </c>
    </row>
    <row r="3866" spans="1:14" x14ac:dyDescent="0.3">
      <c r="A3866" s="1" t="s">
        <v>9157</v>
      </c>
      <c r="B3866" s="1" t="s">
        <v>7986</v>
      </c>
      <c r="C3866" s="1" t="s">
        <v>9158</v>
      </c>
      <c r="D3866" s="1" t="s">
        <v>738</v>
      </c>
      <c r="E3866" s="1" t="s">
        <v>6076</v>
      </c>
      <c r="F3866" s="1" t="s">
        <v>6076</v>
      </c>
      <c r="G3866" s="1" t="s">
        <v>9159</v>
      </c>
      <c r="H3866">
        <v>1997</v>
      </c>
      <c r="I3866">
        <v>2006</v>
      </c>
      <c r="J3866">
        <f t="shared" si="120"/>
        <v>10</v>
      </c>
      <c r="K3866" s="1" t="s">
        <v>6076</v>
      </c>
      <c r="L3866" s="1" t="s">
        <v>6076</v>
      </c>
      <c r="M3866">
        <f t="shared" si="121"/>
        <v>20</v>
      </c>
    </row>
    <row r="3867" spans="1:14" x14ac:dyDescent="0.3">
      <c r="A3867" s="1" t="s">
        <v>9160</v>
      </c>
      <c r="B3867" s="1" t="s">
        <v>7986</v>
      </c>
      <c r="C3867" s="1" t="s">
        <v>9161</v>
      </c>
      <c r="D3867" s="1" t="s">
        <v>738</v>
      </c>
      <c r="E3867" s="1" t="s">
        <v>6076</v>
      </c>
      <c r="F3867" s="1" t="s">
        <v>6076</v>
      </c>
      <c r="G3867" s="1" t="s">
        <v>9159</v>
      </c>
      <c r="H3867">
        <v>1997</v>
      </c>
      <c r="I3867">
        <v>2000</v>
      </c>
      <c r="J3867">
        <f t="shared" si="120"/>
        <v>4</v>
      </c>
      <c r="K3867" s="1" t="s">
        <v>6076</v>
      </c>
      <c r="L3867" s="1" t="s">
        <v>6076</v>
      </c>
      <c r="M3867">
        <f t="shared" si="121"/>
        <v>26</v>
      </c>
    </row>
    <row r="3868" spans="1:14" x14ac:dyDescent="0.3">
      <c r="A3868" s="1" t="s">
        <v>9162</v>
      </c>
      <c r="B3868" s="1" t="s">
        <v>7986</v>
      </c>
      <c r="C3868" s="1" t="s">
        <v>9163</v>
      </c>
      <c r="D3868" s="1" t="s">
        <v>738</v>
      </c>
      <c r="E3868" s="1" t="s">
        <v>6076</v>
      </c>
      <c r="F3868" s="1" t="s">
        <v>6076</v>
      </c>
      <c r="G3868" s="1" t="s">
        <v>9159</v>
      </c>
      <c r="H3868">
        <v>2004</v>
      </c>
      <c r="I3868">
        <v>2009</v>
      </c>
      <c r="J3868">
        <f t="shared" si="120"/>
        <v>6</v>
      </c>
      <c r="K3868" s="1" t="s">
        <v>6076</v>
      </c>
      <c r="L3868" s="1" t="s">
        <v>6076</v>
      </c>
      <c r="M3868">
        <f t="shared" si="121"/>
        <v>17</v>
      </c>
    </row>
    <row r="3869" spans="1:14" x14ac:dyDescent="0.3">
      <c r="A3869" s="1" t="s">
        <v>9164</v>
      </c>
      <c r="B3869" s="1" t="s">
        <v>7986</v>
      </c>
      <c r="C3869" s="1" t="s">
        <v>9165</v>
      </c>
      <c r="D3869" s="1" t="s">
        <v>738</v>
      </c>
      <c r="E3869" s="1" t="s">
        <v>6076</v>
      </c>
      <c r="F3869" s="1" t="s">
        <v>6076</v>
      </c>
      <c r="G3869" s="1" t="s">
        <v>9159</v>
      </c>
      <c r="H3869">
        <v>2010</v>
      </c>
      <c r="I3869">
        <v>2022</v>
      </c>
      <c r="J3869">
        <f t="shared" si="120"/>
        <v>13</v>
      </c>
      <c r="K3869" s="1" t="s">
        <v>6076</v>
      </c>
      <c r="L3869" s="1" t="s">
        <v>6076</v>
      </c>
      <c r="M3869">
        <f t="shared" si="121"/>
        <v>4</v>
      </c>
    </row>
    <row r="3870" spans="1:14" hidden="1" x14ac:dyDescent="0.3">
      <c r="A3870" s="1" t="s">
        <v>5404</v>
      </c>
      <c r="B3870" s="1" t="s">
        <v>4561</v>
      </c>
      <c r="C3870" s="1" t="s">
        <v>5405</v>
      </c>
      <c r="D3870" s="1" t="s">
        <v>1395</v>
      </c>
      <c r="E3870" s="1" t="s">
        <v>3905</v>
      </c>
      <c r="F3870" s="1" t="s">
        <v>3906</v>
      </c>
      <c r="G3870" s="1" t="s">
        <v>5406</v>
      </c>
      <c r="H3870">
        <v>2012</v>
      </c>
      <c r="I3870">
        <v>2018</v>
      </c>
      <c r="J3870">
        <f t="shared" si="120"/>
        <v>7</v>
      </c>
      <c r="K3870" s="1" t="s">
        <v>4668</v>
      </c>
      <c r="L3870" s="1" t="s">
        <v>649</v>
      </c>
      <c r="M3870">
        <f t="shared" si="121"/>
        <v>8</v>
      </c>
      <c r="N3870" t="s">
        <v>650</v>
      </c>
    </row>
    <row r="3871" spans="1:14" hidden="1" x14ac:dyDescent="0.3">
      <c r="A3871" s="1" t="s">
        <v>5407</v>
      </c>
      <c r="B3871" s="1" t="s">
        <v>4561</v>
      </c>
      <c r="C3871" s="1" t="s">
        <v>5408</v>
      </c>
      <c r="D3871" s="1" t="s">
        <v>1395</v>
      </c>
      <c r="E3871" s="1" t="s">
        <v>3905</v>
      </c>
      <c r="F3871" s="1" t="s">
        <v>3906</v>
      </c>
      <c r="G3871" s="1" t="s">
        <v>5406</v>
      </c>
      <c r="H3871">
        <v>2016</v>
      </c>
      <c r="I3871">
        <v>2018</v>
      </c>
      <c r="J3871">
        <f t="shared" si="120"/>
        <v>3</v>
      </c>
      <c r="K3871" s="1" t="s">
        <v>4668</v>
      </c>
      <c r="L3871" s="1" t="s">
        <v>649</v>
      </c>
      <c r="M3871">
        <f t="shared" si="121"/>
        <v>8</v>
      </c>
      <c r="N3871" t="s">
        <v>650</v>
      </c>
    </row>
    <row r="3872" spans="1:14" hidden="1" x14ac:dyDescent="0.3">
      <c r="A3872" s="1" t="s">
        <v>5409</v>
      </c>
      <c r="B3872" s="1" t="s">
        <v>4561</v>
      </c>
      <c r="C3872" s="1" t="s">
        <v>5410</v>
      </c>
      <c r="D3872" s="1" t="s">
        <v>1395</v>
      </c>
      <c r="E3872" s="1" t="s">
        <v>3905</v>
      </c>
      <c r="F3872" s="1" t="s">
        <v>3906</v>
      </c>
      <c r="G3872" s="1" t="s">
        <v>5406</v>
      </c>
      <c r="H3872">
        <v>2009</v>
      </c>
      <c r="I3872">
        <v>2011</v>
      </c>
      <c r="J3872">
        <f t="shared" si="120"/>
        <v>3</v>
      </c>
      <c r="K3872" s="1" t="s">
        <v>4668</v>
      </c>
      <c r="L3872" s="1" t="s">
        <v>649</v>
      </c>
      <c r="M3872">
        <f t="shared" si="121"/>
        <v>15</v>
      </c>
      <c r="N3872" t="s">
        <v>650</v>
      </c>
    </row>
    <row r="3873" spans="1:14" hidden="1" x14ac:dyDescent="0.3">
      <c r="A3873" s="1" t="s">
        <v>5411</v>
      </c>
      <c r="B3873" s="1" t="s">
        <v>4561</v>
      </c>
      <c r="C3873" s="1" t="s">
        <v>5412</v>
      </c>
      <c r="D3873" s="1" t="s">
        <v>1395</v>
      </c>
      <c r="E3873" s="1" t="s">
        <v>3905</v>
      </c>
      <c r="F3873" s="1" t="s">
        <v>3906</v>
      </c>
      <c r="G3873" s="1" t="s">
        <v>5406</v>
      </c>
      <c r="H3873">
        <v>2008</v>
      </c>
      <c r="I3873">
        <v>2018</v>
      </c>
      <c r="J3873">
        <f t="shared" si="120"/>
        <v>11</v>
      </c>
      <c r="K3873" s="1" t="s">
        <v>4668</v>
      </c>
      <c r="L3873" s="1" t="s">
        <v>649</v>
      </c>
      <c r="M3873">
        <f t="shared" si="121"/>
        <v>8</v>
      </c>
      <c r="N3873" t="s">
        <v>650</v>
      </c>
    </row>
    <row r="3874" spans="1:14" hidden="1" x14ac:dyDescent="0.3">
      <c r="A3874" s="1" t="s">
        <v>5413</v>
      </c>
      <c r="B3874" s="1" t="s">
        <v>4561</v>
      </c>
      <c r="C3874" s="1" t="s">
        <v>5414</v>
      </c>
      <c r="D3874" s="1" t="s">
        <v>1395</v>
      </c>
      <c r="E3874" s="1" t="s">
        <v>3905</v>
      </c>
      <c r="F3874" s="1" t="s">
        <v>3906</v>
      </c>
      <c r="G3874" s="1" t="s">
        <v>5406</v>
      </c>
      <c r="H3874">
        <v>2018</v>
      </c>
      <c r="I3874">
        <v>2018</v>
      </c>
      <c r="J3874">
        <f t="shared" si="120"/>
        <v>1</v>
      </c>
      <c r="K3874" s="1" t="s">
        <v>4668</v>
      </c>
      <c r="L3874" s="1" t="s">
        <v>649</v>
      </c>
      <c r="M3874">
        <f t="shared" si="121"/>
        <v>8</v>
      </c>
      <c r="N3874" t="s">
        <v>650</v>
      </c>
    </row>
    <row r="3875" spans="1:14" hidden="1" x14ac:dyDescent="0.3">
      <c r="A3875" s="1" t="s">
        <v>5415</v>
      </c>
      <c r="B3875" s="1" t="s">
        <v>4561</v>
      </c>
      <c r="C3875" s="1" t="s">
        <v>5416</v>
      </c>
      <c r="D3875" s="1" t="s">
        <v>1395</v>
      </c>
      <c r="E3875" s="1" t="s">
        <v>3905</v>
      </c>
      <c r="F3875" s="1" t="s">
        <v>3906</v>
      </c>
      <c r="G3875" s="1" t="s">
        <v>5406</v>
      </c>
      <c r="H3875">
        <v>2019</v>
      </c>
      <c r="I3875">
        <v>2019</v>
      </c>
      <c r="J3875">
        <f t="shared" si="120"/>
        <v>1</v>
      </c>
      <c r="K3875" s="1" t="s">
        <v>4668</v>
      </c>
      <c r="L3875" s="1" t="s">
        <v>649</v>
      </c>
      <c r="M3875">
        <f t="shared" si="121"/>
        <v>7</v>
      </c>
      <c r="N3875" t="s">
        <v>650</v>
      </c>
    </row>
    <row r="3876" spans="1:14" hidden="1" x14ac:dyDescent="0.3">
      <c r="A3876" s="1" t="s">
        <v>5417</v>
      </c>
      <c r="B3876" s="1" t="s">
        <v>4561</v>
      </c>
      <c r="C3876" s="1" t="s">
        <v>5418</v>
      </c>
      <c r="D3876" s="1" t="s">
        <v>1395</v>
      </c>
      <c r="E3876" s="1" t="s">
        <v>3905</v>
      </c>
      <c r="F3876" s="1" t="s">
        <v>3906</v>
      </c>
      <c r="G3876" s="1" t="s">
        <v>5406</v>
      </c>
      <c r="H3876">
        <v>2019</v>
      </c>
      <c r="I3876">
        <v>2022</v>
      </c>
      <c r="J3876">
        <f t="shared" si="120"/>
        <v>4</v>
      </c>
      <c r="K3876" s="1" t="s">
        <v>4668</v>
      </c>
      <c r="L3876" s="1" t="s">
        <v>649</v>
      </c>
      <c r="M3876">
        <f t="shared" si="121"/>
        <v>4</v>
      </c>
      <c r="N3876" t="s">
        <v>650</v>
      </c>
    </row>
    <row r="3877" spans="1:14" hidden="1" x14ac:dyDescent="0.3">
      <c r="A3877" s="1" t="s">
        <v>5419</v>
      </c>
      <c r="B3877" s="1" t="s">
        <v>4561</v>
      </c>
      <c r="C3877" s="1" t="s">
        <v>5420</v>
      </c>
      <c r="D3877" s="1" t="s">
        <v>1395</v>
      </c>
      <c r="E3877" s="1" t="s">
        <v>3905</v>
      </c>
      <c r="F3877" s="1" t="s">
        <v>3906</v>
      </c>
      <c r="G3877" s="1" t="s">
        <v>5406</v>
      </c>
      <c r="H3877">
        <v>2019</v>
      </c>
      <c r="I3877">
        <v>2022</v>
      </c>
      <c r="J3877">
        <f t="shared" si="120"/>
        <v>4</v>
      </c>
      <c r="K3877" s="1" t="s">
        <v>4668</v>
      </c>
      <c r="L3877" s="1" t="s">
        <v>649</v>
      </c>
      <c r="M3877">
        <f t="shared" si="121"/>
        <v>4</v>
      </c>
      <c r="N3877" t="s">
        <v>650</v>
      </c>
    </row>
    <row r="3878" spans="1:14" x14ac:dyDescent="0.3">
      <c r="A3878" t="s">
        <v>12084</v>
      </c>
      <c r="B3878" t="s">
        <v>4561</v>
      </c>
      <c r="C3878" t="s">
        <v>12085</v>
      </c>
      <c r="E3878" s="1" t="s">
        <v>6076</v>
      </c>
      <c r="F3878" s="1" t="s">
        <v>6076</v>
      </c>
      <c r="G3878" s="1" t="s">
        <v>5406</v>
      </c>
      <c r="H3878">
        <v>2025</v>
      </c>
      <c r="I3878">
        <v>2026</v>
      </c>
      <c r="J3878">
        <f t="shared" si="120"/>
        <v>2</v>
      </c>
      <c r="K3878" s="1" t="s">
        <v>6076</v>
      </c>
      <c r="L3878" s="1" t="s">
        <v>6076</v>
      </c>
      <c r="M3878">
        <f t="shared" si="121"/>
        <v>0</v>
      </c>
    </row>
    <row r="3879" spans="1:14" hidden="1" x14ac:dyDescent="0.3">
      <c r="A3879" s="1" t="s">
        <v>5421</v>
      </c>
      <c r="B3879" s="1" t="s">
        <v>4561</v>
      </c>
      <c r="C3879" s="1" t="s">
        <v>5422</v>
      </c>
      <c r="D3879" s="1" t="s">
        <v>1395</v>
      </c>
      <c r="E3879" s="1" t="s">
        <v>3905</v>
      </c>
      <c r="F3879" s="1" t="s">
        <v>3906</v>
      </c>
      <c r="G3879" s="1" t="s">
        <v>5406</v>
      </c>
      <c r="H3879">
        <v>2019</v>
      </c>
      <c r="I3879">
        <v>2022</v>
      </c>
      <c r="J3879">
        <f t="shared" si="120"/>
        <v>4</v>
      </c>
      <c r="K3879" s="1" t="s">
        <v>4668</v>
      </c>
      <c r="L3879" s="1" t="s">
        <v>649</v>
      </c>
      <c r="M3879">
        <f t="shared" si="121"/>
        <v>4</v>
      </c>
      <c r="N3879" t="s">
        <v>650</v>
      </c>
    </row>
    <row r="3880" spans="1:14" hidden="1" x14ac:dyDescent="0.3">
      <c r="A3880" s="1" t="s">
        <v>5423</v>
      </c>
      <c r="B3880" s="1" t="s">
        <v>4561</v>
      </c>
      <c r="C3880" s="1" t="s">
        <v>5424</v>
      </c>
      <c r="D3880" s="1" t="s">
        <v>1395</v>
      </c>
      <c r="E3880" s="1" t="s">
        <v>3905</v>
      </c>
      <c r="F3880" s="1" t="s">
        <v>3906</v>
      </c>
      <c r="G3880" s="1" t="s">
        <v>5406</v>
      </c>
      <c r="H3880">
        <v>2022</v>
      </c>
      <c r="I3880">
        <v>2022</v>
      </c>
      <c r="J3880">
        <f t="shared" si="120"/>
        <v>1</v>
      </c>
      <c r="K3880" s="1" t="s">
        <v>4668</v>
      </c>
      <c r="L3880" s="1" t="s">
        <v>649</v>
      </c>
      <c r="M3880">
        <f t="shared" si="121"/>
        <v>4</v>
      </c>
      <c r="N3880" t="s">
        <v>650</v>
      </c>
    </row>
    <row r="3881" spans="1:14" hidden="1" x14ac:dyDescent="0.3">
      <c r="A3881" s="1" t="s">
        <v>5425</v>
      </c>
      <c r="B3881" s="1" t="s">
        <v>4561</v>
      </c>
      <c r="C3881" s="1" t="s">
        <v>5426</v>
      </c>
      <c r="D3881" s="1" t="s">
        <v>1395</v>
      </c>
      <c r="E3881" s="1" t="s">
        <v>3905</v>
      </c>
      <c r="F3881" s="1" t="s">
        <v>3906</v>
      </c>
      <c r="G3881" s="1" t="s">
        <v>5406</v>
      </c>
      <c r="H3881">
        <v>2014</v>
      </c>
      <c r="I3881">
        <v>2015</v>
      </c>
      <c r="J3881">
        <f t="shared" si="120"/>
        <v>2</v>
      </c>
      <c r="K3881" s="1" t="s">
        <v>4668</v>
      </c>
      <c r="L3881" s="1" t="s">
        <v>649</v>
      </c>
      <c r="M3881">
        <f t="shared" si="121"/>
        <v>11</v>
      </c>
      <c r="N3881" t="s">
        <v>650</v>
      </c>
    </row>
    <row r="3882" spans="1:14" x14ac:dyDescent="0.3">
      <c r="A3882" t="s">
        <v>12086</v>
      </c>
      <c r="B3882" t="s">
        <v>4561</v>
      </c>
      <c r="C3882" t="s">
        <v>12087</v>
      </c>
      <c r="E3882" s="1" t="s">
        <v>6076</v>
      </c>
      <c r="F3882" s="1" t="s">
        <v>6076</v>
      </c>
      <c r="G3882" s="1" t="s">
        <v>5406</v>
      </c>
      <c r="H3882">
        <v>2025</v>
      </c>
      <c r="I3882">
        <v>2026</v>
      </c>
      <c r="J3882">
        <f t="shared" si="120"/>
        <v>2</v>
      </c>
      <c r="K3882" s="1" t="s">
        <v>6076</v>
      </c>
      <c r="L3882" s="1" t="s">
        <v>6076</v>
      </c>
      <c r="M3882">
        <f t="shared" si="121"/>
        <v>0</v>
      </c>
    </row>
    <row r="3883" spans="1:14" hidden="1" x14ac:dyDescent="0.3">
      <c r="A3883" s="1" t="s">
        <v>5427</v>
      </c>
      <c r="B3883" s="1" t="s">
        <v>4561</v>
      </c>
      <c r="C3883" s="1" t="s">
        <v>5428</v>
      </c>
      <c r="D3883" s="1" t="s">
        <v>1395</v>
      </c>
      <c r="E3883" s="1" t="s">
        <v>3905</v>
      </c>
      <c r="F3883" s="1" t="s">
        <v>3906</v>
      </c>
      <c r="G3883" s="1" t="s">
        <v>5406</v>
      </c>
      <c r="H3883">
        <v>2022</v>
      </c>
      <c r="I3883">
        <v>2022</v>
      </c>
      <c r="J3883">
        <f t="shared" si="120"/>
        <v>1</v>
      </c>
      <c r="K3883" s="1" t="s">
        <v>4668</v>
      </c>
      <c r="L3883" s="1" t="s">
        <v>649</v>
      </c>
      <c r="M3883">
        <f t="shared" si="121"/>
        <v>4</v>
      </c>
      <c r="N3883" t="s">
        <v>650</v>
      </c>
    </row>
    <row r="3884" spans="1:14" hidden="1" x14ac:dyDescent="0.3">
      <c r="A3884" s="1" t="s">
        <v>5429</v>
      </c>
      <c r="B3884" s="1" t="s">
        <v>4561</v>
      </c>
      <c r="C3884" s="1" t="s">
        <v>5430</v>
      </c>
      <c r="D3884" s="1" t="s">
        <v>1395</v>
      </c>
      <c r="E3884" s="1" t="s">
        <v>3905</v>
      </c>
      <c r="F3884" s="1" t="s">
        <v>3906</v>
      </c>
      <c r="G3884" s="1" t="s">
        <v>5406</v>
      </c>
      <c r="H3884">
        <v>2022</v>
      </c>
      <c r="I3884">
        <v>2022</v>
      </c>
      <c r="J3884">
        <f t="shared" si="120"/>
        <v>1</v>
      </c>
      <c r="K3884" s="1" t="s">
        <v>4668</v>
      </c>
      <c r="L3884" s="1" t="s">
        <v>649</v>
      </c>
      <c r="M3884">
        <f t="shared" si="121"/>
        <v>4</v>
      </c>
      <c r="N3884" t="s">
        <v>650</v>
      </c>
    </row>
    <row r="3885" spans="1:14" hidden="1" x14ac:dyDescent="0.3">
      <c r="A3885" s="1" t="s">
        <v>5431</v>
      </c>
      <c r="B3885" s="1" t="s">
        <v>4561</v>
      </c>
      <c r="C3885" s="1" t="s">
        <v>5432</v>
      </c>
      <c r="D3885" s="1" t="s">
        <v>1395</v>
      </c>
      <c r="E3885" s="1" t="s">
        <v>3905</v>
      </c>
      <c r="F3885" s="1" t="s">
        <v>3906</v>
      </c>
      <c r="G3885" s="1" t="s">
        <v>5406</v>
      </c>
      <c r="H3885">
        <v>2021</v>
      </c>
      <c r="I3885">
        <v>2022</v>
      </c>
      <c r="J3885">
        <f t="shared" si="120"/>
        <v>2</v>
      </c>
      <c r="K3885" s="1" t="s">
        <v>4668</v>
      </c>
      <c r="L3885" s="1" t="s">
        <v>649</v>
      </c>
      <c r="M3885">
        <f t="shared" si="121"/>
        <v>4</v>
      </c>
      <c r="N3885" t="s">
        <v>650</v>
      </c>
    </row>
    <row r="3886" spans="1:14" hidden="1" x14ac:dyDescent="0.3">
      <c r="A3886" s="1" t="s">
        <v>5433</v>
      </c>
      <c r="B3886" s="1" t="s">
        <v>4561</v>
      </c>
      <c r="C3886" s="1" t="s">
        <v>5434</v>
      </c>
      <c r="D3886" s="1" t="s">
        <v>1395</v>
      </c>
      <c r="E3886" s="1" t="s">
        <v>3905</v>
      </c>
      <c r="F3886" s="1" t="s">
        <v>3906</v>
      </c>
      <c r="G3886" s="1" t="s">
        <v>5406</v>
      </c>
      <c r="H3886">
        <v>2021</v>
      </c>
      <c r="I3886">
        <v>2022</v>
      </c>
      <c r="J3886">
        <f t="shared" si="120"/>
        <v>2</v>
      </c>
      <c r="K3886" s="1" t="s">
        <v>4668</v>
      </c>
      <c r="L3886" s="1" t="s">
        <v>649</v>
      </c>
      <c r="M3886">
        <f t="shared" si="121"/>
        <v>4</v>
      </c>
      <c r="N3886" t="s">
        <v>650</v>
      </c>
    </row>
    <row r="3887" spans="1:14" hidden="1" x14ac:dyDescent="0.3">
      <c r="A3887" s="1" t="s">
        <v>5435</v>
      </c>
      <c r="B3887" s="1" t="s">
        <v>4561</v>
      </c>
      <c r="C3887" s="1" t="s">
        <v>5436</v>
      </c>
      <c r="D3887" s="1" t="s">
        <v>1395</v>
      </c>
      <c r="E3887" s="1" t="s">
        <v>3905</v>
      </c>
      <c r="F3887" s="1" t="s">
        <v>3906</v>
      </c>
      <c r="G3887" s="1" t="s">
        <v>5406</v>
      </c>
      <c r="H3887">
        <v>2020</v>
      </c>
      <c r="I3887">
        <v>2022</v>
      </c>
      <c r="J3887">
        <f t="shared" si="120"/>
        <v>3</v>
      </c>
      <c r="K3887" s="1" t="s">
        <v>4668</v>
      </c>
      <c r="L3887" s="1" t="s">
        <v>649</v>
      </c>
      <c r="M3887">
        <f t="shared" si="121"/>
        <v>4</v>
      </c>
      <c r="N3887" t="s">
        <v>650</v>
      </c>
    </row>
    <row r="3888" spans="1:14" hidden="1" x14ac:dyDescent="0.3">
      <c r="A3888" s="1" t="s">
        <v>5437</v>
      </c>
      <c r="B3888" s="1" t="s">
        <v>4561</v>
      </c>
      <c r="C3888" s="1" t="s">
        <v>5438</v>
      </c>
      <c r="D3888" s="1" t="s">
        <v>1395</v>
      </c>
      <c r="E3888" s="1" t="s">
        <v>4087</v>
      </c>
      <c r="F3888" s="1" t="s">
        <v>4088</v>
      </c>
      <c r="G3888" s="1" t="s">
        <v>5439</v>
      </c>
      <c r="H3888">
        <v>2016</v>
      </c>
      <c r="I3888">
        <v>2016</v>
      </c>
      <c r="J3888">
        <f t="shared" si="120"/>
        <v>1</v>
      </c>
      <c r="K3888" s="1" t="s">
        <v>4668</v>
      </c>
      <c r="L3888" s="1" t="s">
        <v>659</v>
      </c>
      <c r="M3888">
        <f t="shared" si="121"/>
        <v>10</v>
      </c>
      <c r="N3888" t="s">
        <v>650</v>
      </c>
    </row>
    <row r="3889" spans="1:14" hidden="1" x14ac:dyDescent="0.3">
      <c r="A3889" s="1" t="s">
        <v>5440</v>
      </c>
      <c r="B3889" s="1" t="s">
        <v>4561</v>
      </c>
      <c r="C3889" s="1" t="s">
        <v>5441</v>
      </c>
      <c r="D3889" s="1" t="s">
        <v>1395</v>
      </c>
      <c r="E3889" s="1" t="s">
        <v>4087</v>
      </c>
      <c r="F3889" s="1" t="s">
        <v>4088</v>
      </c>
      <c r="G3889" s="1" t="s">
        <v>5439</v>
      </c>
      <c r="H3889">
        <v>2009</v>
      </c>
      <c r="I3889">
        <v>2015</v>
      </c>
      <c r="J3889">
        <f t="shared" si="120"/>
        <v>7</v>
      </c>
      <c r="K3889" s="1" t="s">
        <v>4668</v>
      </c>
      <c r="L3889" s="1" t="s">
        <v>659</v>
      </c>
      <c r="M3889">
        <f t="shared" si="121"/>
        <v>11</v>
      </c>
      <c r="N3889" t="s">
        <v>650</v>
      </c>
    </row>
    <row r="3890" spans="1:14" hidden="1" x14ac:dyDescent="0.3">
      <c r="A3890" s="1" t="s">
        <v>5442</v>
      </c>
      <c r="B3890" s="1" t="s">
        <v>4561</v>
      </c>
      <c r="C3890" s="1" t="s">
        <v>5443</v>
      </c>
      <c r="D3890" s="1" t="s">
        <v>1395</v>
      </c>
      <c r="E3890" s="1" t="s">
        <v>4087</v>
      </c>
      <c r="F3890" s="1" t="s">
        <v>4088</v>
      </c>
      <c r="G3890" s="1" t="s">
        <v>5439</v>
      </c>
      <c r="H3890">
        <v>2009</v>
      </c>
      <c r="I3890">
        <v>2015</v>
      </c>
      <c r="J3890">
        <f t="shared" si="120"/>
        <v>7</v>
      </c>
      <c r="K3890" s="1" t="s">
        <v>4668</v>
      </c>
      <c r="L3890" s="1" t="s">
        <v>659</v>
      </c>
      <c r="M3890">
        <f t="shared" si="121"/>
        <v>11</v>
      </c>
      <c r="N3890" t="s">
        <v>650</v>
      </c>
    </row>
    <row r="3891" spans="1:14" hidden="1" x14ac:dyDescent="0.3">
      <c r="A3891" s="1" t="s">
        <v>5444</v>
      </c>
      <c r="B3891" s="1" t="s">
        <v>4561</v>
      </c>
      <c r="C3891" s="1" t="s">
        <v>5445</v>
      </c>
      <c r="D3891" s="1" t="s">
        <v>1395</v>
      </c>
      <c r="E3891" s="1" t="s">
        <v>4087</v>
      </c>
      <c r="F3891" s="1" t="s">
        <v>4088</v>
      </c>
      <c r="G3891" s="1" t="s">
        <v>5439</v>
      </c>
      <c r="H3891">
        <v>2011</v>
      </c>
      <c r="I3891">
        <v>2015</v>
      </c>
      <c r="J3891">
        <f t="shared" si="120"/>
        <v>5</v>
      </c>
      <c r="K3891" s="1" t="s">
        <v>4668</v>
      </c>
      <c r="L3891" s="1" t="s">
        <v>659</v>
      </c>
      <c r="M3891">
        <f t="shared" si="121"/>
        <v>11</v>
      </c>
      <c r="N3891" t="s">
        <v>650</v>
      </c>
    </row>
    <row r="3892" spans="1:14" hidden="1" x14ac:dyDescent="0.3">
      <c r="A3892" s="1" t="s">
        <v>5446</v>
      </c>
      <c r="B3892" s="1" t="s">
        <v>4561</v>
      </c>
      <c r="C3892" s="1" t="s">
        <v>5447</v>
      </c>
      <c r="D3892" s="1" t="s">
        <v>1395</v>
      </c>
      <c r="E3892" s="1" t="s">
        <v>4087</v>
      </c>
      <c r="F3892" s="1" t="s">
        <v>4088</v>
      </c>
      <c r="G3892" s="1" t="s">
        <v>5439</v>
      </c>
      <c r="H3892">
        <v>2011</v>
      </c>
      <c r="I3892">
        <v>2016</v>
      </c>
      <c r="J3892">
        <f t="shared" si="120"/>
        <v>6</v>
      </c>
      <c r="K3892" s="1" t="s">
        <v>4668</v>
      </c>
      <c r="L3892" s="1" t="s">
        <v>659</v>
      </c>
      <c r="M3892">
        <f t="shared" si="121"/>
        <v>10</v>
      </c>
      <c r="N3892" t="s">
        <v>650</v>
      </c>
    </row>
    <row r="3893" spans="1:14" x14ac:dyDescent="0.3">
      <c r="A3893" s="1" t="s">
        <v>9166</v>
      </c>
      <c r="B3893" s="1" t="s">
        <v>4561</v>
      </c>
      <c r="C3893" s="1" t="s">
        <v>9167</v>
      </c>
      <c r="D3893" s="1" t="s">
        <v>1395</v>
      </c>
      <c r="E3893" s="1" t="s">
        <v>6076</v>
      </c>
      <c r="F3893" s="1" t="s">
        <v>6076</v>
      </c>
      <c r="G3893" s="1" t="s">
        <v>5439</v>
      </c>
      <c r="H3893">
        <v>1998</v>
      </c>
      <c r="I3893">
        <v>1998</v>
      </c>
      <c r="J3893">
        <f t="shared" si="120"/>
        <v>1</v>
      </c>
      <c r="K3893" s="1" t="s">
        <v>6076</v>
      </c>
      <c r="L3893" s="1" t="s">
        <v>6076</v>
      </c>
      <c r="M3893">
        <f t="shared" si="121"/>
        <v>28</v>
      </c>
      <c r="N3893" t="s">
        <v>640</v>
      </c>
    </row>
    <row r="3894" spans="1:14" x14ac:dyDescent="0.3">
      <c r="A3894" s="1" t="s">
        <v>9168</v>
      </c>
      <c r="B3894" s="1" t="s">
        <v>4561</v>
      </c>
      <c r="C3894" s="1" t="s">
        <v>9169</v>
      </c>
      <c r="D3894" s="1" t="s">
        <v>1395</v>
      </c>
      <c r="E3894" s="1" t="s">
        <v>6076</v>
      </c>
      <c r="F3894" s="1" t="s">
        <v>6076</v>
      </c>
      <c r="G3894" s="1" t="s">
        <v>5439</v>
      </c>
      <c r="H3894">
        <v>2001</v>
      </c>
      <c r="I3894">
        <v>2009</v>
      </c>
      <c r="J3894">
        <f t="shared" si="120"/>
        <v>9</v>
      </c>
      <c r="K3894" s="1" t="s">
        <v>6076</v>
      </c>
      <c r="L3894" s="1" t="s">
        <v>6076</v>
      </c>
      <c r="M3894">
        <f t="shared" si="121"/>
        <v>17</v>
      </c>
      <c r="N3894" t="s">
        <v>650</v>
      </c>
    </row>
    <row r="3895" spans="1:14" hidden="1" x14ac:dyDescent="0.3">
      <c r="A3895" s="1" t="s">
        <v>5448</v>
      </c>
      <c r="B3895" s="1" t="s">
        <v>4561</v>
      </c>
      <c r="C3895" s="1" t="s">
        <v>5449</v>
      </c>
      <c r="D3895" s="1" t="s">
        <v>1395</v>
      </c>
      <c r="E3895" s="1" t="s">
        <v>4087</v>
      </c>
      <c r="F3895" s="1" t="s">
        <v>4088</v>
      </c>
      <c r="G3895" s="1" t="s">
        <v>5439</v>
      </c>
      <c r="H3895">
        <v>2021</v>
      </c>
      <c r="I3895">
        <v>2022</v>
      </c>
      <c r="J3895">
        <f t="shared" si="120"/>
        <v>2</v>
      </c>
      <c r="K3895" s="1" t="s">
        <v>4668</v>
      </c>
      <c r="L3895" s="1" t="s">
        <v>659</v>
      </c>
      <c r="M3895">
        <f t="shared" si="121"/>
        <v>4</v>
      </c>
      <c r="N3895" t="s">
        <v>650</v>
      </c>
    </row>
    <row r="3896" spans="1:14" x14ac:dyDescent="0.3">
      <c r="A3896" s="1" t="s">
        <v>9170</v>
      </c>
      <c r="B3896" s="1" t="s">
        <v>4561</v>
      </c>
      <c r="C3896" s="1" t="s">
        <v>9171</v>
      </c>
      <c r="D3896" s="1" t="s">
        <v>1395</v>
      </c>
      <c r="E3896" s="1" t="s">
        <v>6076</v>
      </c>
      <c r="F3896" s="1" t="s">
        <v>6076</v>
      </c>
      <c r="G3896" s="1" t="s">
        <v>5439</v>
      </c>
      <c r="H3896">
        <v>1999</v>
      </c>
      <c r="I3896">
        <v>2002</v>
      </c>
      <c r="J3896">
        <f t="shared" si="120"/>
        <v>4</v>
      </c>
      <c r="K3896" s="1" t="s">
        <v>6076</v>
      </c>
      <c r="L3896" s="1" t="s">
        <v>6076</v>
      </c>
      <c r="M3896">
        <f t="shared" si="121"/>
        <v>24</v>
      </c>
      <c r="N3896" t="s">
        <v>640</v>
      </c>
    </row>
    <row r="3897" spans="1:14" x14ac:dyDescent="0.3">
      <c r="A3897" s="1" t="s">
        <v>9172</v>
      </c>
      <c r="B3897" s="1" t="s">
        <v>4561</v>
      </c>
      <c r="C3897" s="1" t="s">
        <v>9173</v>
      </c>
      <c r="D3897" s="1" t="s">
        <v>1395</v>
      </c>
      <c r="E3897" s="1" t="s">
        <v>6076</v>
      </c>
      <c r="F3897" s="1" t="s">
        <v>6076</v>
      </c>
      <c r="G3897" s="1" t="s">
        <v>5439</v>
      </c>
      <c r="H3897">
        <v>1992</v>
      </c>
      <c r="I3897">
        <v>2002</v>
      </c>
      <c r="J3897">
        <f t="shared" si="120"/>
        <v>11</v>
      </c>
      <c r="K3897" s="1" t="s">
        <v>6076</v>
      </c>
      <c r="L3897" s="1" t="s">
        <v>6076</v>
      </c>
      <c r="M3897">
        <f t="shared" si="121"/>
        <v>24</v>
      </c>
      <c r="N3897" t="s">
        <v>640</v>
      </c>
    </row>
    <row r="3898" spans="1:14" x14ac:dyDescent="0.3">
      <c r="A3898" s="1" t="s">
        <v>9174</v>
      </c>
      <c r="B3898" s="1" t="s">
        <v>4561</v>
      </c>
      <c r="C3898" s="1" t="s">
        <v>9175</v>
      </c>
      <c r="D3898" s="1" t="s">
        <v>1395</v>
      </c>
      <c r="E3898" s="1" t="s">
        <v>6076</v>
      </c>
      <c r="F3898" s="1" t="s">
        <v>6076</v>
      </c>
      <c r="G3898" s="1" t="s">
        <v>5439</v>
      </c>
      <c r="H3898">
        <v>1993</v>
      </c>
      <c r="I3898">
        <v>2000</v>
      </c>
      <c r="J3898">
        <f t="shared" si="120"/>
        <v>8</v>
      </c>
      <c r="K3898" s="1" t="s">
        <v>6076</v>
      </c>
      <c r="L3898" s="1" t="s">
        <v>6076</v>
      </c>
      <c r="M3898">
        <f t="shared" si="121"/>
        <v>26</v>
      </c>
      <c r="N3898" t="s">
        <v>640</v>
      </c>
    </row>
    <row r="3899" spans="1:14" x14ac:dyDescent="0.3">
      <c r="A3899" s="1" t="s">
        <v>9176</v>
      </c>
      <c r="B3899" s="1" t="s">
        <v>4561</v>
      </c>
      <c r="C3899" s="1" t="s">
        <v>9177</v>
      </c>
      <c r="D3899" s="1" t="s">
        <v>1395</v>
      </c>
      <c r="E3899" s="1" t="s">
        <v>6076</v>
      </c>
      <c r="F3899" s="1" t="s">
        <v>6076</v>
      </c>
      <c r="G3899" s="1" t="s">
        <v>5439</v>
      </c>
      <c r="H3899">
        <v>1993</v>
      </c>
      <c r="I3899">
        <v>2002</v>
      </c>
      <c r="J3899">
        <f t="shared" si="120"/>
        <v>10</v>
      </c>
      <c r="K3899" s="1" t="s">
        <v>6076</v>
      </c>
      <c r="L3899" s="1" t="s">
        <v>6076</v>
      </c>
      <c r="M3899">
        <f t="shared" si="121"/>
        <v>24</v>
      </c>
      <c r="N3899" t="s">
        <v>640</v>
      </c>
    </row>
    <row r="3900" spans="1:14" x14ac:dyDescent="0.3">
      <c r="A3900" s="1" t="s">
        <v>9178</v>
      </c>
      <c r="B3900" s="1" t="s">
        <v>4561</v>
      </c>
      <c r="C3900" s="1" t="s">
        <v>9179</v>
      </c>
      <c r="D3900" s="1" t="s">
        <v>1395</v>
      </c>
      <c r="E3900" s="1" t="s">
        <v>6076</v>
      </c>
      <c r="F3900" s="1" t="s">
        <v>6076</v>
      </c>
      <c r="G3900" s="1" t="s">
        <v>5439</v>
      </c>
      <c r="H3900">
        <v>1993</v>
      </c>
      <c r="I3900">
        <v>2002</v>
      </c>
      <c r="J3900">
        <f t="shared" si="120"/>
        <v>10</v>
      </c>
      <c r="K3900" s="1" t="s">
        <v>6076</v>
      </c>
      <c r="L3900" s="1" t="s">
        <v>6076</v>
      </c>
      <c r="M3900">
        <f t="shared" si="121"/>
        <v>24</v>
      </c>
      <c r="N3900" t="s">
        <v>640</v>
      </c>
    </row>
    <row r="3901" spans="1:14" x14ac:dyDescent="0.3">
      <c r="A3901" s="1" t="s">
        <v>9180</v>
      </c>
      <c r="B3901" s="1" t="s">
        <v>4561</v>
      </c>
      <c r="C3901" s="1" t="s">
        <v>9181</v>
      </c>
      <c r="D3901" s="1" t="s">
        <v>1395</v>
      </c>
      <c r="E3901" s="1" t="s">
        <v>6076</v>
      </c>
      <c r="F3901" s="1" t="s">
        <v>6076</v>
      </c>
      <c r="G3901" s="1" t="s">
        <v>5439</v>
      </c>
      <c r="H3901">
        <v>1993</v>
      </c>
      <c r="I3901">
        <v>2000</v>
      </c>
      <c r="J3901">
        <f t="shared" si="120"/>
        <v>8</v>
      </c>
      <c r="K3901" s="1" t="s">
        <v>6076</v>
      </c>
      <c r="L3901" s="1" t="s">
        <v>6076</v>
      </c>
      <c r="M3901">
        <f t="shared" si="121"/>
        <v>26</v>
      </c>
      <c r="N3901" t="s">
        <v>640</v>
      </c>
    </row>
    <row r="3902" spans="1:14" x14ac:dyDescent="0.3">
      <c r="A3902" s="1" t="s">
        <v>9182</v>
      </c>
      <c r="B3902" s="1" t="s">
        <v>4561</v>
      </c>
      <c r="C3902" s="1" t="s">
        <v>9183</v>
      </c>
      <c r="D3902" s="1" t="s">
        <v>1395</v>
      </c>
      <c r="E3902" s="1" t="s">
        <v>6076</v>
      </c>
      <c r="F3902" s="1" t="s">
        <v>6076</v>
      </c>
      <c r="G3902" s="1" t="s">
        <v>5439</v>
      </c>
      <c r="H3902">
        <v>1998</v>
      </c>
      <c r="I3902">
        <v>2004</v>
      </c>
      <c r="J3902">
        <f t="shared" si="120"/>
        <v>7</v>
      </c>
      <c r="K3902" s="1" t="s">
        <v>6076</v>
      </c>
      <c r="L3902" s="1" t="s">
        <v>6076</v>
      </c>
      <c r="M3902">
        <f t="shared" si="121"/>
        <v>22</v>
      </c>
      <c r="N3902" t="s">
        <v>640</v>
      </c>
    </row>
    <row r="3903" spans="1:14" x14ac:dyDescent="0.3">
      <c r="A3903" s="1" t="s">
        <v>9184</v>
      </c>
      <c r="B3903" s="1" t="s">
        <v>4561</v>
      </c>
      <c r="C3903" s="1" t="s">
        <v>9185</v>
      </c>
      <c r="D3903" s="1" t="s">
        <v>1395</v>
      </c>
      <c r="E3903" s="1" t="s">
        <v>6076</v>
      </c>
      <c r="F3903" s="1" t="s">
        <v>6076</v>
      </c>
      <c r="G3903" s="1" t="s">
        <v>5439</v>
      </c>
      <c r="H3903">
        <v>1998</v>
      </c>
      <c r="I3903">
        <v>2000</v>
      </c>
      <c r="J3903">
        <f t="shared" si="120"/>
        <v>3</v>
      </c>
      <c r="K3903" s="1" t="s">
        <v>6076</v>
      </c>
      <c r="L3903" s="1" t="s">
        <v>6076</v>
      </c>
      <c r="M3903">
        <f t="shared" si="121"/>
        <v>26</v>
      </c>
      <c r="N3903" t="s">
        <v>640</v>
      </c>
    </row>
    <row r="3904" spans="1:14" x14ac:dyDescent="0.3">
      <c r="A3904" s="1" t="s">
        <v>9186</v>
      </c>
      <c r="B3904" s="1" t="s">
        <v>4561</v>
      </c>
      <c r="C3904" s="1" t="s">
        <v>9187</v>
      </c>
      <c r="D3904" s="1" t="s">
        <v>1395</v>
      </c>
      <c r="E3904" s="1" t="s">
        <v>6076</v>
      </c>
      <c r="F3904" s="1" t="s">
        <v>6076</v>
      </c>
      <c r="G3904" s="1" t="s">
        <v>5439</v>
      </c>
      <c r="H3904">
        <v>1998</v>
      </c>
      <c r="I3904">
        <v>2000</v>
      </c>
      <c r="J3904">
        <f t="shared" si="120"/>
        <v>3</v>
      </c>
      <c r="K3904" s="1" t="s">
        <v>6076</v>
      </c>
      <c r="L3904" s="1" t="s">
        <v>6076</v>
      </c>
      <c r="M3904">
        <f t="shared" si="121"/>
        <v>26</v>
      </c>
      <c r="N3904" t="s">
        <v>640</v>
      </c>
    </row>
    <row r="3905" spans="1:14" x14ac:dyDescent="0.3">
      <c r="A3905" s="1" t="s">
        <v>9188</v>
      </c>
      <c r="B3905" s="1" t="s">
        <v>4561</v>
      </c>
      <c r="C3905" s="1" t="s">
        <v>9189</v>
      </c>
      <c r="D3905" s="1" t="s">
        <v>1395</v>
      </c>
      <c r="E3905" s="1" t="s">
        <v>6076</v>
      </c>
      <c r="F3905" s="1" t="s">
        <v>6076</v>
      </c>
      <c r="G3905" s="1" t="s">
        <v>5439</v>
      </c>
      <c r="H3905">
        <v>2008</v>
      </c>
      <c r="I3905">
        <v>2009</v>
      </c>
      <c r="J3905">
        <f t="shared" si="120"/>
        <v>2</v>
      </c>
      <c r="K3905" s="1" t="s">
        <v>6076</v>
      </c>
      <c r="L3905" s="1" t="s">
        <v>6076</v>
      </c>
      <c r="M3905">
        <f t="shared" si="121"/>
        <v>17</v>
      </c>
      <c r="N3905" t="s">
        <v>650</v>
      </c>
    </row>
    <row r="3906" spans="1:14" x14ac:dyDescent="0.3">
      <c r="A3906" s="1" t="s">
        <v>9190</v>
      </c>
      <c r="B3906" s="1" t="s">
        <v>4561</v>
      </c>
      <c r="C3906" s="1" t="s">
        <v>9191</v>
      </c>
      <c r="D3906" s="1" t="s">
        <v>1395</v>
      </c>
      <c r="E3906" s="1" t="s">
        <v>6076</v>
      </c>
      <c r="F3906" s="1" t="s">
        <v>6076</v>
      </c>
      <c r="G3906" s="1" t="s">
        <v>5439</v>
      </c>
      <c r="H3906">
        <v>2004</v>
      </c>
      <c r="I3906">
        <v>2007</v>
      </c>
      <c r="J3906">
        <f t="shared" si="120"/>
        <v>4</v>
      </c>
      <c r="K3906" s="1" t="s">
        <v>6076</v>
      </c>
      <c r="L3906" s="1" t="s">
        <v>6076</v>
      </c>
      <c r="M3906">
        <f t="shared" si="121"/>
        <v>19</v>
      </c>
      <c r="N3906" t="s">
        <v>650</v>
      </c>
    </row>
    <row r="3907" spans="1:14" x14ac:dyDescent="0.3">
      <c r="A3907" s="1" t="s">
        <v>9192</v>
      </c>
      <c r="B3907" s="1" t="s">
        <v>4561</v>
      </c>
      <c r="C3907" s="1" t="s">
        <v>9193</v>
      </c>
      <c r="D3907" s="1" t="s">
        <v>1395</v>
      </c>
      <c r="E3907" s="1" t="s">
        <v>6076</v>
      </c>
      <c r="F3907" s="1" t="s">
        <v>6076</v>
      </c>
      <c r="G3907" s="1" t="s">
        <v>5439</v>
      </c>
      <c r="H3907">
        <v>2004</v>
      </c>
      <c r="I3907">
        <v>2007</v>
      </c>
      <c r="J3907">
        <f t="shared" si="120"/>
        <v>4</v>
      </c>
      <c r="K3907" s="1" t="s">
        <v>6076</v>
      </c>
      <c r="L3907" s="1" t="s">
        <v>6076</v>
      </c>
      <c r="M3907">
        <f t="shared" si="121"/>
        <v>19</v>
      </c>
      <c r="N3907" t="s">
        <v>650</v>
      </c>
    </row>
    <row r="3908" spans="1:14" x14ac:dyDescent="0.3">
      <c r="A3908" s="1" t="s">
        <v>9194</v>
      </c>
      <c r="B3908" s="1" t="s">
        <v>4561</v>
      </c>
      <c r="C3908" s="1" t="s">
        <v>9195</v>
      </c>
      <c r="D3908" s="1" t="s">
        <v>1395</v>
      </c>
      <c r="E3908" s="1" t="s">
        <v>6076</v>
      </c>
      <c r="F3908" s="1" t="s">
        <v>6076</v>
      </c>
      <c r="G3908" s="1" t="s">
        <v>5439</v>
      </c>
      <c r="H3908">
        <v>1992</v>
      </c>
      <c r="I3908">
        <v>1998</v>
      </c>
      <c r="J3908">
        <f t="shared" si="120"/>
        <v>7</v>
      </c>
      <c r="K3908" s="1" t="s">
        <v>6076</v>
      </c>
      <c r="L3908" s="1" t="s">
        <v>6076</v>
      </c>
      <c r="M3908">
        <f t="shared" si="121"/>
        <v>28</v>
      </c>
      <c r="N3908" t="s">
        <v>640</v>
      </c>
    </row>
    <row r="3909" spans="1:14" x14ac:dyDescent="0.3">
      <c r="A3909" s="1" t="s">
        <v>9196</v>
      </c>
      <c r="B3909" s="1" t="s">
        <v>4561</v>
      </c>
      <c r="C3909" s="1" t="s">
        <v>9197</v>
      </c>
      <c r="D3909" s="1" t="s">
        <v>1395</v>
      </c>
      <c r="E3909" s="1" t="s">
        <v>6076</v>
      </c>
      <c r="F3909" s="1" t="s">
        <v>6076</v>
      </c>
      <c r="G3909" s="1" t="s">
        <v>5439</v>
      </c>
      <c r="H3909">
        <v>1994</v>
      </c>
      <c r="I3909">
        <v>1999</v>
      </c>
      <c r="J3909">
        <f t="shared" si="120"/>
        <v>6</v>
      </c>
      <c r="K3909" s="1" t="s">
        <v>6076</v>
      </c>
      <c r="L3909" s="1" t="s">
        <v>6076</v>
      </c>
      <c r="M3909">
        <f t="shared" si="121"/>
        <v>27</v>
      </c>
      <c r="N3909" t="s">
        <v>640</v>
      </c>
    </row>
    <row r="3910" spans="1:14" x14ac:dyDescent="0.3">
      <c r="A3910" s="1" t="s">
        <v>9198</v>
      </c>
      <c r="B3910" s="1" t="s">
        <v>4561</v>
      </c>
      <c r="C3910" s="1" t="s">
        <v>9199</v>
      </c>
      <c r="D3910" s="1" t="s">
        <v>1395</v>
      </c>
      <c r="E3910" s="1" t="s">
        <v>6076</v>
      </c>
      <c r="F3910" s="1" t="s">
        <v>6076</v>
      </c>
      <c r="G3910" s="1" t="s">
        <v>5439</v>
      </c>
      <c r="H3910">
        <v>1992</v>
      </c>
      <c r="I3910">
        <v>1995</v>
      </c>
      <c r="J3910">
        <f t="shared" ref="J3910:J3973" si="122">1+(I3910-H3910)</f>
        <v>4</v>
      </c>
      <c r="K3910" s="1" t="s">
        <v>6076</v>
      </c>
      <c r="L3910" s="1" t="s">
        <v>6076</v>
      </c>
      <c r="M3910">
        <f t="shared" ref="M3910:M3973" si="123">IF(I3910=0,0,$B$2-I3910)</f>
        <v>31</v>
      </c>
      <c r="N3910" t="s">
        <v>640</v>
      </c>
    </row>
    <row r="3911" spans="1:14" x14ac:dyDescent="0.3">
      <c r="A3911" s="1" t="s">
        <v>9200</v>
      </c>
      <c r="B3911" s="1" t="s">
        <v>4561</v>
      </c>
      <c r="C3911" s="1" t="s">
        <v>9201</v>
      </c>
      <c r="D3911" s="1" t="s">
        <v>1395</v>
      </c>
      <c r="E3911" s="1" t="s">
        <v>6076</v>
      </c>
      <c r="F3911" s="1" t="s">
        <v>6076</v>
      </c>
      <c r="G3911" s="1" t="s">
        <v>5439</v>
      </c>
      <c r="H3911">
        <v>1992</v>
      </c>
      <c r="I3911">
        <v>1994</v>
      </c>
      <c r="J3911">
        <f t="shared" si="122"/>
        <v>3</v>
      </c>
      <c r="K3911" s="1" t="s">
        <v>6076</v>
      </c>
      <c r="L3911" s="1" t="s">
        <v>6076</v>
      </c>
      <c r="M3911">
        <f t="shared" si="123"/>
        <v>32</v>
      </c>
      <c r="N3911" t="s">
        <v>640</v>
      </c>
    </row>
    <row r="3912" spans="1:14" hidden="1" x14ac:dyDescent="0.3">
      <c r="A3912" s="1" t="s">
        <v>5450</v>
      </c>
      <c r="B3912" s="1" t="s">
        <v>4561</v>
      </c>
      <c r="C3912" s="1" t="s">
        <v>5451</v>
      </c>
      <c r="D3912" s="1" t="s">
        <v>1395</v>
      </c>
      <c r="E3912" s="1" t="s">
        <v>4087</v>
      </c>
      <c r="F3912" s="1" t="s">
        <v>4088</v>
      </c>
      <c r="G3912" s="1" t="s">
        <v>5439</v>
      </c>
      <c r="H3912">
        <v>2018</v>
      </c>
      <c r="I3912">
        <v>2018</v>
      </c>
      <c r="J3912">
        <f t="shared" si="122"/>
        <v>1</v>
      </c>
      <c r="K3912" s="1" t="s">
        <v>4668</v>
      </c>
      <c r="L3912" s="1" t="s">
        <v>659</v>
      </c>
      <c r="M3912">
        <f t="shared" si="123"/>
        <v>8</v>
      </c>
      <c r="N3912" t="s">
        <v>650</v>
      </c>
    </row>
    <row r="3913" spans="1:14" hidden="1" x14ac:dyDescent="0.3">
      <c r="A3913" s="1" t="s">
        <v>5452</v>
      </c>
      <c r="B3913" s="1" t="s">
        <v>4561</v>
      </c>
      <c r="C3913" s="1" t="s">
        <v>5453</v>
      </c>
      <c r="D3913" s="1" t="s">
        <v>1395</v>
      </c>
      <c r="E3913" s="1" t="s">
        <v>4087</v>
      </c>
      <c r="F3913" s="1" t="s">
        <v>4088</v>
      </c>
      <c r="G3913" s="1" t="s">
        <v>5439</v>
      </c>
      <c r="H3913">
        <v>2016</v>
      </c>
      <c r="I3913">
        <v>2018</v>
      </c>
      <c r="J3913">
        <f t="shared" si="122"/>
        <v>3</v>
      </c>
      <c r="K3913" s="1" t="s">
        <v>4668</v>
      </c>
      <c r="L3913" s="1" t="s">
        <v>659</v>
      </c>
      <c r="M3913">
        <f t="shared" si="123"/>
        <v>8</v>
      </c>
      <c r="N3913" t="s">
        <v>650</v>
      </c>
    </row>
    <row r="3914" spans="1:14" x14ac:dyDescent="0.3">
      <c r="A3914" s="1" t="s">
        <v>9202</v>
      </c>
      <c r="B3914" s="1" t="s">
        <v>4561</v>
      </c>
      <c r="C3914" s="1" t="s">
        <v>9203</v>
      </c>
      <c r="D3914" s="1" t="s">
        <v>1395</v>
      </c>
      <c r="E3914" s="1" t="s">
        <v>6076</v>
      </c>
      <c r="F3914" s="1" t="s">
        <v>6076</v>
      </c>
      <c r="G3914" s="1" t="s">
        <v>5439</v>
      </c>
      <c r="H3914">
        <v>1992</v>
      </c>
      <c r="I3914">
        <v>1994</v>
      </c>
      <c r="J3914">
        <f t="shared" si="122"/>
        <v>3</v>
      </c>
      <c r="K3914" s="1" t="s">
        <v>6076</v>
      </c>
      <c r="L3914" s="1" t="s">
        <v>6076</v>
      </c>
      <c r="M3914">
        <f t="shared" si="123"/>
        <v>32</v>
      </c>
      <c r="N3914" t="s">
        <v>640</v>
      </c>
    </row>
    <row r="3915" spans="1:14" hidden="1" x14ac:dyDescent="0.3">
      <c r="A3915" s="1" t="s">
        <v>5454</v>
      </c>
      <c r="B3915" s="1" t="s">
        <v>4561</v>
      </c>
      <c r="C3915" s="1" t="s">
        <v>5455</v>
      </c>
      <c r="D3915" s="1" t="s">
        <v>1395</v>
      </c>
      <c r="E3915" s="1" t="s">
        <v>4087</v>
      </c>
      <c r="F3915" s="1" t="s">
        <v>4088</v>
      </c>
      <c r="G3915" s="1" t="s">
        <v>5439</v>
      </c>
      <c r="H3915">
        <v>2018</v>
      </c>
      <c r="I3915">
        <v>2018</v>
      </c>
      <c r="J3915">
        <f t="shared" si="122"/>
        <v>1</v>
      </c>
      <c r="K3915" s="1" t="s">
        <v>4668</v>
      </c>
      <c r="L3915" s="1" t="s">
        <v>659</v>
      </c>
      <c r="M3915">
        <f t="shared" si="123"/>
        <v>8</v>
      </c>
      <c r="N3915" t="s">
        <v>650</v>
      </c>
    </row>
    <row r="3916" spans="1:14" hidden="1" x14ac:dyDescent="0.3">
      <c r="A3916" s="1" t="s">
        <v>5456</v>
      </c>
      <c r="B3916" s="1" t="s">
        <v>4561</v>
      </c>
      <c r="C3916" s="1" t="s">
        <v>5457</v>
      </c>
      <c r="D3916" s="1" t="s">
        <v>1395</v>
      </c>
      <c r="E3916" s="1" t="s">
        <v>4087</v>
      </c>
      <c r="F3916" s="1" t="s">
        <v>4088</v>
      </c>
      <c r="G3916" s="1" t="s">
        <v>5439</v>
      </c>
      <c r="H3916">
        <v>2016</v>
      </c>
      <c r="I3916">
        <v>2018</v>
      </c>
      <c r="J3916">
        <f t="shared" si="122"/>
        <v>3</v>
      </c>
      <c r="K3916" s="1" t="s">
        <v>4668</v>
      </c>
      <c r="L3916" s="1" t="s">
        <v>659</v>
      </c>
      <c r="M3916">
        <f t="shared" si="123"/>
        <v>8</v>
      </c>
      <c r="N3916" t="s">
        <v>650</v>
      </c>
    </row>
    <row r="3917" spans="1:14" hidden="1" x14ac:dyDescent="0.3">
      <c r="A3917" s="1" t="s">
        <v>5458</v>
      </c>
      <c r="B3917" s="1" t="s">
        <v>4561</v>
      </c>
      <c r="C3917" s="1" t="s">
        <v>5459</v>
      </c>
      <c r="D3917" s="1" t="s">
        <v>1395</v>
      </c>
      <c r="E3917" s="1" t="s">
        <v>4087</v>
      </c>
      <c r="F3917" s="1" t="s">
        <v>4088</v>
      </c>
      <c r="G3917" s="1" t="s">
        <v>5439</v>
      </c>
      <c r="H3917">
        <v>2016</v>
      </c>
      <c r="I3917">
        <v>2018</v>
      </c>
      <c r="J3917">
        <f t="shared" si="122"/>
        <v>3</v>
      </c>
      <c r="K3917" s="1" t="s">
        <v>4668</v>
      </c>
      <c r="L3917" s="1" t="s">
        <v>659</v>
      </c>
      <c r="M3917">
        <f t="shared" si="123"/>
        <v>8</v>
      </c>
      <c r="N3917" t="s">
        <v>650</v>
      </c>
    </row>
    <row r="3918" spans="1:14" hidden="1" x14ac:dyDescent="0.3">
      <c r="A3918" s="1" t="s">
        <v>5460</v>
      </c>
      <c r="B3918" s="1" t="s">
        <v>4561</v>
      </c>
      <c r="C3918" s="1" t="s">
        <v>5461</v>
      </c>
      <c r="D3918" s="1" t="s">
        <v>1395</v>
      </c>
      <c r="E3918" s="1" t="s">
        <v>4087</v>
      </c>
      <c r="F3918" s="1" t="s">
        <v>4088</v>
      </c>
      <c r="G3918" s="1" t="s">
        <v>5439</v>
      </c>
      <c r="H3918">
        <v>2005</v>
      </c>
      <c r="I3918">
        <v>2022</v>
      </c>
      <c r="J3918">
        <f t="shared" si="122"/>
        <v>18</v>
      </c>
      <c r="K3918" s="1" t="s">
        <v>4668</v>
      </c>
      <c r="L3918" s="1" t="s">
        <v>659</v>
      </c>
      <c r="M3918">
        <f t="shared" si="123"/>
        <v>4</v>
      </c>
      <c r="N3918" t="s">
        <v>650</v>
      </c>
    </row>
    <row r="3919" spans="1:14" hidden="1" x14ac:dyDescent="0.3">
      <c r="A3919" s="1" t="s">
        <v>5462</v>
      </c>
      <c r="B3919" s="1" t="s">
        <v>4561</v>
      </c>
      <c r="C3919" s="1" t="s">
        <v>5463</v>
      </c>
      <c r="D3919" s="1" t="s">
        <v>1395</v>
      </c>
      <c r="E3919" s="1" t="s">
        <v>4087</v>
      </c>
      <c r="F3919" s="1" t="s">
        <v>4088</v>
      </c>
      <c r="G3919" s="1" t="s">
        <v>5439</v>
      </c>
      <c r="H3919">
        <v>2006</v>
      </c>
      <c r="I3919">
        <v>2022</v>
      </c>
      <c r="J3919">
        <f t="shared" si="122"/>
        <v>17</v>
      </c>
      <c r="K3919" s="1" t="s">
        <v>4668</v>
      </c>
      <c r="L3919" s="1" t="s">
        <v>659</v>
      </c>
      <c r="M3919">
        <f t="shared" si="123"/>
        <v>4</v>
      </c>
      <c r="N3919" t="s">
        <v>650</v>
      </c>
    </row>
    <row r="3920" spans="1:14" hidden="1" x14ac:dyDescent="0.3">
      <c r="A3920" s="1" t="s">
        <v>5464</v>
      </c>
      <c r="B3920" s="1" t="s">
        <v>4561</v>
      </c>
      <c r="C3920" s="1" t="s">
        <v>5465</v>
      </c>
      <c r="D3920" s="1" t="s">
        <v>1395</v>
      </c>
      <c r="E3920" s="1" t="s">
        <v>4087</v>
      </c>
      <c r="F3920" s="1" t="s">
        <v>4088</v>
      </c>
      <c r="G3920" s="1" t="s">
        <v>5439</v>
      </c>
      <c r="H3920">
        <v>2008</v>
      </c>
      <c r="I3920">
        <v>2018</v>
      </c>
      <c r="J3920">
        <f t="shared" si="122"/>
        <v>11</v>
      </c>
      <c r="K3920" s="1" t="s">
        <v>4668</v>
      </c>
      <c r="L3920" s="1" t="s">
        <v>659</v>
      </c>
      <c r="M3920">
        <f t="shared" si="123"/>
        <v>8</v>
      </c>
      <c r="N3920" t="s">
        <v>650</v>
      </c>
    </row>
    <row r="3921" spans="1:14" hidden="1" x14ac:dyDescent="0.3">
      <c r="A3921" s="1" t="s">
        <v>5466</v>
      </c>
      <c r="B3921" s="1" t="s">
        <v>4561</v>
      </c>
      <c r="C3921" s="1" t="s">
        <v>5467</v>
      </c>
      <c r="D3921" s="1" t="s">
        <v>1395</v>
      </c>
      <c r="E3921" s="1" t="s">
        <v>4087</v>
      </c>
      <c r="F3921" s="1" t="s">
        <v>4088</v>
      </c>
      <c r="G3921" s="1" t="s">
        <v>5439</v>
      </c>
      <c r="H3921">
        <v>2008</v>
      </c>
      <c r="I3921">
        <v>2022</v>
      </c>
      <c r="J3921">
        <f t="shared" si="122"/>
        <v>15</v>
      </c>
      <c r="K3921" s="1" t="s">
        <v>4668</v>
      </c>
      <c r="L3921" s="1" t="s">
        <v>659</v>
      </c>
      <c r="M3921">
        <f t="shared" si="123"/>
        <v>4</v>
      </c>
      <c r="N3921" t="s">
        <v>650</v>
      </c>
    </row>
    <row r="3922" spans="1:14" hidden="1" x14ac:dyDescent="0.3">
      <c r="A3922" s="1" t="s">
        <v>5468</v>
      </c>
      <c r="B3922" s="1" t="s">
        <v>4561</v>
      </c>
      <c r="C3922" s="1" t="s">
        <v>5469</v>
      </c>
      <c r="D3922" s="1" t="s">
        <v>1395</v>
      </c>
      <c r="E3922" s="1" t="s">
        <v>4087</v>
      </c>
      <c r="F3922" s="1" t="s">
        <v>4088</v>
      </c>
      <c r="G3922" s="1" t="s">
        <v>5439</v>
      </c>
      <c r="H3922">
        <v>2016</v>
      </c>
      <c r="I3922">
        <v>2016</v>
      </c>
      <c r="J3922">
        <f t="shared" si="122"/>
        <v>1</v>
      </c>
      <c r="K3922" s="1" t="s">
        <v>4668</v>
      </c>
      <c r="L3922" s="1" t="s">
        <v>659</v>
      </c>
      <c r="M3922">
        <f t="shared" si="123"/>
        <v>10</v>
      </c>
      <c r="N3922" t="s">
        <v>650</v>
      </c>
    </row>
    <row r="3923" spans="1:14" x14ac:dyDescent="0.3">
      <c r="A3923" s="1" t="s">
        <v>9204</v>
      </c>
      <c r="B3923" s="1" t="s">
        <v>4561</v>
      </c>
      <c r="C3923" s="1" t="s">
        <v>9205</v>
      </c>
      <c r="D3923" s="1" t="s">
        <v>1395</v>
      </c>
      <c r="E3923" s="1" t="s">
        <v>6076</v>
      </c>
      <c r="F3923" s="1" t="s">
        <v>6076</v>
      </c>
      <c r="G3923" s="1" t="s">
        <v>5439</v>
      </c>
      <c r="H3923">
        <v>1999</v>
      </c>
      <c r="I3923">
        <v>2002</v>
      </c>
      <c r="J3923">
        <f t="shared" si="122"/>
        <v>4</v>
      </c>
      <c r="K3923" s="1" t="s">
        <v>6076</v>
      </c>
      <c r="L3923" s="1" t="s">
        <v>6076</v>
      </c>
      <c r="M3923">
        <f t="shared" si="123"/>
        <v>24</v>
      </c>
      <c r="N3923" t="s">
        <v>640</v>
      </c>
    </row>
    <row r="3924" spans="1:14" x14ac:dyDescent="0.3">
      <c r="A3924" s="1" t="s">
        <v>9206</v>
      </c>
      <c r="B3924" s="1" t="s">
        <v>4561</v>
      </c>
      <c r="C3924" s="1" t="s">
        <v>9207</v>
      </c>
      <c r="D3924" s="1" t="s">
        <v>1395</v>
      </c>
      <c r="E3924" s="1" t="s">
        <v>6076</v>
      </c>
      <c r="F3924" s="1" t="s">
        <v>6076</v>
      </c>
      <c r="G3924" s="1" t="s">
        <v>5439</v>
      </c>
      <c r="H3924">
        <v>1999</v>
      </c>
      <c r="I3924">
        <v>2001</v>
      </c>
      <c r="J3924">
        <f t="shared" si="122"/>
        <v>3</v>
      </c>
      <c r="K3924" s="1" t="s">
        <v>6076</v>
      </c>
      <c r="L3924" s="1" t="s">
        <v>6076</v>
      </c>
      <c r="M3924">
        <f t="shared" si="123"/>
        <v>25</v>
      </c>
      <c r="N3924" t="s">
        <v>640</v>
      </c>
    </row>
    <row r="3925" spans="1:14" x14ac:dyDescent="0.3">
      <c r="A3925" s="1" t="s">
        <v>9208</v>
      </c>
      <c r="B3925" s="1" t="s">
        <v>4561</v>
      </c>
      <c r="C3925" s="1" t="s">
        <v>9209</v>
      </c>
      <c r="D3925" s="1" t="s">
        <v>1395</v>
      </c>
      <c r="E3925" s="1" t="s">
        <v>6076</v>
      </c>
      <c r="F3925" s="1" t="s">
        <v>6076</v>
      </c>
      <c r="G3925" s="1" t="s">
        <v>5439</v>
      </c>
      <c r="H3925">
        <v>2001</v>
      </c>
      <c r="I3925">
        <v>2002</v>
      </c>
      <c r="J3925">
        <f t="shared" si="122"/>
        <v>2</v>
      </c>
      <c r="K3925" s="1" t="s">
        <v>6076</v>
      </c>
      <c r="L3925" s="1" t="s">
        <v>6076</v>
      </c>
      <c r="M3925">
        <f t="shared" si="123"/>
        <v>24</v>
      </c>
      <c r="N3925" t="s">
        <v>640</v>
      </c>
    </row>
    <row r="3926" spans="1:14" x14ac:dyDescent="0.3">
      <c r="A3926" s="1" t="s">
        <v>9210</v>
      </c>
      <c r="B3926" s="1" t="s">
        <v>4561</v>
      </c>
      <c r="C3926" s="1" t="s">
        <v>9211</v>
      </c>
      <c r="D3926" s="1" t="s">
        <v>1395</v>
      </c>
      <c r="E3926" s="1" t="s">
        <v>6076</v>
      </c>
      <c r="F3926" s="1" t="s">
        <v>6076</v>
      </c>
      <c r="G3926" s="1" t="s">
        <v>5439</v>
      </c>
      <c r="H3926">
        <v>2001</v>
      </c>
      <c r="I3926">
        <v>2002</v>
      </c>
      <c r="J3926">
        <f t="shared" si="122"/>
        <v>2</v>
      </c>
      <c r="K3926" s="1" t="s">
        <v>6076</v>
      </c>
      <c r="L3926" s="1" t="s">
        <v>6076</v>
      </c>
      <c r="M3926">
        <f t="shared" si="123"/>
        <v>24</v>
      </c>
      <c r="N3926" t="s">
        <v>640</v>
      </c>
    </row>
    <row r="3927" spans="1:14" x14ac:dyDescent="0.3">
      <c r="A3927" s="1" t="s">
        <v>9212</v>
      </c>
      <c r="B3927" s="1" t="s">
        <v>4561</v>
      </c>
      <c r="C3927" s="1" t="s">
        <v>9213</v>
      </c>
      <c r="D3927" s="1" t="s">
        <v>1395</v>
      </c>
      <c r="E3927" s="1" t="s">
        <v>6076</v>
      </c>
      <c r="F3927" s="1" t="s">
        <v>6076</v>
      </c>
      <c r="G3927" s="1" t="s">
        <v>5439</v>
      </c>
      <c r="H3927">
        <v>2017</v>
      </c>
      <c r="I3927">
        <v>2018</v>
      </c>
      <c r="J3927">
        <f t="shared" si="122"/>
        <v>2</v>
      </c>
      <c r="K3927" s="1" t="s">
        <v>6076</v>
      </c>
      <c r="L3927" s="1" t="s">
        <v>6076</v>
      </c>
      <c r="M3927">
        <f t="shared" si="123"/>
        <v>8</v>
      </c>
      <c r="N3927" t="s">
        <v>650</v>
      </c>
    </row>
    <row r="3928" spans="1:14" x14ac:dyDescent="0.3">
      <c r="A3928" s="1" t="s">
        <v>9214</v>
      </c>
      <c r="B3928" s="1" t="s">
        <v>4561</v>
      </c>
      <c r="C3928" s="1" t="s">
        <v>9215</v>
      </c>
      <c r="D3928" s="1" t="s">
        <v>1395</v>
      </c>
      <c r="E3928" s="1" t="s">
        <v>6076</v>
      </c>
      <c r="F3928" s="1" t="s">
        <v>6076</v>
      </c>
      <c r="G3928" s="1" t="s">
        <v>5439</v>
      </c>
      <c r="H3928">
        <v>2000</v>
      </c>
      <c r="I3928">
        <v>2005</v>
      </c>
      <c r="J3928">
        <f t="shared" si="122"/>
        <v>6</v>
      </c>
      <c r="K3928" s="1" t="s">
        <v>6076</v>
      </c>
      <c r="L3928" s="1" t="s">
        <v>6076</v>
      </c>
      <c r="M3928">
        <f t="shared" si="123"/>
        <v>21</v>
      </c>
      <c r="N3928" t="s">
        <v>640</v>
      </c>
    </row>
    <row r="3929" spans="1:14" x14ac:dyDescent="0.3">
      <c r="A3929" s="1" t="s">
        <v>9216</v>
      </c>
      <c r="B3929" s="1" t="s">
        <v>4561</v>
      </c>
      <c r="C3929" s="1" t="s">
        <v>9217</v>
      </c>
      <c r="D3929" s="1" t="s">
        <v>1395</v>
      </c>
      <c r="E3929" s="1" t="s">
        <v>6076</v>
      </c>
      <c r="F3929" s="1" t="s">
        <v>6076</v>
      </c>
      <c r="G3929" s="1" t="s">
        <v>5439</v>
      </c>
      <c r="H3929">
        <v>1999</v>
      </c>
      <c r="I3929">
        <v>2003</v>
      </c>
      <c r="J3929">
        <f t="shared" si="122"/>
        <v>5</v>
      </c>
      <c r="K3929" s="1" t="s">
        <v>6076</v>
      </c>
      <c r="L3929" s="1" t="s">
        <v>6076</v>
      </c>
      <c r="M3929">
        <f t="shared" si="123"/>
        <v>23</v>
      </c>
      <c r="N3929" t="s">
        <v>640</v>
      </c>
    </row>
    <row r="3930" spans="1:14" x14ac:dyDescent="0.3">
      <c r="A3930" s="1" t="s">
        <v>9218</v>
      </c>
      <c r="B3930" s="1" t="s">
        <v>4561</v>
      </c>
      <c r="C3930" s="1" t="s">
        <v>9219</v>
      </c>
      <c r="D3930" s="1" t="s">
        <v>1395</v>
      </c>
      <c r="E3930" s="1" t="s">
        <v>6076</v>
      </c>
      <c r="F3930" s="1" t="s">
        <v>6076</v>
      </c>
      <c r="G3930" s="1" t="s">
        <v>5439</v>
      </c>
      <c r="H3930">
        <v>1998</v>
      </c>
      <c r="I3930">
        <v>2003</v>
      </c>
      <c r="J3930">
        <f t="shared" si="122"/>
        <v>6</v>
      </c>
      <c r="K3930" s="1" t="s">
        <v>6076</v>
      </c>
      <c r="L3930" s="1" t="s">
        <v>6076</v>
      </c>
      <c r="M3930">
        <f t="shared" si="123"/>
        <v>23</v>
      </c>
      <c r="N3930" t="s">
        <v>640</v>
      </c>
    </row>
    <row r="3931" spans="1:14" x14ac:dyDescent="0.3">
      <c r="A3931" s="1" t="s">
        <v>9220</v>
      </c>
      <c r="B3931" s="1" t="s">
        <v>4561</v>
      </c>
      <c r="C3931" s="1" t="s">
        <v>9221</v>
      </c>
      <c r="D3931" s="1" t="s">
        <v>1395</v>
      </c>
      <c r="E3931" s="1" t="s">
        <v>6076</v>
      </c>
      <c r="F3931" s="1" t="s">
        <v>6076</v>
      </c>
      <c r="G3931" s="1" t="s">
        <v>5439</v>
      </c>
      <c r="H3931">
        <v>1999</v>
      </c>
      <c r="I3931">
        <v>2006</v>
      </c>
      <c r="J3931">
        <f t="shared" si="122"/>
        <v>8</v>
      </c>
      <c r="K3931" s="1" t="s">
        <v>6076</v>
      </c>
      <c r="L3931" s="1" t="s">
        <v>6076</v>
      </c>
      <c r="M3931">
        <f t="shared" si="123"/>
        <v>20</v>
      </c>
      <c r="N3931" t="s">
        <v>640</v>
      </c>
    </row>
    <row r="3932" spans="1:14" x14ac:dyDescent="0.3">
      <c r="A3932" s="1" t="s">
        <v>9222</v>
      </c>
      <c r="B3932" s="1" t="s">
        <v>4561</v>
      </c>
      <c r="C3932" s="1" t="s">
        <v>9223</v>
      </c>
      <c r="D3932" s="1" t="s">
        <v>1395</v>
      </c>
      <c r="E3932" s="1" t="s">
        <v>6076</v>
      </c>
      <c r="F3932" s="1" t="s">
        <v>6076</v>
      </c>
      <c r="G3932" s="1" t="s">
        <v>5439</v>
      </c>
      <c r="H3932">
        <v>2010</v>
      </c>
      <c r="I3932">
        <v>2011</v>
      </c>
      <c r="J3932">
        <f t="shared" si="122"/>
        <v>2</v>
      </c>
      <c r="K3932" s="1" t="s">
        <v>6076</v>
      </c>
      <c r="L3932" s="1" t="s">
        <v>6076</v>
      </c>
      <c r="M3932">
        <f t="shared" si="123"/>
        <v>15</v>
      </c>
      <c r="N3932" t="s">
        <v>650</v>
      </c>
    </row>
    <row r="3933" spans="1:14" x14ac:dyDescent="0.3">
      <c r="A3933" s="1" t="s">
        <v>9224</v>
      </c>
      <c r="B3933" s="1" t="s">
        <v>4561</v>
      </c>
      <c r="C3933" s="1" t="s">
        <v>9225</v>
      </c>
      <c r="D3933" s="1" t="s">
        <v>1395</v>
      </c>
      <c r="E3933" s="1" t="s">
        <v>6076</v>
      </c>
      <c r="F3933" s="1" t="s">
        <v>6076</v>
      </c>
      <c r="G3933" s="1" t="s">
        <v>5439</v>
      </c>
      <c r="H3933">
        <v>2018</v>
      </c>
      <c r="I3933">
        <v>2022</v>
      </c>
      <c r="J3933">
        <f t="shared" si="122"/>
        <v>5</v>
      </c>
      <c r="K3933" s="1" t="s">
        <v>6076</v>
      </c>
      <c r="L3933" s="1" t="s">
        <v>6076</v>
      </c>
      <c r="M3933">
        <f t="shared" si="123"/>
        <v>4</v>
      </c>
      <c r="N3933" t="s">
        <v>650</v>
      </c>
    </row>
    <row r="3934" spans="1:14" x14ac:dyDescent="0.3">
      <c r="A3934" s="1" t="s">
        <v>9226</v>
      </c>
      <c r="B3934" s="1" t="s">
        <v>4561</v>
      </c>
      <c r="C3934" s="1" t="s">
        <v>9227</v>
      </c>
      <c r="D3934" s="1" t="s">
        <v>1395</v>
      </c>
      <c r="E3934" s="1" t="s">
        <v>6076</v>
      </c>
      <c r="F3934" s="1" t="s">
        <v>6076</v>
      </c>
      <c r="G3934" s="1" t="s">
        <v>5439</v>
      </c>
      <c r="H3934">
        <v>2006</v>
      </c>
      <c r="I3934">
        <v>2011</v>
      </c>
      <c r="J3934">
        <f t="shared" si="122"/>
        <v>6</v>
      </c>
      <c r="K3934" s="1" t="s">
        <v>6076</v>
      </c>
      <c r="L3934" s="1" t="s">
        <v>6076</v>
      </c>
      <c r="M3934">
        <f t="shared" si="123"/>
        <v>15</v>
      </c>
      <c r="N3934" t="s">
        <v>650</v>
      </c>
    </row>
    <row r="3935" spans="1:14" x14ac:dyDescent="0.3">
      <c r="A3935" s="1" t="s">
        <v>9228</v>
      </c>
      <c r="B3935" s="1" t="s">
        <v>4561</v>
      </c>
      <c r="C3935" s="1" t="s">
        <v>9229</v>
      </c>
      <c r="D3935" s="1" t="s">
        <v>1395</v>
      </c>
      <c r="E3935" s="1" t="s">
        <v>6076</v>
      </c>
      <c r="F3935" s="1" t="s">
        <v>6076</v>
      </c>
      <c r="G3935" s="1" t="s">
        <v>5439</v>
      </c>
      <c r="H3935">
        <v>2007</v>
      </c>
      <c r="I3935">
        <v>2011</v>
      </c>
      <c r="J3935">
        <f t="shared" si="122"/>
        <v>5</v>
      </c>
      <c r="K3935" s="1" t="s">
        <v>6076</v>
      </c>
      <c r="L3935" s="1" t="s">
        <v>6076</v>
      </c>
      <c r="M3935">
        <f t="shared" si="123"/>
        <v>15</v>
      </c>
      <c r="N3935" t="s">
        <v>650</v>
      </c>
    </row>
    <row r="3936" spans="1:14" x14ac:dyDescent="0.3">
      <c r="A3936" s="1" t="s">
        <v>9230</v>
      </c>
      <c r="B3936" s="1" t="s">
        <v>4561</v>
      </c>
      <c r="C3936" s="1" t="s">
        <v>9231</v>
      </c>
      <c r="D3936" s="1" t="s">
        <v>1395</v>
      </c>
      <c r="E3936" s="1" t="s">
        <v>6076</v>
      </c>
      <c r="F3936" s="1" t="s">
        <v>6076</v>
      </c>
      <c r="G3936" s="1" t="s">
        <v>5439</v>
      </c>
      <c r="H3936">
        <v>2006</v>
      </c>
      <c r="I3936">
        <v>2009</v>
      </c>
      <c r="J3936">
        <f t="shared" si="122"/>
        <v>4</v>
      </c>
      <c r="K3936" s="1" t="s">
        <v>6076</v>
      </c>
      <c r="L3936" s="1" t="s">
        <v>6076</v>
      </c>
      <c r="M3936">
        <f t="shared" si="123"/>
        <v>17</v>
      </c>
      <c r="N3936" t="s">
        <v>650</v>
      </c>
    </row>
    <row r="3937" spans="1:14" x14ac:dyDescent="0.3">
      <c r="A3937" s="1" t="s">
        <v>9232</v>
      </c>
      <c r="B3937" s="1" t="s">
        <v>4561</v>
      </c>
      <c r="C3937" s="1" t="s">
        <v>9233</v>
      </c>
      <c r="D3937" s="1" t="s">
        <v>1395</v>
      </c>
      <c r="E3937" s="1" t="s">
        <v>6076</v>
      </c>
      <c r="F3937" s="1" t="s">
        <v>6076</v>
      </c>
      <c r="G3937" s="1" t="s">
        <v>5439</v>
      </c>
      <c r="H3937">
        <v>2021</v>
      </c>
      <c r="I3937">
        <v>2022</v>
      </c>
      <c r="J3937">
        <f t="shared" si="122"/>
        <v>2</v>
      </c>
      <c r="K3937" s="1" t="s">
        <v>6076</v>
      </c>
      <c r="L3937" s="1" t="s">
        <v>6076</v>
      </c>
      <c r="M3937">
        <f t="shared" si="123"/>
        <v>4</v>
      </c>
      <c r="N3937" t="s">
        <v>650</v>
      </c>
    </row>
    <row r="3938" spans="1:14" x14ac:dyDescent="0.3">
      <c r="A3938" t="s">
        <v>12088</v>
      </c>
      <c r="B3938" t="s">
        <v>4561</v>
      </c>
      <c r="C3938" t="s">
        <v>12089</v>
      </c>
      <c r="E3938" s="1" t="s">
        <v>6076</v>
      </c>
      <c r="F3938" s="1" t="s">
        <v>6076</v>
      </c>
      <c r="G3938" s="1" t="s">
        <v>12868</v>
      </c>
      <c r="H3938">
        <v>2024</v>
      </c>
      <c r="I3938">
        <v>2026</v>
      </c>
      <c r="J3938">
        <f t="shared" si="122"/>
        <v>3</v>
      </c>
      <c r="K3938" s="1" t="s">
        <v>6076</v>
      </c>
      <c r="L3938" s="1" t="s">
        <v>6076</v>
      </c>
      <c r="M3938">
        <f t="shared" si="123"/>
        <v>0</v>
      </c>
    </row>
    <row r="3939" spans="1:14" x14ac:dyDescent="0.3">
      <c r="A3939" t="s">
        <v>12090</v>
      </c>
      <c r="B3939" t="s">
        <v>4561</v>
      </c>
      <c r="C3939" t="s">
        <v>12091</v>
      </c>
      <c r="E3939" s="1" t="s">
        <v>6076</v>
      </c>
      <c r="F3939" s="1" t="s">
        <v>6076</v>
      </c>
      <c r="G3939" s="1" t="s">
        <v>12868</v>
      </c>
      <c r="H3939">
        <v>2024</v>
      </c>
      <c r="I3939">
        <v>2026</v>
      </c>
      <c r="J3939">
        <f t="shared" si="122"/>
        <v>3</v>
      </c>
      <c r="K3939" s="1" t="s">
        <v>6076</v>
      </c>
      <c r="L3939" s="1" t="s">
        <v>6076</v>
      </c>
      <c r="M3939">
        <f t="shared" si="123"/>
        <v>0</v>
      </c>
    </row>
    <row r="3940" spans="1:14" x14ac:dyDescent="0.3">
      <c r="A3940" s="1" t="s">
        <v>9234</v>
      </c>
      <c r="B3940" s="1" t="s">
        <v>4561</v>
      </c>
      <c r="C3940" s="1" t="s">
        <v>9235</v>
      </c>
      <c r="D3940" s="1" t="s">
        <v>1395</v>
      </c>
      <c r="E3940" s="1" t="s">
        <v>6076</v>
      </c>
      <c r="F3940" s="1" t="s">
        <v>6076</v>
      </c>
      <c r="G3940" s="1" t="s">
        <v>5439</v>
      </c>
      <c r="H3940">
        <v>2002</v>
      </c>
      <c r="I3940">
        <v>2003</v>
      </c>
      <c r="J3940">
        <f t="shared" si="122"/>
        <v>2</v>
      </c>
      <c r="K3940" s="1" t="s">
        <v>6076</v>
      </c>
      <c r="L3940" s="1" t="s">
        <v>6076</v>
      </c>
      <c r="M3940">
        <f t="shared" si="123"/>
        <v>23</v>
      </c>
      <c r="N3940" t="s">
        <v>640</v>
      </c>
    </row>
    <row r="3941" spans="1:14" x14ac:dyDescent="0.3">
      <c r="A3941" s="1" t="s">
        <v>9236</v>
      </c>
      <c r="B3941" s="1" t="s">
        <v>4561</v>
      </c>
      <c r="C3941" s="1" t="s">
        <v>9237</v>
      </c>
      <c r="D3941" s="1" t="s">
        <v>1395</v>
      </c>
      <c r="E3941" s="1" t="s">
        <v>6076</v>
      </c>
      <c r="F3941" s="1" t="s">
        <v>6076</v>
      </c>
      <c r="G3941" s="1" t="s">
        <v>5439</v>
      </c>
      <c r="H3941">
        <v>2001</v>
      </c>
      <c r="I3941">
        <v>2007</v>
      </c>
      <c r="J3941">
        <f t="shared" si="122"/>
        <v>7</v>
      </c>
      <c r="K3941" s="1" t="s">
        <v>6076</v>
      </c>
      <c r="L3941" s="1" t="s">
        <v>6076</v>
      </c>
      <c r="M3941">
        <f t="shared" si="123"/>
        <v>19</v>
      </c>
      <c r="N3941" t="s">
        <v>650</v>
      </c>
    </row>
    <row r="3942" spans="1:14" x14ac:dyDescent="0.3">
      <c r="A3942" s="1" t="s">
        <v>9238</v>
      </c>
      <c r="B3942" s="1" t="s">
        <v>4561</v>
      </c>
      <c r="C3942" s="1" t="s">
        <v>9239</v>
      </c>
      <c r="D3942" s="1" t="s">
        <v>1395</v>
      </c>
      <c r="E3942" s="1" t="s">
        <v>6076</v>
      </c>
      <c r="F3942" s="1" t="s">
        <v>6076</v>
      </c>
      <c r="G3942" s="1" t="s">
        <v>5439</v>
      </c>
      <c r="H3942">
        <v>2001</v>
      </c>
      <c r="I3942">
        <v>2006</v>
      </c>
      <c r="J3942">
        <f t="shared" si="122"/>
        <v>6</v>
      </c>
      <c r="K3942" s="1" t="s">
        <v>6076</v>
      </c>
      <c r="L3942" s="1" t="s">
        <v>6076</v>
      </c>
      <c r="M3942">
        <f t="shared" si="123"/>
        <v>20</v>
      </c>
      <c r="N3942" t="s">
        <v>640</v>
      </c>
    </row>
    <row r="3943" spans="1:14" x14ac:dyDescent="0.3">
      <c r="A3943" s="1" t="s">
        <v>9240</v>
      </c>
      <c r="B3943" s="1" t="s">
        <v>4561</v>
      </c>
      <c r="C3943" s="1" t="s">
        <v>9241</v>
      </c>
      <c r="D3943" s="1" t="s">
        <v>1395</v>
      </c>
      <c r="E3943" s="1" t="s">
        <v>6076</v>
      </c>
      <c r="F3943" s="1" t="s">
        <v>6076</v>
      </c>
      <c r="G3943" s="1" t="s">
        <v>5439</v>
      </c>
      <c r="H3943">
        <v>2004</v>
      </c>
      <c r="I3943">
        <v>2009</v>
      </c>
      <c r="J3943">
        <f t="shared" si="122"/>
        <v>6</v>
      </c>
      <c r="K3943" s="1" t="s">
        <v>6076</v>
      </c>
      <c r="L3943" s="1" t="s">
        <v>6076</v>
      </c>
      <c r="M3943">
        <f t="shared" si="123"/>
        <v>17</v>
      </c>
      <c r="N3943" t="s">
        <v>650</v>
      </c>
    </row>
    <row r="3944" spans="1:14" x14ac:dyDescent="0.3">
      <c r="A3944" s="1" t="s">
        <v>9242</v>
      </c>
      <c r="B3944" s="1" t="s">
        <v>4561</v>
      </c>
      <c r="C3944" s="1" t="s">
        <v>9243</v>
      </c>
      <c r="D3944" s="1" t="s">
        <v>1395</v>
      </c>
      <c r="E3944" s="1" t="s">
        <v>6076</v>
      </c>
      <c r="F3944" s="1" t="s">
        <v>6076</v>
      </c>
      <c r="G3944" s="1" t="s">
        <v>5439</v>
      </c>
      <c r="H3944">
        <v>2004</v>
      </c>
      <c r="I3944">
        <v>2007</v>
      </c>
      <c r="J3944">
        <f t="shared" si="122"/>
        <v>4</v>
      </c>
      <c r="K3944" s="1" t="s">
        <v>6076</v>
      </c>
      <c r="L3944" s="1" t="s">
        <v>6076</v>
      </c>
      <c r="M3944">
        <f t="shared" si="123"/>
        <v>19</v>
      </c>
      <c r="N3944" t="s">
        <v>650</v>
      </c>
    </row>
    <row r="3945" spans="1:14" hidden="1" x14ac:dyDescent="0.3">
      <c r="A3945" s="1" t="s">
        <v>5470</v>
      </c>
      <c r="B3945" s="1" t="s">
        <v>4561</v>
      </c>
      <c r="C3945" s="1" t="s">
        <v>5471</v>
      </c>
      <c r="D3945" s="1" t="s">
        <v>1395</v>
      </c>
      <c r="E3945" s="1" t="s">
        <v>1396</v>
      </c>
      <c r="F3945" s="1" t="s">
        <v>1397</v>
      </c>
      <c r="G3945" s="1" t="s">
        <v>5439</v>
      </c>
      <c r="H3945">
        <v>2012</v>
      </c>
      <c r="I3945">
        <v>2015</v>
      </c>
      <c r="J3945">
        <f t="shared" si="122"/>
        <v>4</v>
      </c>
      <c r="K3945" s="1" t="s">
        <v>4668</v>
      </c>
      <c r="L3945" s="1" t="s">
        <v>659</v>
      </c>
      <c r="M3945">
        <f t="shared" si="123"/>
        <v>11</v>
      </c>
      <c r="N3945" t="s">
        <v>650</v>
      </c>
    </row>
    <row r="3946" spans="1:14" hidden="1" x14ac:dyDescent="0.3">
      <c r="A3946" s="1" t="s">
        <v>5472</v>
      </c>
      <c r="B3946" s="1" t="s">
        <v>4561</v>
      </c>
      <c r="C3946" s="1" t="s">
        <v>5473</v>
      </c>
      <c r="D3946" s="1" t="s">
        <v>1395</v>
      </c>
      <c r="E3946" s="1" t="s">
        <v>1396</v>
      </c>
      <c r="F3946" s="1" t="s">
        <v>1397</v>
      </c>
      <c r="G3946" s="1" t="s">
        <v>5439</v>
      </c>
      <c r="H3946">
        <v>2012</v>
      </c>
      <c r="I3946">
        <v>2015</v>
      </c>
      <c r="J3946">
        <f t="shared" si="122"/>
        <v>4</v>
      </c>
      <c r="K3946" s="1" t="s">
        <v>4668</v>
      </c>
      <c r="L3946" s="1" t="s">
        <v>659</v>
      </c>
      <c r="M3946">
        <f t="shared" si="123"/>
        <v>11</v>
      </c>
      <c r="N3946" t="s">
        <v>650</v>
      </c>
    </row>
    <row r="3947" spans="1:14" hidden="1" x14ac:dyDescent="0.3">
      <c r="A3947" s="1" t="s">
        <v>5474</v>
      </c>
      <c r="B3947" s="1" t="s">
        <v>4561</v>
      </c>
      <c r="C3947" s="1" t="s">
        <v>5475</v>
      </c>
      <c r="D3947" s="1" t="s">
        <v>1395</v>
      </c>
      <c r="E3947" s="1" t="s">
        <v>1396</v>
      </c>
      <c r="F3947" s="1" t="s">
        <v>1397</v>
      </c>
      <c r="G3947" s="1" t="s">
        <v>5439</v>
      </c>
      <c r="H3947">
        <v>2003</v>
      </c>
      <c r="I3947">
        <v>2015</v>
      </c>
      <c r="J3947">
        <f t="shared" si="122"/>
        <v>13</v>
      </c>
      <c r="K3947" s="1" t="s">
        <v>4668</v>
      </c>
      <c r="L3947" s="1" t="s">
        <v>659</v>
      </c>
      <c r="M3947">
        <f t="shared" si="123"/>
        <v>11</v>
      </c>
      <c r="N3947" t="s">
        <v>650</v>
      </c>
    </row>
    <row r="3948" spans="1:14" hidden="1" x14ac:dyDescent="0.3">
      <c r="A3948" s="1" t="s">
        <v>5476</v>
      </c>
      <c r="B3948" s="1" t="s">
        <v>4561</v>
      </c>
      <c r="C3948" s="1" t="s">
        <v>5477</v>
      </c>
      <c r="D3948" s="1" t="s">
        <v>1395</v>
      </c>
      <c r="E3948" s="1" t="s">
        <v>1396</v>
      </c>
      <c r="F3948" s="1" t="s">
        <v>1397</v>
      </c>
      <c r="G3948" s="1" t="s">
        <v>5439</v>
      </c>
      <c r="H3948">
        <v>2003</v>
      </c>
      <c r="I3948">
        <v>2015</v>
      </c>
      <c r="J3948">
        <f t="shared" si="122"/>
        <v>13</v>
      </c>
      <c r="K3948" s="1" t="s">
        <v>4668</v>
      </c>
      <c r="L3948" s="1" t="s">
        <v>659</v>
      </c>
      <c r="M3948">
        <f t="shared" si="123"/>
        <v>11</v>
      </c>
      <c r="N3948" t="s">
        <v>650</v>
      </c>
    </row>
    <row r="3949" spans="1:14" hidden="1" x14ac:dyDescent="0.3">
      <c r="A3949" s="1" t="s">
        <v>5478</v>
      </c>
      <c r="B3949" s="1" t="s">
        <v>4561</v>
      </c>
      <c r="C3949" s="1" t="s">
        <v>5479</v>
      </c>
      <c r="D3949" s="1" t="s">
        <v>1395</v>
      </c>
      <c r="E3949" s="1" t="s">
        <v>1396</v>
      </c>
      <c r="F3949" s="1" t="s">
        <v>1397</v>
      </c>
      <c r="G3949" s="1" t="s">
        <v>5439</v>
      </c>
      <c r="H3949">
        <v>2008</v>
      </c>
      <c r="I3949">
        <v>2012</v>
      </c>
      <c r="J3949">
        <f t="shared" si="122"/>
        <v>5</v>
      </c>
      <c r="K3949" s="1" t="s">
        <v>4668</v>
      </c>
      <c r="L3949" s="1" t="s">
        <v>659</v>
      </c>
      <c r="M3949">
        <f t="shared" si="123"/>
        <v>14</v>
      </c>
      <c r="N3949" t="s">
        <v>650</v>
      </c>
    </row>
    <row r="3950" spans="1:14" hidden="1" x14ac:dyDescent="0.3">
      <c r="A3950" s="1" t="s">
        <v>2408</v>
      </c>
      <c r="B3950" s="1" t="s">
        <v>802</v>
      </c>
      <c r="C3950" s="1" t="s">
        <v>2409</v>
      </c>
      <c r="D3950" s="1" t="s">
        <v>746</v>
      </c>
      <c r="E3950" s="1" t="s">
        <v>747</v>
      </c>
      <c r="F3950" s="1" t="s">
        <v>748</v>
      </c>
      <c r="G3950" s="1" t="s">
        <v>2410</v>
      </c>
      <c r="H3950">
        <v>2009</v>
      </c>
      <c r="I3950">
        <v>2009</v>
      </c>
      <c r="J3950">
        <f t="shared" si="122"/>
        <v>1</v>
      </c>
      <c r="K3950" s="1" t="s">
        <v>741</v>
      </c>
      <c r="L3950" s="1" t="s">
        <v>798</v>
      </c>
      <c r="M3950">
        <f t="shared" si="123"/>
        <v>17</v>
      </c>
      <c r="N3950" t="s">
        <v>650</v>
      </c>
    </row>
    <row r="3951" spans="1:14" hidden="1" x14ac:dyDescent="0.3">
      <c r="A3951" s="1" t="s">
        <v>2411</v>
      </c>
      <c r="B3951" s="1" t="s">
        <v>802</v>
      </c>
      <c r="C3951" s="1" t="s">
        <v>2412</v>
      </c>
      <c r="D3951" s="1" t="s">
        <v>746</v>
      </c>
      <c r="E3951" s="1" t="s">
        <v>747</v>
      </c>
      <c r="F3951" s="1" t="s">
        <v>748</v>
      </c>
      <c r="G3951" s="1" t="s">
        <v>2410</v>
      </c>
      <c r="H3951">
        <v>2009</v>
      </c>
      <c r="I3951">
        <v>2009</v>
      </c>
      <c r="J3951">
        <f t="shared" si="122"/>
        <v>1</v>
      </c>
      <c r="K3951" s="1" t="s">
        <v>741</v>
      </c>
      <c r="L3951" s="1" t="s">
        <v>798</v>
      </c>
      <c r="M3951">
        <f t="shared" si="123"/>
        <v>17</v>
      </c>
      <c r="N3951" t="s">
        <v>650</v>
      </c>
    </row>
    <row r="3952" spans="1:14" hidden="1" x14ac:dyDescent="0.3">
      <c r="A3952" s="1" t="s">
        <v>2413</v>
      </c>
      <c r="B3952" s="1" t="s">
        <v>802</v>
      </c>
      <c r="C3952" s="1" t="s">
        <v>2414</v>
      </c>
      <c r="D3952" s="1" t="s">
        <v>746</v>
      </c>
      <c r="E3952" s="1" t="s">
        <v>747</v>
      </c>
      <c r="F3952" s="1" t="s">
        <v>748</v>
      </c>
      <c r="G3952" s="1" t="s">
        <v>2410</v>
      </c>
      <c r="H3952">
        <v>2009</v>
      </c>
      <c r="I3952">
        <v>2009</v>
      </c>
      <c r="J3952">
        <f t="shared" si="122"/>
        <v>1</v>
      </c>
      <c r="K3952" s="1" t="s">
        <v>741</v>
      </c>
      <c r="L3952" s="1" t="s">
        <v>798</v>
      </c>
      <c r="M3952">
        <f t="shared" si="123"/>
        <v>17</v>
      </c>
      <c r="N3952" t="s">
        <v>650</v>
      </c>
    </row>
    <row r="3953" spans="1:14" hidden="1" x14ac:dyDescent="0.3">
      <c r="A3953" s="1" t="s">
        <v>2415</v>
      </c>
      <c r="B3953" s="1" t="s">
        <v>802</v>
      </c>
      <c r="C3953" s="1" t="s">
        <v>2416</v>
      </c>
      <c r="D3953" s="1" t="s">
        <v>746</v>
      </c>
      <c r="E3953" s="1" t="s">
        <v>747</v>
      </c>
      <c r="F3953" s="1" t="s">
        <v>748</v>
      </c>
      <c r="G3953" s="1" t="s">
        <v>2410</v>
      </c>
      <c r="H3953">
        <v>2009</v>
      </c>
      <c r="I3953">
        <v>2009</v>
      </c>
      <c r="J3953">
        <f t="shared" si="122"/>
        <v>1</v>
      </c>
      <c r="K3953" s="1" t="s">
        <v>741</v>
      </c>
      <c r="L3953" s="1" t="s">
        <v>798</v>
      </c>
      <c r="M3953">
        <f t="shared" si="123"/>
        <v>17</v>
      </c>
      <c r="N3953" t="s">
        <v>650</v>
      </c>
    </row>
    <row r="3954" spans="1:14" hidden="1" x14ac:dyDescent="0.3">
      <c r="A3954" s="1" t="s">
        <v>2417</v>
      </c>
      <c r="B3954" s="1" t="s">
        <v>802</v>
      </c>
      <c r="C3954" s="1" t="s">
        <v>2418</v>
      </c>
      <c r="D3954" s="1" t="s">
        <v>746</v>
      </c>
      <c r="E3954" s="1" t="s">
        <v>747</v>
      </c>
      <c r="F3954" s="1" t="s">
        <v>748</v>
      </c>
      <c r="G3954" s="1" t="s">
        <v>2410</v>
      </c>
      <c r="H3954">
        <v>2003</v>
      </c>
      <c r="I3954">
        <v>2003</v>
      </c>
      <c r="J3954">
        <f t="shared" si="122"/>
        <v>1</v>
      </c>
      <c r="K3954" s="1" t="s">
        <v>741</v>
      </c>
      <c r="L3954" s="1" t="s">
        <v>798</v>
      </c>
      <c r="M3954">
        <f t="shared" si="123"/>
        <v>23</v>
      </c>
      <c r="N3954" t="s">
        <v>650</v>
      </c>
    </row>
    <row r="3955" spans="1:14" hidden="1" x14ac:dyDescent="0.3">
      <c r="A3955" s="1" t="s">
        <v>2419</v>
      </c>
      <c r="B3955" s="1" t="s">
        <v>802</v>
      </c>
      <c r="C3955" s="1" t="s">
        <v>2420</v>
      </c>
      <c r="D3955" s="1" t="s">
        <v>746</v>
      </c>
      <c r="E3955" s="1" t="s">
        <v>747</v>
      </c>
      <c r="F3955" s="1" t="s">
        <v>748</v>
      </c>
      <c r="G3955" s="1" t="s">
        <v>2410</v>
      </c>
      <c r="H3955">
        <v>2003</v>
      </c>
      <c r="I3955">
        <v>2003</v>
      </c>
      <c r="J3955">
        <f t="shared" si="122"/>
        <v>1</v>
      </c>
      <c r="K3955" s="1" t="s">
        <v>741</v>
      </c>
      <c r="L3955" s="1" t="s">
        <v>798</v>
      </c>
      <c r="M3955">
        <f t="shared" si="123"/>
        <v>23</v>
      </c>
      <c r="N3955" t="s">
        <v>650</v>
      </c>
    </row>
    <row r="3956" spans="1:14" hidden="1" x14ac:dyDescent="0.3">
      <c r="A3956" s="1" t="s">
        <v>2421</v>
      </c>
      <c r="B3956" s="1" t="s">
        <v>802</v>
      </c>
      <c r="C3956" s="1" t="s">
        <v>2422</v>
      </c>
      <c r="D3956" s="1" t="s">
        <v>746</v>
      </c>
      <c r="E3956" s="1" t="s">
        <v>747</v>
      </c>
      <c r="F3956" s="1" t="s">
        <v>748</v>
      </c>
      <c r="G3956" s="1" t="s">
        <v>2410</v>
      </c>
      <c r="H3956">
        <v>2003</v>
      </c>
      <c r="I3956">
        <v>2003</v>
      </c>
      <c r="J3956">
        <f t="shared" si="122"/>
        <v>1</v>
      </c>
      <c r="K3956" s="1" t="s">
        <v>741</v>
      </c>
      <c r="L3956" s="1" t="s">
        <v>798</v>
      </c>
      <c r="M3956">
        <f t="shared" si="123"/>
        <v>23</v>
      </c>
      <c r="N3956" t="s">
        <v>650</v>
      </c>
    </row>
    <row r="3957" spans="1:14" hidden="1" x14ac:dyDescent="0.3">
      <c r="A3957" s="1" t="s">
        <v>2423</v>
      </c>
      <c r="B3957" s="1" t="s">
        <v>802</v>
      </c>
      <c r="C3957" s="1" t="s">
        <v>2424</v>
      </c>
      <c r="D3957" s="1" t="s">
        <v>746</v>
      </c>
      <c r="E3957" s="1" t="s">
        <v>747</v>
      </c>
      <c r="F3957" s="1" t="s">
        <v>748</v>
      </c>
      <c r="G3957" s="1" t="s">
        <v>2410</v>
      </c>
      <c r="H3957">
        <v>2003</v>
      </c>
      <c r="I3957">
        <v>2003</v>
      </c>
      <c r="J3957">
        <f t="shared" si="122"/>
        <v>1</v>
      </c>
      <c r="K3957" s="1" t="s">
        <v>741</v>
      </c>
      <c r="L3957" s="1" t="s">
        <v>798</v>
      </c>
      <c r="M3957">
        <f t="shared" si="123"/>
        <v>23</v>
      </c>
      <c r="N3957" t="s">
        <v>650</v>
      </c>
    </row>
    <row r="3958" spans="1:14" hidden="1" x14ac:dyDescent="0.3">
      <c r="A3958" s="1" t="s">
        <v>2425</v>
      </c>
      <c r="B3958" s="1" t="s">
        <v>802</v>
      </c>
      <c r="C3958" s="1" t="s">
        <v>2426</v>
      </c>
      <c r="D3958" s="1" t="s">
        <v>746</v>
      </c>
      <c r="E3958" s="1" t="s">
        <v>747</v>
      </c>
      <c r="F3958" s="1" t="s">
        <v>748</v>
      </c>
      <c r="G3958" s="1" t="s">
        <v>2410</v>
      </c>
      <c r="H3958">
        <v>1996</v>
      </c>
      <c r="I3958">
        <v>1996</v>
      </c>
      <c r="J3958">
        <f t="shared" si="122"/>
        <v>1</v>
      </c>
      <c r="K3958" s="1" t="s">
        <v>741</v>
      </c>
      <c r="L3958" s="1" t="s">
        <v>798</v>
      </c>
      <c r="M3958">
        <f t="shared" si="123"/>
        <v>30</v>
      </c>
      <c r="N3958" t="s">
        <v>640</v>
      </c>
    </row>
    <row r="3959" spans="1:14" hidden="1" x14ac:dyDescent="0.3">
      <c r="A3959" s="1" t="s">
        <v>2427</v>
      </c>
      <c r="B3959" s="1" t="s">
        <v>802</v>
      </c>
      <c r="C3959" s="1" t="s">
        <v>2428</v>
      </c>
      <c r="D3959" s="1" t="s">
        <v>746</v>
      </c>
      <c r="E3959" s="1" t="s">
        <v>747</v>
      </c>
      <c r="F3959" s="1" t="s">
        <v>748</v>
      </c>
      <c r="G3959" s="1" t="s">
        <v>2410</v>
      </c>
      <c r="H3959">
        <v>1996</v>
      </c>
      <c r="I3959">
        <v>1996</v>
      </c>
      <c r="J3959">
        <f t="shared" si="122"/>
        <v>1</v>
      </c>
      <c r="K3959" s="1" t="s">
        <v>741</v>
      </c>
      <c r="L3959" s="1" t="s">
        <v>798</v>
      </c>
      <c r="M3959">
        <f t="shared" si="123"/>
        <v>30</v>
      </c>
      <c r="N3959" t="s">
        <v>640</v>
      </c>
    </row>
    <row r="3960" spans="1:14" hidden="1" x14ac:dyDescent="0.3">
      <c r="A3960" s="1" t="s">
        <v>2429</v>
      </c>
      <c r="B3960" s="1" t="s">
        <v>802</v>
      </c>
      <c r="C3960" s="1" t="s">
        <v>2430</v>
      </c>
      <c r="D3960" s="1" t="s">
        <v>746</v>
      </c>
      <c r="E3960" s="1" t="s">
        <v>747</v>
      </c>
      <c r="F3960" s="1" t="s">
        <v>748</v>
      </c>
      <c r="G3960" s="1" t="s">
        <v>2410</v>
      </c>
      <c r="H3960">
        <v>2007</v>
      </c>
      <c r="I3960">
        <v>2007</v>
      </c>
      <c r="J3960">
        <f t="shared" si="122"/>
        <v>1</v>
      </c>
      <c r="K3960" s="1" t="s">
        <v>741</v>
      </c>
      <c r="L3960" s="1" t="s">
        <v>798</v>
      </c>
      <c r="M3960">
        <f t="shared" si="123"/>
        <v>19</v>
      </c>
      <c r="N3960" t="s">
        <v>650</v>
      </c>
    </row>
    <row r="3961" spans="1:14" hidden="1" x14ac:dyDescent="0.3">
      <c r="A3961" s="1" t="s">
        <v>2431</v>
      </c>
      <c r="B3961" s="1" t="s">
        <v>802</v>
      </c>
      <c r="C3961" s="1" t="s">
        <v>2432</v>
      </c>
      <c r="D3961" s="1" t="s">
        <v>746</v>
      </c>
      <c r="E3961" s="1" t="s">
        <v>747</v>
      </c>
      <c r="F3961" s="1" t="s">
        <v>748</v>
      </c>
      <c r="G3961" s="1" t="s">
        <v>2410</v>
      </c>
      <c r="H3961">
        <v>2006</v>
      </c>
      <c r="I3961">
        <v>2006</v>
      </c>
      <c r="J3961">
        <f t="shared" si="122"/>
        <v>1</v>
      </c>
      <c r="K3961" s="1" t="s">
        <v>741</v>
      </c>
      <c r="L3961" s="1" t="s">
        <v>798</v>
      </c>
      <c r="M3961">
        <f t="shared" si="123"/>
        <v>20</v>
      </c>
      <c r="N3961" t="s">
        <v>650</v>
      </c>
    </row>
    <row r="3962" spans="1:14" hidden="1" x14ac:dyDescent="0.3">
      <c r="A3962" s="1" t="s">
        <v>2433</v>
      </c>
      <c r="B3962" s="1" t="s">
        <v>802</v>
      </c>
      <c r="C3962" s="1" t="s">
        <v>2434</v>
      </c>
      <c r="D3962" s="1" t="s">
        <v>746</v>
      </c>
      <c r="E3962" s="1" t="s">
        <v>747</v>
      </c>
      <c r="F3962" s="1" t="s">
        <v>748</v>
      </c>
      <c r="G3962" s="1" t="s">
        <v>2410</v>
      </c>
      <c r="H3962">
        <v>2015</v>
      </c>
      <c r="I3962">
        <v>2015</v>
      </c>
      <c r="J3962">
        <f t="shared" si="122"/>
        <v>1</v>
      </c>
      <c r="K3962" s="1" t="s">
        <v>741</v>
      </c>
      <c r="L3962" s="1" t="s">
        <v>798</v>
      </c>
      <c r="M3962">
        <f t="shared" si="123"/>
        <v>11</v>
      </c>
      <c r="N3962" t="s">
        <v>650</v>
      </c>
    </row>
    <row r="3963" spans="1:14" hidden="1" x14ac:dyDescent="0.3">
      <c r="A3963" s="1" t="s">
        <v>2435</v>
      </c>
      <c r="B3963" s="1" t="s">
        <v>802</v>
      </c>
      <c r="C3963" s="1" t="s">
        <v>2436</v>
      </c>
      <c r="D3963" s="1" t="s">
        <v>746</v>
      </c>
      <c r="E3963" s="1" t="s">
        <v>747</v>
      </c>
      <c r="F3963" s="1" t="s">
        <v>748</v>
      </c>
      <c r="G3963" s="1" t="s">
        <v>2410</v>
      </c>
      <c r="H3963">
        <v>2015</v>
      </c>
      <c r="I3963">
        <v>2015</v>
      </c>
      <c r="J3963">
        <f t="shared" si="122"/>
        <v>1</v>
      </c>
      <c r="K3963" s="1" t="s">
        <v>741</v>
      </c>
      <c r="L3963" s="1" t="s">
        <v>798</v>
      </c>
      <c r="M3963">
        <f t="shared" si="123"/>
        <v>11</v>
      </c>
      <c r="N3963" t="s">
        <v>650</v>
      </c>
    </row>
    <row r="3964" spans="1:14" hidden="1" x14ac:dyDescent="0.3">
      <c r="A3964" s="1" t="s">
        <v>2437</v>
      </c>
      <c r="B3964" s="1" t="s">
        <v>802</v>
      </c>
      <c r="C3964" s="1" t="s">
        <v>2438</v>
      </c>
      <c r="D3964" s="1" t="s">
        <v>746</v>
      </c>
      <c r="E3964" s="1" t="s">
        <v>747</v>
      </c>
      <c r="F3964" s="1" t="s">
        <v>748</v>
      </c>
      <c r="G3964" s="1" t="s">
        <v>2410</v>
      </c>
      <c r="H3964">
        <v>2011</v>
      </c>
      <c r="I3964">
        <v>2011</v>
      </c>
      <c r="J3964">
        <f t="shared" si="122"/>
        <v>1</v>
      </c>
      <c r="K3964" s="1" t="s">
        <v>741</v>
      </c>
      <c r="L3964" s="1" t="s">
        <v>798</v>
      </c>
      <c r="M3964">
        <f t="shared" si="123"/>
        <v>15</v>
      </c>
      <c r="N3964" t="s">
        <v>650</v>
      </c>
    </row>
    <row r="3965" spans="1:14" hidden="1" x14ac:dyDescent="0.3">
      <c r="A3965" s="1" t="s">
        <v>2439</v>
      </c>
      <c r="B3965" s="1" t="s">
        <v>802</v>
      </c>
      <c r="C3965" s="1" t="s">
        <v>2440</v>
      </c>
      <c r="D3965" s="1" t="s">
        <v>746</v>
      </c>
      <c r="E3965" s="1" t="s">
        <v>747</v>
      </c>
      <c r="F3965" s="1" t="s">
        <v>748</v>
      </c>
      <c r="G3965" s="1" t="s">
        <v>2410</v>
      </c>
      <c r="H3965">
        <v>2012</v>
      </c>
      <c r="I3965">
        <v>2012</v>
      </c>
      <c r="J3965">
        <f t="shared" si="122"/>
        <v>1</v>
      </c>
      <c r="K3965" s="1" t="s">
        <v>741</v>
      </c>
      <c r="L3965" s="1" t="s">
        <v>798</v>
      </c>
      <c r="M3965">
        <f t="shared" si="123"/>
        <v>14</v>
      </c>
      <c r="N3965" t="s">
        <v>650</v>
      </c>
    </row>
    <row r="3966" spans="1:14" hidden="1" x14ac:dyDescent="0.3">
      <c r="A3966" s="1" t="s">
        <v>2441</v>
      </c>
      <c r="B3966" s="1" t="s">
        <v>802</v>
      </c>
      <c r="C3966" s="1" t="s">
        <v>2442</v>
      </c>
      <c r="D3966" s="1" t="s">
        <v>746</v>
      </c>
      <c r="E3966" s="1" t="s">
        <v>747</v>
      </c>
      <c r="F3966" s="1" t="s">
        <v>748</v>
      </c>
      <c r="G3966" s="1" t="s">
        <v>2410</v>
      </c>
      <c r="H3966">
        <v>2007</v>
      </c>
      <c r="I3966">
        <v>2007</v>
      </c>
      <c r="J3966">
        <f t="shared" si="122"/>
        <v>1</v>
      </c>
      <c r="K3966" s="1" t="s">
        <v>741</v>
      </c>
      <c r="L3966" s="1" t="s">
        <v>798</v>
      </c>
      <c r="M3966">
        <f t="shared" si="123"/>
        <v>19</v>
      </c>
      <c r="N3966" t="s">
        <v>650</v>
      </c>
    </row>
    <row r="3967" spans="1:14" hidden="1" x14ac:dyDescent="0.3">
      <c r="A3967" s="1" t="s">
        <v>2443</v>
      </c>
      <c r="B3967" s="1" t="s">
        <v>802</v>
      </c>
      <c r="C3967" s="1" t="s">
        <v>2444</v>
      </c>
      <c r="D3967" s="1" t="s">
        <v>746</v>
      </c>
      <c r="E3967" s="1" t="s">
        <v>747</v>
      </c>
      <c r="F3967" s="1" t="s">
        <v>748</v>
      </c>
      <c r="G3967" s="1" t="s">
        <v>2410</v>
      </c>
      <c r="H3967">
        <v>2007</v>
      </c>
      <c r="I3967">
        <v>2007</v>
      </c>
      <c r="J3967">
        <f t="shared" si="122"/>
        <v>1</v>
      </c>
      <c r="K3967" s="1" t="s">
        <v>741</v>
      </c>
      <c r="L3967" s="1" t="s">
        <v>798</v>
      </c>
      <c r="M3967">
        <f t="shared" si="123"/>
        <v>19</v>
      </c>
      <c r="N3967" t="s">
        <v>650</v>
      </c>
    </row>
    <row r="3968" spans="1:14" hidden="1" x14ac:dyDescent="0.3">
      <c r="A3968" s="1" t="s">
        <v>2445</v>
      </c>
      <c r="B3968" s="1" t="s">
        <v>802</v>
      </c>
      <c r="C3968" s="1" t="s">
        <v>2446</v>
      </c>
      <c r="D3968" s="1" t="s">
        <v>746</v>
      </c>
      <c r="E3968" s="1" t="s">
        <v>747</v>
      </c>
      <c r="F3968" s="1" t="s">
        <v>748</v>
      </c>
      <c r="G3968" s="1" t="s">
        <v>2410</v>
      </c>
      <c r="H3968">
        <v>1999</v>
      </c>
      <c r="I3968">
        <v>1999</v>
      </c>
      <c r="J3968">
        <f t="shared" si="122"/>
        <v>1</v>
      </c>
      <c r="K3968" s="1" t="s">
        <v>741</v>
      </c>
      <c r="L3968" s="1" t="s">
        <v>798</v>
      </c>
      <c r="M3968">
        <f t="shared" si="123"/>
        <v>27</v>
      </c>
      <c r="N3968" t="s">
        <v>640</v>
      </c>
    </row>
    <row r="3969" spans="1:14" hidden="1" x14ac:dyDescent="0.3">
      <c r="A3969" s="1" t="s">
        <v>2447</v>
      </c>
      <c r="B3969" s="1" t="s">
        <v>802</v>
      </c>
      <c r="C3969" s="1" t="s">
        <v>2448</v>
      </c>
      <c r="D3969" s="1" t="s">
        <v>746</v>
      </c>
      <c r="E3969" s="1" t="s">
        <v>747</v>
      </c>
      <c r="F3969" s="1" t="s">
        <v>748</v>
      </c>
      <c r="G3969" s="1" t="s">
        <v>2410</v>
      </c>
      <c r="H3969">
        <v>1999</v>
      </c>
      <c r="I3969">
        <v>1999</v>
      </c>
      <c r="J3969">
        <f t="shared" si="122"/>
        <v>1</v>
      </c>
      <c r="K3969" s="1" t="s">
        <v>741</v>
      </c>
      <c r="L3969" s="1" t="s">
        <v>798</v>
      </c>
      <c r="M3969">
        <f t="shared" si="123"/>
        <v>27</v>
      </c>
      <c r="N3969" t="s">
        <v>640</v>
      </c>
    </row>
    <row r="3970" spans="1:14" hidden="1" x14ac:dyDescent="0.3">
      <c r="A3970" s="1" t="s">
        <v>2449</v>
      </c>
      <c r="B3970" s="1" t="s">
        <v>802</v>
      </c>
      <c r="C3970" s="1" t="s">
        <v>2450</v>
      </c>
      <c r="D3970" s="1" t="s">
        <v>746</v>
      </c>
      <c r="E3970" s="1" t="s">
        <v>747</v>
      </c>
      <c r="F3970" s="1" t="s">
        <v>748</v>
      </c>
      <c r="G3970" s="1" t="s">
        <v>2410</v>
      </c>
      <c r="H3970">
        <v>1999</v>
      </c>
      <c r="I3970">
        <v>1999</v>
      </c>
      <c r="J3970">
        <f t="shared" si="122"/>
        <v>1</v>
      </c>
      <c r="K3970" s="1" t="s">
        <v>741</v>
      </c>
      <c r="L3970" s="1" t="s">
        <v>798</v>
      </c>
      <c r="M3970">
        <f t="shared" si="123"/>
        <v>27</v>
      </c>
      <c r="N3970" t="s">
        <v>640</v>
      </c>
    </row>
    <row r="3971" spans="1:14" hidden="1" x14ac:dyDescent="0.3">
      <c r="A3971" s="1" t="s">
        <v>2451</v>
      </c>
      <c r="B3971" s="1" t="s">
        <v>802</v>
      </c>
      <c r="C3971" s="1" t="s">
        <v>2452</v>
      </c>
      <c r="D3971" s="1" t="s">
        <v>746</v>
      </c>
      <c r="E3971" s="1" t="s">
        <v>747</v>
      </c>
      <c r="F3971" s="1" t="s">
        <v>748</v>
      </c>
      <c r="G3971" s="1" t="s">
        <v>2410</v>
      </c>
      <c r="H3971">
        <v>1996</v>
      </c>
      <c r="I3971">
        <v>1996</v>
      </c>
      <c r="J3971">
        <f t="shared" si="122"/>
        <v>1</v>
      </c>
      <c r="K3971" s="1" t="s">
        <v>741</v>
      </c>
      <c r="L3971" s="1" t="s">
        <v>798</v>
      </c>
      <c r="M3971">
        <f t="shared" si="123"/>
        <v>30</v>
      </c>
      <c r="N3971" t="s">
        <v>640</v>
      </c>
    </row>
    <row r="3972" spans="1:14" hidden="1" x14ac:dyDescent="0.3">
      <c r="A3972" s="1" t="s">
        <v>2453</v>
      </c>
      <c r="B3972" s="1" t="s">
        <v>802</v>
      </c>
      <c r="C3972" s="1" t="s">
        <v>2454</v>
      </c>
      <c r="D3972" s="1" t="s">
        <v>746</v>
      </c>
      <c r="E3972" s="1" t="s">
        <v>747</v>
      </c>
      <c r="F3972" s="1" t="s">
        <v>748</v>
      </c>
      <c r="G3972" s="1" t="s">
        <v>2410</v>
      </c>
      <c r="H3972">
        <v>1996</v>
      </c>
      <c r="I3972">
        <v>1996</v>
      </c>
      <c r="J3972">
        <f t="shared" si="122"/>
        <v>1</v>
      </c>
      <c r="K3972" s="1" t="s">
        <v>741</v>
      </c>
      <c r="L3972" s="1" t="s">
        <v>798</v>
      </c>
      <c r="M3972">
        <f t="shared" si="123"/>
        <v>30</v>
      </c>
      <c r="N3972" t="s">
        <v>640</v>
      </c>
    </row>
    <row r="3973" spans="1:14" hidden="1" x14ac:dyDescent="0.3">
      <c r="A3973" s="1" t="s">
        <v>2455</v>
      </c>
      <c r="B3973" s="1" t="s">
        <v>802</v>
      </c>
      <c r="C3973" s="1" t="s">
        <v>2456</v>
      </c>
      <c r="D3973" s="1" t="s">
        <v>746</v>
      </c>
      <c r="E3973" s="1" t="s">
        <v>747</v>
      </c>
      <c r="F3973" s="1" t="s">
        <v>748</v>
      </c>
      <c r="G3973" s="1" t="s">
        <v>2410</v>
      </c>
      <c r="H3973">
        <v>1996</v>
      </c>
      <c r="I3973">
        <v>1996</v>
      </c>
      <c r="J3973">
        <f t="shared" si="122"/>
        <v>1</v>
      </c>
      <c r="K3973" s="1" t="s">
        <v>741</v>
      </c>
      <c r="L3973" s="1" t="s">
        <v>798</v>
      </c>
      <c r="M3973">
        <f t="shared" si="123"/>
        <v>30</v>
      </c>
      <c r="N3973" t="s">
        <v>640</v>
      </c>
    </row>
    <row r="3974" spans="1:14" hidden="1" x14ac:dyDescent="0.3">
      <c r="A3974" s="1" t="s">
        <v>2457</v>
      </c>
      <c r="B3974" s="1" t="s">
        <v>802</v>
      </c>
      <c r="C3974" s="1" t="s">
        <v>2458</v>
      </c>
      <c r="D3974" s="1" t="s">
        <v>746</v>
      </c>
      <c r="E3974" s="1" t="s">
        <v>747</v>
      </c>
      <c r="F3974" s="1" t="s">
        <v>748</v>
      </c>
      <c r="G3974" s="1" t="s">
        <v>2410</v>
      </c>
      <c r="H3974">
        <v>1996</v>
      </c>
      <c r="I3974">
        <v>1996</v>
      </c>
      <c r="J3974">
        <f t="shared" ref="J3974:J4037" si="124">1+(I3974-H3974)</f>
        <v>1</v>
      </c>
      <c r="K3974" s="1" t="s">
        <v>741</v>
      </c>
      <c r="L3974" s="1" t="s">
        <v>798</v>
      </c>
      <c r="M3974">
        <f t="shared" ref="M3974:M4037" si="125">IF(I3974=0,0,$B$2-I3974)</f>
        <v>30</v>
      </c>
      <c r="N3974" t="s">
        <v>640</v>
      </c>
    </row>
    <row r="3975" spans="1:14" hidden="1" x14ac:dyDescent="0.3">
      <c r="A3975" s="1" t="s">
        <v>2459</v>
      </c>
      <c r="B3975" s="1" t="s">
        <v>802</v>
      </c>
      <c r="C3975" s="1" t="s">
        <v>2460</v>
      </c>
      <c r="D3975" s="1" t="s">
        <v>746</v>
      </c>
      <c r="E3975" s="1" t="s">
        <v>747</v>
      </c>
      <c r="F3975" s="1" t="s">
        <v>748</v>
      </c>
      <c r="G3975" s="1" t="s">
        <v>2410</v>
      </c>
      <c r="H3975">
        <v>1998</v>
      </c>
      <c r="I3975">
        <v>1998</v>
      </c>
      <c r="J3975">
        <f t="shared" si="124"/>
        <v>1</v>
      </c>
      <c r="K3975" s="1" t="s">
        <v>741</v>
      </c>
      <c r="L3975" s="1" t="s">
        <v>798</v>
      </c>
      <c r="M3975">
        <f t="shared" si="125"/>
        <v>28</v>
      </c>
      <c r="N3975" t="s">
        <v>640</v>
      </c>
    </row>
    <row r="3976" spans="1:14" hidden="1" x14ac:dyDescent="0.3">
      <c r="A3976" s="1" t="s">
        <v>2461</v>
      </c>
      <c r="B3976" s="1" t="s">
        <v>802</v>
      </c>
      <c r="C3976" s="1" t="s">
        <v>2462</v>
      </c>
      <c r="D3976" s="1" t="s">
        <v>746</v>
      </c>
      <c r="E3976" s="1" t="s">
        <v>747</v>
      </c>
      <c r="F3976" s="1" t="s">
        <v>748</v>
      </c>
      <c r="G3976" s="1" t="s">
        <v>2410</v>
      </c>
      <c r="H3976">
        <v>2004</v>
      </c>
      <c r="I3976">
        <v>2004</v>
      </c>
      <c r="J3976">
        <f t="shared" si="124"/>
        <v>1</v>
      </c>
      <c r="K3976" s="1" t="s">
        <v>741</v>
      </c>
      <c r="L3976" s="1" t="s">
        <v>798</v>
      </c>
      <c r="M3976">
        <f t="shared" si="125"/>
        <v>22</v>
      </c>
      <c r="N3976" t="s">
        <v>650</v>
      </c>
    </row>
    <row r="3977" spans="1:14" hidden="1" x14ac:dyDescent="0.3">
      <c r="A3977" s="1" t="s">
        <v>2463</v>
      </c>
      <c r="B3977" s="1" t="s">
        <v>802</v>
      </c>
      <c r="C3977" s="1" t="s">
        <v>2464</v>
      </c>
      <c r="D3977" s="1" t="s">
        <v>746</v>
      </c>
      <c r="E3977" s="1" t="s">
        <v>747</v>
      </c>
      <c r="F3977" s="1" t="s">
        <v>748</v>
      </c>
      <c r="G3977" s="1" t="s">
        <v>2410</v>
      </c>
      <c r="H3977">
        <v>2001</v>
      </c>
      <c r="I3977">
        <v>2001</v>
      </c>
      <c r="J3977">
        <f t="shared" si="124"/>
        <v>1</v>
      </c>
      <c r="K3977" s="1" t="s">
        <v>741</v>
      </c>
      <c r="L3977" s="1" t="s">
        <v>798</v>
      </c>
      <c r="M3977">
        <f t="shared" si="125"/>
        <v>25</v>
      </c>
      <c r="N3977" t="s">
        <v>640</v>
      </c>
    </row>
    <row r="3978" spans="1:14" hidden="1" x14ac:dyDescent="0.3">
      <c r="A3978" s="1" t="s">
        <v>2465</v>
      </c>
      <c r="B3978" s="1" t="s">
        <v>802</v>
      </c>
      <c r="C3978" s="1" t="s">
        <v>2466</v>
      </c>
      <c r="D3978" s="1" t="s">
        <v>746</v>
      </c>
      <c r="E3978" s="1" t="s">
        <v>747</v>
      </c>
      <c r="F3978" s="1" t="s">
        <v>748</v>
      </c>
      <c r="G3978" s="1" t="s">
        <v>2410</v>
      </c>
      <c r="H3978">
        <v>1999</v>
      </c>
      <c r="I3978">
        <v>1999</v>
      </c>
      <c r="J3978">
        <f t="shared" si="124"/>
        <v>1</v>
      </c>
      <c r="K3978" s="1" t="s">
        <v>741</v>
      </c>
      <c r="L3978" s="1" t="s">
        <v>798</v>
      </c>
      <c r="M3978">
        <f t="shared" si="125"/>
        <v>27</v>
      </c>
      <c r="N3978" t="s">
        <v>640</v>
      </c>
    </row>
    <row r="3979" spans="1:14" hidden="1" x14ac:dyDescent="0.3">
      <c r="A3979" s="1" t="s">
        <v>2467</v>
      </c>
      <c r="B3979" s="1" t="s">
        <v>802</v>
      </c>
      <c r="C3979" s="1" t="s">
        <v>2468</v>
      </c>
      <c r="D3979" s="1" t="s">
        <v>746</v>
      </c>
      <c r="E3979" s="1" t="s">
        <v>747</v>
      </c>
      <c r="F3979" s="1" t="s">
        <v>748</v>
      </c>
      <c r="G3979" s="1" t="s">
        <v>2410</v>
      </c>
      <c r="H3979">
        <v>2000</v>
      </c>
      <c r="I3979">
        <v>2000</v>
      </c>
      <c r="J3979">
        <f t="shared" si="124"/>
        <v>1</v>
      </c>
      <c r="K3979" s="1" t="s">
        <v>741</v>
      </c>
      <c r="L3979" s="1" t="s">
        <v>798</v>
      </c>
      <c r="M3979">
        <f t="shared" si="125"/>
        <v>26</v>
      </c>
      <c r="N3979" t="s">
        <v>640</v>
      </c>
    </row>
    <row r="3980" spans="1:14" hidden="1" x14ac:dyDescent="0.3">
      <c r="A3980" s="1" t="s">
        <v>2469</v>
      </c>
      <c r="B3980" s="1" t="s">
        <v>802</v>
      </c>
      <c r="C3980" s="1" t="s">
        <v>2470</v>
      </c>
      <c r="D3980" s="1" t="s">
        <v>746</v>
      </c>
      <c r="E3980" s="1" t="s">
        <v>747</v>
      </c>
      <c r="F3980" s="1" t="s">
        <v>748</v>
      </c>
      <c r="G3980" s="1" t="s">
        <v>2410</v>
      </c>
      <c r="H3980">
        <v>2004</v>
      </c>
      <c r="I3980">
        <v>2004</v>
      </c>
      <c r="J3980">
        <f t="shared" si="124"/>
        <v>1</v>
      </c>
      <c r="K3980" s="1" t="s">
        <v>741</v>
      </c>
      <c r="L3980" s="1" t="s">
        <v>798</v>
      </c>
      <c r="M3980">
        <f t="shared" si="125"/>
        <v>22</v>
      </c>
      <c r="N3980" t="s">
        <v>650</v>
      </c>
    </row>
    <row r="3981" spans="1:14" hidden="1" x14ac:dyDescent="0.3">
      <c r="A3981" s="1" t="s">
        <v>2471</v>
      </c>
      <c r="B3981" s="1" t="s">
        <v>802</v>
      </c>
      <c r="C3981" s="1" t="s">
        <v>2472</v>
      </c>
      <c r="D3981" s="1" t="s">
        <v>746</v>
      </c>
      <c r="E3981" s="1" t="s">
        <v>747</v>
      </c>
      <c r="F3981" s="1" t="s">
        <v>748</v>
      </c>
      <c r="G3981" s="1" t="s">
        <v>2410</v>
      </c>
      <c r="H3981">
        <v>2006</v>
      </c>
      <c r="I3981">
        <v>2006</v>
      </c>
      <c r="J3981">
        <f t="shared" si="124"/>
        <v>1</v>
      </c>
      <c r="K3981" s="1" t="s">
        <v>741</v>
      </c>
      <c r="L3981" s="1" t="s">
        <v>798</v>
      </c>
      <c r="M3981">
        <f t="shared" si="125"/>
        <v>20</v>
      </c>
      <c r="N3981" t="s">
        <v>650</v>
      </c>
    </row>
    <row r="3982" spans="1:14" hidden="1" x14ac:dyDescent="0.3">
      <c r="A3982" s="1" t="s">
        <v>2473</v>
      </c>
      <c r="B3982" s="1" t="s">
        <v>802</v>
      </c>
      <c r="C3982" s="1" t="s">
        <v>2474</v>
      </c>
      <c r="D3982" s="1" t="s">
        <v>746</v>
      </c>
      <c r="E3982" s="1" t="s">
        <v>747</v>
      </c>
      <c r="F3982" s="1" t="s">
        <v>748</v>
      </c>
      <c r="G3982" s="1" t="s">
        <v>2410</v>
      </c>
      <c r="H3982">
        <v>1999</v>
      </c>
      <c r="I3982">
        <v>1999</v>
      </c>
      <c r="J3982">
        <f t="shared" si="124"/>
        <v>1</v>
      </c>
      <c r="K3982" s="1" t="s">
        <v>741</v>
      </c>
      <c r="L3982" s="1" t="s">
        <v>798</v>
      </c>
      <c r="M3982">
        <f t="shared" si="125"/>
        <v>27</v>
      </c>
      <c r="N3982" t="s">
        <v>640</v>
      </c>
    </row>
    <row r="3983" spans="1:14" hidden="1" x14ac:dyDescent="0.3">
      <c r="A3983" s="1" t="s">
        <v>2475</v>
      </c>
      <c r="B3983" s="1" t="s">
        <v>802</v>
      </c>
      <c r="C3983" s="1" t="s">
        <v>2476</v>
      </c>
      <c r="D3983" s="1" t="s">
        <v>746</v>
      </c>
      <c r="E3983" s="1" t="s">
        <v>747</v>
      </c>
      <c r="F3983" s="1" t="s">
        <v>748</v>
      </c>
      <c r="G3983" s="1" t="s">
        <v>2410</v>
      </c>
      <c r="H3983">
        <v>1998</v>
      </c>
      <c r="I3983">
        <v>1998</v>
      </c>
      <c r="J3983">
        <f t="shared" si="124"/>
        <v>1</v>
      </c>
      <c r="K3983" s="1" t="s">
        <v>741</v>
      </c>
      <c r="L3983" s="1" t="s">
        <v>798</v>
      </c>
      <c r="M3983">
        <f t="shared" si="125"/>
        <v>28</v>
      </c>
      <c r="N3983" t="s">
        <v>640</v>
      </c>
    </row>
    <row r="3984" spans="1:14" hidden="1" x14ac:dyDescent="0.3">
      <c r="A3984" s="1" t="s">
        <v>2477</v>
      </c>
      <c r="B3984" s="1" t="s">
        <v>802</v>
      </c>
      <c r="C3984" s="1" t="s">
        <v>2478</v>
      </c>
      <c r="D3984" s="1" t="s">
        <v>746</v>
      </c>
      <c r="E3984" s="1" t="s">
        <v>747</v>
      </c>
      <c r="F3984" s="1" t="s">
        <v>748</v>
      </c>
      <c r="G3984" s="1" t="s">
        <v>2410</v>
      </c>
      <c r="H3984">
        <v>2001</v>
      </c>
      <c r="I3984">
        <v>2001</v>
      </c>
      <c r="J3984">
        <f t="shared" si="124"/>
        <v>1</v>
      </c>
      <c r="K3984" s="1" t="s">
        <v>741</v>
      </c>
      <c r="L3984" s="1" t="s">
        <v>798</v>
      </c>
      <c r="M3984">
        <f t="shared" si="125"/>
        <v>25</v>
      </c>
      <c r="N3984" t="s">
        <v>640</v>
      </c>
    </row>
    <row r="3985" spans="1:14" hidden="1" x14ac:dyDescent="0.3">
      <c r="A3985" s="1" t="s">
        <v>2479</v>
      </c>
      <c r="B3985" s="1" t="s">
        <v>802</v>
      </c>
      <c r="C3985" s="1" t="s">
        <v>2480</v>
      </c>
      <c r="D3985" s="1" t="s">
        <v>746</v>
      </c>
      <c r="E3985" s="1" t="s">
        <v>747</v>
      </c>
      <c r="F3985" s="1" t="s">
        <v>748</v>
      </c>
      <c r="G3985" s="1" t="s">
        <v>2410</v>
      </c>
      <c r="H3985">
        <v>2003</v>
      </c>
      <c r="I3985">
        <v>2003</v>
      </c>
      <c r="J3985">
        <f t="shared" si="124"/>
        <v>1</v>
      </c>
      <c r="K3985" s="1" t="s">
        <v>741</v>
      </c>
      <c r="L3985" s="1" t="s">
        <v>798</v>
      </c>
      <c r="M3985">
        <f t="shared" si="125"/>
        <v>23</v>
      </c>
      <c r="N3985" t="s">
        <v>650</v>
      </c>
    </row>
    <row r="3986" spans="1:14" hidden="1" x14ac:dyDescent="0.3">
      <c r="A3986" s="1" t="s">
        <v>2481</v>
      </c>
      <c r="B3986" s="1" t="s">
        <v>802</v>
      </c>
      <c r="C3986" s="1" t="s">
        <v>2482</v>
      </c>
      <c r="D3986" s="1" t="s">
        <v>746</v>
      </c>
      <c r="E3986" s="1" t="s">
        <v>747</v>
      </c>
      <c r="F3986" s="1" t="s">
        <v>748</v>
      </c>
      <c r="G3986" s="1" t="s">
        <v>2410</v>
      </c>
      <c r="H3986">
        <v>2011</v>
      </c>
      <c r="I3986">
        <v>2011</v>
      </c>
      <c r="J3986">
        <f t="shared" si="124"/>
        <v>1</v>
      </c>
      <c r="K3986" s="1" t="s">
        <v>741</v>
      </c>
      <c r="L3986" s="1" t="s">
        <v>798</v>
      </c>
      <c r="M3986">
        <f t="shared" si="125"/>
        <v>15</v>
      </c>
      <c r="N3986" t="s">
        <v>650</v>
      </c>
    </row>
    <row r="3987" spans="1:14" hidden="1" x14ac:dyDescent="0.3">
      <c r="A3987" s="1" t="s">
        <v>2483</v>
      </c>
      <c r="B3987" s="1" t="s">
        <v>802</v>
      </c>
      <c r="C3987" s="1" t="s">
        <v>2484</v>
      </c>
      <c r="D3987" s="1" t="s">
        <v>746</v>
      </c>
      <c r="E3987" s="1" t="s">
        <v>747</v>
      </c>
      <c r="F3987" s="1" t="s">
        <v>748</v>
      </c>
      <c r="G3987" s="1" t="s">
        <v>2410</v>
      </c>
      <c r="H3987">
        <v>1998</v>
      </c>
      <c r="I3987">
        <v>1998</v>
      </c>
      <c r="J3987">
        <f t="shared" si="124"/>
        <v>1</v>
      </c>
      <c r="K3987" s="1" t="s">
        <v>741</v>
      </c>
      <c r="L3987" s="1" t="s">
        <v>798</v>
      </c>
      <c r="M3987">
        <f t="shared" si="125"/>
        <v>28</v>
      </c>
      <c r="N3987" t="s">
        <v>640</v>
      </c>
    </row>
    <row r="3988" spans="1:14" hidden="1" x14ac:dyDescent="0.3">
      <c r="A3988" s="1" t="s">
        <v>2485</v>
      </c>
      <c r="B3988" s="1" t="s">
        <v>802</v>
      </c>
      <c r="C3988" s="1" t="s">
        <v>2486</v>
      </c>
      <c r="D3988" s="1" t="s">
        <v>746</v>
      </c>
      <c r="E3988" s="1" t="s">
        <v>747</v>
      </c>
      <c r="F3988" s="1" t="s">
        <v>748</v>
      </c>
      <c r="G3988" s="1" t="s">
        <v>2410</v>
      </c>
      <c r="H3988">
        <v>2011</v>
      </c>
      <c r="I3988">
        <v>2011</v>
      </c>
      <c r="J3988">
        <f t="shared" si="124"/>
        <v>1</v>
      </c>
      <c r="K3988" s="1" t="s">
        <v>741</v>
      </c>
      <c r="L3988" s="1" t="s">
        <v>798</v>
      </c>
      <c r="M3988">
        <f t="shared" si="125"/>
        <v>15</v>
      </c>
      <c r="N3988" t="s">
        <v>650</v>
      </c>
    </row>
    <row r="3989" spans="1:14" hidden="1" x14ac:dyDescent="0.3">
      <c r="A3989" s="1" t="s">
        <v>2487</v>
      </c>
      <c r="B3989" s="1" t="s">
        <v>802</v>
      </c>
      <c r="C3989" s="1" t="s">
        <v>2488</v>
      </c>
      <c r="D3989" s="1" t="s">
        <v>746</v>
      </c>
      <c r="E3989" s="1" t="s">
        <v>747</v>
      </c>
      <c r="F3989" s="1" t="s">
        <v>748</v>
      </c>
      <c r="G3989" s="1" t="s">
        <v>2410</v>
      </c>
      <c r="H3989">
        <v>2011</v>
      </c>
      <c r="I3989">
        <v>2011</v>
      </c>
      <c r="J3989">
        <f t="shared" si="124"/>
        <v>1</v>
      </c>
      <c r="K3989" s="1" t="s">
        <v>741</v>
      </c>
      <c r="L3989" s="1" t="s">
        <v>798</v>
      </c>
      <c r="M3989">
        <f t="shared" si="125"/>
        <v>15</v>
      </c>
      <c r="N3989" t="s">
        <v>650</v>
      </c>
    </row>
    <row r="3990" spans="1:14" hidden="1" x14ac:dyDescent="0.3">
      <c r="A3990" s="1" t="s">
        <v>2489</v>
      </c>
      <c r="B3990" s="1" t="s">
        <v>802</v>
      </c>
      <c r="C3990" s="1" t="s">
        <v>2490</v>
      </c>
      <c r="D3990" s="1" t="s">
        <v>746</v>
      </c>
      <c r="E3990" s="1" t="s">
        <v>747</v>
      </c>
      <c r="F3990" s="1" t="s">
        <v>748</v>
      </c>
      <c r="G3990" s="1" t="s">
        <v>2410</v>
      </c>
      <c r="H3990">
        <v>1998</v>
      </c>
      <c r="I3990">
        <v>1998</v>
      </c>
      <c r="J3990">
        <f t="shared" si="124"/>
        <v>1</v>
      </c>
      <c r="K3990" s="1" t="s">
        <v>741</v>
      </c>
      <c r="L3990" s="1" t="s">
        <v>798</v>
      </c>
      <c r="M3990">
        <f t="shared" si="125"/>
        <v>28</v>
      </c>
      <c r="N3990" t="s">
        <v>640</v>
      </c>
    </row>
    <row r="3991" spans="1:14" hidden="1" x14ac:dyDescent="0.3">
      <c r="A3991" s="1" t="s">
        <v>2491</v>
      </c>
      <c r="B3991" s="1" t="s">
        <v>802</v>
      </c>
      <c r="C3991" s="1" t="s">
        <v>2492</v>
      </c>
      <c r="D3991" s="1" t="s">
        <v>746</v>
      </c>
      <c r="E3991" s="1" t="s">
        <v>747</v>
      </c>
      <c r="F3991" s="1" t="s">
        <v>748</v>
      </c>
      <c r="G3991" s="1" t="s">
        <v>2410</v>
      </c>
      <c r="H3991">
        <v>1998</v>
      </c>
      <c r="I3991">
        <v>1998</v>
      </c>
      <c r="J3991">
        <f t="shared" si="124"/>
        <v>1</v>
      </c>
      <c r="K3991" s="1" t="s">
        <v>741</v>
      </c>
      <c r="L3991" s="1" t="s">
        <v>798</v>
      </c>
      <c r="M3991">
        <f t="shared" si="125"/>
        <v>28</v>
      </c>
      <c r="N3991" t="s">
        <v>640</v>
      </c>
    </row>
    <row r="3992" spans="1:14" hidden="1" x14ac:dyDescent="0.3">
      <c r="A3992" s="1" t="s">
        <v>2493</v>
      </c>
      <c r="B3992" s="1" t="s">
        <v>802</v>
      </c>
      <c r="C3992" s="1" t="s">
        <v>2494</v>
      </c>
      <c r="D3992" s="1" t="s">
        <v>746</v>
      </c>
      <c r="E3992" s="1" t="s">
        <v>747</v>
      </c>
      <c r="F3992" s="1" t="s">
        <v>748</v>
      </c>
      <c r="G3992" s="1" t="s">
        <v>2410</v>
      </c>
      <c r="H3992">
        <v>2003</v>
      </c>
      <c r="I3992">
        <v>2003</v>
      </c>
      <c r="J3992">
        <f t="shared" si="124"/>
        <v>1</v>
      </c>
      <c r="K3992" s="1" t="s">
        <v>741</v>
      </c>
      <c r="L3992" s="1" t="s">
        <v>798</v>
      </c>
      <c r="M3992">
        <f t="shared" si="125"/>
        <v>23</v>
      </c>
      <c r="N3992" t="s">
        <v>650</v>
      </c>
    </row>
    <row r="3993" spans="1:14" hidden="1" x14ac:dyDescent="0.3">
      <c r="A3993" s="1" t="s">
        <v>2495</v>
      </c>
      <c r="B3993" s="1" t="s">
        <v>802</v>
      </c>
      <c r="C3993" s="1" t="s">
        <v>2496</v>
      </c>
      <c r="D3993" s="1" t="s">
        <v>746</v>
      </c>
      <c r="E3993" s="1" t="s">
        <v>747</v>
      </c>
      <c r="F3993" s="1" t="s">
        <v>748</v>
      </c>
      <c r="G3993" s="1" t="s">
        <v>2410</v>
      </c>
      <c r="H3993">
        <v>2001</v>
      </c>
      <c r="I3993">
        <v>2001</v>
      </c>
      <c r="J3993">
        <f t="shared" si="124"/>
        <v>1</v>
      </c>
      <c r="K3993" s="1" t="s">
        <v>741</v>
      </c>
      <c r="L3993" s="1" t="s">
        <v>798</v>
      </c>
      <c r="M3993">
        <f t="shared" si="125"/>
        <v>25</v>
      </c>
      <c r="N3993" t="s">
        <v>640</v>
      </c>
    </row>
    <row r="3994" spans="1:14" hidden="1" x14ac:dyDescent="0.3">
      <c r="A3994" s="1" t="s">
        <v>2497</v>
      </c>
      <c r="B3994" s="1" t="s">
        <v>802</v>
      </c>
      <c r="C3994" s="1" t="s">
        <v>2498</v>
      </c>
      <c r="D3994" s="1" t="s">
        <v>746</v>
      </c>
      <c r="E3994" s="1" t="s">
        <v>747</v>
      </c>
      <c r="F3994" s="1" t="s">
        <v>748</v>
      </c>
      <c r="G3994" s="1" t="s">
        <v>2410</v>
      </c>
      <c r="H3994">
        <v>2003</v>
      </c>
      <c r="I3994">
        <v>2003</v>
      </c>
      <c r="J3994">
        <f t="shared" si="124"/>
        <v>1</v>
      </c>
      <c r="K3994" s="1" t="s">
        <v>741</v>
      </c>
      <c r="L3994" s="1" t="s">
        <v>798</v>
      </c>
      <c r="M3994">
        <f t="shared" si="125"/>
        <v>23</v>
      </c>
      <c r="N3994" t="s">
        <v>650</v>
      </c>
    </row>
    <row r="3995" spans="1:14" hidden="1" x14ac:dyDescent="0.3">
      <c r="A3995" s="1" t="s">
        <v>2499</v>
      </c>
      <c r="B3995" s="1" t="s">
        <v>802</v>
      </c>
      <c r="C3995" s="1" t="s">
        <v>2500</v>
      </c>
      <c r="D3995" s="1" t="s">
        <v>746</v>
      </c>
      <c r="E3995" s="1" t="s">
        <v>747</v>
      </c>
      <c r="F3995" s="1" t="s">
        <v>748</v>
      </c>
      <c r="G3995" s="1" t="s">
        <v>2410</v>
      </c>
      <c r="H3995">
        <v>2003</v>
      </c>
      <c r="I3995">
        <v>2003</v>
      </c>
      <c r="J3995">
        <f t="shared" si="124"/>
        <v>1</v>
      </c>
      <c r="K3995" s="1" t="s">
        <v>741</v>
      </c>
      <c r="L3995" s="1" t="s">
        <v>798</v>
      </c>
      <c r="M3995">
        <f t="shared" si="125"/>
        <v>23</v>
      </c>
      <c r="N3995" t="s">
        <v>650</v>
      </c>
    </row>
    <row r="3996" spans="1:14" hidden="1" x14ac:dyDescent="0.3">
      <c r="A3996" s="1" t="s">
        <v>2501</v>
      </c>
      <c r="B3996" s="1" t="s">
        <v>802</v>
      </c>
      <c r="C3996" s="1" t="s">
        <v>2502</v>
      </c>
      <c r="D3996" s="1" t="s">
        <v>746</v>
      </c>
      <c r="E3996" s="1" t="s">
        <v>747</v>
      </c>
      <c r="F3996" s="1" t="s">
        <v>748</v>
      </c>
      <c r="G3996" s="1" t="s">
        <v>2410</v>
      </c>
      <c r="H3996">
        <v>2003</v>
      </c>
      <c r="I3996">
        <v>2003</v>
      </c>
      <c r="J3996">
        <f t="shared" si="124"/>
        <v>1</v>
      </c>
      <c r="K3996" s="1" t="s">
        <v>741</v>
      </c>
      <c r="L3996" s="1" t="s">
        <v>798</v>
      </c>
      <c r="M3996">
        <f t="shared" si="125"/>
        <v>23</v>
      </c>
      <c r="N3996" t="s">
        <v>650</v>
      </c>
    </row>
    <row r="3997" spans="1:14" hidden="1" x14ac:dyDescent="0.3">
      <c r="A3997" s="1" t="s">
        <v>2503</v>
      </c>
      <c r="B3997" s="1" t="s">
        <v>802</v>
      </c>
      <c r="C3997" s="1" t="s">
        <v>2504</v>
      </c>
      <c r="D3997" s="1" t="s">
        <v>746</v>
      </c>
      <c r="E3997" s="1" t="s">
        <v>747</v>
      </c>
      <c r="F3997" s="1" t="s">
        <v>748</v>
      </c>
      <c r="G3997" s="1" t="s">
        <v>2410</v>
      </c>
      <c r="H3997">
        <v>2002</v>
      </c>
      <c r="I3997">
        <v>2002</v>
      </c>
      <c r="J3997">
        <f t="shared" si="124"/>
        <v>1</v>
      </c>
      <c r="K3997" s="1" t="s">
        <v>741</v>
      </c>
      <c r="L3997" s="1" t="s">
        <v>798</v>
      </c>
      <c r="M3997">
        <f t="shared" si="125"/>
        <v>24</v>
      </c>
      <c r="N3997" t="s">
        <v>650</v>
      </c>
    </row>
    <row r="3998" spans="1:14" hidden="1" x14ac:dyDescent="0.3">
      <c r="A3998" s="1" t="s">
        <v>2505</v>
      </c>
      <c r="B3998" s="1" t="s">
        <v>802</v>
      </c>
      <c r="C3998" s="1" t="s">
        <v>2506</v>
      </c>
      <c r="D3998" s="1" t="s">
        <v>746</v>
      </c>
      <c r="E3998" s="1" t="s">
        <v>747</v>
      </c>
      <c r="F3998" s="1" t="s">
        <v>748</v>
      </c>
      <c r="G3998" s="1" t="s">
        <v>2410</v>
      </c>
      <c r="H3998">
        <v>2002</v>
      </c>
      <c r="I3998">
        <v>2002</v>
      </c>
      <c r="J3998">
        <f t="shared" si="124"/>
        <v>1</v>
      </c>
      <c r="K3998" s="1" t="s">
        <v>741</v>
      </c>
      <c r="L3998" s="1" t="s">
        <v>798</v>
      </c>
      <c r="M3998">
        <f t="shared" si="125"/>
        <v>24</v>
      </c>
      <c r="N3998" t="s">
        <v>650</v>
      </c>
    </row>
    <row r="3999" spans="1:14" hidden="1" x14ac:dyDescent="0.3">
      <c r="A3999" s="1" t="s">
        <v>2507</v>
      </c>
      <c r="B3999" s="1" t="s">
        <v>802</v>
      </c>
      <c r="C3999" s="1" t="s">
        <v>2508</v>
      </c>
      <c r="D3999" s="1" t="s">
        <v>746</v>
      </c>
      <c r="E3999" s="1" t="s">
        <v>747</v>
      </c>
      <c r="F3999" s="1" t="s">
        <v>748</v>
      </c>
      <c r="G3999" s="1" t="s">
        <v>2410</v>
      </c>
      <c r="H3999">
        <v>2004</v>
      </c>
      <c r="I3999">
        <v>2004</v>
      </c>
      <c r="J3999">
        <f t="shared" si="124"/>
        <v>1</v>
      </c>
      <c r="K3999" s="1" t="s">
        <v>741</v>
      </c>
      <c r="L3999" s="1" t="s">
        <v>798</v>
      </c>
      <c r="M3999">
        <f t="shared" si="125"/>
        <v>22</v>
      </c>
      <c r="N3999" t="s">
        <v>650</v>
      </c>
    </row>
    <row r="4000" spans="1:14" hidden="1" x14ac:dyDescent="0.3">
      <c r="A4000" s="1" t="s">
        <v>2509</v>
      </c>
      <c r="B4000" s="1" t="s">
        <v>802</v>
      </c>
      <c r="C4000" s="1" t="s">
        <v>2510</v>
      </c>
      <c r="D4000" s="1" t="s">
        <v>746</v>
      </c>
      <c r="E4000" s="1" t="s">
        <v>747</v>
      </c>
      <c r="F4000" s="1" t="s">
        <v>748</v>
      </c>
      <c r="G4000" s="1" t="s">
        <v>2410</v>
      </c>
      <c r="H4000">
        <v>2004</v>
      </c>
      <c r="I4000">
        <v>2004</v>
      </c>
      <c r="J4000">
        <f t="shared" si="124"/>
        <v>1</v>
      </c>
      <c r="K4000" s="1" t="s">
        <v>741</v>
      </c>
      <c r="L4000" s="1" t="s">
        <v>798</v>
      </c>
      <c r="M4000">
        <f t="shared" si="125"/>
        <v>22</v>
      </c>
      <c r="N4000" t="s">
        <v>650</v>
      </c>
    </row>
    <row r="4001" spans="1:14" hidden="1" x14ac:dyDescent="0.3">
      <c r="A4001" s="1" t="s">
        <v>2511</v>
      </c>
      <c r="B4001" s="1" t="s">
        <v>802</v>
      </c>
      <c r="C4001" s="1" t="s">
        <v>2512</v>
      </c>
      <c r="D4001" s="1" t="s">
        <v>746</v>
      </c>
      <c r="E4001" s="1" t="s">
        <v>747</v>
      </c>
      <c r="F4001" s="1" t="s">
        <v>748</v>
      </c>
      <c r="G4001" s="1" t="s">
        <v>2410</v>
      </c>
      <c r="H4001">
        <v>2015</v>
      </c>
      <c r="I4001">
        <v>2015</v>
      </c>
      <c r="J4001">
        <f t="shared" si="124"/>
        <v>1</v>
      </c>
      <c r="K4001" s="1" t="s">
        <v>741</v>
      </c>
      <c r="L4001" s="1" t="s">
        <v>798</v>
      </c>
      <c r="M4001">
        <f t="shared" si="125"/>
        <v>11</v>
      </c>
      <c r="N4001" t="s">
        <v>650</v>
      </c>
    </row>
    <row r="4002" spans="1:14" hidden="1" x14ac:dyDescent="0.3">
      <c r="A4002" s="1" t="s">
        <v>2513</v>
      </c>
      <c r="B4002" s="1" t="s">
        <v>802</v>
      </c>
      <c r="C4002" s="1" t="s">
        <v>2514</v>
      </c>
      <c r="D4002" s="1" t="s">
        <v>746</v>
      </c>
      <c r="E4002" s="1" t="s">
        <v>747</v>
      </c>
      <c r="F4002" s="1" t="s">
        <v>748</v>
      </c>
      <c r="G4002" s="1" t="s">
        <v>2410</v>
      </c>
      <c r="H4002">
        <v>2013</v>
      </c>
      <c r="I4002">
        <v>2013</v>
      </c>
      <c r="J4002">
        <f t="shared" si="124"/>
        <v>1</v>
      </c>
      <c r="K4002" s="1" t="s">
        <v>741</v>
      </c>
      <c r="L4002" s="1" t="s">
        <v>798</v>
      </c>
      <c r="M4002">
        <f t="shared" si="125"/>
        <v>13</v>
      </c>
      <c r="N4002" t="s">
        <v>650</v>
      </c>
    </row>
    <row r="4003" spans="1:14" hidden="1" x14ac:dyDescent="0.3">
      <c r="A4003" s="1" t="s">
        <v>2515</v>
      </c>
      <c r="B4003" s="1" t="s">
        <v>802</v>
      </c>
      <c r="C4003" s="1" t="s">
        <v>2516</v>
      </c>
      <c r="D4003" s="1" t="s">
        <v>746</v>
      </c>
      <c r="E4003" s="1" t="s">
        <v>747</v>
      </c>
      <c r="F4003" s="1" t="s">
        <v>748</v>
      </c>
      <c r="G4003" s="1" t="s">
        <v>2410</v>
      </c>
      <c r="H4003">
        <v>2013</v>
      </c>
      <c r="I4003">
        <v>2013</v>
      </c>
      <c r="J4003">
        <f t="shared" si="124"/>
        <v>1</v>
      </c>
      <c r="K4003" s="1" t="s">
        <v>741</v>
      </c>
      <c r="L4003" s="1" t="s">
        <v>798</v>
      </c>
      <c r="M4003">
        <f t="shared" si="125"/>
        <v>13</v>
      </c>
      <c r="N4003" t="s">
        <v>650</v>
      </c>
    </row>
    <row r="4004" spans="1:14" hidden="1" x14ac:dyDescent="0.3">
      <c r="A4004" s="1" t="s">
        <v>2517</v>
      </c>
      <c r="B4004" s="1" t="s">
        <v>802</v>
      </c>
      <c r="C4004" s="1" t="s">
        <v>2518</v>
      </c>
      <c r="D4004" s="1" t="s">
        <v>746</v>
      </c>
      <c r="E4004" s="1" t="s">
        <v>747</v>
      </c>
      <c r="F4004" s="1" t="s">
        <v>748</v>
      </c>
      <c r="G4004" s="1" t="s">
        <v>2410</v>
      </c>
      <c r="H4004">
        <v>2012</v>
      </c>
      <c r="I4004">
        <v>2012</v>
      </c>
      <c r="J4004">
        <f t="shared" si="124"/>
        <v>1</v>
      </c>
      <c r="K4004" s="1" t="s">
        <v>741</v>
      </c>
      <c r="L4004" s="1" t="s">
        <v>798</v>
      </c>
      <c r="M4004">
        <f t="shared" si="125"/>
        <v>14</v>
      </c>
      <c r="N4004" t="s">
        <v>650</v>
      </c>
    </row>
    <row r="4005" spans="1:14" hidden="1" x14ac:dyDescent="0.3">
      <c r="A4005" s="1" t="s">
        <v>2519</v>
      </c>
      <c r="B4005" s="1" t="s">
        <v>802</v>
      </c>
      <c r="C4005" s="1" t="s">
        <v>2520</v>
      </c>
      <c r="D4005" s="1" t="s">
        <v>746</v>
      </c>
      <c r="E4005" s="1" t="s">
        <v>747</v>
      </c>
      <c r="F4005" s="1" t="s">
        <v>748</v>
      </c>
      <c r="G4005" s="1" t="s">
        <v>2410</v>
      </c>
      <c r="H4005">
        <v>2016</v>
      </c>
      <c r="I4005">
        <v>2016</v>
      </c>
      <c r="J4005">
        <f t="shared" si="124"/>
        <v>1</v>
      </c>
      <c r="K4005" s="1" t="s">
        <v>741</v>
      </c>
      <c r="L4005" s="1" t="s">
        <v>798</v>
      </c>
      <c r="M4005">
        <f t="shared" si="125"/>
        <v>10</v>
      </c>
      <c r="N4005" t="s">
        <v>650</v>
      </c>
    </row>
    <row r="4006" spans="1:14" hidden="1" x14ac:dyDescent="0.3">
      <c r="A4006" s="1" t="s">
        <v>2521</v>
      </c>
      <c r="B4006" s="1" t="s">
        <v>802</v>
      </c>
      <c r="C4006" s="1" t="s">
        <v>2522</v>
      </c>
      <c r="D4006" s="1" t="s">
        <v>746</v>
      </c>
      <c r="E4006" s="1" t="s">
        <v>747</v>
      </c>
      <c r="F4006" s="1" t="s">
        <v>748</v>
      </c>
      <c r="G4006" s="1" t="s">
        <v>2410</v>
      </c>
      <c r="H4006">
        <v>2016</v>
      </c>
      <c r="I4006">
        <v>2016</v>
      </c>
      <c r="J4006">
        <f t="shared" si="124"/>
        <v>1</v>
      </c>
      <c r="K4006" s="1" t="s">
        <v>741</v>
      </c>
      <c r="L4006" s="1" t="s">
        <v>798</v>
      </c>
      <c r="M4006">
        <f t="shared" si="125"/>
        <v>10</v>
      </c>
      <c r="N4006" t="s">
        <v>650</v>
      </c>
    </row>
    <row r="4007" spans="1:14" hidden="1" x14ac:dyDescent="0.3">
      <c r="A4007" s="1" t="s">
        <v>2523</v>
      </c>
      <c r="B4007" s="1" t="s">
        <v>802</v>
      </c>
      <c r="C4007" s="1" t="s">
        <v>2524</v>
      </c>
      <c r="D4007" s="1" t="s">
        <v>746</v>
      </c>
      <c r="E4007" s="1" t="s">
        <v>747</v>
      </c>
      <c r="F4007" s="1" t="s">
        <v>748</v>
      </c>
      <c r="G4007" s="1" t="s">
        <v>2410</v>
      </c>
      <c r="H4007">
        <v>2012</v>
      </c>
      <c r="I4007">
        <v>2012</v>
      </c>
      <c r="J4007">
        <f t="shared" si="124"/>
        <v>1</v>
      </c>
      <c r="K4007" s="1" t="s">
        <v>741</v>
      </c>
      <c r="L4007" s="1" t="s">
        <v>798</v>
      </c>
      <c r="M4007">
        <f t="shared" si="125"/>
        <v>14</v>
      </c>
      <c r="N4007" t="s">
        <v>650</v>
      </c>
    </row>
    <row r="4008" spans="1:14" hidden="1" x14ac:dyDescent="0.3">
      <c r="A4008" s="1" t="s">
        <v>2525</v>
      </c>
      <c r="B4008" s="1" t="s">
        <v>802</v>
      </c>
      <c r="C4008" s="1" t="s">
        <v>2526</v>
      </c>
      <c r="D4008" s="1" t="s">
        <v>746</v>
      </c>
      <c r="E4008" s="1" t="s">
        <v>747</v>
      </c>
      <c r="F4008" s="1" t="s">
        <v>748</v>
      </c>
      <c r="G4008" s="1" t="s">
        <v>2410</v>
      </c>
      <c r="H4008">
        <v>2001</v>
      </c>
      <c r="I4008">
        <v>2001</v>
      </c>
      <c r="J4008">
        <f t="shared" si="124"/>
        <v>1</v>
      </c>
      <c r="K4008" s="1" t="s">
        <v>741</v>
      </c>
      <c r="L4008" s="1" t="s">
        <v>798</v>
      </c>
      <c r="M4008">
        <f t="shared" si="125"/>
        <v>25</v>
      </c>
      <c r="N4008" t="s">
        <v>640</v>
      </c>
    </row>
    <row r="4009" spans="1:14" hidden="1" x14ac:dyDescent="0.3">
      <c r="A4009" s="1" t="s">
        <v>2527</v>
      </c>
      <c r="B4009" s="1" t="s">
        <v>802</v>
      </c>
      <c r="C4009" s="1" t="s">
        <v>2528</v>
      </c>
      <c r="D4009" s="1" t="s">
        <v>746</v>
      </c>
      <c r="E4009" s="1" t="s">
        <v>747</v>
      </c>
      <c r="F4009" s="1" t="s">
        <v>748</v>
      </c>
      <c r="G4009" s="1" t="s">
        <v>2410</v>
      </c>
      <c r="H4009">
        <v>2012</v>
      </c>
      <c r="I4009">
        <v>2012</v>
      </c>
      <c r="J4009">
        <f t="shared" si="124"/>
        <v>1</v>
      </c>
      <c r="K4009" s="1" t="s">
        <v>741</v>
      </c>
      <c r="L4009" s="1" t="s">
        <v>798</v>
      </c>
      <c r="M4009">
        <f t="shared" si="125"/>
        <v>14</v>
      </c>
      <c r="N4009" t="s">
        <v>650</v>
      </c>
    </row>
    <row r="4010" spans="1:14" hidden="1" x14ac:dyDescent="0.3">
      <c r="A4010" s="1" t="s">
        <v>2529</v>
      </c>
      <c r="B4010" s="1" t="s">
        <v>802</v>
      </c>
      <c r="C4010" s="1" t="s">
        <v>2530</v>
      </c>
      <c r="D4010" s="1" t="s">
        <v>746</v>
      </c>
      <c r="E4010" s="1" t="s">
        <v>747</v>
      </c>
      <c r="F4010" s="1" t="s">
        <v>748</v>
      </c>
      <c r="G4010" s="1" t="s">
        <v>2410</v>
      </c>
      <c r="H4010">
        <v>2012</v>
      </c>
      <c r="I4010">
        <v>2012</v>
      </c>
      <c r="J4010">
        <f t="shared" si="124"/>
        <v>1</v>
      </c>
      <c r="K4010" s="1" t="s">
        <v>741</v>
      </c>
      <c r="L4010" s="1" t="s">
        <v>798</v>
      </c>
      <c r="M4010">
        <f t="shared" si="125"/>
        <v>14</v>
      </c>
      <c r="N4010" t="s">
        <v>650</v>
      </c>
    </row>
    <row r="4011" spans="1:14" hidden="1" x14ac:dyDescent="0.3">
      <c r="A4011" s="1" t="s">
        <v>2531</v>
      </c>
      <c r="B4011" s="1" t="s">
        <v>802</v>
      </c>
      <c r="C4011" s="1" t="s">
        <v>2532</v>
      </c>
      <c r="D4011" s="1" t="s">
        <v>746</v>
      </c>
      <c r="E4011" s="1" t="s">
        <v>747</v>
      </c>
      <c r="F4011" s="1" t="s">
        <v>748</v>
      </c>
      <c r="G4011" s="1" t="s">
        <v>2410</v>
      </c>
      <c r="H4011">
        <v>2015</v>
      </c>
      <c r="I4011">
        <v>2015</v>
      </c>
      <c r="J4011">
        <f t="shared" si="124"/>
        <v>1</v>
      </c>
      <c r="K4011" s="1" t="s">
        <v>741</v>
      </c>
      <c r="L4011" s="1" t="s">
        <v>798</v>
      </c>
      <c r="M4011">
        <f t="shared" si="125"/>
        <v>11</v>
      </c>
      <c r="N4011" t="s">
        <v>650</v>
      </c>
    </row>
    <row r="4012" spans="1:14" hidden="1" x14ac:dyDescent="0.3">
      <c r="A4012" s="1" t="s">
        <v>2533</v>
      </c>
      <c r="B4012" s="1" t="s">
        <v>802</v>
      </c>
      <c r="C4012" s="1" t="s">
        <v>2534</v>
      </c>
      <c r="D4012" s="1" t="s">
        <v>746</v>
      </c>
      <c r="E4012" s="1" t="s">
        <v>747</v>
      </c>
      <c r="F4012" s="1" t="s">
        <v>748</v>
      </c>
      <c r="G4012" s="1" t="s">
        <v>2410</v>
      </c>
      <c r="H4012">
        <v>2015</v>
      </c>
      <c r="I4012">
        <v>2015</v>
      </c>
      <c r="J4012">
        <f t="shared" si="124"/>
        <v>1</v>
      </c>
      <c r="K4012" s="1" t="s">
        <v>741</v>
      </c>
      <c r="L4012" s="1" t="s">
        <v>798</v>
      </c>
      <c r="M4012">
        <f t="shared" si="125"/>
        <v>11</v>
      </c>
      <c r="N4012" t="s">
        <v>650</v>
      </c>
    </row>
    <row r="4013" spans="1:14" hidden="1" x14ac:dyDescent="0.3">
      <c r="A4013" s="1" t="s">
        <v>2535</v>
      </c>
      <c r="B4013" s="1" t="s">
        <v>802</v>
      </c>
      <c r="C4013" s="1" t="s">
        <v>2536</v>
      </c>
      <c r="D4013" s="1" t="s">
        <v>746</v>
      </c>
      <c r="E4013" s="1" t="s">
        <v>747</v>
      </c>
      <c r="F4013" s="1" t="s">
        <v>748</v>
      </c>
      <c r="G4013" s="1" t="s">
        <v>2410</v>
      </c>
      <c r="H4013">
        <v>2011</v>
      </c>
      <c r="I4013">
        <v>2011</v>
      </c>
      <c r="J4013">
        <f t="shared" si="124"/>
        <v>1</v>
      </c>
      <c r="K4013" s="1" t="s">
        <v>741</v>
      </c>
      <c r="L4013" s="1" t="s">
        <v>798</v>
      </c>
      <c r="M4013">
        <f t="shared" si="125"/>
        <v>15</v>
      </c>
      <c r="N4013" t="s">
        <v>650</v>
      </c>
    </row>
    <row r="4014" spans="1:14" hidden="1" x14ac:dyDescent="0.3">
      <c r="A4014" s="1" t="s">
        <v>2537</v>
      </c>
      <c r="B4014" s="1" t="s">
        <v>802</v>
      </c>
      <c r="C4014" s="1" t="s">
        <v>2538</v>
      </c>
      <c r="D4014" s="1" t="s">
        <v>746</v>
      </c>
      <c r="E4014" s="1" t="s">
        <v>747</v>
      </c>
      <c r="F4014" s="1" t="s">
        <v>748</v>
      </c>
      <c r="G4014" s="1" t="s">
        <v>2410</v>
      </c>
      <c r="H4014">
        <v>2012</v>
      </c>
      <c r="I4014">
        <v>2012</v>
      </c>
      <c r="J4014">
        <f t="shared" si="124"/>
        <v>1</v>
      </c>
      <c r="K4014" s="1" t="s">
        <v>741</v>
      </c>
      <c r="L4014" s="1" t="s">
        <v>798</v>
      </c>
      <c r="M4014">
        <f t="shared" si="125"/>
        <v>14</v>
      </c>
      <c r="N4014" t="s">
        <v>650</v>
      </c>
    </row>
    <row r="4015" spans="1:14" hidden="1" x14ac:dyDescent="0.3">
      <c r="A4015" s="1" t="s">
        <v>2539</v>
      </c>
      <c r="B4015" s="1" t="s">
        <v>802</v>
      </c>
      <c r="C4015" s="1" t="s">
        <v>2540</v>
      </c>
      <c r="D4015" s="1" t="s">
        <v>746</v>
      </c>
      <c r="E4015" s="1" t="s">
        <v>747</v>
      </c>
      <c r="F4015" s="1" t="s">
        <v>748</v>
      </c>
      <c r="G4015" s="1" t="s">
        <v>2410</v>
      </c>
      <c r="H4015">
        <v>2004</v>
      </c>
      <c r="I4015">
        <v>2004</v>
      </c>
      <c r="J4015">
        <f t="shared" si="124"/>
        <v>1</v>
      </c>
      <c r="K4015" s="1" t="s">
        <v>741</v>
      </c>
      <c r="L4015" s="1" t="s">
        <v>798</v>
      </c>
      <c r="M4015">
        <f t="shared" si="125"/>
        <v>22</v>
      </c>
      <c r="N4015" t="s">
        <v>650</v>
      </c>
    </row>
    <row r="4016" spans="1:14" hidden="1" x14ac:dyDescent="0.3">
      <c r="A4016" s="1" t="s">
        <v>2541</v>
      </c>
      <c r="B4016" s="1" t="s">
        <v>802</v>
      </c>
      <c r="C4016" s="1" t="s">
        <v>2542</v>
      </c>
      <c r="D4016" s="1" t="s">
        <v>746</v>
      </c>
      <c r="E4016" s="1" t="s">
        <v>747</v>
      </c>
      <c r="F4016" s="1" t="s">
        <v>748</v>
      </c>
      <c r="G4016" s="1" t="s">
        <v>2410</v>
      </c>
      <c r="H4016">
        <v>2010</v>
      </c>
      <c r="I4016">
        <v>2010</v>
      </c>
      <c r="J4016">
        <f t="shared" si="124"/>
        <v>1</v>
      </c>
      <c r="K4016" s="1" t="s">
        <v>741</v>
      </c>
      <c r="L4016" s="1" t="s">
        <v>798</v>
      </c>
      <c r="M4016">
        <f t="shared" si="125"/>
        <v>16</v>
      </c>
      <c r="N4016" t="s">
        <v>650</v>
      </c>
    </row>
    <row r="4017" spans="1:14" hidden="1" x14ac:dyDescent="0.3">
      <c r="A4017" s="1" t="s">
        <v>2543</v>
      </c>
      <c r="B4017" s="1" t="s">
        <v>802</v>
      </c>
      <c r="C4017" s="1" t="s">
        <v>2544</v>
      </c>
      <c r="D4017" s="1" t="s">
        <v>746</v>
      </c>
      <c r="E4017" s="1" t="s">
        <v>747</v>
      </c>
      <c r="F4017" s="1" t="s">
        <v>748</v>
      </c>
      <c r="G4017" s="1" t="s">
        <v>2410</v>
      </c>
      <c r="H4017">
        <v>2012</v>
      </c>
      <c r="I4017">
        <v>2012</v>
      </c>
      <c r="J4017">
        <f t="shared" si="124"/>
        <v>1</v>
      </c>
      <c r="K4017" s="1" t="s">
        <v>741</v>
      </c>
      <c r="L4017" s="1" t="s">
        <v>798</v>
      </c>
      <c r="M4017">
        <f t="shared" si="125"/>
        <v>14</v>
      </c>
      <c r="N4017" t="s">
        <v>650</v>
      </c>
    </row>
    <row r="4018" spans="1:14" hidden="1" x14ac:dyDescent="0.3">
      <c r="A4018" s="1" t="s">
        <v>2545</v>
      </c>
      <c r="B4018" s="1" t="s">
        <v>802</v>
      </c>
      <c r="C4018" s="1" t="s">
        <v>2546</v>
      </c>
      <c r="D4018" s="1" t="s">
        <v>746</v>
      </c>
      <c r="E4018" s="1" t="s">
        <v>747</v>
      </c>
      <c r="F4018" s="1" t="s">
        <v>748</v>
      </c>
      <c r="G4018" s="1" t="s">
        <v>2410</v>
      </c>
      <c r="H4018">
        <v>2010</v>
      </c>
      <c r="I4018">
        <v>2010</v>
      </c>
      <c r="J4018">
        <f t="shared" si="124"/>
        <v>1</v>
      </c>
      <c r="K4018" s="1" t="s">
        <v>741</v>
      </c>
      <c r="L4018" s="1" t="s">
        <v>798</v>
      </c>
      <c r="M4018">
        <f t="shared" si="125"/>
        <v>16</v>
      </c>
      <c r="N4018" t="s">
        <v>650</v>
      </c>
    </row>
    <row r="4019" spans="1:14" hidden="1" x14ac:dyDescent="0.3">
      <c r="A4019" s="1" t="s">
        <v>2547</v>
      </c>
      <c r="B4019" s="1" t="s">
        <v>802</v>
      </c>
      <c r="C4019" s="1" t="s">
        <v>2548</v>
      </c>
      <c r="D4019" s="1" t="s">
        <v>738</v>
      </c>
      <c r="E4019" s="1" t="s">
        <v>739</v>
      </c>
      <c r="F4019" s="1" t="s">
        <v>740</v>
      </c>
      <c r="G4019" s="1" t="s">
        <v>2410</v>
      </c>
      <c r="H4019">
        <v>1999</v>
      </c>
      <c r="I4019">
        <v>1999</v>
      </c>
      <c r="J4019">
        <f t="shared" si="124"/>
        <v>1</v>
      </c>
      <c r="K4019" s="1" t="s">
        <v>741</v>
      </c>
      <c r="L4019" s="1" t="s">
        <v>798</v>
      </c>
      <c r="M4019">
        <f t="shared" si="125"/>
        <v>27</v>
      </c>
      <c r="N4019" t="s">
        <v>640</v>
      </c>
    </row>
    <row r="4020" spans="1:14" hidden="1" x14ac:dyDescent="0.3">
      <c r="A4020" s="1" t="s">
        <v>2549</v>
      </c>
      <c r="B4020" s="1" t="s">
        <v>802</v>
      </c>
      <c r="C4020" s="1" t="s">
        <v>2550</v>
      </c>
      <c r="D4020" s="1" t="s">
        <v>738</v>
      </c>
      <c r="E4020" s="1" t="s">
        <v>739</v>
      </c>
      <c r="F4020" s="1" t="s">
        <v>740</v>
      </c>
      <c r="G4020" s="1" t="s">
        <v>2410</v>
      </c>
      <c r="H4020">
        <v>1997</v>
      </c>
      <c r="I4020">
        <v>1997</v>
      </c>
      <c r="J4020">
        <f t="shared" si="124"/>
        <v>1</v>
      </c>
      <c r="K4020" s="1" t="s">
        <v>741</v>
      </c>
      <c r="L4020" s="1" t="s">
        <v>798</v>
      </c>
      <c r="M4020">
        <f t="shared" si="125"/>
        <v>29</v>
      </c>
      <c r="N4020" t="s">
        <v>640</v>
      </c>
    </row>
    <row r="4021" spans="1:14" hidden="1" x14ac:dyDescent="0.3">
      <c r="A4021" s="1" t="s">
        <v>2551</v>
      </c>
      <c r="B4021" s="1" t="s">
        <v>802</v>
      </c>
      <c r="C4021" s="1" t="s">
        <v>2552</v>
      </c>
      <c r="D4021" s="1" t="s">
        <v>738</v>
      </c>
      <c r="E4021" s="1" t="s">
        <v>739</v>
      </c>
      <c r="F4021" s="1" t="s">
        <v>740</v>
      </c>
      <c r="G4021" s="1" t="s">
        <v>2410</v>
      </c>
      <c r="H4021">
        <v>1997</v>
      </c>
      <c r="I4021">
        <v>1997</v>
      </c>
      <c r="J4021">
        <f t="shared" si="124"/>
        <v>1</v>
      </c>
      <c r="K4021" s="1" t="s">
        <v>741</v>
      </c>
      <c r="L4021" s="1" t="s">
        <v>798</v>
      </c>
      <c r="M4021">
        <f t="shared" si="125"/>
        <v>29</v>
      </c>
      <c r="N4021" t="s">
        <v>640</v>
      </c>
    </row>
    <row r="4022" spans="1:14" hidden="1" x14ac:dyDescent="0.3">
      <c r="A4022" s="1" t="s">
        <v>2553</v>
      </c>
      <c r="B4022" s="1" t="s">
        <v>802</v>
      </c>
      <c r="C4022" s="1" t="s">
        <v>2554</v>
      </c>
      <c r="D4022" s="1" t="s">
        <v>738</v>
      </c>
      <c r="E4022" s="1" t="s">
        <v>739</v>
      </c>
      <c r="F4022" s="1" t="s">
        <v>740</v>
      </c>
      <c r="G4022" s="1" t="s">
        <v>2410</v>
      </c>
      <c r="H4022">
        <v>2016</v>
      </c>
      <c r="I4022">
        <v>2016</v>
      </c>
      <c r="J4022">
        <f t="shared" si="124"/>
        <v>1</v>
      </c>
      <c r="K4022" s="1" t="s">
        <v>741</v>
      </c>
      <c r="L4022" s="1" t="s">
        <v>798</v>
      </c>
      <c r="M4022">
        <f t="shared" si="125"/>
        <v>10</v>
      </c>
      <c r="N4022" t="s">
        <v>650</v>
      </c>
    </row>
    <row r="4023" spans="1:14" hidden="1" x14ac:dyDescent="0.3">
      <c r="A4023" s="1" t="s">
        <v>2555</v>
      </c>
      <c r="B4023" s="1" t="s">
        <v>802</v>
      </c>
      <c r="C4023" s="1" t="s">
        <v>2556</v>
      </c>
      <c r="D4023" s="1" t="s">
        <v>738</v>
      </c>
      <c r="E4023" s="1" t="s">
        <v>739</v>
      </c>
      <c r="F4023" s="1" t="s">
        <v>740</v>
      </c>
      <c r="G4023" s="1" t="s">
        <v>2410</v>
      </c>
      <c r="H4023">
        <v>2016</v>
      </c>
      <c r="I4023">
        <v>2016</v>
      </c>
      <c r="J4023">
        <f t="shared" si="124"/>
        <v>1</v>
      </c>
      <c r="K4023" s="1" t="s">
        <v>741</v>
      </c>
      <c r="L4023" s="1" t="s">
        <v>798</v>
      </c>
      <c r="M4023">
        <f t="shared" si="125"/>
        <v>10</v>
      </c>
      <c r="N4023" t="s">
        <v>650</v>
      </c>
    </row>
    <row r="4024" spans="1:14" hidden="1" x14ac:dyDescent="0.3">
      <c r="A4024" s="1" t="s">
        <v>2557</v>
      </c>
      <c r="B4024" s="1" t="s">
        <v>802</v>
      </c>
      <c r="C4024" s="1" t="s">
        <v>2558</v>
      </c>
      <c r="D4024" s="1" t="s">
        <v>738</v>
      </c>
      <c r="E4024" s="1" t="s">
        <v>739</v>
      </c>
      <c r="F4024" s="1" t="s">
        <v>740</v>
      </c>
      <c r="G4024" s="1" t="s">
        <v>2410</v>
      </c>
      <c r="H4024">
        <v>2016</v>
      </c>
      <c r="I4024">
        <v>2016</v>
      </c>
      <c r="J4024">
        <f t="shared" si="124"/>
        <v>1</v>
      </c>
      <c r="K4024" s="1" t="s">
        <v>741</v>
      </c>
      <c r="L4024" s="1" t="s">
        <v>798</v>
      </c>
      <c r="M4024">
        <f t="shared" si="125"/>
        <v>10</v>
      </c>
      <c r="N4024" t="s">
        <v>650</v>
      </c>
    </row>
    <row r="4025" spans="1:14" hidden="1" x14ac:dyDescent="0.3">
      <c r="A4025" s="1" t="s">
        <v>2559</v>
      </c>
      <c r="B4025" s="1" t="s">
        <v>802</v>
      </c>
      <c r="C4025" s="1" t="s">
        <v>2560</v>
      </c>
      <c r="D4025" s="1" t="s">
        <v>738</v>
      </c>
      <c r="E4025" s="1" t="s">
        <v>739</v>
      </c>
      <c r="F4025" s="1" t="s">
        <v>740</v>
      </c>
      <c r="G4025" s="1" t="s">
        <v>2410</v>
      </c>
      <c r="H4025">
        <v>2016</v>
      </c>
      <c r="I4025">
        <v>2016</v>
      </c>
      <c r="J4025">
        <f t="shared" si="124"/>
        <v>1</v>
      </c>
      <c r="K4025" s="1" t="s">
        <v>741</v>
      </c>
      <c r="L4025" s="1" t="s">
        <v>798</v>
      </c>
      <c r="M4025">
        <f t="shared" si="125"/>
        <v>10</v>
      </c>
      <c r="N4025" t="s">
        <v>650</v>
      </c>
    </row>
    <row r="4026" spans="1:14" hidden="1" x14ac:dyDescent="0.3">
      <c r="A4026" s="1" t="s">
        <v>2561</v>
      </c>
      <c r="B4026" s="1" t="s">
        <v>802</v>
      </c>
      <c r="C4026" s="1" t="s">
        <v>2562</v>
      </c>
      <c r="D4026" s="1" t="s">
        <v>738</v>
      </c>
      <c r="E4026" s="1" t="s">
        <v>739</v>
      </c>
      <c r="F4026" s="1" t="s">
        <v>740</v>
      </c>
      <c r="G4026" s="1" t="s">
        <v>2410</v>
      </c>
      <c r="H4026">
        <v>1999</v>
      </c>
      <c r="I4026">
        <v>1999</v>
      </c>
      <c r="J4026">
        <f t="shared" si="124"/>
        <v>1</v>
      </c>
      <c r="K4026" s="1" t="s">
        <v>741</v>
      </c>
      <c r="L4026" s="1" t="s">
        <v>798</v>
      </c>
      <c r="M4026">
        <f t="shared" si="125"/>
        <v>27</v>
      </c>
      <c r="N4026" t="s">
        <v>640</v>
      </c>
    </row>
    <row r="4027" spans="1:14" hidden="1" x14ac:dyDescent="0.3">
      <c r="A4027" s="1" t="s">
        <v>2563</v>
      </c>
      <c r="B4027" s="1" t="s">
        <v>802</v>
      </c>
      <c r="C4027" s="1" t="s">
        <v>2564</v>
      </c>
      <c r="D4027" s="1" t="s">
        <v>738</v>
      </c>
      <c r="E4027" s="1" t="s">
        <v>739</v>
      </c>
      <c r="F4027" s="1" t="s">
        <v>740</v>
      </c>
      <c r="G4027" s="1" t="s">
        <v>2410</v>
      </c>
      <c r="H4027">
        <v>2003</v>
      </c>
      <c r="I4027">
        <v>2003</v>
      </c>
      <c r="J4027">
        <f t="shared" si="124"/>
        <v>1</v>
      </c>
      <c r="K4027" s="1" t="s">
        <v>741</v>
      </c>
      <c r="L4027" s="1" t="s">
        <v>798</v>
      </c>
      <c r="M4027">
        <f t="shared" si="125"/>
        <v>23</v>
      </c>
      <c r="N4027" t="s">
        <v>650</v>
      </c>
    </row>
    <row r="4028" spans="1:14" hidden="1" x14ac:dyDescent="0.3">
      <c r="A4028" s="1" t="s">
        <v>2565</v>
      </c>
      <c r="B4028" s="1" t="s">
        <v>802</v>
      </c>
      <c r="C4028" s="1" t="s">
        <v>2566</v>
      </c>
      <c r="D4028" s="1" t="s">
        <v>738</v>
      </c>
      <c r="E4028" s="1" t="s">
        <v>739</v>
      </c>
      <c r="F4028" s="1" t="s">
        <v>740</v>
      </c>
      <c r="G4028" s="1" t="s">
        <v>2410</v>
      </c>
      <c r="H4028">
        <v>2009</v>
      </c>
      <c r="I4028">
        <v>2009</v>
      </c>
      <c r="J4028">
        <f t="shared" si="124"/>
        <v>1</v>
      </c>
      <c r="K4028" s="1" t="s">
        <v>741</v>
      </c>
      <c r="L4028" s="1" t="s">
        <v>798</v>
      </c>
      <c r="M4028">
        <f t="shared" si="125"/>
        <v>17</v>
      </c>
      <c r="N4028" t="s">
        <v>650</v>
      </c>
    </row>
    <row r="4029" spans="1:14" hidden="1" x14ac:dyDescent="0.3">
      <c r="A4029" s="1" t="s">
        <v>2567</v>
      </c>
      <c r="B4029" s="1" t="s">
        <v>802</v>
      </c>
      <c r="C4029" s="1" t="s">
        <v>2568</v>
      </c>
      <c r="D4029" s="1" t="s">
        <v>738</v>
      </c>
      <c r="E4029" s="1" t="s">
        <v>739</v>
      </c>
      <c r="F4029" s="1" t="s">
        <v>740</v>
      </c>
      <c r="G4029" s="1" t="s">
        <v>2410</v>
      </c>
      <c r="H4029">
        <v>1999</v>
      </c>
      <c r="I4029">
        <v>1999</v>
      </c>
      <c r="J4029">
        <f t="shared" si="124"/>
        <v>1</v>
      </c>
      <c r="K4029" s="1" t="s">
        <v>741</v>
      </c>
      <c r="L4029" s="1" t="s">
        <v>798</v>
      </c>
      <c r="M4029">
        <f t="shared" si="125"/>
        <v>27</v>
      </c>
      <c r="N4029" t="s">
        <v>640</v>
      </c>
    </row>
    <row r="4030" spans="1:14" hidden="1" x14ac:dyDescent="0.3">
      <c r="A4030" s="1" t="s">
        <v>2569</v>
      </c>
      <c r="B4030" s="1" t="s">
        <v>802</v>
      </c>
      <c r="C4030" s="1" t="s">
        <v>2570</v>
      </c>
      <c r="D4030" s="1" t="s">
        <v>738</v>
      </c>
      <c r="E4030" s="1" t="s">
        <v>739</v>
      </c>
      <c r="F4030" s="1" t="s">
        <v>740</v>
      </c>
      <c r="G4030" s="1" t="s">
        <v>2410</v>
      </c>
      <c r="H4030">
        <v>2001</v>
      </c>
      <c r="I4030">
        <v>2001</v>
      </c>
      <c r="J4030">
        <f t="shared" si="124"/>
        <v>1</v>
      </c>
      <c r="K4030" s="1" t="s">
        <v>741</v>
      </c>
      <c r="L4030" s="1" t="s">
        <v>798</v>
      </c>
      <c r="M4030">
        <f t="shared" si="125"/>
        <v>25</v>
      </c>
      <c r="N4030" t="s">
        <v>640</v>
      </c>
    </row>
    <row r="4031" spans="1:14" hidden="1" x14ac:dyDescent="0.3">
      <c r="A4031" s="1" t="s">
        <v>2571</v>
      </c>
      <c r="B4031" s="1" t="s">
        <v>802</v>
      </c>
      <c r="C4031" s="1" t="s">
        <v>2572</v>
      </c>
      <c r="D4031" s="1" t="s">
        <v>738</v>
      </c>
      <c r="E4031" s="1" t="s">
        <v>739</v>
      </c>
      <c r="F4031" s="1" t="s">
        <v>740</v>
      </c>
      <c r="G4031" s="1" t="s">
        <v>2410</v>
      </c>
      <c r="H4031">
        <v>2000</v>
      </c>
      <c r="I4031">
        <v>2000</v>
      </c>
      <c r="J4031">
        <f t="shared" si="124"/>
        <v>1</v>
      </c>
      <c r="K4031" s="1" t="s">
        <v>741</v>
      </c>
      <c r="L4031" s="1" t="s">
        <v>798</v>
      </c>
      <c r="M4031">
        <f t="shared" si="125"/>
        <v>26</v>
      </c>
      <c r="N4031" t="s">
        <v>640</v>
      </c>
    </row>
    <row r="4032" spans="1:14" hidden="1" x14ac:dyDescent="0.3">
      <c r="A4032" s="1" t="s">
        <v>2573</v>
      </c>
      <c r="B4032" s="1" t="s">
        <v>802</v>
      </c>
      <c r="C4032" s="1" t="s">
        <v>2574</v>
      </c>
      <c r="D4032" s="1" t="s">
        <v>738</v>
      </c>
      <c r="E4032" s="1" t="s">
        <v>739</v>
      </c>
      <c r="F4032" s="1" t="s">
        <v>740</v>
      </c>
      <c r="G4032" s="1" t="s">
        <v>2410</v>
      </c>
      <c r="H4032">
        <v>2005</v>
      </c>
      <c r="I4032">
        <v>2005</v>
      </c>
      <c r="J4032">
        <f t="shared" si="124"/>
        <v>1</v>
      </c>
      <c r="K4032" s="1" t="s">
        <v>741</v>
      </c>
      <c r="L4032" s="1" t="s">
        <v>798</v>
      </c>
      <c r="M4032">
        <f t="shared" si="125"/>
        <v>21</v>
      </c>
      <c r="N4032" t="s">
        <v>650</v>
      </c>
    </row>
    <row r="4033" spans="1:14" hidden="1" x14ac:dyDescent="0.3">
      <c r="A4033" s="1" t="s">
        <v>2575</v>
      </c>
      <c r="B4033" s="1" t="s">
        <v>802</v>
      </c>
      <c r="C4033" s="1" t="s">
        <v>2576</v>
      </c>
      <c r="D4033" s="1" t="s">
        <v>738</v>
      </c>
      <c r="E4033" s="1" t="s">
        <v>739</v>
      </c>
      <c r="F4033" s="1" t="s">
        <v>740</v>
      </c>
      <c r="G4033" s="1" t="s">
        <v>2410</v>
      </c>
      <c r="H4033">
        <v>2006</v>
      </c>
      <c r="I4033">
        <v>2006</v>
      </c>
      <c r="J4033">
        <f t="shared" si="124"/>
        <v>1</v>
      </c>
      <c r="K4033" s="1" t="s">
        <v>741</v>
      </c>
      <c r="L4033" s="1" t="s">
        <v>798</v>
      </c>
      <c r="M4033">
        <f t="shared" si="125"/>
        <v>20</v>
      </c>
      <c r="N4033" t="s">
        <v>650</v>
      </c>
    </row>
    <row r="4034" spans="1:14" hidden="1" x14ac:dyDescent="0.3">
      <c r="A4034" s="1" t="s">
        <v>2577</v>
      </c>
      <c r="B4034" s="1" t="s">
        <v>802</v>
      </c>
      <c r="C4034" s="1" t="s">
        <v>2578</v>
      </c>
      <c r="D4034" s="1" t="s">
        <v>738</v>
      </c>
      <c r="E4034" s="1" t="s">
        <v>739</v>
      </c>
      <c r="F4034" s="1" t="s">
        <v>740</v>
      </c>
      <c r="G4034" s="1" t="s">
        <v>2410</v>
      </c>
      <c r="H4034">
        <v>1998</v>
      </c>
      <c r="I4034">
        <v>1998</v>
      </c>
      <c r="J4034">
        <f t="shared" si="124"/>
        <v>1</v>
      </c>
      <c r="K4034" s="1" t="s">
        <v>741</v>
      </c>
      <c r="L4034" s="1" t="s">
        <v>798</v>
      </c>
      <c r="M4034">
        <f t="shared" si="125"/>
        <v>28</v>
      </c>
      <c r="N4034" t="s">
        <v>640</v>
      </c>
    </row>
    <row r="4035" spans="1:14" hidden="1" x14ac:dyDescent="0.3">
      <c r="A4035" s="1" t="s">
        <v>2579</v>
      </c>
      <c r="B4035" s="1" t="s">
        <v>802</v>
      </c>
      <c r="C4035" s="1" t="s">
        <v>2580</v>
      </c>
      <c r="D4035" s="1" t="s">
        <v>738</v>
      </c>
      <c r="E4035" s="1" t="s">
        <v>739</v>
      </c>
      <c r="F4035" s="1" t="s">
        <v>740</v>
      </c>
      <c r="G4035" s="1" t="s">
        <v>2410</v>
      </c>
      <c r="H4035">
        <v>1998</v>
      </c>
      <c r="I4035">
        <v>1998</v>
      </c>
      <c r="J4035">
        <f t="shared" si="124"/>
        <v>1</v>
      </c>
      <c r="K4035" s="1" t="s">
        <v>741</v>
      </c>
      <c r="L4035" s="1" t="s">
        <v>798</v>
      </c>
      <c r="M4035">
        <f t="shared" si="125"/>
        <v>28</v>
      </c>
      <c r="N4035" t="s">
        <v>640</v>
      </c>
    </row>
    <row r="4036" spans="1:14" hidden="1" x14ac:dyDescent="0.3">
      <c r="A4036" s="1" t="s">
        <v>2581</v>
      </c>
      <c r="B4036" s="1" t="s">
        <v>802</v>
      </c>
      <c r="C4036" s="1" t="s">
        <v>2582</v>
      </c>
      <c r="D4036" s="1" t="s">
        <v>738</v>
      </c>
      <c r="E4036" s="1" t="s">
        <v>739</v>
      </c>
      <c r="F4036" s="1" t="s">
        <v>740</v>
      </c>
      <c r="G4036" s="1" t="s">
        <v>2410</v>
      </c>
      <c r="H4036">
        <v>2003</v>
      </c>
      <c r="I4036">
        <v>2003</v>
      </c>
      <c r="J4036">
        <f t="shared" si="124"/>
        <v>1</v>
      </c>
      <c r="K4036" s="1" t="s">
        <v>741</v>
      </c>
      <c r="L4036" s="1" t="s">
        <v>798</v>
      </c>
      <c r="M4036">
        <f t="shared" si="125"/>
        <v>23</v>
      </c>
      <c r="N4036" t="s">
        <v>650</v>
      </c>
    </row>
    <row r="4037" spans="1:14" hidden="1" x14ac:dyDescent="0.3">
      <c r="A4037" s="1" t="s">
        <v>2583</v>
      </c>
      <c r="B4037" s="1" t="s">
        <v>802</v>
      </c>
      <c r="C4037" s="1" t="s">
        <v>2584</v>
      </c>
      <c r="D4037" s="1" t="s">
        <v>738</v>
      </c>
      <c r="E4037" s="1" t="s">
        <v>739</v>
      </c>
      <c r="F4037" s="1" t="s">
        <v>740</v>
      </c>
      <c r="G4037" s="1" t="s">
        <v>2410</v>
      </c>
      <c r="H4037">
        <v>1999</v>
      </c>
      <c r="I4037">
        <v>1999</v>
      </c>
      <c r="J4037">
        <f t="shared" si="124"/>
        <v>1</v>
      </c>
      <c r="K4037" s="1" t="s">
        <v>741</v>
      </c>
      <c r="L4037" s="1" t="s">
        <v>798</v>
      </c>
      <c r="M4037">
        <f t="shared" si="125"/>
        <v>27</v>
      </c>
      <c r="N4037" t="s">
        <v>640</v>
      </c>
    </row>
    <row r="4038" spans="1:14" hidden="1" x14ac:dyDescent="0.3">
      <c r="A4038" s="1" t="s">
        <v>2585</v>
      </c>
      <c r="B4038" s="1" t="s">
        <v>802</v>
      </c>
      <c r="C4038" s="1" t="s">
        <v>2586</v>
      </c>
      <c r="D4038" s="1" t="s">
        <v>738</v>
      </c>
      <c r="E4038" s="1" t="s">
        <v>739</v>
      </c>
      <c r="F4038" s="1" t="s">
        <v>740</v>
      </c>
      <c r="G4038" s="1" t="s">
        <v>2410</v>
      </c>
      <c r="H4038">
        <v>2003</v>
      </c>
      <c r="I4038">
        <v>2003</v>
      </c>
      <c r="J4038">
        <f t="shared" ref="J4038:J4101" si="126">1+(I4038-H4038)</f>
        <v>1</v>
      </c>
      <c r="K4038" s="1" t="s">
        <v>741</v>
      </c>
      <c r="L4038" s="1" t="s">
        <v>798</v>
      </c>
      <c r="M4038">
        <f t="shared" ref="M4038:M4101" si="127">IF(I4038=0,0,$B$2-I4038)</f>
        <v>23</v>
      </c>
      <c r="N4038" t="s">
        <v>650</v>
      </c>
    </row>
    <row r="4039" spans="1:14" hidden="1" x14ac:dyDescent="0.3">
      <c r="A4039" s="1" t="s">
        <v>2587</v>
      </c>
      <c r="B4039" s="1" t="s">
        <v>802</v>
      </c>
      <c r="C4039" s="1" t="s">
        <v>2588</v>
      </c>
      <c r="D4039" s="1" t="s">
        <v>738</v>
      </c>
      <c r="E4039" s="1" t="s">
        <v>739</v>
      </c>
      <c r="F4039" s="1" t="s">
        <v>740</v>
      </c>
      <c r="G4039" s="1" t="s">
        <v>2410</v>
      </c>
      <c r="H4039">
        <v>2005</v>
      </c>
      <c r="I4039">
        <v>2005</v>
      </c>
      <c r="J4039">
        <f t="shared" si="126"/>
        <v>1</v>
      </c>
      <c r="K4039" s="1" t="s">
        <v>741</v>
      </c>
      <c r="L4039" s="1" t="s">
        <v>798</v>
      </c>
      <c r="M4039">
        <f t="shared" si="127"/>
        <v>21</v>
      </c>
      <c r="N4039" t="s">
        <v>650</v>
      </c>
    </row>
    <row r="4040" spans="1:14" hidden="1" x14ac:dyDescent="0.3">
      <c r="A4040" s="1" t="s">
        <v>2589</v>
      </c>
      <c r="B4040" s="1" t="s">
        <v>802</v>
      </c>
      <c r="C4040" s="1" t="s">
        <v>2590</v>
      </c>
      <c r="D4040" s="1" t="s">
        <v>738</v>
      </c>
      <c r="E4040" s="1" t="s">
        <v>739</v>
      </c>
      <c r="F4040" s="1" t="s">
        <v>740</v>
      </c>
      <c r="G4040" s="1" t="s">
        <v>2410</v>
      </c>
      <c r="H4040">
        <v>1997</v>
      </c>
      <c r="I4040">
        <v>1997</v>
      </c>
      <c r="J4040">
        <f t="shared" si="126"/>
        <v>1</v>
      </c>
      <c r="K4040" s="1" t="s">
        <v>741</v>
      </c>
      <c r="L4040" s="1" t="s">
        <v>798</v>
      </c>
      <c r="M4040">
        <f t="shared" si="127"/>
        <v>29</v>
      </c>
      <c r="N4040" t="s">
        <v>640</v>
      </c>
    </row>
    <row r="4041" spans="1:14" hidden="1" x14ac:dyDescent="0.3">
      <c r="A4041" s="1" t="s">
        <v>2591</v>
      </c>
      <c r="B4041" s="1" t="s">
        <v>802</v>
      </c>
      <c r="C4041" s="1" t="s">
        <v>2592</v>
      </c>
      <c r="D4041" s="1" t="s">
        <v>738</v>
      </c>
      <c r="E4041" s="1" t="s">
        <v>739</v>
      </c>
      <c r="F4041" s="1" t="s">
        <v>740</v>
      </c>
      <c r="G4041" s="1" t="s">
        <v>2410</v>
      </c>
      <c r="H4041">
        <v>1997</v>
      </c>
      <c r="I4041">
        <v>1997</v>
      </c>
      <c r="J4041">
        <f t="shared" si="126"/>
        <v>1</v>
      </c>
      <c r="K4041" s="1" t="s">
        <v>741</v>
      </c>
      <c r="L4041" s="1" t="s">
        <v>798</v>
      </c>
      <c r="M4041">
        <f t="shared" si="127"/>
        <v>29</v>
      </c>
      <c r="N4041" t="s">
        <v>640</v>
      </c>
    </row>
    <row r="4042" spans="1:14" hidden="1" x14ac:dyDescent="0.3">
      <c r="A4042" s="1" t="s">
        <v>2593</v>
      </c>
      <c r="B4042" s="1" t="s">
        <v>802</v>
      </c>
      <c r="C4042" s="1" t="s">
        <v>2594</v>
      </c>
      <c r="D4042" s="1" t="s">
        <v>738</v>
      </c>
      <c r="E4042" s="1" t="s">
        <v>739</v>
      </c>
      <c r="F4042" s="1" t="s">
        <v>740</v>
      </c>
      <c r="G4042" s="1" t="s">
        <v>2410</v>
      </c>
      <c r="H4042">
        <v>2003</v>
      </c>
      <c r="I4042">
        <v>2003</v>
      </c>
      <c r="J4042">
        <f t="shared" si="126"/>
        <v>1</v>
      </c>
      <c r="K4042" s="1" t="s">
        <v>741</v>
      </c>
      <c r="L4042" s="1" t="s">
        <v>798</v>
      </c>
      <c r="M4042">
        <f t="shared" si="127"/>
        <v>23</v>
      </c>
      <c r="N4042" t="s">
        <v>650</v>
      </c>
    </row>
    <row r="4043" spans="1:14" hidden="1" x14ac:dyDescent="0.3">
      <c r="A4043" s="1" t="s">
        <v>2595</v>
      </c>
      <c r="B4043" s="1" t="s">
        <v>802</v>
      </c>
      <c r="C4043" s="1" t="s">
        <v>2596</v>
      </c>
      <c r="D4043" s="1" t="s">
        <v>738</v>
      </c>
      <c r="E4043" s="1" t="s">
        <v>739</v>
      </c>
      <c r="F4043" s="1" t="s">
        <v>740</v>
      </c>
      <c r="G4043" s="1" t="s">
        <v>2410</v>
      </c>
      <c r="H4043">
        <v>2009</v>
      </c>
      <c r="I4043">
        <v>2009</v>
      </c>
      <c r="J4043">
        <f t="shared" si="126"/>
        <v>1</v>
      </c>
      <c r="K4043" s="1" t="s">
        <v>741</v>
      </c>
      <c r="L4043" s="1" t="s">
        <v>798</v>
      </c>
      <c r="M4043">
        <f t="shared" si="127"/>
        <v>17</v>
      </c>
      <c r="N4043" t="s">
        <v>650</v>
      </c>
    </row>
    <row r="4044" spans="1:14" hidden="1" x14ac:dyDescent="0.3">
      <c r="A4044" s="1" t="s">
        <v>2597</v>
      </c>
      <c r="B4044" s="1" t="s">
        <v>802</v>
      </c>
      <c r="C4044" s="1" t="s">
        <v>2598</v>
      </c>
      <c r="D4044" s="1" t="s">
        <v>738</v>
      </c>
      <c r="E4044" s="1" t="s">
        <v>739</v>
      </c>
      <c r="F4044" s="1" t="s">
        <v>740</v>
      </c>
      <c r="G4044" s="1" t="s">
        <v>2410</v>
      </c>
      <c r="H4044">
        <v>2011</v>
      </c>
      <c r="I4044">
        <v>2011</v>
      </c>
      <c r="J4044">
        <f t="shared" si="126"/>
        <v>1</v>
      </c>
      <c r="K4044" s="1" t="s">
        <v>741</v>
      </c>
      <c r="L4044" s="1" t="s">
        <v>798</v>
      </c>
      <c r="M4044">
        <f t="shared" si="127"/>
        <v>15</v>
      </c>
      <c r="N4044" t="s">
        <v>650</v>
      </c>
    </row>
    <row r="4045" spans="1:14" hidden="1" x14ac:dyDescent="0.3">
      <c r="A4045" s="1" t="s">
        <v>2599</v>
      </c>
      <c r="B4045" s="1" t="s">
        <v>802</v>
      </c>
      <c r="C4045" s="1" t="s">
        <v>2600</v>
      </c>
      <c r="D4045" s="1" t="s">
        <v>738</v>
      </c>
      <c r="E4045" s="1" t="s">
        <v>739</v>
      </c>
      <c r="F4045" s="1" t="s">
        <v>740</v>
      </c>
      <c r="G4045" s="1" t="s">
        <v>2410</v>
      </c>
      <c r="H4045">
        <v>2010</v>
      </c>
      <c r="I4045">
        <v>2010</v>
      </c>
      <c r="J4045">
        <f t="shared" si="126"/>
        <v>1</v>
      </c>
      <c r="K4045" s="1" t="s">
        <v>741</v>
      </c>
      <c r="L4045" s="1" t="s">
        <v>798</v>
      </c>
      <c r="M4045">
        <f t="shared" si="127"/>
        <v>16</v>
      </c>
      <c r="N4045" t="s">
        <v>650</v>
      </c>
    </row>
    <row r="4046" spans="1:14" hidden="1" x14ac:dyDescent="0.3">
      <c r="A4046" s="1" t="s">
        <v>2601</v>
      </c>
      <c r="B4046" s="1" t="s">
        <v>802</v>
      </c>
      <c r="C4046" s="1" t="s">
        <v>2602</v>
      </c>
      <c r="D4046" s="1" t="s">
        <v>746</v>
      </c>
      <c r="E4046" s="1" t="s">
        <v>747</v>
      </c>
      <c r="F4046" s="1" t="s">
        <v>748</v>
      </c>
      <c r="G4046" s="1" t="s">
        <v>2410</v>
      </c>
      <c r="H4046">
        <v>2001</v>
      </c>
      <c r="I4046">
        <v>2001</v>
      </c>
      <c r="J4046">
        <f t="shared" si="126"/>
        <v>1</v>
      </c>
      <c r="K4046" s="1" t="s">
        <v>741</v>
      </c>
      <c r="L4046" s="1" t="s">
        <v>798</v>
      </c>
      <c r="M4046">
        <f t="shared" si="127"/>
        <v>25</v>
      </c>
      <c r="N4046" t="s">
        <v>640</v>
      </c>
    </row>
    <row r="4047" spans="1:14" hidden="1" x14ac:dyDescent="0.3">
      <c r="A4047" s="1" t="s">
        <v>2603</v>
      </c>
      <c r="B4047" s="1" t="s">
        <v>802</v>
      </c>
      <c r="C4047" s="1" t="s">
        <v>2604</v>
      </c>
      <c r="D4047" s="1" t="s">
        <v>746</v>
      </c>
      <c r="E4047" s="1" t="s">
        <v>747</v>
      </c>
      <c r="F4047" s="1" t="s">
        <v>748</v>
      </c>
      <c r="G4047" s="1" t="s">
        <v>2410</v>
      </c>
      <c r="H4047">
        <v>2000</v>
      </c>
      <c r="I4047">
        <v>2000</v>
      </c>
      <c r="J4047">
        <f t="shared" si="126"/>
        <v>1</v>
      </c>
      <c r="K4047" s="1" t="s">
        <v>741</v>
      </c>
      <c r="L4047" s="1" t="s">
        <v>798</v>
      </c>
      <c r="M4047">
        <f t="shared" si="127"/>
        <v>26</v>
      </c>
      <c r="N4047" t="s">
        <v>640</v>
      </c>
    </row>
    <row r="4048" spans="1:14" hidden="1" x14ac:dyDescent="0.3">
      <c r="A4048" s="1" t="s">
        <v>2605</v>
      </c>
      <c r="B4048" s="1" t="s">
        <v>802</v>
      </c>
      <c r="C4048" s="1" t="s">
        <v>2606</v>
      </c>
      <c r="D4048" s="1" t="s">
        <v>746</v>
      </c>
      <c r="E4048" s="1" t="s">
        <v>747</v>
      </c>
      <c r="F4048" s="1" t="s">
        <v>748</v>
      </c>
      <c r="G4048" s="1" t="s">
        <v>2410</v>
      </c>
      <c r="H4048">
        <v>2002</v>
      </c>
      <c r="I4048">
        <v>2002</v>
      </c>
      <c r="J4048">
        <f t="shared" si="126"/>
        <v>1</v>
      </c>
      <c r="K4048" s="1" t="s">
        <v>741</v>
      </c>
      <c r="L4048" s="1" t="s">
        <v>798</v>
      </c>
      <c r="M4048">
        <f t="shared" si="127"/>
        <v>24</v>
      </c>
      <c r="N4048" t="s">
        <v>650</v>
      </c>
    </row>
    <row r="4049" spans="1:14" hidden="1" x14ac:dyDescent="0.3">
      <c r="A4049" s="1" t="s">
        <v>2607</v>
      </c>
      <c r="B4049" s="1" t="s">
        <v>802</v>
      </c>
      <c r="C4049" s="1" t="s">
        <v>2608</v>
      </c>
      <c r="D4049" s="1" t="s">
        <v>746</v>
      </c>
      <c r="E4049" s="1" t="s">
        <v>747</v>
      </c>
      <c r="F4049" s="1" t="s">
        <v>748</v>
      </c>
      <c r="G4049" s="1" t="s">
        <v>2410</v>
      </c>
      <c r="H4049">
        <v>2002</v>
      </c>
      <c r="I4049">
        <v>2002</v>
      </c>
      <c r="J4049">
        <f t="shared" si="126"/>
        <v>1</v>
      </c>
      <c r="K4049" s="1" t="s">
        <v>741</v>
      </c>
      <c r="L4049" s="1" t="s">
        <v>798</v>
      </c>
      <c r="M4049">
        <f t="shared" si="127"/>
        <v>24</v>
      </c>
      <c r="N4049" t="s">
        <v>650</v>
      </c>
    </row>
    <row r="4050" spans="1:14" x14ac:dyDescent="0.3">
      <c r="A4050" t="s">
        <v>11664</v>
      </c>
      <c r="B4050" t="s">
        <v>1849</v>
      </c>
      <c r="C4050" t="s">
        <v>11665</v>
      </c>
      <c r="E4050" s="1" t="s">
        <v>6076</v>
      </c>
      <c r="F4050" s="1" t="s">
        <v>6076</v>
      </c>
      <c r="G4050" s="1" t="s">
        <v>12840</v>
      </c>
      <c r="H4050">
        <v>2025</v>
      </c>
      <c r="I4050">
        <v>2026</v>
      </c>
      <c r="J4050">
        <f t="shared" si="126"/>
        <v>2</v>
      </c>
      <c r="K4050" s="1" t="s">
        <v>6076</v>
      </c>
      <c r="L4050" s="1" t="s">
        <v>6076</v>
      </c>
      <c r="M4050">
        <f t="shared" si="127"/>
        <v>0</v>
      </c>
    </row>
    <row r="4051" spans="1:14" x14ac:dyDescent="0.3">
      <c r="A4051" s="1" t="s">
        <v>9244</v>
      </c>
      <c r="B4051" s="1" t="s">
        <v>1451</v>
      </c>
      <c r="C4051" s="1" t="s">
        <v>9245</v>
      </c>
      <c r="D4051" s="1" t="s">
        <v>1242</v>
      </c>
      <c r="E4051" s="1" t="s">
        <v>6076</v>
      </c>
      <c r="F4051" s="1" t="s">
        <v>6076</v>
      </c>
      <c r="G4051" s="1" t="s">
        <v>9246</v>
      </c>
      <c r="H4051">
        <v>1985</v>
      </c>
      <c r="I4051">
        <v>1995</v>
      </c>
      <c r="J4051">
        <f t="shared" si="126"/>
        <v>11</v>
      </c>
      <c r="K4051" s="1" t="s">
        <v>6076</v>
      </c>
      <c r="L4051" s="1" t="s">
        <v>6076</v>
      </c>
      <c r="M4051">
        <f t="shared" si="127"/>
        <v>31</v>
      </c>
      <c r="N4051" t="s">
        <v>640</v>
      </c>
    </row>
    <row r="4052" spans="1:14" x14ac:dyDescent="0.3">
      <c r="A4052" s="1" t="s">
        <v>9247</v>
      </c>
      <c r="B4052" s="1" t="s">
        <v>1451</v>
      </c>
      <c r="C4052" s="1" t="s">
        <v>9248</v>
      </c>
      <c r="D4052" s="1" t="s">
        <v>1242</v>
      </c>
      <c r="E4052" s="1" t="s">
        <v>6076</v>
      </c>
      <c r="F4052" s="1" t="s">
        <v>6076</v>
      </c>
      <c r="G4052" s="1" t="s">
        <v>9246</v>
      </c>
      <c r="H4052">
        <v>1987</v>
      </c>
      <c r="I4052">
        <v>1995</v>
      </c>
      <c r="J4052">
        <f t="shared" si="126"/>
        <v>9</v>
      </c>
      <c r="K4052" s="1" t="s">
        <v>6076</v>
      </c>
      <c r="L4052" s="1" t="s">
        <v>6076</v>
      </c>
      <c r="M4052">
        <f t="shared" si="127"/>
        <v>31</v>
      </c>
      <c r="N4052" t="s">
        <v>640</v>
      </c>
    </row>
    <row r="4053" spans="1:14" x14ac:dyDescent="0.3">
      <c r="A4053" s="1" t="s">
        <v>9249</v>
      </c>
      <c r="B4053" s="1" t="s">
        <v>1451</v>
      </c>
      <c r="C4053" s="1" t="s">
        <v>9250</v>
      </c>
      <c r="D4053" s="1" t="s">
        <v>1242</v>
      </c>
      <c r="E4053" s="1" t="s">
        <v>6076</v>
      </c>
      <c r="F4053" s="1" t="s">
        <v>6076</v>
      </c>
      <c r="G4053" s="1" t="s">
        <v>9246</v>
      </c>
      <c r="H4053">
        <v>1985</v>
      </c>
      <c r="I4053">
        <v>1997</v>
      </c>
      <c r="J4053">
        <f t="shared" si="126"/>
        <v>13</v>
      </c>
      <c r="K4053" s="1" t="s">
        <v>6076</v>
      </c>
      <c r="L4053" s="1" t="s">
        <v>6076</v>
      </c>
      <c r="M4053">
        <f t="shared" si="127"/>
        <v>29</v>
      </c>
      <c r="N4053" t="s">
        <v>640</v>
      </c>
    </row>
    <row r="4054" spans="1:14" x14ac:dyDescent="0.3">
      <c r="A4054" s="1" t="s">
        <v>9251</v>
      </c>
      <c r="B4054" s="1" t="s">
        <v>1451</v>
      </c>
      <c r="C4054" s="1" t="s">
        <v>9252</v>
      </c>
      <c r="D4054" s="1" t="s">
        <v>1242</v>
      </c>
      <c r="E4054" s="1" t="s">
        <v>6076</v>
      </c>
      <c r="F4054" s="1" t="s">
        <v>6076</v>
      </c>
      <c r="G4054" s="1" t="s">
        <v>9246</v>
      </c>
      <c r="H4054">
        <v>1985</v>
      </c>
      <c r="I4054">
        <v>1997</v>
      </c>
      <c r="J4054">
        <f t="shared" si="126"/>
        <v>13</v>
      </c>
      <c r="K4054" s="1" t="s">
        <v>6076</v>
      </c>
      <c r="L4054" s="1" t="s">
        <v>6076</v>
      </c>
      <c r="M4054">
        <f t="shared" si="127"/>
        <v>29</v>
      </c>
      <c r="N4054" t="s">
        <v>640</v>
      </c>
    </row>
    <row r="4055" spans="1:14" x14ac:dyDescent="0.3">
      <c r="A4055" s="1" t="s">
        <v>9253</v>
      </c>
      <c r="B4055" s="1" t="s">
        <v>1451</v>
      </c>
      <c r="C4055" s="1" t="s">
        <v>9254</v>
      </c>
      <c r="D4055" s="1" t="s">
        <v>1242</v>
      </c>
      <c r="E4055" s="1" t="s">
        <v>6076</v>
      </c>
      <c r="F4055" s="1" t="s">
        <v>6076</v>
      </c>
      <c r="G4055" s="1" t="s">
        <v>9246</v>
      </c>
      <c r="H4055">
        <v>1989</v>
      </c>
      <c r="I4055">
        <v>1997</v>
      </c>
      <c r="J4055">
        <f t="shared" si="126"/>
        <v>9</v>
      </c>
      <c r="K4055" s="1" t="s">
        <v>6076</v>
      </c>
      <c r="L4055" s="1" t="s">
        <v>6076</v>
      </c>
      <c r="M4055">
        <f t="shared" si="127"/>
        <v>29</v>
      </c>
      <c r="N4055" t="s">
        <v>640</v>
      </c>
    </row>
    <row r="4056" spans="1:14" x14ac:dyDescent="0.3">
      <c r="A4056" s="1" t="s">
        <v>9255</v>
      </c>
      <c r="B4056" s="1" t="s">
        <v>1451</v>
      </c>
      <c r="C4056" s="1" t="s">
        <v>9256</v>
      </c>
      <c r="D4056" s="1" t="s">
        <v>1242</v>
      </c>
      <c r="E4056" s="1" t="s">
        <v>6076</v>
      </c>
      <c r="F4056" s="1" t="s">
        <v>6076</v>
      </c>
      <c r="G4056" s="1" t="s">
        <v>9246</v>
      </c>
      <c r="H4056">
        <v>1989</v>
      </c>
      <c r="I4056">
        <v>1997</v>
      </c>
      <c r="J4056">
        <f t="shared" si="126"/>
        <v>9</v>
      </c>
      <c r="K4056" s="1" t="s">
        <v>6076</v>
      </c>
      <c r="L4056" s="1" t="s">
        <v>6076</v>
      </c>
      <c r="M4056">
        <f t="shared" si="127"/>
        <v>29</v>
      </c>
      <c r="N4056" t="s">
        <v>640</v>
      </c>
    </row>
    <row r="4057" spans="1:14" x14ac:dyDescent="0.3">
      <c r="A4057" s="1" t="s">
        <v>9257</v>
      </c>
      <c r="B4057" s="1" t="s">
        <v>802</v>
      </c>
      <c r="C4057" s="1" t="s">
        <v>9258</v>
      </c>
      <c r="D4057" s="1" t="s">
        <v>738</v>
      </c>
      <c r="E4057" s="1" t="s">
        <v>6076</v>
      </c>
      <c r="F4057" s="1" t="s">
        <v>6076</v>
      </c>
      <c r="G4057" s="1" t="s">
        <v>9259</v>
      </c>
      <c r="H4057">
        <v>1985</v>
      </c>
      <c r="I4057">
        <v>1985</v>
      </c>
      <c r="J4057">
        <f t="shared" si="126"/>
        <v>1</v>
      </c>
      <c r="K4057" s="1" t="s">
        <v>6076</v>
      </c>
      <c r="L4057" s="1" t="s">
        <v>6076</v>
      </c>
      <c r="M4057">
        <f t="shared" si="127"/>
        <v>41</v>
      </c>
      <c r="N4057" t="s">
        <v>640</v>
      </c>
    </row>
    <row r="4058" spans="1:14" hidden="1" x14ac:dyDescent="0.3">
      <c r="A4058" s="1" t="s">
        <v>2609</v>
      </c>
      <c r="B4058" s="1" t="s">
        <v>810</v>
      </c>
      <c r="C4058" s="1" t="s">
        <v>2610</v>
      </c>
      <c r="D4058" s="1" t="s">
        <v>738</v>
      </c>
      <c r="E4058" s="1" t="s">
        <v>739</v>
      </c>
      <c r="F4058" s="1" t="s">
        <v>740</v>
      </c>
      <c r="G4058" s="1" t="s">
        <v>2611</v>
      </c>
      <c r="H4058">
        <v>2001</v>
      </c>
      <c r="I4058">
        <v>2002</v>
      </c>
      <c r="J4058">
        <f t="shared" si="126"/>
        <v>2</v>
      </c>
      <c r="K4058" s="1" t="s">
        <v>741</v>
      </c>
      <c r="L4058" s="1" t="s">
        <v>666</v>
      </c>
      <c r="M4058">
        <f t="shared" si="127"/>
        <v>24</v>
      </c>
      <c r="N4058" t="s">
        <v>640</v>
      </c>
    </row>
    <row r="4059" spans="1:14" hidden="1" x14ac:dyDescent="0.3">
      <c r="A4059" s="1" t="s">
        <v>2612</v>
      </c>
      <c r="B4059" s="1" t="s">
        <v>810</v>
      </c>
      <c r="C4059" s="1" t="s">
        <v>2613</v>
      </c>
      <c r="D4059" s="1" t="s">
        <v>738</v>
      </c>
      <c r="E4059" s="1" t="s">
        <v>739</v>
      </c>
      <c r="F4059" s="1" t="s">
        <v>740</v>
      </c>
      <c r="G4059" s="1" t="s">
        <v>2611</v>
      </c>
      <c r="H4059">
        <v>2001</v>
      </c>
      <c r="I4059">
        <v>2003</v>
      </c>
      <c r="J4059">
        <f t="shared" si="126"/>
        <v>3</v>
      </c>
      <c r="K4059" s="1" t="s">
        <v>741</v>
      </c>
      <c r="L4059" s="1" t="s">
        <v>666</v>
      </c>
      <c r="M4059">
        <f t="shared" si="127"/>
        <v>23</v>
      </c>
      <c r="N4059" t="s">
        <v>640</v>
      </c>
    </row>
    <row r="4060" spans="1:14" hidden="1" x14ac:dyDescent="0.3">
      <c r="A4060" s="1" t="s">
        <v>2614</v>
      </c>
      <c r="B4060" s="1" t="s">
        <v>810</v>
      </c>
      <c r="C4060" s="1" t="s">
        <v>2615</v>
      </c>
      <c r="D4060" s="1" t="s">
        <v>738</v>
      </c>
      <c r="E4060" s="1" t="s">
        <v>739</v>
      </c>
      <c r="F4060" s="1" t="s">
        <v>740</v>
      </c>
      <c r="G4060" s="1" t="s">
        <v>2611</v>
      </c>
      <c r="H4060">
        <v>2001</v>
      </c>
      <c r="I4060">
        <v>2002</v>
      </c>
      <c r="J4060">
        <f t="shared" si="126"/>
        <v>2</v>
      </c>
      <c r="K4060" s="1" t="s">
        <v>741</v>
      </c>
      <c r="L4060" s="1" t="s">
        <v>666</v>
      </c>
      <c r="M4060">
        <f t="shared" si="127"/>
        <v>24</v>
      </c>
      <c r="N4060" t="s">
        <v>640</v>
      </c>
    </row>
    <row r="4061" spans="1:14" hidden="1" x14ac:dyDescent="0.3">
      <c r="A4061" s="1" t="s">
        <v>2616</v>
      </c>
      <c r="B4061" s="1" t="s">
        <v>810</v>
      </c>
      <c r="C4061" s="1" t="s">
        <v>2617</v>
      </c>
      <c r="D4061" s="1" t="s">
        <v>738</v>
      </c>
      <c r="E4061" s="1" t="s">
        <v>739</v>
      </c>
      <c r="F4061" s="1" t="s">
        <v>740</v>
      </c>
      <c r="G4061" s="1" t="s">
        <v>2611</v>
      </c>
      <c r="H4061">
        <v>2002</v>
      </c>
      <c r="I4061">
        <v>2003</v>
      </c>
      <c r="J4061">
        <f t="shared" si="126"/>
        <v>2</v>
      </c>
      <c r="K4061" s="1" t="s">
        <v>741</v>
      </c>
      <c r="L4061" s="1" t="s">
        <v>666</v>
      </c>
      <c r="M4061">
        <f t="shared" si="127"/>
        <v>23</v>
      </c>
      <c r="N4061" t="s">
        <v>640</v>
      </c>
    </row>
    <row r="4062" spans="1:14" hidden="1" x14ac:dyDescent="0.3">
      <c r="A4062" s="1" t="s">
        <v>2618</v>
      </c>
      <c r="B4062" s="1" t="s">
        <v>810</v>
      </c>
      <c r="C4062" s="1" t="s">
        <v>2619</v>
      </c>
      <c r="D4062" s="1" t="s">
        <v>738</v>
      </c>
      <c r="E4062" s="1" t="s">
        <v>739</v>
      </c>
      <c r="F4062" s="1" t="s">
        <v>740</v>
      </c>
      <c r="G4062" s="1" t="s">
        <v>2611</v>
      </c>
      <c r="H4062">
        <v>2005</v>
      </c>
      <c r="I4062">
        <v>2009</v>
      </c>
      <c r="J4062">
        <f t="shared" si="126"/>
        <v>5</v>
      </c>
      <c r="K4062" s="1" t="s">
        <v>741</v>
      </c>
      <c r="L4062" s="1" t="s">
        <v>666</v>
      </c>
      <c r="M4062">
        <f t="shared" si="127"/>
        <v>17</v>
      </c>
      <c r="N4062" t="s">
        <v>650</v>
      </c>
    </row>
    <row r="4063" spans="1:14" hidden="1" x14ac:dyDescent="0.3">
      <c r="A4063" s="1" t="s">
        <v>2620</v>
      </c>
      <c r="B4063" s="1" t="s">
        <v>810</v>
      </c>
      <c r="C4063" s="1" t="s">
        <v>2621</v>
      </c>
      <c r="D4063" s="1" t="s">
        <v>738</v>
      </c>
      <c r="E4063" s="1" t="s">
        <v>739</v>
      </c>
      <c r="F4063" s="1" t="s">
        <v>740</v>
      </c>
      <c r="G4063" s="1" t="s">
        <v>2611</v>
      </c>
      <c r="H4063">
        <v>2000</v>
      </c>
      <c r="I4063">
        <v>2004</v>
      </c>
      <c r="J4063">
        <f t="shared" si="126"/>
        <v>5</v>
      </c>
      <c r="K4063" s="1" t="s">
        <v>741</v>
      </c>
      <c r="L4063" s="1" t="s">
        <v>666</v>
      </c>
      <c r="M4063">
        <f t="shared" si="127"/>
        <v>22</v>
      </c>
      <c r="N4063" t="s">
        <v>640</v>
      </c>
    </row>
    <row r="4064" spans="1:14" hidden="1" x14ac:dyDescent="0.3">
      <c r="A4064" s="1" t="s">
        <v>2622</v>
      </c>
      <c r="B4064" s="1" t="s">
        <v>810</v>
      </c>
      <c r="C4064" s="1" t="s">
        <v>2623</v>
      </c>
      <c r="D4064" s="1" t="s">
        <v>738</v>
      </c>
      <c r="E4064" s="1" t="s">
        <v>739</v>
      </c>
      <c r="F4064" s="1" t="s">
        <v>740</v>
      </c>
      <c r="G4064" s="1" t="s">
        <v>2611</v>
      </c>
      <c r="H4064">
        <v>2003</v>
      </c>
      <c r="I4064">
        <v>2013</v>
      </c>
      <c r="J4064">
        <f t="shared" si="126"/>
        <v>11</v>
      </c>
      <c r="K4064" s="1" t="s">
        <v>741</v>
      </c>
      <c r="L4064" s="1" t="s">
        <v>666</v>
      </c>
      <c r="M4064">
        <f t="shared" si="127"/>
        <v>13</v>
      </c>
      <c r="N4064" t="s">
        <v>650</v>
      </c>
    </row>
    <row r="4065" spans="1:14" hidden="1" x14ac:dyDescent="0.3">
      <c r="A4065" s="1" t="s">
        <v>2624</v>
      </c>
      <c r="B4065" s="1" t="s">
        <v>810</v>
      </c>
      <c r="C4065" s="1" t="s">
        <v>2625</v>
      </c>
      <c r="D4065" s="1" t="s">
        <v>738</v>
      </c>
      <c r="E4065" s="1" t="s">
        <v>739</v>
      </c>
      <c r="F4065" s="1" t="s">
        <v>740</v>
      </c>
      <c r="G4065" s="1" t="s">
        <v>2611</v>
      </c>
      <c r="H4065">
        <v>2005</v>
      </c>
      <c r="I4065">
        <v>2005</v>
      </c>
      <c r="J4065">
        <f t="shared" si="126"/>
        <v>1</v>
      </c>
      <c r="K4065" s="1" t="s">
        <v>741</v>
      </c>
      <c r="L4065" s="1" t="s">
        <v>666</v>
      </c>
      <c r="M4065">
        <f t="shared" si="127"/>
        <v>21</v>
      </c>
      <c r="N4065" t="s">
        <v>640</v>
      </c>
    </row>
    <row r="4066" spans="1:14" hidden="1" x14ac:dyDescent="0.3">
      <c r="A4066" s="1" t="s">
        <v>2626</v>
      </c>
      <c r="B4066" s="1" t="s">
        <v>810</v>
      </c>
      <c r="C4066" s="1" t="s">
        <v>2627</v>
      </c>
      <c r="D4066" s="1" t="s">
        <v>738</v>
      </c>
      <c r="E4066" s="1" t="s">
        <v>739</v>
      </c>
      <c r="F4066" s="1" t="s">
        <v>740</v>
      </c>
      <c r="G4066" s="1" t="s">
        <v>2611</v>
      </c>
      <c r="H4066">
        <v>2005</v>
      </c>
      <c r="I4066">
        <v>2009</v>
      </c>
      <c r="J4066">
        <f t="shared" si="126"/>
        <v>5</v>
      </c>
      <c r="K4066" s="1" t="s">
        <v>741</v>
      </c>
      <c r="L4066" s="1" t="s">
        <v>666</v>
      </c>
      <c r="M4066">
        <f t="shared" si="127"/>
        <v>17</v>
      </c>
      <c r="N4066" t="s">
        <v>650</v>
      </c>
    </row>
    <row r="4067" spans="1:14" hidden="1" x14ac:dyDescent="0.3">
      <c r="A4067" s="1" t="s">
        <v>2628</v>
      </c>
      <c r="B4067" s="1" t="s">
        <v>810</v>
      </c>
      <c r="C4067" s="1" t="s">
        <v>2629</v>
      </c>
      <c r="D4067" s="1" t="s">
        <v>738</v>
      </c>
      <c r="E4067" s="1" t="s">
        <v>739</v>
      </c>
      <c r="F4067" s="1" t="s">
        <v>740</v>
      </c>
      <c r="G4067" s="1" t="s">
        <v>2611</v>
      </c>
      <c r="H4067">
        <v>2005</v>
      </c>
      <c r="I4067">
        <v>2009</v>
      </c>
      <c r="J4067">
        <f t="shared" si="126"/>
        <v>5</v>
      </c>
      <c r="K4067" s="1" t="s">
        <v>741</v>
      </c>
      <c r="L4067" s="1" t="s">
        <v>666</v>
      </c>
      <c r="M4067">
        <f t="shared" si="127"/>
        <v>17</v>
      </c>
      <c r="N4067" t="s">
        <v>650</v>
      </c>
    </row>
    <row r="4068" spans="1:14" hidden="1" x14ac:dyDescent="0.3">
      <c r="A4068" s="1" t="s">
        <v>2630</v>
      </c>
      <c r="B4068" s="1" t="s">
        <v>810</v>
      </c>
      <c r="C4068" s="1" t="s">
        <v>2631</v>
      </c>
      <c r="D4068" s="1" t="s">
        <v>738</v>
      </c>
      <c r="E4068" s="1" t="s">
        <v>739</v>
      </c>
      <c r="F4068" s="1" t="s">
        <v>740</v>
      </c>
      <c r="G4068" s="1" t="s">
        <v>2611</v>
      </c>
      <c r="H4068">
        <v>2005</v>
      </c>
      <c r="I4068">
        <v>2008</v>
      </c>
      <c r="J4068">
        <f t="shared" si="126"/>
        <v>4</v>
      </c>
      <c r="K4068" s="1" t="s">
        <v>741</v>
      </c>
      <c r="L4068" s="1" t="s">
        <v>666</v>
      </c>
      <c r="M4068">
        <f t="shared" si="127"/>
        <v>18</v>
      </c>
      <c r="N4068" t="s">
        <v>650</v>
      </c>
    </row>
    <row r="4069" spans="1:14" hidden="1" x14ac:dyDescent="0.3">
      <c r="A4069" s="1" t="s">
        <v>2632</v>
      </c>
      <c r="B4069" s="1" t="s">
        <v>810</v>
      </c>
      <c r="C4069" s="1" t="s">
        <v>2633</v>
      </c>
      <c r="D4069" s="1" t="s">
        <v>738</v>
      </c>
      <c r="E4069" s="1" t="s">
        <v>739</v>
      </c>
      <c r="F4069" s="1" t="s">
        <v>740</v>
      </c>
      <c r="G4069" s="1" t="s">
        <v>2611</v>
      </c>
      <c r="H4069">
        <v>2003</v>
      </c>
      <c r="I4069">
        <v>2004</v>
      </c>
      <c r="J4069">
        <f t="shared" si="126"/>
        <v>2</v>
      </c>
      <c r="K4069" s="1" t="s">
        <v>741</v>
      </c>
      <c r="L4069" s="1" t="s">
        <v>666</v>
      </c>
      <c r="M4069">
        <f t="shared" si="127"/>
        <v>22</v>
      </c>
      <c r="N4069" t="s">
        <v>640</v>
      </c>
    </row>
    <row r="4070" spans="1:14" hidden="1" x14ac:dyDescent="0.3">
      <c r="A4070" s="1" t="s">
        <v>2634</v>
      </c>
      <c r="B4070" s="1" t="s">
        <v>810</v>
      </c>
      <c r="C4070" s="1" t="s">
        <v>2635</v>
      </c>
      <c r="D4070" s="1" t="s">
        <v>738</v>
      </c>
      <c r="E4070" s="1" t="s">
        <v>739</v>
      </c>
      <c r="F4070" s="1" t="s">
        <v>740</v>
      </c>
      <c r="G4070" s="1" t="s">
        <v>2611</v>
      </c>
      <c r="H4070">
        <v>2000</v>
      </c>
      <c r="I4070">
        <v>2005</v>
      </c>
      <c r="J4070">
        <f t="shared" si="126"/>
        <v>6</v>
      </c>
      <c r="K4070" s="1" t="s">
        <v>741</v>
      </c>
      <c r="L4070" s="1" t="s">
        <v>666</v>
      </c>
      <c r="M4070">
        <f t="shared" si="127"/>
        <v>21</v>
      </c>
      <c r="N4070" t="s">
        <v>640</v>
      </c>
    </row>
    <row r="4071" spans="1:14" hidden="1" x14ac:dyDescent="0.3">
      <c r="A4071" s="1" t="s">
        <v>2636</v>
      </c>
      <c r="B4071" s="1" t="s">
        <v>810</v>
      </c>
      <c r="C4071" s="1" t="s">
        <v>2637</v>
      </c>
      <c r="D4071" s="1" t="s">
        <v>738</v>
      </c>
      <c r="E4071" s="1" t="s">
        <v>739</v>
      </c>
      <c r="F4071" s="1" t="s">
        <v>740</v>
      </c>
      <c r="G4071" s="1" t="s">
        <v>2611</v>
      </c>
      <c r="H4071">
        <v>1997</v>
      </c>
      <c r="I4071">
        <v>2003</v>
      </c>
      <c r="J4071">
        <f t="shared" si="126"/>
        <v>7</v>
      </c>
      <c r="K4071" s="1" t="s">
        <v>741</v>
      </c>
      <c r="L4071" s="1" t="s">
        <v>666</v>
      </c>
      <c r="M4071">
        <f t="shared" si="127"/>
        <v>23</v>
      </c>
      <c r="N4071" t="s">
        <v>640</v>
      </c>
    </row>
    <row r="4072" spans="1:14" x14ac:dyDescent="0.3">
      <c r="A4072" s="1" t="s">
        <v>9260</v>
      </c>
      <c r="B4072" s="1" t="s">
        <v>810</v>
      </c>
      <c r="C4072" s="1" t="s">
        <v>9261</v>
      </c>
      <c r="D4072" s="1" t="s">
        <v>738</v>
      </c>
      <c r="E4072" s="1" t="s">
        <v>6076</v>
      </c>
      <c r="F4072" s="1" t="s">
        <v>6076</v>
      </c>
      <c r="G4072" s="1" t="s">
        <v>2611</v>
      </c>
      <c r="H4072">
        <v>2000</v>
      </c>
      <c r="I4072">
        <v>2004</v>
      </c>
      <c r="J4072">
        <f t="shared" si="126"/>
        <v>5</v>
      </c>
      <c r="K4072" s="1" t="s">
        <v>6076</v>
      </c>
      <c r="L4072" s="1" t="s">
        <v>6076</v>
      </c>
      <c r="M4072">
        <f t="shared" si="127"/>
        <v>22</v>
      </c>
      <c r="N4072" t="s">
        <v>640</v>
      </c>
    </row>
    <row r="4073" spans="1:14" hidden="1" x14ac:dyDescent="0.3">
      <c r="A4073" s="1" t="s">
        <v>2638</v>
      </c>
      <c r="B4073" s="1" t="s">
        <v>810</v>
      </c>
      <c r="C4073" s="1" t="s">
        <v>2639</v>
      </c>
      <c r="D4073" s="1" t="s">
        <v>738</v>
      </c>
      <c r="E4073" s="1" t="s">
        <v>739</v>
      </c>
      <c r="F4073" s="1" t="s">
        <v>740</v>
      </c>
      <c r="G4073" s="1" t="s">
        <v>2611</v>
      </c>
      <c r="H4073">
        <v>2002</v>
      </c>
      <c r="I4073">
        <v>2003</v>
      </c>
      <c r="J4073">
        <f t="shared" si="126"/>
        <v>2</v>
      </c>
      <c r="K4073" s="1" t="s">
        <v>741</v>
      </c>
      <c r="L4073" s="1" t="s">
        <v>666</v>
      </c>
      <c r="M4073">
        <f t="shared" si="127"/>
        <v>23</v>
      </c>
      <c r="N4073" t="s">
        <v>640</v>
      </c>
    </row>
    <row r="4074" spans="1:14" hidden="1" x14ac:dyDescent="0.3">
      <c r="A4074" s="1" t="s">
        <v>2640</v>
      </c>
      <c r="B4074" s="1" t="s">
        <v>810</v>
      </c>
      <c r="C4074" s="1" t="s">
        <v>2641</v>
      </c>
      <c r="D4074" s="1" t="s">
        <v>738</v>
      </c>
      <c r="E4074" s="1" t="s">
        <v>739</v>
      </c>
      <c r="F4074" s="1" t="s">
        <v>740</v>
      </c>
      <c r="G4074" s="1" t="s">
        <v>2611</v>
      </c>
      <c r="H4074">
        <v>2000</v>
      </c>
      <c r="I4074">
        <v>2005</v>
      </c>
      <c r="J4074">
        <f t="shared" si="126"/>
        <v>6</v>
      </c>
      <c r="K4074" s="1" t="s">
        <v>741</v>
      </c>
      <c r="L4074" s="1" t="s">
        <v>666</v>
      </c>
      <c r="M4074">
        <f t="shared" si="127"/>
        <v>21</v>
      </c>
      <c r="N4074" t="s">
        <v>640</v>
      </c>
    </row>
    <row r="4075" spans="1:14" hidden="1" x14ac:dyDescent="0.3">
      <c r="A4075" s="1" t="s">
        <v>2642</v>
      </c>
      <c r="B4075" s="1" t="s">
        <v>810</v>
      </c>
      <c r="C4075" s="1" t="s">
        <v>2643</v>
      </c>
      <c r="D4075" s="1" t="s">
        <v>738</v>
      </c>
      <c r="E4075" s="1" t="s">
        <v>739</v>
      </c>
      <c r="F4075" s="1" t="s">
        <v>740</v>
      </c>
      <c r="G4075" s="1" t="s">
        <v>2611</v>
      </c>
      <c r="H4075">
        <v>1986</v>
      </c>
      <c r="I4075">
        <v>1999</v>
      </c>
      <c r="J4075">
        <f t="shared" si="126"/>
        <v>14</v>
      </c>
      <c r="K4075" s="1" t="s">
        <v>741</v>
      </c>
      <c r="L4075" s="1" t="s">
        <v>666</v>
      </c>
      <c r="M4075">
        <f t="shared" si="127"/>
        <v>27</v>
      </c>
      <c r="N4075" t="s">
        <v>640</v>
      </c>
    </row>
    <row r="4076" spans="1:14" hidden="1" x14ac:dyDescent="0.3">
      <c r="A4076" s="1" t="s">
        <v>2644</v>
      </c>
      <c r="B4076" s="1" t="s">
        <v>810</v>
      </c>
      <c r="C4076" s="1" t="s">
        <v>2645</v>
      </c>
      <c r="D4076" s="1" t="s">
        <v>738</v>
      </c>
      <c r="E4076" s="1" t="s">
        <v>739</v>
      </c>
      <c r="F4076" s="1" t="s">
        <v>740</v>
      </c>
      <c r="G4076" s="1" t="s">
        <v>2611</v>
      </c>
      <c r="H4076">
        <v>1997</v>
      </c>
      <c r="I4076">
        <v>1999</v>
      </c>
      <c r="J4076">
        <f t="shared" si="126"/>
        <v>3</v>
      </c>
      <c r="K4076" s="1" t="s">
        <v>741</v>
      </c>
      <c r="L4076" s="1" t="s">
        <v>666</v>
      </c>
      <c r="M4076">
        <f t="shared" si="127"/>
        <v>27</v>
      </c>
      <c r="N4076" t="s">
        <v>640</v>
      </c>
    </row>
    <row r="4077" spans="1:14" x14ac:dyDescent="0.3">
      <c r="A4077" s="1" t="s">
        <v>9262</v>
      </c>
      <c r="B4077" s="1" t="s">
        <v>810</v>
      </c>
      <c r="C4077" s="1" t="s">
        <v>9263</v>
      </c>
      <c r="D4077" s="1" t="s">
        <v>738</v>
      </c>
      <c r="E4077" s="1" t="s">
        <v>6076</v>
      </c>
      <c r="F4077" s="1" t="s">
        <v>6076</v>
      </c>
      <c r="G4077" s="1" t="s">
        <v>2611</v>
      </c>
      <c r="H4077">
        <v>1987</v>
      </c>
      <c r="I4077">
        <v>1996</v>
      </c>
      <c r="J4077">
        <f t="shared" si="126"/>
        <v>10</v>
      </c>
      <c r="K4077" s="1" t="s">
        <v>6076</v>
      </c>
      <c r="L4077" s="1" t="s">
        <v>6076</v>
      </c>
      <c r="M4077">
        <f t="shared" si="127"/>
        <v>30</v>
      </c>
      <c r="N4077" t="s">
        <v>640</v>
      </c>
    </row>
    <row r="4078" spans="1:14" x14ac:dyDescent="0.3">
      <c r="A4078" s="1" t="s">
        <v>9264</v>
      </c>
      <c r="B4078" s="1" t="s">
        <v>810</v>
      </c>
      <c r="C4078" s="1" t="s">
        <v>9265</v>
      </c>
      <c r="D4078" s="1" t="s">
        <v>738</v>
      </c>
      <c r="E4078" s="1" t="s">
        <v>6076</v>
      </c>
      <c r="F4078" s="1" t="s">
        <v>6076</v>
      </c>
      <c r="G4078" s="1" t="s">
        <v>2611</v>
      </c>
      <c r="H4078">
        <v>1990</v>
      </c>
      <c r="I4078">
        <v>1996</v>
      </c>
      <c r="J4078">
        <f t="shared" si="126"/>
        <v>7</v>
      </c>
      <c r="K4078" s="1" t="s">
        <v>6076</v>
      </c>
      <c r="L4078" s="1" t="s">
        <v>6076</v>
      </c>
      <c r="M4078">
        <f t="shared" si="127"/>
        <v>30</v>
      </c>
      <c r="N4078" t="s">
        <v>640</v>
      </c>
    </row>
    <row r="4079" spans="1:14" hidden="1" x14ac:dyDescent="0.3">
      <c r="A4079" s="1" t="s">
        <v>2646</v>
      </c>
      <c r="B4079" s="1" t="s">
        <v>810</v>
      </c>
      <c r="C4079" s="1" t="s">
        <v>2647</v>
      </c>
      <c r="D4079" s="1" t="s">
        <v>738</v>
      </c>
      <c r="E4079" s="1" t="s">
        <v>739</v>
      </c>
      <c r="F4079" s="1" t="s">
        <v>740</v>
      </c>
      <c r="G4079" s="1" t="s">
        <v>2611</v>
      </c>
      <c r="H4079">
        <v>2006</v>
      </c>
      <c r="I4079">
        <v>2007</v>
      </c>
      <c r="J4079">
        <f t="shared" si="126"/>
        <v>2</v>
      </c>
      <c r="K4079" s="1" t="s">
        <v>741</v>
      </c>
      <c r="L4079" s="1" t="s">
        <v>666</v>
      </c>
      <c r="M4079">
        <f t="shared" si="127"/>
        <v>19</v>
      </c>
      <c r="N4079" t="s">
        <v>650</v>
      </c>
    </row>
    <row r="4080" spans="1:14" hidden="1" x14ac:dyDescent="0.3">
      <c r="A4080" s="1" t="s">
        <v>2648</v>
      </c>
      <c r="B4080" s="1" t="s">
        <v>810</v>
      </c>
      <c r="C4080" s="1" t="s">
        <v>2649</v>
      </c>
      <c r="D4080" s="1" t="s">
        <v>738</v>
      </c>
      <c r="E4080" s="1" t="s">
        <v>739</v>
      </c>
      <c r="F4080" s="1" t="s">
        <v>740</v>
      </c>
      <c r="G4080" s="1" t="s">
        <v>2611</v>
      </c>
      <c r="H4080">
        <v>2006</v>
      </c>
      <c r="I4080">
        <v>2007</v>
      </c>
      <c r="J4080">
        <f t="shared" si="126"/>
        <v>2</v>
      </c>
      <c r="K4080" s="1" t="s">
        <v>741</v>
      </c>
      <c r="L4080" s="1" t="s">
        <v>666</v>
      </c>
      <c r="M4080">
        <f t="shared" si="127"/>
        <v>19</v>
      </c>
      <c r="N4080" t="s">
        <v>650</v>
      </c>
    </row>
    <row r="4081" spans="1:14" hidden="1" x14ac:dyDescent="0.3">
      <c r="A4081" s="1" t="s">
        <v>2650</v>
      </c>
      <c r="B4081" s="1" t="s">
        <v>810</v>
      </c>
      <c r="C4081" s="1" t="s">
        <v>2651</v>
      </c>
      <c r="D4081" s="1" t="s">
        <v>738</v>
      </c>
      <c r="E4081" s="1" t="s">
        <v>739</v>
      </c>
      <c r="F4081" s="1" t="s">
        <v>740</v>
      </c>
      <c r="G4081" s="1" t="s">
        <v>2611</v>
      </c>
      <c r="H4081">
        <v>2003</v>
      </c>
      <c r="I4081">
        <v>2005</v>
      </c>
      <c r="J4081">
        <f t="shared" si="126"/>
        <v>3</v>
      </c>
      <c r="K4081" s="1" t="s">
        <v>741</v>
      </c>
      <c r="L4081" s="1" t="s">
        <v>666</v>
      </c>
      <c r="M4081">
        <f t="shared" si="127"/>
        <v>21</v>
      </c>
      <c r="N4081" t="s">
        <v>640</v>
      </c>
    </row>
    <row r="4082" spans="1:14" hidden="1" x14ac:dyDescent="0.3">
      <c r="A4082" s="1" t="s">
        <v>2652</v>
      </c>
      <c r="B4082" s="1" t="s">
        <v>810</v>
      </c>
      <c r="C4082" s="1" t="s">
        <v>2653</v>
      </c>
      <c r="D4082" s="1" t="s">
        <v>738</v>
      </c>
      <c r="E4082" s="1" t="s">
        <v>739</v>
      </c>
      <c r="F4082" s="1" t="s">
        <v>740</v>
      </c>
      <c r="G4082" s="1" t="s">
        <v>2611</v>
      </c>
      <c r="H4082">
        <v>2003</v>
      </c>
      <c r="I4082">
        <v>2003</v>
      </c>
      <c r="J4082">
        <f t="shared" si="126"/>
        <v>1</v>
      </c>
      <c r="K4082" s="1" t="s">
        <v>741</v>
      </c>
      <c r="L4082" s="1" t="s">
        <v>666</v>
      </c>
      <c r="M4082">
        <f t="shared" si="127"/>
        <v>23</v>
      </c>
      <c r="N4082" t="s">
        <v>640</v>
      </c>
    </row>
    <row r="4083" spans="1:14" hidden="1" x14ac:dyDescent="0.3">
      <c r="A4083" s="1" t="s">
        <v>2654</v>
      </c>
      <c r="B4083" s="1" t="s">
        <v>810</v>
      </c>
      <c r="C4083" s="1" t="s">
        <v>2655</v>
      </c>
      <c r="D4083" s="1" t="s">
        <v>738</v>
      </c>
      <c r="E4083" s="1" t="s">
        <v>739</v>
      </c>
      <c r="F4083" s="1" t="s">
        <v>740</v>
      </c>
      <c r="G4083" s="1" t="s">
        <v>2611</v>
      </c>
      <c r="H4083">
        <v>1986</v>
      </c>
      <c r="I4083">
        <v>1998</v>
      </c>
      <c r="J4083">
        <f t="shared" si="126"/>
        <v>13</v>
      </c>
      <c r="K4083" s="1" t="s">
        <v>741</v>
      </c>
      <c r="L4083" s="1" t="s">
        <v>666</v>
      </c>
      <c r="M4083">
        <f t="shared" si="127"/>
        <v>28</v>
      </c>
      <c r="N4083" t="s">
        <v>640</v>
      </c>
    </row>
    <row r="4084" spans="1:14" hidden="1" x14ac:dyDescent="0.3">
      <c r="A4084" s="1" t="s">
        <v>2656</v>
      </c>
      <c r="B4084" s="1" t="s">
        <v>810</v>
      </c>
      <c r="C4084" s="1" t="s">
        <v>2657</v>
      </c>
      <c r="D4084" s="1" t="s">
        <v>738</v>
      </c>
      <c r="E4084" s="1" t="s">
        <v>739</v>
      </c>
      <c r="F4084" s="1" t="s">
        <v>740</v>
      </c>
      <c r="G4084" s="1" t="s">
        <v>2611</v>
      </c>
      <c r="H4084">
        <v>1997</v>
      </c>
      <c r="I4084">
        <v>1999</v>
      </c>
      <c r="J4084">
        <f t="shared" si="126"/>
        <v>3</v>
      </c>
      <c r="K4084" s="1" t="s">
        <v>741</v>
      </c>
      <c r="L4084" s="1" t="s">
        <v>666</v>
      </c>
      <c r="M4084">
        <f t="shared" si="127"/>
        <v>27</v>
      </c>
      <c r="N4084" t="s">
        <v>640</v>
      </c>
    </row>
    <row r="4085" spans="1:14" x14ac:dyDescent="0.3">
      <c r="A4085" s="1" t="s">
        <v>9266</v>
      </c>
      <c r="B4085" s="1" t="s">
        <v>810</v>
      </c>
      <c r="C4085" s="1" t="s">
        <v>9267</v>
      </c>
      <c r="D4085" s="1" t="s">
        <v>738</v>
      </c>
      <c r="E4085" s="1" t="s">
        <v>6076</v>
      </c>
      <c r="F4085" s="1" t="s">
        <v>6076</v>
      </c>
      <c r="G4085" s="1" t="s">
        <v>2611</v>
      </c>
      <c r="H4085">
        <v>1987</v>
      </c>
      <c r="I4085">
        <v>1996</v>
      </c>
      <c r="J4085">
        <f t="shared" si="126"/>
        <v>10</v>
      </c>
      <c r="K4085" s="1" t="s">
        <v>6076</v>
      </c>
      <c r="L4085" s="1" t="s">
        <v>6076</v>
      </c>
      <c r="M4085">
        <f t="shared" si="127"/>
        <v>30</v>
      </c>
      <c r="N4085" t="s">
        <v>640</v>
      </c>
    </row>
    <row r="4086" spans="1:14" x14ac:dyDescent="0.3">
      <c r="A4086" s="1" t="s">
        <v>9268</v>
      </c>
      <c r="B4086" s="1" t="s">
        <v>810</v>
      </c>
      <c r="C4086" s="1" t="s">
        <v>9269</v>
      </c>
      <c r="D4086" s="1" t="s">
        <v>738</v>
      </c>
      <c r="E4086" s="1" t="s">
        <v>6076</v>
      </c>
      <c r="F4086" s="1" t="s">
        <v>6076</v>
      </c>
      <c r="G4086" s="1" t="s">
        <v>2611</v>
      </c>
      <c r="H4086">
        <v>1997</v>
      </c>
      <c r="I4086">
        <v>1999</v>
      </c>
      <c r="J4086">
        <f t="shared" si="126"/>
        <v>3</v>
      </c>
      <c r="K4086" s="1" t="s">
        <v>6076</v>
      </c>
      <c r="L4086" s="1" t="s">
        <v>6076</v>
      </c>
      <c r="M4086">
        <f t="shared" si="127"/>
        <v>27</v>
      </c>
      <c r="N4086" t="s">
        <v>640</v>
      </c>
    </row>
    <row r="4087" spans="1:14" x14ac:dyDescent="0.3">
      <c r="A4087" s="1" t="s">
        <v>9270</v>
      </c>
      <c r="B4087" s="1" t="s">
        <v>810</v>
      </c>
      <c r="C4087" s="1" t="s">
        <v>9271</v>
      </c>
      <c r="D4087" s="1" t="s">
        <v>738</v>
      </c>
      <c r="E4087" s="1" t="s">
        <v>6076</v>
      </c>
      <c r="F4087" s="1" t="s">
        <v>6076</v>
      </c>
      <c r="G4087" s="1" t="s">
        <v>2611</v>
      </c>
      <c r="H4087">
        <v>1988</v>
      </c>
      <c r="I4087">
        <v>1997</v>
      </c>
      <c r="J4087">
        <f t="shared" si="126"/>
        <v>10</v>
      </c>
      <c r="K4087" s="1" t="s">
        <v>6076</v>
      </c>
      <c r="L4087" s="1" t="s">
        <v>6076</v>
      </c>
      <c r="M4087">
        <f t="shared" si="127"/>
        <v>29</v>
      </c>
      <c r="N4087" t="s">
        <v>640</v>
      </c>
    </row>
    <row r="4088" spans="1:14" x14ac:dyDescent="0.3">
      <c r="A4088" s="1" t="s">
        <v>9272</v>
      </c>
      <c r="B4088" s="1" t="s">
        <v>810</v>
      </c>
      <c r="C4088" s="1" t="s">
        <v>9273</v>
      </c>
      <c r="D4088" s="1" t="s">
        <v>738</v>
      </c>
      <c r="E4088" s="1" t="s">
        <v>6076</v>
      </c>
      <c r="F4088" s="1" t="s">
        <v>6076</v>
      </c>
      <c r="G4088" s="1" t="s">
        <v>2611</v>
      </c>
      <c r="H4088">
        <v>1996</v>
      </c>
      <c r="I4088">
        <v>2000</v>
      </c>
      <c r="J4088">
        <f t="shared" si="126"/>
        <v>5</v>
      </c>
      <c r="K4088" s="1" t="s">
        <v>6076</v>
      </c>
      <c r="L4088" s="1" t="s">
        <v>6076</v>
      </c>
      <c r="M4088">
        <f t="shared" si="127"/>
        <v>26</v>
      </c>
      <c r="N4088" t="s">
        <v>640</v>
      </c>
    </row>
    <row r="4089" spans="1:14" hidden="1" x14ac:dyDescent="0.3">
      <c r="A4089" s="1" t="s">
        <v>2658</v>
      </c>
      <c r="B4089" s="1" t="s">
        <v>810</v>
      </c>
      <c r="C4089" s="1" t="s">
        <v>2659</v>
      </c>
      <c r="D4089" s="1" t="s">
        <v>738</v>
      </c>
      <c r="E4089" s="1" t="s">
        <v>739</v>
      </c>
      <c r="F4089" s="1" t="s">
        <v>740</v>
      </c>
      <c r="G4089" s="1" t="s">
        <v>2611</v>
      </c>
      <c r="H4089">
        <v>1985</v>
      </c>
      <c r="I4089">
        <v>1990</v>
      </c>
      <c r="J4089">
        <f t="shared" si="126"/>
        <v>6</v>
      </c>
      <c r="K4089" s="1" t="s">
        <v>741</v>
      </c>
      <c r="L4089" s="1" t="s">
        <v>666</v>
      </c>
      <c r="M4089">
        <f t="shared" si="127"/>
        <v>36</v>
      </c>
      <c r="N4089" t="s">
        <v>640</v>
      </c>
    </row>
    <row r="4090" spans="1:14" hidden="1" x14ac:dyDescent="0.3">
      <c r="A4090" s="1" t="s">
        <v>2660</v>
      </c>
      <c r="B4090" s="1" t="s">
        <v>810</v>
      </c>
      <c r="C4090" s="1" t="s">
        <v>2661</v>
      </c>
      <c r="D4090" s="1" t="s">
        <v>738</v>
      </c>
      <c r="E4090" s="1" t="s">
        <v>739</v>
      </c>
      <c r="F4090" s="1" t="s">
        <v>740</v>
      </c>
      <c r="G4090" s="1" t="s">
        <v>2611</v>
      </c>
      <c r="H4090">
        <v>2008</v>
      </c>
      <c r="I4090">
        <v>2013</v>
      </c>
      <c r="J4090">
        <f t="shared" si="126"/>
        <v>6</v>
      </c>
      <c r="K4090" s="1" t="s">
        <v>741</v>
      </c>
      <c r="L4090" s="1" t="s">
        <v>666</v>
      </c>
      <c r="M4090">
        <f t="shared" si="127"/>
        <v>13</v>
      </c>
      <c r="N4090" t="s">
        <v>650</v>
      </c>
    </row>
    <row r="4091" spans="1:14" hidden="1" x14ac:dyDescent="0.3">
      <c r="A4091" s="1" t="s">
        <v>2662</v>
      </c>
      <c r="B4091" s="1" t="s">
        <v>810</v>
      </c>
      <c r="C4091" s="1" t="s">
        <v>2663</v>
      </c>
      <c r="D4091" s="1" t="s">
        <v>738</v>
      </c>
      <c r="E4091" s="1" t="s">
        <v>739</v>
      </c>
      <c r="F4091" s="1" t="s">
        <v>740</v>
      </c>
      <c r="G4091" s="1" t="s">
        <v>2611</v>
      </c>
      <c r="H4091">
        <v>2008</v>
      </c>
      <c r="I4091">
        <v>2009</v>
      </c>
      <c r="J4091">
        <f t="shared" si="126"/>
        <v>2</v>
      </c>
      <c r="K4091" s="1" t="s">
        <v>741</v>
      </c>
      <c r="L4091" s="1" t="s">
        <v>666</v>
      </c>
      <c r="M4091">
        <f t="shared" si="127"/>
        <v>17</v>
      </c>
      <c r="N4091" t="s">
        <v>650</v>
      </c>
    </row>
    <row r="4092" spans="1:14" hidden="1" x14ac:dyDescent="0.3">
      <c r="A4092" s="1" t="s">
        <v>2664</v>
      </c>
      <c r="B4092" s="1" t="s">
        <v>810</v>
      </c>
      <c r="C4092" s="1" t="s">
        <v>2665</v>
      </c>
      <c r="D4092" s="1" t="s">
        <v>738</v>
      </c>
      <c r="E4092" s="1" t="s">
        <v>739</v>
      </c>
      <c r="F4092" s="1" t="s">
        <v>740</v>
      </c>
      <c r="G4092" s="1" t="s">
        <v>2611</v>
      </c>
      <c r="H4092">
        <v>2009</v>
      </c>
      <c r="I4092">
        <v>2012</v>
      </c>
      <c r="J4092">
        <f t="shared" si="126"/>
        <v>4</v>
      </c>
      <c r="K4092" s="1" t="s">
        <v>741</v>
      </c>
      <c r="L4092" s="1" t="s">
        <v>666</v>
      </c>
      <c r="M4092">
        <f t="shared" si="127"/>
        <v>14</v>
      </c>
      <c r="N4092" t="s">
        <v>650</v>
      </c>
    </row>
    <row r="4093" spans="1:14" x14ac:dyDescent="0.3">
      <c r="A4093" s="1" t="s">
        <v>9274</v>
      </c>
      <c r="B4093" s="1" t="s">
        <v>810</v>
      </c>
      <c r="C4093" s="1" t="s">
        <v>9275</v>
      </c>
      <c r="D4093" s="1" t="s">
        <v>738</v>
      </c>
      <c r="E4093" s="1" t="s">
        <v>6076</v>
      </c>
      <c r="F4093" s="1" t="s">
        <v>6076</v>
      </c>
      <c r="G4093" s="1" t="s">
        <v>2611</v>
      </c>
      <c r="H4093">
        <v>2002</v>
      </c>
      <c r="I4093">
        <v>2003</v>
      </c>
      <c r="J4093">
        <f t="shared" si="126"/>
        <v>2</v>
      </c>
      <c r="K4093" s="1" t="s">
        <v>6076</v>
      </c>
      <c r="L4093" s="1" t="s">
        <v>6076</v>
      </c>
      <c r="M4093">
        <f t="shared" si="127"/>
        <v>23</v>
      </c>
      <c r="N4093" t="s">
        <v>640</v>
      </c>
    </row>
    <row r="4094" spans="1:14" hidden="1" x14ac:dyDescent="0.3">
      <c r="A4094" s="1" t="s">
        <v>9276</v>
      </c>
      <c r="B4094" s="1" t="s">
        <v>642</v>
      </c>
      <c r="C4094" s="1" t="s">
        <v>9277</v>
      </c>
      <c r="D4094" s="1" t="s">
        <v>644</v>
      </c>
      <c r="E4094" s="1" t="s">
        <v>674</v>
      </c>
      <c r="F4094" s="1" t="s">
        <v>675</v>
      </c>
      <c r="G4094" s="1" t="s">
        <v>9278</v>
      </c>
      <c r="H4094">
        <v>2003</v>
      </c>
      <c r="I4094">
        <v>2022</v>
      </c>
      <c r="J4094">
        <f t="shared" si="126"/>
        <v>20</v>
      </c>
      <c r="K4094" s="1" t="s">
        <v>648</v>
      </c>
      <c r="L4094" s="1" t="s">
        <v>649</v>
      </c>
      <c r="M4094">
        <f t="shared" si="127"/>
        <v>4</v>
      </c>
      <c r="N4094" t="s">
        <v>650</v>
      </c>
    </row>
    <row r="4095" spans="1:14" x14ac:dyDescent="0.3">
      <c r="A4095" s="1" t="s">
        <v>9279</v>
      </c>
      <c r="B4095" s="1" t="s">
        <v>642</v>
      </c>
      <c r="C4095" s="1" t="s">
        <v>9280</v>
      </c>
      <c r="D4095" s="1" t="s">
        <v>644</v>
      </c>
      <c r="E4095" s="1" t="s">
        <v>6076</v>
      </c>
      <c r="F4095" s="1" t="s">
        <v>6076</v>
      </c>
      <c r="G4095" s="1" t="s">
        <v>9278</v>
      </c>
      <c r="H4095">
        <v>1999</v>
      </c>
      <c r="I4095">
        <v>2003</v>
      </c>
      <c r="J4095">
        <f t="shared" si="126"/>
        <v>5</v>
      </c>
      <c r="K4095" s="1" t="s">
        <v>6076</v>
      </c>
      <c r="L4095" s="1" t="s">
        <v>6076</v>
      </c>
      <c r="M4095">
        <f t="shared" si="127"/>
        <v>23</v>
      </c>
      <c r="N4095" t="s">
        <v>640</v>
      </c>
    </row>
    <row r="4096" spans="1:14" hidden="1" x14ac:dyDescent="0.3">
      <c r="A4096" t="s">
        <v>12188</v>
      </c>
      <c r="B4096" t="s">
        <v>642</v>
      </c>
      <c r="C4096" t="s">
        <v>12189</v>
      </c>
      <c r="E4096" s="1" t="e">
        <v>#N/A</v>
      </c>
      <c r="F4096" s="1" t="e">
        <v>#N/A</v>
      </c>
      <c r="G4096" s="1" t="s">
        <v>12874</v>
      </c>
      <c r="H4096">
        <v>2025</v>
      </c>
      <c r="I4096">
        <v>2026</v>
      </c>
      <c r="J4096">
        <f t="shared" si="126"/>
        <v>2</v>
      </c>
      <c r="K4096" s="1" t="s">
        <v>648</v>
      </c>
      <c r="L4096" s="1" t="s">
        <v>659</v>
      </c>
      <c r="M4096">
        <f t="shared" si="127"/>
        <v>0</v>
      </c>
    </row>
    <row r="4097" spans="1:14" hidden="1" x14ac:dyDescent="0.3">
      <c r="A4097" t="s">
        <v>12190</v>
      </c>
      <c r="B4097" t="s">
        <v>642</v>
      </c>
      <c r="C4097" t="s">
        <v>12191</v>
      </c>
      <c r="E4097" s="1" t="e">
        <v>#N/A</v>
      </c>
      <c r="F4097" s="1" t="e">
        <v>#N/A</v>
      </c>
      <c r="G4097" s="1" t="s">
        <v>12874</v>
      </c>
      <c r="H4097">
        <v>2023</v>
      </c>
      <c r="I4097">
        <v>2026</v>
      </c>
      <c r="J4097">
        <f t="shared" si="126"/>
        <v>4</v>
      </c>
      <c r="K4097" s="1" t="s">
        <v>648</v>
      </c>
      <c r="L4097" s="1" t="s">
        <v>659</v>
      </c>
      <c r="M4097">
        <f t="shared" si="127"/>
        <v>0</v>
      </c>
    </row>
    <row r="4098" spans="1:14" hidden="1" x14ac:dyDescent="0.3">
      <c r="A4098" t="s">
        <v>12192</v>
      </c>
      <c r="B4098" t="s">
        <v>642</v>
      </c>
      <c r="C4098" t="s">
        <v>12193</v>
      </c>
      <c r="E4098" s="1" t="e">
        <v>#N/A</v>
      </c>
      <c r="F4098" s="1" t="e">
        <v>#N/A</v>
      </c>
      <c r="G4098" s="1" t="s">
        <v>12874</v>
      </c>
      <c r="H4098">
        <v>2023</v>
      </c>
      <c r="I4098">
        <v>2023</v>
      </c>
      <c r="J4098">
        <f t="shared" si="126"/>
        <v>1</v>
      </c>
      <c r="K4098" s="1" t="s">
        <v>648</v>
      </c>
      <c r="L4098" s="1" t="s">
        <v>659</v>
      </c>
      <c r="M4098">
        <f t="shared" si="127"/>
        <v>3</v>
      </c>
    </row>
    <row r="4099" spans="1:14" hidden="1" x14ac:dyDescent="0.3">
      <c r="A4099" s="1" t="s">
        <v>10777</v>
      </c>
      <c r="B4099" s="1" t="s">
        <v>642</v>
      </c>
      <c r="C4099" s="1" t="s">
        <v>10778</v>
      </c>
      <c r="D4099" s="1" t="s">
        <v>644</v>
      </c>
      <c r="E4099" s="1" t="s">
        <v>674</v>
      </c>
      <c r="F4099" s="1" t="s">
        <v>675</v>
      </c>
      <c r="G4099" s="1" t="s">
        <v>9278</v>
      </c>
      <c r="H4099">
        <v>2011</v>
      </c>
      <c r="I4099">
        <v>2013</v>
      </c>
      <c r="J4099">
        <f t="shared" si="126"/>
        <v>3</v>
      </c>
      <c r="K4099" s="1" t="s">
        <v>648</v>
      </c>
      <c r="L4099" s="1" t="s">
        <v>659</v>
      </c>
      <c r="M4099">
        <f t="shared" si="127"/>
        <v>13</v>
      </c>
      <c r="N4099" t="s">
        <v>650</v>
      </c>
    </row>
    <row r="4100" spans="1:14" hidden="1" x14ac:dyDescent="0.3">
      <c r="A4100" s="1" t="s">
        <v>10779</v>
      </c>
      <c r="B4100" s="1" t="s">
        <v>642</v>
      </c>
      <c r="C4100" s="1" t="s">
        <v>10780</v>
      </c>
      <c r="D4100" s="1" t="s">
        <v>644</v>
      </c>
      <c r="E4100" s="1" t="s">
        <v>674</v>
      </c>
      <c r="F4100" s="1" t="s">
        <v>675</v>
      </c>
      <c r="G4100" s="1" t="s">
        <v>9278</v>
      </c>
      <c r="H4100">
        <v>2011</v>
      </c>
      <c r="I4100">
        <v>2011</v>
      </c>
      <c r="J4100">
        <f t="shared" si="126"/>
        <v>1</v>
      </c>
      <c r="K4100" s="1" t="s">
        <v>648</v>
      </c>
      <c r="L4100" s="1" t="s">
        <v>659</v>
      </c>
      <c r="M4100">
        <f t="shared" si="127"/>
        <v>15</v>
      </c>
      <c r="N4100" t="s">
        <v>650</v>
      </c>
    </row>
    <row r="4101" spans="1:14" x14ac:dyDescent="0.3">
      <c r="A4101" s="1" t="s">
        <v>9281</v>
      </c>
      <c r="B4101" s="1" t="s">
        <v>1205</v>
      </c>
      <c r="C4101" s="1" t="s">
        <v>9282</v>
      </c>
      <c r="D4101" s="1" t="s">
        <v>738</v>
      </c>
      <c r="E4101" s="1" t="s">
        <v>6076</v>
      </c>
      <c r="F4101" s="1" t="s">
        <v>6076</v>
      </c>
      <c r="G4101" s="1" t="s">
        <v>9283</v>
      </c>
      <c r="H4101">
        <v>1992</v>
      </c>
      <c r="I4101">
        <v>1996</v>
      </c>
      <c r="J4101">
        <f t="shared" si="126"/>
        <v>5</v>
      </c>
      <c r="K4101" s="1" t="s">
        <v>6076</v>
      </c>
      <c r="L4101" s="1" t="s">
        <v>6076</v>
      </c>
      <c r="M4101">
        <f t="shared" si="127"/>
        <v>30</v>
      </c>
      <c r="N4101" t="s">
        <v>640</v>
      </c>
    </row>
    <row r="4102" spans="1:14" x14ac:dyDescent="0.3">
      <c r="A4102" s="1" t="s">
        <v>9284</v>
      </c>
      <c r="B4102" s="1" t="s">
        <v>810</v>
      </c>
      <c r="C4102" s="1" t="s">
        <v>9285</v>
      </c>
      <c r="D4102" s="1" t="s">
        <v>738</v>
      </c>
      <c r="E4102" s="1" t="s">
        <v>6076</v>
      </c>
      <c r="F4102" s="1" t="s">
        <v>6076</v>
      </c>
      <c r="G4102" s="1" t="s">
        <v>9286</v>
      </c>
      <c r="H4102">
        <v>1999</v>
      </c>
      <c r="I4102">
        <v>2001</v>
      </c>
      <c r="J4102">
        <f t="shared" ref="J4102:J4165" si="128">1+(I4102-H4102)</f>
        <v>3</v>
      </c>
      <c r="K4102" s="1" t="s">
        <v>6076</v>
      </c>
      <c r="L4102" s="1" t="s">
        <v>6076</v>
      </c>
      <c r="M4102">
        <f t="shared" ref="M4102:M4165" si="129">IF(I4102=0,0,$B$2-I4102)</f>
        <v>25</v>
      </c>
      <c r="N4102" t="s">
        <v>640</v>
      </c>
    </row>
    <row r="4103" spans="1:14" x14ac:dyDescent="0.3">
      <c r="A4103" s="1" t="s">
        <v>9287</v>
      </c>
      <c r="B4103" s="1" t="s">
        <v>810</v>
      </c>
      <c r="C4103" s="1" t="s">
        <v>9288</v>
      </c>
      <c r="D4103" s="1" t="s">
        <v>738</v>
      </c>
      <c r="E4103" s="1" t="s">
        <v>6076</v>
      </c>
      <c r="F4103" s="1" t="s">
        <v>6076</v>
      </c>
      <c r="G4103" s="1" t="s">
        <v>9286</v>
      </c>
      <c r="H4103">
        <v>1997</v>
      </c>
      <c r="I4103">
        <v>2001</v>
      </c>
      <c r="J4103">
        <f t="shared" si="128"/>
        <v>5</v>
      </c>
      <c r="K4103" s="1" t="s">
        <v>6076</v>
      </c>
      <c r="L4103" s="1" t="s">
        <v>6076</v>
      </c>
      <c r="M4103">
        <f t="shared" si="129"/>
        <v>25</v>
      </c>
      <c r="N4103" t="s">
        <v>640</v>
      </c>
    </row>
    <row r="4104" spans="1:14" x14ac:dyDescent="0.3">
      <c r="A4104" s="1" t="s">
        <v>9289</v>
      </c>
      <c r="B4104" s="1" t="s">
        <v>810</v>
      </c>
      <c r="C4104" s="1" t="s">
        <v>9290</v>
      </c>
      <c r="D4104" s="1" t="s">
        <v>738</v>
      </c>
      <c r="E4104" s="1" t="s">
        <v>6076</v>
      </c>
      <c r="F4104" s="1" t="s">
        <v>6076</v>
      </c>
      <c r="G4104" s="1" t="s">
        <v>9286</v>
      </c>
      <c r="H4104">
        <v>1999</v>
      </c>
      <c r="I4104">
        <v>2000</v>
      </c>
      <c r="J4104">
        <f t="shared" si="128"/>
        <v>2</v>
      </c>
      <c r="K4104" s="1" t="s">
        <v>6076</v>
      </c>
      <c r="L4104" s="1" t="s">
        <v>6076</v>
      </c>
      <c r="M4104">
        <f t="shared" si="129"/>
        <v>26</v>
      </c>
      <c r="N4104" t="s">
        <v>640</v>
      </c>
    </row>
    <row r="4105" spans="1:14" x14ac:dyDescent="0.3">
      <c r="A4105" s="1" t="s">
        <v>9291</v>
      </c>
      <c r="B4105" s="1" t="s">
        <v>810</v>
      </c>
      <c r="C4105" s="1" t="s">
        <v>9292</v>
      </c>
      <c r="D4105" s="1" t="s">
        <v>738</v>
      </c>
      <c r="E4105" s="1" t="s">
        <v>6076</v>
      </c>
      <c r="F4105" s="1" t="s">
        <v>6076</v>
      </c>
      <c r="G4105" s="1" t="s">
        <v>9286</v>
      </c>
      <c r="H4105">
        <v>1991</v>
      </c>
      <c r="I4105">
        <v>2001</v>
      </c>
      <c r="J4105">
        <f t="shared" si="128"/>
        <v>11</v>
      </c>
      <c r="K4105" s="1" t="s">
        <v>6076</v>
      </c>
      <c r="L4105" s="1" t="s">
        <v>6076</v>
      </c>
      <c r="M4105">
        <f t="shared" si="129"/>
        <v>25</v>
      </c>
      <c r="N4105" t="s">
        <v>640</v>
      </c>
    </row>
    <row r="4106" spans="1:14" x14ac:dyDescent="0.3">
      <c r="A4106" s="1" t="s">
        <v>9293</v>
      </c>
      <c r="B4106" s="1" t="s">
        <v>810</v>
      </c>
      <c r="C4106" s="1" t="s">
        <v>9294</v>
      </c>
      <c r="D4106" s="1" t="s">
        <v>738</v>
      </c>
      <c r="E4106" s="1" t="s">
        <v>6076</v>
      </c>
      <c r="F4106" s="1" t="s">
        <v>6076</v>
      </c>
      <c r="G4106" s="1" t="s">
        <v>9286</v>
      </c>
      <c r="H4106">
        <v>2006</v>
      </c>
      <c r="I4106">
        <v>2007</v>
      </c>
      <c r="J4106">
        <f t="shared" si="128"/>
        <v>2</v>
      </c>
      <c r="K4106" s="1" t="s">
        <v>6076</v>
      </c>
      <c r="L4106" s="1" t="s">
        <v>6076</v>
      </c>
      <c r="M4106">
        <f t="shared" si="129"/>
        <v>19</v>
      </c>
      <c r="N4106" t="s">
        <v>640</v>
      </c>
    </row>
    <row r="4107" spans="1:14" x14ac:dyDescent="0.3">
      <c r="A4107" s="1" t="s">
        <v>9295</v>
      </c>
      <c r="B4107" s="1" t="s">
        <v>810</v>
      </c>
      <c r="C4107" s="1" t="s">
        <v>9296</v>
      </c>
      <c r="D4107" s="1" t="s">
        <v>738</v>
      </c>
      <c r="E4107" s="1" t="s">
        <v>6076</v>
      </c>
      <c r="F4107" s="1" t="s">
        <v>6076</v>
      </c>
      <c r="G4107" s="1" t="s">
        <v>9286</v>
      </c>
      <c r="H4107">
        <v>1998</v>
      </c>
      <c r="I4107">
        <v>2001</v>
      </c>
      <c r="J4107">
        <f t="shared" si="128"/>
        <v>4</v>
      </c>
      <c r="K4107" s="1" t="s">
        <v>6076</v>
      </c>
      <c r="L4107" s="1" t="s">
        <v>6076</v>
      </c>
      <c r="M4107">
        <f t="shared" si="129"/>
        <v>25</v>
      </c>
      <c r="N4107" t="s">
        <v>640</v>
      </c>
    </row>
    <row r="4108" spans="1:14" x14ac:dyDescent="0.3">
      <c r="A4108" s="1" t="s">
        <v>9297</v>
      </c>
      <c r="B4108" s="1" t="s">
        <v>810</v>
      </c>
      <c r="C4108" s="1" t="s">
        <v>9298</v>
      </c>
      <c r="D4108" s="1" t="s">
        <v>738</v>
      </c>
      <c r="E4108" s="1" t="s">
        <v>6076</v>
      </c>
      <c r="F4108" s="1" t="s">
        <v>6076</v>
      </c>
      <c r="G4108" s="1" t="s">
        <v>9286</v>
      </c>
      <c r="H4108">
        <v>2003</v>
      </c>
      <c r="I4108">
        <v>2005</v>
      </c>
      <c r="J4108">
        <f t="shared" si="128"/>
        <v>3</v>
      </c>
      <c r="K4108" s="1" t="s">
        <v>6076</v>
      </c>
      <c r="L4108" s="1" t="s">
        <v>6076</v>
      </c>
      <c r="M4108">
        <f t="shared" si="129"/>
        <v>21</v>
      </c>
      <c r="N4108" t="s">
        <v>640</v>
      </c>
    </row>
    <row r="4109" spans="1:14" x14ac:dyDescent="0.3">
      <c r="A4109" s="1" t="s">
        <v>9299</v>
      </c>
      <c r="B4109" s="1" t="s">
        <v>810</v>
      </c>
      <c r="C4109" s="1" t="s">
        <v>9300</v>
      </c>
      <c r="D4109" s="1" t="s">
        <v>738</v>
      </c>
      <c r="E4109" s="1" t="s">
        <v>6076</v>
      </c>
      <c r="F4109" s="1" t="s">
        <v>6076</v>
      </c>
      <c r="G4109" s="1" t="s">
        <v>9286</v>
      </c>
      <c r="H4109">
        <v>1998</v>
      </c>
      <c r="I4109">
        <v>2005</v>
      </c>
      <c r="J4109">
        <f t="shared" si="128"/>
        <v>8</v>
      </c>
      <c r="K4109" s="1" t="s">
        <v>6076</v>
      </c>
      <c r="L4109" s="1" t="s">
        <v>6076</v>
      </c>
      <c r="M4109">
        <f t="shared" si="129"/>
        <v>21</v>
      </c>
      <c r="N4109" t="s">
        <v>640</v>
      </c>
    </row>
    <row r="4110" spans="1:14" x14ac:dyDescent="0.3">
      <c r="A4110" s="1" t="s">
        <v>9301</v>
      </c>
      <c r="B4110" s="1" t="s">
        <v>810</v>
      </c>
      <c r="C4110" s="1" t="s">
        <v>9302</v>
      </c>
      <c r="D4110" s="1" t="s">
        <v>738</v>
      </c>
      <c r="E4110" s="1" t="s">
        <v>6076</v>
      </c>
      <c r="F4110" s="1" t="s">
        <v>6076</v>
      </c>
      <c r="G4110" s="1" t="s">
        <v>9286</v>
      </c>
      <c r="H4110">
        <v>2007</v>
      </c>
      <c r="I4110">
        <v>2009</v>
      </c>
      <c r="J4110">
        <f t="shared" si="128"/>
        <v>3</v>
      </c>
      <c r="K4110" s="1" t="s">
        <v>6076</v>
      </c>
      <c r="L4110" s="1" t="s">
        <v>6076</v>
      </c>
      <c r="M4110">
        <f t="shared" si="129"/>
        <v>17</v>
      </c>
      <c r="N4110" t="s">
        <v>640</v>
      </c>
    </row>
    <row r="4111" spans="1:14" x14ac:dyDescent="0.3">
      <c r="A4111" s="1" t="s">
        <v>9303</v>
      </c>
      <c r="B4111" s="1" t="s">
        <v>810</v>
      </c>
      <c r="C4111" s="1" t="s">
        <v>9304</v>
      </c>
      <c r="D4111" s="1" t="s">
        <v>738</v>
      </c>
      <c r="E4111" s="1" t="s">
        <v>6076</v>
      </c>
      <c r="F4111" s="1" t="s">
        <v>6076</v>
      </c>
      <c r="G4111" s="1" t="s">
        <v>9286</v>
      </c>
      <c r="H4111">
        <v>2014</v>
      </c>
      <c r="I4111">
        <v>2016</v>
      </c>
      <c r="J4111">
        <f t="shared" si="128"/>
        <v>3</v>
      </c>
      <c r="K4111" s="1" t="s">
        <v>6076</v>
      </c>
      <c r="L4111" s="1" t="s">
        <v>6076</v>
      </c>
      <c r="M4111">
        <f t="shared" si="129"/>
        <v>10</v>
      </c>
      <c r="N4111" t="s">
        <v>650</v>
      </c>
    </row>
    <row r="4112" spans="1:14" x14ac:dyDescent="0.3">
      <c r="A4112" s="1" t="s">
        <v>9305</v>
      </c>
      <c r="B4112" s="1" t="s">
        <v>810</v>
      </c>
      <c r="C4112" s="1" t="s">
        <v>9306</v>
      </c>
      <c r="D4112" s="1" t="s">
        <v>738</v>
      </c>
      <c r="E4112" s="1" t="s">
        <v>6076</v>
      </c>
      <c r="F4112" s="1" t="s">
        <v>6076</v>
      </c>
      <c r="G4112" s="1" t="s">
        <v>9286</v>
      </c>
      <c r="H4112">
        <v>2009</v>
      </c>
      <c r="I4112">
        <v>2014</v>
      </c>
      <c r="J4112">
        <f t="shared" si="128"/>
        <v>6</v>
      </c>
      <c r="K4112" s="1" t="s">
        <v>6076</v>
      </c>
      <c r="L4112" s="1" t="s">
        <v>6076</v>
      </c>
      <c r="M4112">
        <f t="shared" si="129"/>
        <v>12</v>
      </c>
      <c r="N4112" t="s">
        <v>650</v>
      </c>
    </row>
    <row r="4113" spans="1:14" x14ac:dyDescent="0.3">
      <c r="A4113" s="1" t="s">
        <v>9307</v>
      </c>
      <c r="B4113" s="1" t="s">
        <v>810</v>
      </c>
      <c r="C4113" s="1" t="s">
        <v>9308</v>
      </c>
      <c r="D4113" s="1" t="s">
        <v>738</v>
      </c>
      <c r="E4113" s="1" t="s">
        <v>6076</v>
      </c>
      <c r="F4113" s="1" t="s">
        <v>6076</v>
      </c>
      <c r="G4113" s="1" t="s">
        <v>9286</v>
      </c>
      <c r="H4113">
        <v>2016</v>
      </c>
      <c r="I4113">
        <v>2016</v>
      </c>
      <c r="J4113">
        <f t="shared" si="128"/>
        <v>1</v>
      </c>
      <c r="K4113" s="1" t="s">
        <v>6076</v>
      </c>
      <c r="L4113" s="1" t="s">
        <v>6076</v>
      </c>
      <c r="M4113">
        <f t="shared" si="129"/>
        <v>10</v>
      </c>
      <c r="N4113" t="s">
        <v>650</v>
      </c>
    </row>
    <row r="4114" spans="1:14" x14ac:dyDescent="0.3">
      <c r="A4114" s="1" t="s">
        <v>9309</v>
      </c>
      <c r="B4114" s="1" t="s">
        <v>810</v>
      </c>
      <c r="C4114" s="1" t="s">
        <v>9310</v>
      </c>
      <c r="D4114" s="1" t="s">
        <v>738</v>
      </c>
      <c r="E4114" s="1" t="s">
        <v>6076</v>
      </c>
      <c r="F4114" s="1" t="s">
        <v>6076</v>
      </c>
      <c r="G4114" s="1" t="s">
        <v>9286</v>
      </c>
      <c r="H4114">
        <v>2016</v>
      </c>
      <c r="I4114">
        <v>2019</v>
      </c>
      <c r="J4114">
        <f t="shared" si="128"/>
        <v>4</v>
      </c>
      <c r="K4114" s="1" t="s">
        <v>6076</v>
      </c>
      <c r="L4114" s="1" t="s">
        <v>6076</v>
      </c>
      <c r="M4114">
        <f t="shared" si="129"/>
        <v>7</v>
      </c>
      <c r="N4114" t="s">
        <v>650</v>
      </c>
    </row>
    <row r="4115" spans="1:14" x14ac:dyDescent="0.3">
      <c r="A4115" s="1" t="s">
        <v>9311</v>
      </c>
      <c r="B4115" s="1" t="s">
        <v>810</v>
      </c>
      <c r="C4115" s="1" t="s">
        <v>9312</v>
      </c>
      <c r="D4115" s="1" t="s">
        <v>738</v>
      </c>
      <c r="E4115" s="1" t="s">
        <v>6076</v>
      </c>
      <c r="F4115" s="1" t="s">
        <v>6076</v>
      </c>
      <c r="G4115" s="1" t="s">
        <v>9286</v>
      </c>
      <c r="H4115">
        <v>1985</v>
      </c>
      <c r="I4115">
        <v>1989</v>
      </c>
      <c r="J4115">
        <f t="shared" si="128"/>
        <v>5</v>
      </c>
      <c r="K4115" s="1" t="s">
        <v>6076</v>
      </c>
      <c r="L4115" s="1" t="s">
        <v>6076</v>
      </c>
      <c r="M4115">
        <f t="shared" si="129"/>
        <v>37</v>
      </c>
      <c r="N4115" t="s">
        <v>640</v>
      </c>
    </row>
    <row r="4116" spans="1:14" x14ac:dyDescent="0.3">
      <c r="A4116" s="1" t="s">
        <v>9313</v>
      </c>
      <c r="B4116" s="1" t="s">
        <v>810</v>
      </c>
      <c r="C4116" s="1" t="s">
        <v>9314</v>
      </c>
      <c r="D4116" s="1" t="s">
        <v>738</v>
      </c>
      <c r="E4116" s="1" t="s">
        <v>6076</v>
      </c>
      <c r="F4116" s="1" t="s">
        <v>6076</v>
      </c>
      <c r="G4116" s="1" t="s">
        <v>9286</v>
      </c>
      <c r="H4116">
        <v>1985</v>
      </c>
      <c r="I4116">
        <v>1989</v>
      </c>
      <c r="J4116">
        <f t="shared" si="128"/>
        <v>5</v>
      </c>
      <c r="K4116" s="1" t="s">
        <v>6076</v>
      </c>
      <c r="L4116" s="1" t="s">
        <v>6076</v>
      </c>
      <c r="M4116">
        <f t="shared" si="129"/>
        <v>37</v>
      </c>
      <c r="N4116" t="s">
        <v>640</v>
      </c>
    </row>
    <row r="4117" spans="1:14" x14ac:dyDescent="0.3">
      <c r="A4117" s="1" t="s">
        <v>9315</v>
      </c>
      <c r="B4117" s="1" t="s">
        <v>810</v>
      </c>
      <c r="C4117" s="1" t="s">
        <v>9316</v>
      </c>
      <c r="D4117" s="1" t="s">
        <v>738</v>
      </c>
      <c r="E4117" s="1" t="s">
        <v>6076</v>
      </c>
      <c r="F4117" s="1" t="s">
        <v>6076</v>
      </c>
      <c r="G4117" s="1" t="s">
        <v>9286</v>
      </c>
      <c r="H4117">
        <v>2014</v>
      </c>
      <c r="I4117">
        <v>2014</v>
      </c>
      <c r="J4117">
        <f t="shared" si="128"/>
        <v>1</v>
      </c>
      <c r="K4117" s="1" t="s">
        <v>6076</v>
      </c>
      <c r="L4117" s="1" t="s">
        <v>6076</v>
      </c>
      <c r="M4117">
        <f t="shared" si="129"/>
        <v>12</v>
      </c>
      <c r="N4117" t="s">
        <v>650</v>
      </c>
    </row>
    <row r="4118" spans="1:14" x14ac:dyDescent="0.3">
      <c r="A4118" s="1" t="s">
        <v>9317</v>
      </c>
      <c r="B4118" s="1" t="s">
        <v>810</v>
      </c>
      <c r="C4118" s="1" t="s">
        <v>9318</v>
      </c>
      <c r="D4118" s="1" t="s">
        <v>738</v>
      </c>
      <c r="E4118" s="1" t="s">
        <v>6076</v>
      </c>
      <c r="F4118" s="1" t="s">
        <v>6076</v>
      </c>
      <c r="G4118" s="1" t="s">
        <v>9286</v>
      </c>
      <c r="H4118">
        <v>2007</v>
      </c>
      <c r="I4118">
        <v>2015</v>
      </c>
      <c r="J4118">
        <f t="shared" si="128"/>
        <v>9</v>
      </c>
      <c r="K4118" s="1" t="s">
        <v>6076</v>
      </c>
      <c r="L4118" s="1" t="s">
        <v>6076</v>
      </c>
      <c r="M4118">
        <f t="shared" si="129"/>
        <v>11</v>
      </c>
      <c r="N4118" t="s">
        <v>650</v>
      </c>
    </row>
    <row r="4119" spans="1:14" x14ac:dyDescent="0.3">
      <c r="A4119" s="1" t="s">
        <v>9319</v>
      </c>
      <c r="B4119" s="1" t="s">
        <v>810</v>
      </c>
      <c r="C4119" s="1" t="s">
        <v>9320</v>
      </c>
      <c r="D4119" s="1" t="s">
        <v>738</v>
      </c>
      <c r="E4119" s="1" t="s">
        <v>6076</v>
      </c>
      <c r="F4119" s="1" t="s">
        <v>6076</v>
      </c>
      <c r="G4119" s="1" t="s">
        <v>9286</v>
      </c>
      <c r="H4119">
        <v>1998</v>
      </c>
      <c r="I4119">
        <v>2005</v>
      </c>
      <c r="J4119">
        <f t="shared" si="128"/>
        <v>8</v>
      </c>
      <c r="K4119" s="1" t="s">
        <v>6076</v>
      </c>
      <c r="L4119" s="1" t="s">
        <v>6076</v>
      </c>
      <c r="M4119">
        <f t="shared" si="129"/>
        <v>21</v>
      </c>
      <c r="N4119" t="s">
        <v>640</v>
      </c>
    </row>
    <row r="4120" spans="1:14" x14ac:dyDescent="0.3">
      <c r="A4120" s="1" t="s">
        <v>9321</v>
      </c>
      <c r="B4120" s="1" t="s">
        <v>810</v>
      </c>
      <c r="C4120" s="1" t="s">
        <v>9322</v>
      </c>
      <c r="D4120" s="1" t="s">
        <v>738</v>
      </c>
      <c r="E4120" s="1" t="s">
        <v>6076</v>
      </c>
      <c r="F4120" s="1" t="s">
        <v>6076</v>
      </c>
      <c r="G4120" s="1" t="s">
        <v>9286</v>
      </c>
      <c r="H4120">
        <v>1998</v>
      </c>
      <c r="I4120">
        <v>2005</v>
      </c>
      <c r="J4120">
        <f t="shared" si="128"/>
        <v>8</v>
      </c>
      <c r="K4120" s="1" t="s">
        <v>6076</v>
      </c>
      <c r="L4120" s="1" t="s">
        <v>6076</v>
      </c>
      <c r="M4120">
        <f t="shared" si="129"/>
        <v>21</v>
      </c>
      <c r="N4120" t="s">
        <v>640</v>
      </c>
    </row>
    <row r="4121" spans="1:14" x14ac:dyDescent="0.3">
      <c r="A4121" s="1" t="s">
        <v>9323</v>
      </c>
      <c r="B4121" s="1" t="s">
        <v>810</v>
      </c>
      <c r="C4121" s="1" t="s">
        <v>9324</v>
      </c>
      <c r="D4121" s="1" t="s">
        <v>738</v>
      </c>
      <c r="E4121" s="1" t="s">
        <v>6076</v>
      </c>
      <c r="F4121" s="1" t="s">
        <v>6076</v>
      </c>
      <c r="G4121" s="1" t="s">
        <v>9286</v>
      </c>
      <c r="H4121">
        <v>1999</v>
      </c>
      <c r="I4121">
        <v>2000</v>
      </c>
      <c r="J4121">
        <f t="shared" si="128"/>
        <v>2</v>
      </c>
      <c r="K4121" s="1" t="s">
        <v>6076</v>
      </c>
      <c r="L4121" s="1" t="s">
        <v>6076</v>
      </c>
      <c r="M4121">
        <f t="shared" si="129"/>
        <v>26</v>
      </c>
      <c r="N4121" t="s">
        <v>640</v>
      </c>
    </row>
    <row r="4122" spans="1:14" x14ac:dyDescent="0.3">
      <c r="A4122" s="1" t="s">
        <v>9325</v>
      </c>
      <c r="B4122" s="1" t="s">
        <v>810</v>
      </c>
      <c r="C4122" s="1" t="s">
        <v>9326</v>
      </c>
      <c r="D4122" s="1" t="s">
        <v>738</v>
      </c>
      <c r="E4122" s="1" t="s">
        <v>6076</v>
      </c>
      <c r="F4122" s="1" t="s">
        <v>6076</v>
      </c>
      <c r="G4122" s="1" t="s">
        <v>9286</v>
      </c>
      <c r="H4122">
        <v>1998</v>
      </c>
      <c r="I4122">
        <v>2001</v>
      </c>
      <c r="J4122">
        <f t="shared" si="128"/>
        <v>4</v>
      </c>
      <c r="K4122" s="1" t="s">
        <v>6076</v>
      </c>
      <c r="L4122" s="1" t="s">
        <v>6076</v>
      </c>
      <c r="M4122">
        <f t="shared" si="129"/>
        <v>25</v>
      </c>
      <c r="N4122" t="s">
        <v>640</v>
      </c>
    </row>
    <row r="4123" spans="1:14" x14ac:dyDescent="0.3">
      <c r="A4123" s="1" t="s">
        <v>9327</v>
      </c>
      <c r="B4123" s="1" t="s">
        <v>810</v>
      </c>
      <c r="C4123" s="1" t="s">
        <v>9328</v>
      </c>
      <c r="D4123" s="1" t="s">
        <v>738</v>
      </c>
      <c r="E4123" s="1" t="s">
        <v>6076</v>
      </c>
      <c r="F4123" s="1" t="s">
        <v>6076</v>
      </c>
      <c r="G4123" s="1" t="s">
        <v>9286</v>
      </c>
      <c r="H4123">
        <v>1991</v>
      </c>
      <c r="I4123">
        <v>1996</v>
      </c>
      <c r="J4123">
        <f t="shared" si="128"/>
        <v>6</v>
      </c>
      <c r="K4123" s="1" t="s">
        <v>6076</v>
      </c>
      <c r="L4123" s="1" t="s">
        <v>6076</v>
      </c>
      <c r="M4123">
        <f t="shared" si="129"/>
        <v>30</v>
      </c>
      <c r="N4123" t="s">
        <v>640</v>
      </c>
    </row>
    <row r="4124" spans="1:14" x14ac:dyDescent="0.3">
      <c r="A4124" s="1" t="s">
        <v>9329</v>
      </c>
      <c r="B4124" s="1" t="s">
        <v>810</v>
      </c>
      <c r="C4124" s="1" t="s">
        <v>9330</v>
      </c>
      <c r="D4124" s="1" t="s">
        <v>738</v>
      </c>
      <c r="E4124" s="1" t="s">
        <v>6076</v>
      </c>
      <c r="F4124" s="1" t="s">
        <v>6076</v>
      </c>
      <c r="G4124" s="1" t="s">
        <v>9286</v>
      </c>
      <c r="H4124">
        <v>2006</v>
      </c>
      <c r="I4124">
        <v>2007</v>
      </c>
      <c r="J4124">
        <f t="shared" si="128"/>
        <v>2</v>
      </c>
      <c r="K4124" s="1" t="s">
        <v>6076</v>
      </c>
      <c r="L4124" s="1" t="s">
        <v>6076</v>
      </c>
      <c r="M4124">
        <f t="shared" si="129"/>
        <v>19</v>
      </c>
      <c r="N4124" t="s">
        <v>640</v>
      </c>
    </row>
    <row r="4125" spans="1:14" x14ac:dyDescent="0.3">
      <c r="A4125" s="1" t="s">
        <v>9331</v>
      </c>
      <c r="B4125" s="1" t="s">
        <v>810</v>
      </c>
      <c r="C4125" s="1" t="s">
        <v>9332</v>
      </c>
      <c r="D4125" s="1" t="s">
        <v>738</v>
      </c>
      <c r="E4125" s="1" t="s">
        <v>6076</v>
      </c>
      <c r="F4125" s="1" t="s">
        <v>6076</v>
      </c>
      <c r="G4125" s="1" t="s">
        <v>9286</v>
      </c>
      <c r="H4125">
        <v>1998</v>
      </c>
      <c r="I4125">
        <v>2000</v>
      </c>
      <c r="J4125">
        <f t="shared" si="128"/>
        <v>3</v>
      </c>
      <c r="K4125" s="1" t="s">
        <v>6076</v>
      </c>
      <c r="L4125" s="1" t="s">
        <v>6076</v>
      </c>
      <c r="M4125">
        <f t="shared" si="129"/>
        <v>26</v>
      </c>
      <c r="N4125" t="s">
        <v>640</v>
      </c>
    </row>
    <row r="4126" spans="1:14" x14ac:dyDescent="0.3">
      <c r="A4126" s="1" t="s">
        <v>9333</v>
      </c>
      <c r="B4126" s="1" t="s">
        <v>810</v>
      </c>
      <c r="C4126" s="1" t="s">
        <v>9334</v>
      </c>
      <c r="D4126" s="1" t="s">
        <v>738</v>
      </c>
      <c r="E4126" s="1" t="s">
        <v>6076</v>
      </c>
      <c r="F4126" s="1" t="s">
        <v>6076</v>
      </c>
      <c r="G4126" s="1" t="s">
        <v>9286</v>
      </c>
      <c r="H4126">
        <v>1999</v>
      </c>
      <c r="I4126">
        <v>2005</v>
      </c>
      <c r="J4126">
        <f t="shared" si="128"/>
        <v>7</v>
      </c>
      <c r="K4126" s="1" t="s">
        <v>6076</v>
      </c>
      <c r="L4126" s="1" t="s">
        <v>6076</v>
      </c>
      <c r="M4126">
        <f t="shared" si="129"/>
        <v>21</v>
      </c>
      <c r="N4126" t="s">
        <v>640</v>
      </c>
    </row>
    <row r="4127" spans="1:14" x14ac:dyDescent="0.3">
      <c r="A4127" s="1" t="s">
        <v>9335</v>
      </c>
      <c r="B4127" s="1" t="s">
        <v>810</v>
      </c>
      <c r="C4127" s="1" t="s">
        <v>9336</v>
      </c>
      <c r="D4127" s="1" t="s">
        <v>738</v>
      </c>
      <c r="E4127" s="1" t="s">
        <v>6076</v>
      </c>
      <c r="F4127" s="1" t="s">
        <v>6076</v>
      </c>
      <c r="G4127" s="1" t="s">
        <v>9286</v>
      </c>
      <c r="H4127">
        <v>2007</v>
      </c>
      <c r="I4127">
        <v>2010</v>
      </c>
      <c r="J4127">
        <f t="shared" si="128"/>
        <v>4</v>
      </c>
      <c r="K4127" s="1" t="s">
        <v>6076</v>
      </c>
      <c r="L4127" s="1" t="s">
        <v>6076</v>
      </c>
      <c r="M4127">
        <f t="shared" si="129"/>
        <v>16</v>
      </c>
      <c r="N4127" t="s">
        <v>640</v>
      </c>
    </row>
    <row r="4128" spans="1:14" x14ac:dyDescent="0.3">
      <c r="A4128" s="1" t="s">
        <v>9337</v>
      </c>
      <c r="B4128" s="1" t="s">
        <v>810</v>
      </c>
      <c r="C4128" s="1" t="s">
        <v>9338</v>
      </c>
      <c r="D4128" s="1" t="s">
        <v>738</v>
      </c>
      <c r="E4128" s="1" t="s">
        <v>6076</v>
      </c>
      <c r="F4128" s="1" t="s">
        <v>6076</v>
      </c>
      <c r="G4128" s="1" t="s">
        <v>9286</v>
      </c>
      <c r="H4128">
        <v>2014</v>
      </c>
      <c r="I4128">
        <v>2014</v>
      </c>
      <c r="J4128">
        <f t="shared" si="128"/>
        <v>1</v>
      </c>
      <c r="K4128" s="1" t="s">
        <v>6076</v>
      </c>
      <c r="L4128" s="1" t="s">
        <v>6076</v>
      </c>
      <c r="M4128">
        <f t="shared" si="129"/>
        <v>12</v>
      </c>
      <c r="N4128" t="s">
        <v>650</v>
      </c>
    </row>
    <row r="4129" spans="1:14" x14ac:dyDescent="0.3">
      <c r="A4129" s="1" t="s">
        <v>9339</v>
      </c>
      <c r="B4129" s="1" t="s">
        <v>810</v>
      </c>
      <c r="C4129" s="1" t="s">
        <v>9340</v>
      </c>
      <c r="D4129" s="1" t="s">
        <v>738</v>
      </c>
      <c r="E4129" s="1" t="s">
        <v>6076</v>
      </c>
      <c r="F4129" s="1" t="s">
        <v>6076</v>
      </c>
      <c r="G4129" s="1" t="s">
        <v>9286</v>
      </c>
      <c r="H4129">
        <v>1998</v>
      </c>
      <c r="I4129">
        <v>2004</v>
      </c>
      <c r="J4129">
        <f t="shared" si="128"/>
        <v>7</v>
      </c>
      <c r="K4129" s="1" t="s">
        <v>6076</v>
      </c>
      <c r="L4129" s="1" t="s">
        <v>6076</v>
      </c>
      <c r="M4129">
        <f t="shared" si="129"/>
        <v>22</v>
      </c>
      <c r="N4129" t="s">
        <v>640</v>
      </c>
    </row>
    <row r="4130" spans="1:14" x14ac:dyDescent="0.3">
      <c r="A4130" s="1" t="s">
        <v>9341</v>
      </c>
      <c r="B4130" s="1" t="s">
        <v>810</v>
      </c>
      <c r="C4130" s="1" t="s">
        <v>9342</v>
      </c>
      <c r="D4130" s="1" t="s">
        <v>738</v>
      </c>
      <c r="E4130" s="1" t="s">
        <v>6076</v>
      </c>
      <c r="F4130" s="1" t="s">
        <v>6076</v>
      </c>
      <c r="G4130" s="1" t="s">
        <v>9286</v>
      </c>
      <c r="H4130">
        <v>1998</v>
      </c>
      <c r="I4130">
        <v>2005</v>
      </c>
      <c r="J4130">
        <f t="shared" si="128"/>
        <v>8</v>
      </c>
      <c r="K4130" s="1" t="s">
        <v>6076</v>
      </c>
      <c r="L4130" s="1" t="s">
        <v>6076</v>
      </c>
      <c r="M4130">
        <f t="shared" si="129"/>
        <v>21</v>
      </c>
      <c r="N4130" t="s">
        <v>640</v>
      </c>
    </row>
    <row r="4131" spans="1:14" x14ac:dyDescent="0.3">
      <c r="A4131" s="1" t="s">
        <v>9343</v>
      </c>
      <c r="B4131" s="1" t="s">
        <v>810</v>
      </c>
      <c r="C4131" s="1" t="s">
        <v>9344</v>
      </c>
      <c r="D4131" s="1" t="s">
        <v>738</v>
      </c>
      <c r="E4131" s="1" t="s">
        <v>6076</v>
      </c>
      <c r="F4131" s="1" t="s">
        <v>6076</v>
      </c>
      <c r="G4131" s="1" t="s">
        <v>9286</v>
      </c>
      <c r="H4131">
        <v>2007</v>
      </c>
      <c r="I4131">
        <v>2015</v>
      </c>
      <c r="J4131">
        <f t="shared" si="128"/>
        <v>9</v>
      </c>
      <c r="K4131" s="1" t="s">
        <v>6076</v>
      </c>
      <c r="L4131" s="1" t="s">
        <v>6076</v>
      </c>
      <c r="M4131">
        <f t="shared" si="129"/>
        <v>11</v>
      </c>
      <c r="N4131" t="s">
        <v>650</v>
      </c>
    </row>
    <row r="4132" spans="1:14" x14ac:dyDescent="0.3">
      <c r="A4132" s="1" t="s">
        <v>9345</v>
      </c>
      <c r="B4132" s="1" t="s">
        <v>810</v>
      </c>
      <c r="C4132" s="1" t="s">
        <v>9346</v>
      </c>
      <c r="D4132" s="1" t="s">
        <v>738</v>
      </c>
      <c r="E4132" s="1" t="s">
        <v>6076</v>
      </c>
      <c r="F4132" s="1" t="s">
        <v>6076</v>
      </c>
      <c r="G4132" s="1" t="s">
        <v>9286</v>
      </c>
      <c r="H4132">
        <v>1991</v>
      </c>
      <c r="I4132">
        <v>1996</v>
      </c>
      <c r="J4132">
        <f t="shared" si="128"/>
        <v>6</v>
      </c>
      <c r="K4132" s="1" t="s">
        <v>6076</v>
      </c>
      <c r="L4132" s="1" t="s">
        <v>6076</v>
      </c>
      <c r="M4132">
        <f t="shared" si="129"/>
        <v>30</v>
      </c>
      <c r="N4132" t="s">
        <v>640</v>
      </c>
    </row>
    <row r="4133" spans="1:14" x14ac:dyDescent="0.3">
      <c r="A4133" s="1" t="s">
        <v>9347</v>
      </c>
      <c r="B4133" s="1" t="s">
        <v>810</v>
      </c>
      <c r="C4133" s="1" t="s">
        <v>9348</v>
      </c>
      <c r="D4133" s="1" t="s">
        <v>738</v>
      </c>
      <c r="E4133" s="1" t="s">
        <v>6076</v>
      </c>
      <c r="F4133" s="1" t="s">
        <v>6076</v>
      </c>
      <c r="G4133" s="1" t="s">
        <v>9286</v>
      </c>
      <c r="H4133">
        <v>1991</v>
      </c>
      <c r="I4133">
        <v>1996</v>
      </c>
      <c r="J4133">
        <f t="shared" si="128"/>
        <v>6</v>
      </c>
      <c r="K4133" s="1" t="s">
        <v>6076</v>
      </c>
      <c r="L4133" s="1" t="s">
        <v>6076</v>
      </c>
      <c r="M4133">
        <f t="shared" si="129"/>
        <v>30</v>
      </c>
      <c r="N4133" t="s">
        <v>640</v>
      </c>
    </row>
    <row r="4134" spans="1:14" x14ac:dyDescent="0.3">
      <c r="A4134" s="1" t="s">
        <v>9349</v>
      </c>
      <c r="B4134" s="1" t="s">
        <v>910</v>
      </c>
      <c r="C4134" s="1" t="s">
        <v>9350</v>
      </c>
      <c r="D4134" s="1" t="s">
        <v>1395</v>
      </c>
      <c r="E4134" s="1" t="s">
        <v>6076</v>
      </c>
      <c r="F4134" s="1" t="s">
        <v>6076</v>
      </c>
      <c r="G4134" s="1" t="s">
        <v>9351</v>
      </c>
      <c r="H4134">
        <v>1994</v>
      </c>
      <c r="I4134">
        <v>1995</v>
      </c>
      <c r="J4134">
        <f t="shared" si="128"/>
        <v>2</v>
      </c>
      <c r="K4134" s="1" t="s">
        <v>6076</v>
      </c>
      <c r="L4134" s="1" t="s">
        <v>6076</v>
      </c>
      <c r="M4134">
        <f t="shared" si="129"/>
        <v>31</v>
      </c>
      <c r="N4134" t="s">
        <v>640</v>
      </c>
    </row>
    <row r="4135" spans="1:14" x14ac:dyDescent="0.3">
      <c r="A4135" s="1" t="s">
        <v>9352</v>
      </c>
      <c r="B4135" s="1" t="s">
        <v>910</v>
      </c>
      <c r="C4135" s="1" t="s">
        <v>9353</v>
      </c>
      <c r="D4135" s="1" t="s">
        <v>1395</v>
      </c>
      <c r="E4135" s="1" t="s">
        <v>6076</v>
      </c>
      <c r="F4135" s="1" t="s">
        <v>6076</v>
      </c>
      <c r="G4135" s="1" t="s">
        <v>9351</v>
      </c>
      <c r="H4135">
        <v>1994</v>
      </c>
      <c r="I4135">
        <v>1995</v>
      </c>
      <c r="J4135">
        <f t="shared" si="128"/>
        <v>2</v>
      </c>
      <c r="K4135" s="1" t="s">
        <v>6076</v>
      </c>
      <c r="L4135" s="1" t="s">
        <v>6076</v>
      </c>
      <c r="M4135">
        <f t="shared" si="129"/>
        <v>31</v>
      </c>
      <c r="N4135" t="s">
        <v>640</v>
      </c>
    </row>
    <row r="4136" spans="1:14" x14ac:dyDescent="0.3">
      <c r="A4136" s="1" t="s">
        <v>9354</v>
      </c>
      <c r="B4136" s="1" t="s">
        <v>910</v>
      </c>
      <c r="C4136" s="1" t="s">
        <v>9355</v>
      </c>
      <c r="D4136" s="1" t="s">
        <v>1242</v>
      </c>
      <c r="E4136" s="1" t="s">
        <v>6076</v>
      </c>
      <c r="F4136" s="1" t="s">
        <v>6076</v>
      </c>
      <c r="G4136" s="1" t="s">
        <v>9351</v>
      </c>
      <c r="H4136">
        <v>1995</v>
      </c>
      <c r="I4136">
        <v>1995</v>
      </c>
      <c r="J4136">
        <f t="shared" si="128"/>
        <v>1</v>
      </c>
      <c r="K4136" s="1" t="s">
        <v>6076</v>
      </c>
      <c r="L4136" s="1" t="s">
        <v>6076</v>
      </c>
      <c r="M4136">
        <f t="shared" si="129"/>
        <v>31</v>
      </c>
      <c r="N4136" t="s">
        <v>640</v>
      </c>
    </row>
    <row r="4137" spans="1:14" x14ac:dyDescent="0.3">
      <c r="A4137" s="1" t="s">
        <v>9356</v>
      </c>
      <c r="B4137" s="1" t="s">
        <v>2154</v>
      </c>
      <c r="C4137" s="1" t="s">
        <v>9357</v>
      </c>
      <c r="D4137" s="1" t="s">
        <v>1395</v>
      </c>
      <c r="E4137" s="1" t="s">
        <v>6076</v>
      </c>
      <c r="F4137" s="1" t="s">
        <v>6076</v>
      </c>
      <c r="G4137" s="1" t="s">
        <v>9358</v>
      </c>
      <c r="H4137">
        <v>2006</v>
      </c>
      <c r="I4137">
        <v>2009</v>
      </c>
      <c r="J4137">
        <f t="shared" si="128"/>
        <v>4</v>
      </c>
      <c r="K4137" s="1" t="s">
        <v>6076</v>
      </c>
      <c r="L4137" s="1" t="s">
        <v>6076</v>
      </c>
      <c r="M4137">
        <f t="shared" si="129"/>
        <v>17</v>
      </c>
      <c r="N4137" t="s">
        <v>640</v>
      </c>
    </row>
    <row r="4138" spans="1:14" x14ac:dyDescent="0.3">
      <c r="A4138" s="1" t="s">
        <v>9359</v>
      </c>
      <c r="B4138" s="1" t="s">
        <v>2154</v>
      </c>
      <c r="C4138" s="1" t="s">
        <v>9360</v>
      </c>
      <c r="D4138" s="1" t="s">
        <v>1395</v>
      </c>
      <c r="E4138" s="1" t="s">
        <v>6076</v>
      </c>
      <c r="F4138" s="1" t="s">
        <v>6076</v>
      </c>
      <c r="G4138" s="1" t="s">
        <v>9358</v>
      </c>
      <c r="H4138">
        <v>2006</v>
      </c>
      <c r="I4138">
        <v>2008</v>
      </c>
      <c r="J4138">
        <f t="shared" si="128"/>
        <v>3</v>
      </c>
      <c r="K4138" s="1" t="s">
        <v>6076</v>
      </c>
      <c r="L4138" s="1" t="s">
        <v>6076</v>
      </c>
      <c r="M4138">
        <f t="shared" si="129"/>
        <v>18</v>
      </c>
      <c r="N4138" t="s">
        <v>640</v>
      </c>
    </row>
    <row r="4139" spans="1:14" x14ac:dyDescent="0.3">
      <c r="A4139" s="1" t="s">
        <v>9361</v>
      </c>
      <c r="B4139" s="1" t="s">
        <v>2154</v>
      </c>
      <c r="C4139" s="1" t="s">
        <v>9362</v>
      </c>
      <c r="D4139" s="1" t="s">
        <v>1395</v>
      </c>
      <c r="E4139" s="1" t="s">
        <v>6076</v>
      </c>
      <c r="F4139" s="1" t="s">
        <v>6076</v>
      </c>
      <c r="G4139" s="1" t="s">
        <v>9358</v>
      </c>
      <c r="H4139">
        <v>2008</v>
      </c>
      <c r="I4139">
        <v>2009</v>
      </c>
      <c r="J4139">
        <f t="shared" si="128"/>
        <v>2</v>
      </c>
      <c r="K4139" s="1" t="s">
        <v>6076</v>
      </c>
      <c r="L4139" s="1" t="s">
        <v>6076</v>
      </c>
      <c r="M4139">
        <f t="shared" si="129"/>
        <v>17</v>
      </c>
      <c r="N4139" t="s">
        <v>640</v>
      </c>
    </row>
    <row r="4140" spans="1:14" x14ac:dyDescent="0.3">
      <c r="A4140" s="1" t="s">
        <v>9363</v>
      </c>
      <c r="B4140" s="1" t="s">
        <v>2154</v>
      </c>
      <c r="C4140" s="1" t="s">
        <v>9364</v>
      </c>
      <c r="D4140" s="1" t="s">
        <v>1395</v>
      </c>
      <c r="E4140" s="1" t="s">
        <v>6076</v>
      </c>
      <c r="F4140" s="1" t="s">
        <v>6076</v>
      </c>
      <c r="G4140" s="1" t="s">
        <v>9358</v>
      </c>
      <c r="H4140">
        <v>2000</v>
      </c>
      <c r="I4140">
        <v>2001</v>
      </c>
      <c r="J4140">
        <f t="shared" si="128"/>
        <v>2</v>
      </c>
      <c r="K4140" s="1" t="s">
        <v>6076</v>
      </c>
      <c r="L4140" s="1" t="s">
        <v>6076</v>
      </c>
      <c r="M4140">
        <f t="shared" si="129"/>
        <v>25</v>
      </c>
      <c r="N4140" t="s">
        <v>640</v>
      </c>
    </row>
    <row r="4141" spans="1:14" x14ac:dyDescent="0.3">
      <c r="A4141" s="1" t="s">
        <v>9365</v>
      </c>
      <c r="B4141" s="1" t="s">
        <v>2154</v>
      </c>
      <c r="C4141" s="1" t="s">
        <v>9366</v>
      </c>
      <c r="D4141" s="1" t="s">
        <v>1395</v>
      </c>
      <c r="E4141" s="1" t="s">
        <v>6076</v>
      </c>
      <c r="F4141" s="1" t="s">
        <v>6076</v>
      </c>
      <c r="G4141" s="1" t="s">
        <v>9358</v>
      </c>
      <c r="H4141">
        <v>2008</v>
      </c>
      <c r="I4141">
        <v>2008</v>
      </c>
      <c r="J4141">
        <f t="shared" si="128"/>
        <v>1</v>
      </c>
      <c r="K4141" s="1" t="s">
        <v>6076</v>
      </c>
      <c r="L4141" s="1" t="s">
        <v>6076</v>
      </c>
      <c r="M4141">
        <f t="shared" si="129"/>
        <v>18</v>
      </c>
      <c r="N4141" t="s">
        <v>640</v>
      </c>
    </row>
    <row r="4142" spans="1:14" x14ac:dyDescent="0.3">
      <c r="A4142" s="1" t="s">
        <v>9367</v>
      </c>
      <c r="B4142" s="1" t="s">
        <v>2154</v>
      </c>
      <c r="C4142" s="1" t="s">
        <v>9368</v>
      </c>
      <c r="D4142" s="1" t="s">
        <v>1395</v>
      </c>
      <c r="E4142" s="1" t="s">
        <v>6076</v>
      </c>
      <c r="F4142" s="1" t="s">
        <v>6076</v>
      </c>
      <c r="G4142" s="1" t="s">
        <v>9358</v>
      </c>
      <c r="H4142">
        <v>1991</v>
      </c>
      <c r="I4142">
        <v>1996</v>
      </c>
      <c r="J4142">
        <f t="shared" si="128"/>
        <v>6</v>
      </c>
      <c r="K4142" s="1" t="s">
        <v>6076</v>
      </c>
      <c r="L4142" s="1" t="s">
        <v>6076</v>
      </c>
      <c r="M4142">
        <f t="shared" si="129"/>
        <v>30</v>
      </c>
      <c r="N4142" t="s">
        <v>640</v>
      </c>
    </row>
    <row r="4143" spans="1:14" x14ac:dyDescent="0.3">
      <c r="A4143" s="1" t="s">
        <v>9369</v>
      </c>
      <c r="B4143" s="1" t="s">
        <v>2154</v>
      </c>
      <c r="C4143" s="1" t="s">
        <v>9370</v>
      </c>
      <c r="D4143" s="1" t="s">
        <v>1395</v>
      </c>
      <c r="E4143" s="1" t="s">
        <v>6076</v>
      </c>
      <c r="F4143" s="1" t="s">
        <v>6076</v>
      </c>
      <c r="G4143" s="1" t="s">
        <v>9358</v>
      </c>
      <c r="H4143">
        <v>2000</v>
      </c>
      <c r="I4143">
        <v>2001</v>
      </c>
      <c r="J4143">
        <f t="shared" si="128"/>
        <v>2</v>
      </c>
      <c r="K4143" s="1" t="s">
        <v>6076</v>
      </c>
      <c r="L4143" s="1" t="s">
        <v>6076</v>
      </c>
      <c r="M4143">
        <f t="shared" si="129"/>
        <v>25</v>
      </c>
      <c r="N4143" t="s">
        <v>640</v>
      </c>
    </row>
    <row r="4144" spans="1:14" x14ac:dyDescent="0.3">
      <c r="A4144" s="1" t="s">
        <v>9371</v>
      </c>
      <c r="B4144" s="1" t="s">
        <v>2154</v>
      </c>
      <c r="C4144" s="1" t="s">
        <v>9372</v>
      </c>
      <c r="D4144" s="1" t="s">
        <v>1395</v>
      </c>
      <c r="E4144" s="1" t="s">
        <v>6076</v>
      </c>
      <c r="F4144" s="1" t="s">
        <v>6076</v>
      </c>
      <c r="G4144" s="1" t="s">
        <v>9358</v>
      </c>
      <c r="H4144">
        <v>2001</v>
      </c>
      <c r="I4144">
        <v>2005</v>
      </c>
      <c r="J4144">
        <f t="shared" si="128"/>
        <v>5</v>
      </c>
      <c r="K4144" s="1" t="s">
        <v>6076</v>
      </c>
      <c r="L4144" s="1" t="s">
        <v>6076</v>
      </c>
      <c r="M4144">
        <f t="shared" si="129"/>
        <v>21</v>
      </c>
      <c r="N4144" t="s">
        <v>640</v>
      </c>
    </row>
    <row r="4145" spans="1:14" x14ac:dyDescent="0.3">
      <c r="A4145" s="1" t="s">
        <v>9373</v>
      </c>
      <c r="B4145" s="1" t="s">
        <v>2154</v>
      </c>
      <c r="C4145" s="1" t="s">
        <v>9374</v>
      </c>
      <c r="D4145" s="1" t="s">
        <v>1395</v>
      </c>
      <c r="E4145" s="1" t="s">
        <v>6076</v>
      </c>
      <c r="F4145" s="1" t="s">
        <v>6076</v>
      </c>
      <c r="G4145" s="1" t="s">
        <v>9358</v>
      </c>
      <c r="H4145">
        <v>1996</v>
      </c>
      <c r="I4145">
        <v>2000</v>
      </c>
      <c r="J4145">
        <f t="shared" si="128"/>
        <v>5</v>
      </c>
      <c r="K4145" s="1" t="s">
        <v>6076</v>
      </c>
      <c r="L4145" s="1" t="s">
        <v>6076</v>
      </c>
      <c r="M4145">
        <f t="shared" si="129"/>
        <v>26</v>
      </c>
      <c r="N4145" t="s">
        <v>640</v>
      </c>
    </row>
    <row r="4146" spans="1:14" x14ac:dyDescent="0.3">
      <c r="A4146" s="1" t="s">
        <v>9375</v>
      </c>
      <c r="B4146" s="1" t="s">
        <v>2154</v>
      </c>
      <c r="C4146" s="1" t="s">
        <v>9376</v>
      </c>
      <c r="D4146" s="1" t="s">
        <v>1395</v>
      </c>
      <c r="E4146" s="1" t="s">
        <v>6076</v>
      </c>
      <c r="F4146" s="1" t="s">
        <v>6076</v>
      </c>
      <c r="G4146" s="1" t="s">
        <v>9358</v>
      </c>
      <c r="H4146">
        <v>1993</v>
      </c>
      <c r="I4146">
        <v>1996</v>
      </c>
      <c r="J4146">
        <f t="shared" si="128"/>
        <v>4</v>
      </c>
      <c r="K4146" s="1" t="s">
        <v>6076</v>
      </c>
      <c r="L4146" s="1" t="s">
        <v>6076</v>
      </c>
      <c r="M4146">
        <f t="shared" si="129"/>
        <v>30</v>
      </c>
      <c r="N4146" t="s">
        <v>640</v>
      </c>
    </row>
    <row r="4147" spans="1:14" x14ac:dyDescent="0.3">
      <c r="A4147" s="1" t="s">
        <v>9377</v>
      </c>
      <c r="B4147" s="1" t="s">
        <v>2154</v>
      </c>
      <c r="C4147" s="1" t="s">
        <v>9378</v>
      </c>
      <c r="D4147" s="1" t="s">
        <v>1395</v>
      </c>
      <c r="E4147" s="1" t="s">
        <v>6076</v>
      </c>
      <c r="F4147" s="1" t="s">
        <v>6076</v>
      </c>
      <c r="G4147" s="1" t="s">
        <v>9358</v>
      </c>
      <c r="H4147">
        <v>1991</v>
      </c>
      <c r="I4147">
        <v>1995</v>
      </c>
      <c r="J4147">
        <f t="shared" si="128"/>
        <v>5</v>
      </c>
      <c r="K4147" s="1" t="s">
        <v>6076</v>
      </c>
      <c r="L4147" s="1" t="s">
        <v>6076</v>
      </c>
      <c r="M4147">
        <f t="shared" si="129"/>
        <v>31</v>
      </c>
      <c r="N4147" t="s">
        <v>640</v>
      </c>
    </row>
    <row r="4148" spans="1:14" hidden="1" x14ac:dyDescent="0.3">
      <c r="A4148" s="1" t="s">
        <v>2666</v>
      </c>
      <c r="B4148" s="1" t="s">
        <v>2667</v>
      </c>
      <c r="C4148" s="1" t="s">
        <v>2668</v>
      </c>
      <c r="D4148" s="1" t="s">
        <v>746</v>
      </c>
      <c r="E4148" s="1" t="s">
        <v>747</v>
      </c>
      <c r="F4148" s="1" t="s">
        <v>748</v>
      </c>
      <c r="G4148" s="1" t="s">
        <v>2669</v>
      </c>
      <c r="H4148">
        <v>2006</v>
      </c>
      <c r="I4148">
        <v>2017</v>
      </c>
      <c r="J4148">
        <f t="shared" si="128"/>
        <v>12</v>
      </c>
      <c r="K4148" s="1" t="s">
        <v>741</v>
      </c>
      <c r="L4148" s="1" t="s">
        <v>649</v>
      </c>
      <c r="M4148">
        <f t="shared" si="129"/>
        <v>9</v>
      </c>
      <c r="N4148" t="s">
        <v>650</v>
      </c>
    </row>
    <row r="4149" spans="1:14" hidden="1" x14ac:dyDescent="0.3">
      <c r="A4149" s="1" t="s">
        <v>2670</v>
      </c>
      <c r="B4149" s="1" t="s">
        <v>2667</v>
      </c>
      <c r="C4149" s="1" t="s">
        <v>2671</v>
      </c>
      <c r="D4149" s="1" t="s">
        <v>746</v>
      </c>
      <c r="E4149" s="1" t="s">
        <v>747</v>
      </c>
      <c r="F4149" s="1" t="s">
        <v>748</v>
      </c>
      <c r="G4149" s="1" t="s">
        <v>2669</v>
      </c>
      <c r="H4149">
        <v>2006</v>
      </c>
      <c r="I4149">
        <v>2017</v>
      </c>
      <c r="J4149">
        <f t="shared" si="128"/>
        <v>12</v>
      </c>
      <c r="K4149" s="1" t="s">
        <v>741</v>
      </c>
      <c r="L4149" s="1" t="s">
        <v>649</v>
      </c>
      <c r="M4149">
        <f t="shared" si="129"/>
        <v>9</v>
      </c>
      <c r="N4149" t="s">
        <v>650</v>
      </c>
    </row>
    <row r="4150" spans="1:14" hidden="1" x14ac:dyDescent="0.3">
      <c r="A4150" s="1" t="s">
        <v>2672</v>
      </c>
      <c r="B4150" s="1" t="s">
        <v>2667</v>
      </c>
      <c r="C4150" s="1" t="s">
        <v>2673</v>
      </c>
      <c r="D4150" s="1" t="s">
        <v>746</v>
      </c>
      <c r="E4150" s="1" t="s">
        <v>747</v>
      </c>
      <c r="F4150" s="1" t="s">
        <v>748</v>
      </c>
      <c r="G4150" s="1" t="s">
        <v>2669</v>
      </c>
      <c r="H4150">
        <v>2018</v>
      </c>
      <c r="I4150">
        <v>2018</v>
      </c>
      <c r="J4150">
        <f t="shared" si="128"/>
        <v>1</v>
      </c>
      <c r="K4150" s="1" t="s">
        <v>741</v>
      </c>
      <c r="L4150" s="1" t="s">
        <v>649</v>
      </c>
      <c r="M4150">
        <f t="shared" si="129"/>
        <v>8</v>
      </c>
      <c r="N4150" t="s">
        <v>650</v>
      </c>
    </row>
    <row r="4151" spans="1:14" x14ac:dyDescent="0.3">
      <c r="A4151" s="1" t="s">
        <v>9379</v>
      </c>
      <c r="B4151" s="1" t="s">
        <v>2154</v>
      </c>
      <c r="C4151" s="1" t="s">
        <v>9380</v>
      </c>
      <c r="D4151" s="1" t="s">
        <v>1242</v>
      </c>
      <c r="E4151" s="1" t="s">
        <v>6076</v>
      </c>
      <c r="F4151" s="1" t="s">
        <v>6076</v>
      </c>
      <c r="G4151" s="1" t="s">
        <v>9381</v>
      </c>
      <c r="H4151">
        <v>1995</v>
      </c>
      <c r="I4151">
        <v>1998</v>
      </c>
      <c r="J4151">
        <f t="shared" si="128"/>
        <v>4</v>
      </c>
      <c r="K4151" s="1" t="s">
        <v>6076</v>
      </c>
      <c r="L4151" s="1" t="s">
        <v>6076</v>
      </c>
      <c r="M4151">
        <f t="shared" si="129"/>
        <v>28</v>
      </c>
      <c r="N4151" t="s">
        <v>640</v>
      </c>
    </row>
    <row r="4152" spans="1:14" x14ac:dyDescent="0.3">
      <c r="A4152" s="1" t="s">
        <v>9382</v>
      </c>
      <c r="B4152" s="1" t="s">
        <v>2154</v>
      </c>
      <c r="C4152" s="1" t="s">
        <v>9383</v>
      </c>
      <c r="D4152" s="1" t="s">
        <v>1242</v>
      </c>
      <c r="E4152" s="1" t="s">
        <v>6076</v>
      </c>
      <c r="F4152" s="1" t="s">
        <v>6076</v>
      </c>
      <c r="G4152" s="1" t="s">
        <v>9381</v>
      </c>
      <c r="H4152">
        <v>1993</v>
      </c>
      <c r="I4152">
        <v>1997</v>
      </c>
      <c r="J4152">
        <f t="shared" si="128"/>
        <v>5</v>
      </c>
      <c r="K4152" s="1" t="s">
        <v>6076</v>
      </c>
      <c r="L4152" s="1" t="s">
        <v>6076</v>
      </c>
      <c r="M4152">
        <f t="shared" si="129"/>
        <v>29</v>
      </c>
      <c r="N4152" t="s">
        <v>640</v>
      </c>
    </row>
    <row r="4153" spans="1:14" x14ac:dyDescent="0.3">
      <c r="A4153" s="1" t="s">
        <v>9384</v>
      </c>
      <c r="B4153" s="1" t="s">
        <v>2154</v>
      </c>
      <c r="C4153" s="1" t="s">
        <v>9385</v>
      </c>
      <c r="D4153" s="1" t="s">
        <v>1242</v>
      </c>
      <c r="E4153" s="1" t="s">
        <v>6076</v>
      </c>
      <c r="F4153" s="1" t="s">
        <v>6076</v>
      </c>
      <c r="G4153" s="1" t="s">
        <v>9381</v>
      </c>
      <c r="H4153">
        <v>1992</v>
      </c>
      <c r="I4153">
        <v>1995</v>
      </c>
      <c r="J4153">
        <f t="shared" si="128"/>
        <v>4</v>
      </c>
      <c r="K4153" s="1" t="s">
        <v>6076</v>
      </c>
      <c r="L4153" s="1" t="s">
        <v>6076</v>
      </c>
      <c r="M4153">
        <f t="shared" si="129"/>
        <v>31</v>
      </c>
      <c r="N4153" t="s">
        <v>640</v>
      </c>
    </row>
    <row r="4154" spans="1:14" x14ac:dyDescent="0.3">
      <c r="A4154" s="1" t="s">
        <v>9386</v>
      </c>
      <c r="B4154" s="1" t="s">
        <v>8765</v>
      </c>
      <c r="C4154" s="1" t="s">
        <v>9387</v>
      </c>
      <c r="D4154" s="1" t="s">
        <v>1242</v>
      </c>
      <c r="E4154" s="1" t="s">
        <v>6076</v>
      </c>
      <c r="F4154" s="1" t="s">
        <v>6076</v>
      </c>
      <c r="G4154" s="1" t="s">
        <v>9388</v>
      </c>
      <c r="H4154">
        <v>2011</v>
      </c>
      <c r="I4154">
        <v>2012</v>
      </c>
      <c r="J4154">
        <f t="shared" si="128"/>
        <v>2</v>
      </c>
      <c r="K4154" s="1" t="s">
        <v>6076</v>
      </c>
      <c r="L4154" s="1" t="s">
        <v>6076</v>
      </c>
      <c r="M4154">
        <f t="shared" si="129"/>
        <v>14</v>
      </c>
      <c r="N4154" t="s">
        <v>650</v>
      </c>
    </row>
    <row r="4155" spans="1:14" x14ac:dyDescent="0.3">
      <c r="A4155" t="s">
        <v>11546</v>
      </c>
      <c r="B4155" t="s">
        <v>10999</v>
      </c>
      <c r="C4155" t="s">
        <v>11547</v>
      </c>
      <c r="E4155" s="1" t="s">
        <v>6076</v>
      </c>
      <c r="F4155" s="1" t="s">
        <v>6076</v>
      </c>
      <c r="G4155" s="1" t="s">
        <v>12833</v>
      </c>
      <c r="H4155">
        <v>2025</v>
      </c>
      <c r="I4155">
        <v>2026</v>
      </c>
      <c r="J4155">
        <f t="shared" si="128"/>
        <v>2</v>
      </c>
      <c r="K4155" s="1" t="s">
        <v>6076</v>
      </c>
      <c r="L4155" s="1" t="s">
        <v>6076</v>
      </c>
      <c r="M4155">
        <f t="shared" si="129"/>
        <v>0</v>
      </c>
    </row>
    <row r="4156" spans="1:14" x14ac:dyDescent="0.3">
      <c r="A4156" t="s">
        <v>11548</v>
      </c>
      <c r="B4156" t="s">
        <v>10999</v>
      </c>
      <c r="C4156" t="s">
        <v>11549</v>
      </c>
      <c r="E4156" s="1" t="s">
        <v>6076</v>
      </c>
      <c r="F4156" s="1" t="s">
        <v>6076</v>
      </c>
      <c r="G4156" s="1" t="s">
        <v>12833</v>
      </c>
      <c r="H4156">
        <v>2025</v>
      </c>
      <c r="I4156">
        <v>2026</v>
      </c>
      <c r="J4156">
        <f t="shared" si="128"/>
        <v>2</v>
      </c>
      <c r="K4156" s="1" t="s">
        <v>6076</v>
      </c>
      <c r="L4156" s="1" t="s">
        <v>6076</v>
      </c>
      <c r="M4156">
        <f t="shared" si="129"/>
        <v>0</v>
      </c>
    </row>
    <row r="4157" spans="1:14" x14ac:dyDescent="0.3">
      <c r="A4157" s="1" t="s">
        <v>9389</v>
      </c>
      <c r="B4157" s="1" t="s">
        <v>810</v>
      </c>
      <c r="C4157" s="1" t="s">
        <v>9390</v>
      </c>
      <c r="D4157" s="1" t="s">
        <v>746</v>
      </c>
      <c r="E4157" s="1" t="s">
        <v>6076</v>
      </c>
      <c r="F4157" s="1" t="s">
        <v>6076</v>
      </c>
      <c r="G4157" s="1" t="s">
        <v>9391</v>
      </c>
      <c r="H4157">
        <v>1994</v>
      </c>
      <c r="I4157">
        <v>1996</v>
      </c>
      <c r="J4157">
        <f t="shared" si="128"/>
        <v>3</v>
      </c>
      <c r="K4157" s="1" t="s">
        <v>6076</v>
      </c>
      <c r="L4157" s="1" t="s">
        <v>6076</v>
      </c>
      <c r="M4157">
        <f t="shared" si="129"/>
        <v>30</v>
      </c>
      <c r="N4157" t="s">
        <v>640</v>
      </c>
    </row>
    <row r="4158" spans="1:14" x14ac:dyDescent="0.3">
      <c r="A4158" s="1" t="s">
        <v>9392</v>
      </c>
      <c r="B4158" s="1" t="s">
        <v>810</v>
      </c>
      <c r="C4158" s="1" t="s">
        <v>9393</v>
      </c>
      <c r="D4158" s="1" t="s">
        <v>746</v>
      </c>
      <c r="E4158" s="1" t="s">
        <v>6076</v>
      </c>
      <c r="F4158" s="1" t="s">
        <v>6076</v>
      </c>
      <c r="G4158" s="1" t="s">
        <v>9391</v>
      </c>
      <c r="H4158">
        <v>1994</v>
      </c>
      <c r="I4158">
        <v>1996</v>
      </c>
      <c r="J4158">
        <f t="shared" si="128"/>
        <v>3</v>
      </c>
      <c r="K4158" s="1" t="s">
        <v>6076</v>
      </c>
      <c r="L4158" s="1" t="s">
        <v>6076</v>
      </c>
      <c r="M4158">
        <f t="shared" si="129"/>
        <v>30</v>
      </c>
      <c r="N4158" t="s">
        <v>640</v>
      </c>
    </row>
    <row r="4159" spans="1:14" x14ac:dyDescent="0.3">
      <c r="A4159" s="1" t="s">
        <v>9394</v>
      </c>
      <c r="B4159" s="1" t="s">
        <v>810</v>
      </c>
      <c r="C4159" s="1" t="s">
        <v>9395</v>
      </c>
      <c r="D4159" s="1" t="s">
        <v>746</v>
      </c>
      <c r="E4159" s="1" t="s">
        <v>6076</v>
      </c>
      <c r="F4159" s="1" t="s">
        <v>6076</v>
      </c>
      <c r="G4159" s="1" t="s">
        <v>9391</v>
      </c>
      <c r="H4159">
        <v>1994</v>
      </c>
      <c r="I4159">
        <v>1996</v>
      </c>
      <c r="J4159">
        <f t="shared" si="128"/>
        <v>3</v>
      </c>
      <c r="K4159" s="1" t="s">
        <v>6076</v>
      </c>
      <c r="L4159" s="1" t="s">
        <v>6076</v>
      </c>
      <c r="M4159">
        <f t="shared" si="129"/>
        <v>30</v>
      </c>
      <c r="N4159" t="s">
        <v>640</v>
      </c>
    </row>
    <row r="4160" spans="1:14" x14ac:dyDescent="0.3">
      <c r="A4160" s="1" t="s">
        <v>9396</v>
      </c>
      <c r="B4160" s="1" t="s">
        <v>810</v>
      </c>
      <c r="C4160" s="1" t="s">
        <v>9397</v>
      </c>
      <c r="D4160" s="1" t="s">
        <v>746</v>
      </c>
      <c r="E4160" s="1" t="s">
        <v>6076</v>
      </c>
      <c r="F4160" s="1" t="s">
        <v>6076</v>
      </c>
      <c r="G4160" s="1" t="s">
        <v>9391</v>
      </c>
      <c r="H4160">
        <v>1994</v>
      </c>
      <c r="I4160">
        <v>1996</v>
      </c>
      <c r="J4160">
        <f t="shared" si="128"/>
        <v>3</v>
      </c>
      <c r="K4160" s="1" t="s">
        <v>6076</v>
      </c>
      <c r="L4160" s="1" t="s">
        <v>6076</v>
      </c>
      <c r="M4160">
        <f t="shared" si="129"/>
        <v>30</v>
      </c>
      <c r="N4160" t="s">
        <v>640</v>
      </c>
    </row>
    <row r="4161" spans="1:14" hidden="1" x14ac:dyDescent="0.3">
      <c r="A4161" s="1" t="s">
        <v>2674</v>
      </c>
      <c r="B4161" s="1" t="s">
        <v>810</v>
      </c>
      <c r="C4161" s="1" t="s">
        <v>2675</v>
      </c>
      <c r="D4161" s="1" t="s">
        <v>746</v>
      </c>
      <c r="E4161" s="1" t="s">
        <v>747</v>
      </c>
      <c r="F4161" s="1" t="s">
        <v>748</v>
      </c>
      <c r="G4161" s="1" t="s">
        <v>2676</v>
      </c>
      <c r="H4161">
        <v>2018</v>
      </c>
      <c r="I4161">
        <v>2022</v>
      </c>
      <c r="J4161">
        <f t="shared" si="128"/>
        <v>5</v>
      </c>
      <c r="K4161" s="1" t="s">
        <v>741</v>
      </c>
      <c r="L4161" s="1" t="s">
        <v>798</v>
      </c>
      <c r="M4161">
        <f t="shared" si="129"/>
        <v>4</v>
      </c>
      <c r="N4161" t="s">
        <v>650</v>
      </c>
    </row>
    <row r="4162" spans="1:14" hidden="1" x14ac:dyDescent="0.3">
      <c r="A4162" s="1" t="s">
        <v>2677</v>
      </c>
      <c r="B4162" s="1" t="s">
        <v>810</v>
      </c>
      <c r="C4162" s="1" t="s">
        <v>2678</v>
      </c>
      <c r="D4162" s="1" t="s">
        <v>746</v>
      </c>
      <c r="E4162" s="1" t="s">
        <v>747</v>
      </c>
      <c r="F4162" s="1" t="s">
        <v>748</v>
      </c>
      <c r="G4162" s="1" t="s">
        <v>2676</v>
      </c>
      <c r="H4162">
        <v>2003</v>
      </c>
      <c r="I4162">
        <v>2003</v>
      </c>
      <c r="J4162">
        <f t="shared" si="128"/>
        <v>1</v>
      </c>
      <c r="K4162" s="1" t="s">
        <v>741</v>
      </c>
      <c r="L4162" s="1" t="s">
        <v>666</v>
      </c>
      <c r="M4162">
        <f t="shared" si="129"/>
        <v>23</v>
      </c>
      <c r="N4162" t="s">
        <v>640</v>
      </c>
    </row>
    <row r="4163" spans="1:14" hidden="1" x14ac:dyDescent="0.3">
      <c r="A4163" t="s">
        <v>12711</v>
      </c>
      <c r="B4163" t="s">
        <v>810</v>
      </c>
      <c r="C4163" t="s">
        <v>12712</v>
      </c>
      <c r="E4163" s="1" t="e">
        <v>#N/A</v>
      </c>
      <c r="F4163" s="1" t="e">
        <v>#N/A</v>
      </c>
      <c r="G4163" s="1" t="s">
        <v>12710</v>
      </c>
      <c r="H4163">
        <v>2023</v>
      </c>
      <c r="I4163">
        <v>2026</v>
      </c>
      <c r="J4163">
        <f t="shared" si="128"/>
        <v>4</v>
      </c>
      <c r="K4163" s="1" t="s">
        <v>741</v>
      </c>
      <c r="L4163" s="1" t="s">
        <v>666</v>
      </c>
      <c r="M4163">
        <f t="shared" si="129"/>
        <v>0</v>
      </c>
    </row>
    <row r="4164" spans="1:14" hidden="1" x14ac:dyDescent="0.3">
      <c r="A4164" t="s">
        <v>12713</v>
      </c>
      <c r="B4164" t="s">
        <v>810</v>
      </c>
      <c r="C4164" t="s">
        <v>12714</v>
      </c>
      <c r="E4164" s="1" t="e">
        <v>#N/A</v>
      </c>
      <c r="F4164" s="1" t="e">
        <v>#N/A</v>
      </c>
      <c r="G4164" s="1" t="s">
        <v>12710</v>
      </c>
      <c r="H4164">
        <v>2023</v>
      </c>
      <c r="I4164">
        <v>2026</v>
      </c>
      <c r="J4164">
        <f t="shared" si="128"/>
        <v>4</v>
      </c>
      <c r="K4164" s="1" t="s">
        <v>741</v>
      </c>
      <c r="L4164" s="1" t="s">
        <v>666</v>
      </c>
      <c r="M4164">
        <f t="shared" si="129"/>
        <v>0</v>
      </c>
    </row>
    <row r="4165" spans="1:14" hidden="1" x14ac:dyDescent="0.3">
      <c r="A4165" s="1" t="s">
        <v>2679</v>
      </c>
      <c r="B4165" s="1" t="s">
        <v>810</v>
      </c>
      <c r="C4165" s="1" t="s">
        <v>2680</v>
      </c>
      <c r="D4165" s="1" t="s">
        <v>746</v>
      </c>
      <c r="E4165" s="1" t="s">
        <v>747</v>
      </c>
      <c r="F4165" s="1" t="s">
        <v>748</v>
      </c>
      <c r="G4165" s="1" t="s">
        <v>2676</v>
      </c>
      <c r="H4165">
        <v>2010</v>
      </c>
      <c r="I4165">
        <v>2013</v>
      </c>
      <c r="J4165">
        <f t="shared" si="128"/>
        <v>4</v>
      </c>
      <c r="K4165" s="1" t="s">
        <v>741</v>
      </c>
      <c r="L4165" s="1" t="s">
        <v>666</v>
      </c>
      <c r="M4165">
        <f t="shared" si="129"/>
        <v>13</v>
      </c>
      <c r="N4165" t="s">
        <v>650</v>
      </c>
    </row>
    <row r="4166" spans="1:14" hidden="1" x14ac:dyDescent="0.3">
      <c r="A4166" s="1" t="s">
        <v>2681</v>
      </c>
      <c r="B4166" s="1" t="s">
        <v>810</v>
      </c>
      <c r="C4166" s="1" t="s">
        <v>2682</v>
      </c>
      <c r="D4166" s="1" t="s">
        <v>746</v>
      </c>
      <c r="E4166" s="1" t="s">
        <v>747</v>
      </c>
      <c r="F4166" s="1" t="s">
        <v>748</v>
      </c>
      <c r="G4166" s="1" t="s">
        <v>2676</v>
      </c>
      <c r="H4166">
        <v>2003</v>
      </c>
      <c r="I4166">
        <v>2005</v>
      </c>
      <c r="J4166">
        <f t="shared" ref="J4166:J4229" si="130">1+(I4166-H4166)</f>
        <v>3</v>
      </c>
      <c r="K4166" s="1" t="s">
        <v>741</v>
      </c>
      <c r="L4166" s="1" t="s">
        <v>666</v>
      </c>
      <c r="M4166">
        <f t="shared" ref="M4166:M4229" si="131">IF(I4166=0,0,$B$2-I4166)</f>
        <v>21</v>
      </c>
      <c r="N4166" t="s">
        <v>640</v>
      </c>
    </row>
    <row r="4167" spans="1:14" hidden="1" x14ac:dyDescent="0.3">
      <c r="A4167" s="1" t="s">
        <v>2683</v>
      </c>
      <c r="B4167" s="1" t="s">
        <v>810</v>
      </c>
      <c r="C4167" s="1" t="s">
        <v>2684</v>
      </c>
      <c r="D4167" s="1" t="s">
        <v>746</v>
      </c>
      <c r="E4167" s="1" t="s">
        <v>747</v>
      </c>
      <c r="F4167" s="1" t="s">
        <v>748</v>
      </c>
      <c r="G4167" s="1" t="s">
        <v>2676</v>
      </c>
      <c r="H4167">
        <v>2005</v>
      </c>
      <c r="I4167">
        <v>2015</v>
      </c>
      <c r="J4167">
        <f t="shared" si="130"/>
        <v>11</v>
      </c>
      <c r="K4167" s="1" t="s">
        <v>741</v>
      </c>
      <c r="L4167" s="1" t="s">
        <v>666</v>
      </c>
      <c r="M4167">
        <f t="shared" si="131"/>
        <v>11</v>
      </c>
      <c r="N4167" t="s">
        <v>650</v>
      </c>
    </row>
    <row r="4168" spans="1:14" hidden="1" x14ac:dyDescent="0.3">
      <c r="A4168" s="1" t="s">
        <v>2685</v>
      </c>
      <c r="B4168" s="1" t="s">
        <v>810</v>
      </c>
      <c r="C4168" s="1" t="s">
        <v>2686</v>
      </c>
      <c r="D4168" s="1" t="s">
        <v>746</v>
      </c>
      <c r="E4168" s="1" t="s">
        <v>747</v>
      </c>
      <c r="F4168" s="1" t="s">
        <v>748</v>
      </c>
      <c r="G4168" s="1" t="s">
        <v>2676</v>
      </c>
      <c r="H4168">
        <v>2018</v>
      </c>
      <c r="I4168">
        <v>2022</v>
      </c>
      <c r="J4168">
        <f t="shared" si="130"/>
        <v>5</v>
      </c>
      <c r="K4168" s="1" t="s">
        <v>741</v>
      </c>
      <c r="L4168" s="1" t="s">
        <v>798</v>
      </c>
      <c r="M4168">
        <f t="shared" si="131"/>
        <v>4</v>
      </c>
      <c r="N4168" t="s">
        <v>650</v>
      </c>
    </row>
    <row r="4169" spans="1:14" hidden="1" x14ac:dyDescent="0.3">
      <c r="A4169" s="1" t="s">
        <v>2687</v>
      </c>
      <c r="B4169" s="1" t="s">
        <v>810</v>
      </c>
      <c r="C4169" s="1" t="s">
        <v>2688</v>
      </c>
      <c r="D4169" s="1" t="s">
        <v>746</v>
      </c>
      <c r="E4169" s="1" t="s">
        <v>747</v>
      </c>
      <c r="F4169" s="1" t="s">
        <v>748</v>
      </c>
      <c r="G4169" s="1" t="s">
        <v>2676</v>
      </c>
      <c r="H4169">
        <v>2019</v>
      </c>
      <c r="I4169">
        <v>2022</v>
      </c>
      <c r="J4169">
        <f t="shared" si="130"/>
        <v>4</v>
      </c>
      <c r="K4169" s="1" t="s">
        <v>741</v>
      </c>
      <c r="L4169" s="1" t="s">
        <v>798</v>
      </c>
      <c r="M4169">
        <f t="shared" si="131"/>
        <v>4</v>
      </c>
      <c r="N4169" t="s">
        <v>650</v>
      </c>
    </row>
    <row r="4170" spans="1:14" hidden="1" x14ac:dyDescent="0.3">
      <c r="A4170" s="1" t="s">
        <v>2689</v>
      </c>
      <c r="B4170" s="1" t="s">
        <v>810</v>
      </c>
      <c r="C4170" s="1" t="s">
        <v>2690</v>
      </c>
      <c r="D4170" s="1" t="s">
        <v>746</v>
      </c>
      <c r="E4170" s="1" t="s">
        <v>747</v>
      </c>
      <c r="F4170" s="1" t="s">
        <v>748</v>
      </c>
      <c r="G4170" s="1" t="s">
        <v>2676</v>
      </c>
      <c r="H4170">
        <v>2003</v>
      </c>
      <c r="I4170">
        <v>2004</v>
      </c>
      <c r="J4170">
        <f t="shared" si="130"/>
        <v>2</v>
      </c>
      <c r="K4170" s="1" t="s">
        <v>741</v>
      </c>
      <c r="L4170" s="1" t="s">
        <v>666</v>
      </c>
      <c r="M4170">
        <f t="shared" si="131"/>
        <v>22</v>
      </c>
      <c r="N4170" t="s">
        <v>640</v>
      </c>
    </row>
    <row r="4171" spans="1:14" hidden="1" x14ac:dyDescent="0.3">
      <c r="A4171" s="1" t="s">
        <v>2691</v>
      </c>
      <c r="B4171" s="1" t="s">
        <v>810</v>
      </c>
      <c r="C4171" s="1" t="s">
        <v>2692</v>
      </c>
      <c r="D4171" s="1" t="s">
        <v>746</v>
      </c>
      <c r="E4171" s="1" t="s">
        <v>747</v>
      </c>
      <c r="F4171" s="1" t="s">
        <v>748</v>
      </c>
      <c r="G4171" s="1" t="s">
        <v>2676</v>
      </c>
      <c r="H4171">
        <v>2009</v>
      </c>
      <c r="I4171">
        <v>2015</v>
      </c>
      <c r="J4171">
        <f t="shared" si="130"/>
        <v>7</v>
      </c>
      <c r="K4171" s="1" t="s">
        <v>741</v>
      </c>
      <c r="L4171" s="1" t="s">
        <v>666</v>
      </c>
      <c r="M4171">
        <f t="shared" si="131"/>
        <v>11</v>
      </c>
      <c r="N4171" t="s">
        <v>650</v>
      </c>
    </row>
    <row r="4172" spans="1:14" hidden="1" x14ac:dyDescent="0.3">
      <c r="A4172" s="1" t="s">
        <v>2693</v>
      </c>
      <c r="B4172" s="1" t="s">
        <v>810</v>
      </c>
      <c r="C4172" s="1" t="s">
        <v>2694</v>
      </c>
      <c r="D4172" s="1" t="s">
        <v>746</v>
      </c>
      <c r="E4172" s="1" t="s">
        <v>747</v>
      </c>
      <c r="F4172" s="1" t="s">
        <v>748</v>
      </c>
      <c r="G4172" s="1" t="s">
        <v>2676</v>
      </c>
      <c r="H4172">
        <v>2001</v>
      </c>
      <c r="I4172">
        <v>2001</v>
      </c>
      <c r="J4172">
        <f t="shared" si="130"/>
        <v>1</v>
      </c>
      <c r="K4172" s="1" t="s">
        <v>741</v>
      </c>
      <c r="L4172" s="1" t="s">
        <v>666</v>
      </c>
      <c r="M4172">
        <f t="shared" si="131"/>
        <v>25</v>
      </c>
      <c r="N4172" t="s">
        <v>640</v>
      </c>
    </row>
    <row r="4173" spans="1:14" hidden="1" x14ac:dyDescent="0.3">
      <c r="A4173" s="1" t="s">
        <v>2695</v>
      </c>
      <c r="B4173" s="1" t="s">
        <v>810</v>
      </c>
      <c r="C4173" s="1" t="s">
        <v>2696</v>
      </c>
      <c r="D4173" s="1" t="s">
        <v>746</v>
      </c>
      <c r="E4173" s="1" t="s">
        <v>747</v>
      </c>
      <c r="F4173" s="1" t="s">
        <v>748</v>
      </c>
      <c r="G4173" s="1" t="s">
        <v>2676</v>
      </c>
      <c r="H4173">
        <v>1997</v>
      </c>
      <c r="I4173">
        <v>2002</v>
      </c>
      <c r="J4173">
        <f t="shared" si="130"/>
        <v>6</v>
      </c>
      <c r="K4173" s="1" t="s">
        <v>741</v>
      </c>
      <c r="L4173" s="1" t="s">
        <v>666</v>
      </c>
      <c r="M4173">
        <f t="shared" si="131"/>
        <v>24</v>
      </c>
      <c r="N4173" t="s">
        <v>640</v>
      </c>
    </row>
    <row r="4174" spans="1:14" hidden="1" x14ac:dyDescent="0.3">
      <c r="A4174" s="1" t="s">
        <v>2697</v>
      </c>
      <c r="B4174" s="1" t="s">
        <v>810</v>
      </c>
      <c r="C4174" s="1" t="s">
        <v>2698</v>
      </c>
      <c r="D4174" s="1" t="s">
        <v>746</v>
      </c>
      <c r="E4174" s="1" t="s">
        <v>747</v>
      </c>
      <c r="F4174" s="1" t="s">
        <v>748</v>
      </c>
      <c r="G4174" s="1" t="s">
        <v>2676</v>
      </c>
      <c r="H4174">
        <v>2018</v>
      </c>
      <c r="I4174">
        <v>2022</v>
      </c>
      <c r="J4174">
        <f t="shared" si="130"/>
        <v>5</v>
      </c>
      <c r="K4174" s="1" t="s">
        <v>741</v>
      </c>
      <c r="L4174" s="1" t="s">
        <v>798</v>
      </c>
      <c r="M4174">
        <f t="shared" si="131"/>
        <v>4</v>
      </c>
      <c r="N4174" t="s">
        <v>650</v>
      </c>
    </row>
    <row r="4175" spans="1:14" hidden="1" x14ac:dyDescent="0.3">
      <c r="A4175" t="s">
        <v>12716</v>
      </c>
      <c r="B4175" t="s">
        <v>810</v>
      </c>
      <c r="C4175" t="s">
        <v>12717</v>
      </c>
      <c r="E4175" s="1" t="e">
        <v>#N/A</v>
      </c>
      <c r="F4175" s="1" t="e">
        <v>#N/A</v>
      </c>
      <c r="G4175" s="1" t="s">
        <v>12710</v>
      </c>
      <c r="H4175">
        <v>2023</v>
      </c>
      <c r="I4175">
        <v>2026</v>
      </c>
      <c r="J4175">
        <f t="shared" si="130"/>
        <v>4</v>
      </c>
      <c r="K4175" s="1" t="s">
        <v>741</v>
      </c>
      <c r="L4175" s="1" t="s">
        <v>666</v>
      </c>
      <c r="M4175">
        <f t="shared" si="131"/>
        <v>0</v>
      </c>
    </row>
    <row r="4176" spans="1:14" hidden="1" x14ac:dyDescent="0.3">
      <c r="A4176" s="1" t="s">
        <v>2699</v>
      </c>
      <c r="B4176" s="1" t="s">
        <v>810</v>
      </c>
      <c r="C4176" s="1" t="s">
        <v>2700</v>
      </c>
      <c r="D4176" s="1" t="s">
        <v>746</v>
      </c>
      <c r="E4176" s="1" t="s">
        <v>747</v>
      </c>
      <c r="F4176" s="1" t="s">
        <v>748</v>
      </c>
      <c r="G4176" s="1" t="s">
        <v>2676</v>
      </c>
      <c r="H4176">
        <v>2009</v>
      </c>
      <c r="I4176">
        <v>2012</v>
      </c>
      <c r="J4176">
        <f t="shared" si="130"/>
        <v>4</v>
      </c>
      <c r="K4176" s="1" t="s">
        <v>741</v>
      </c>
      <c r="L4176" s="1" t="s">
        <v>666</v>
      </c>
      <c r="M4176">
        <f t="shared" si="131"/>
        <v>14</v>
      </c>
      <c r="N4176" t="s">
        <v>650</v>
      </c>
    </row>
    <row r="4177" spans="1:14" hidden="1" x14ac:dyDescent="0.3">
      <c r="A4177" s="1" t="s">
        <v>2701</v>
      </c>
      <c r="B4177" s="1" t="s">
        <v>810</v>
      </c>
      <c r="C4177" s="1" t="s">
        <v>2702</v>
      </c>
      <c r="D4177" s="1" t="s">
        <v>746</v>
      </c>
      <c r="E4177" s="1" t="s">
        <v>747</v>
      </c>
      <c r="F4177" s="1" t="s">
        <v>748</v>
      </c>
      <c r="G4177" s="1" t="s">
        <v>2676</v>
      </c>
      <c r="H4177">
        <v>2007</v>
      </c>
      <c r="I4177">
        <v>2007</v>
      </c>
      <c r="J4177">
        <f t="shared" si="130"/>
        <v>1</v>
      </c>
      <c r="K4177" s="1" t="s">
        <v>741</v>
      </c>
      <c r="L4177" s="1" t="s">
        <v>666</v>
      </c>
      <c r="M4177">
        <f t="shared" si="131"/>
        <v>19</v>
      </c>
      <c r="N4177" t="s">
        <v>640</v>
      </c>
    </row>
    <row r="4178" spans="1:14" hidden="1" x14ac:dyDescent="0.3">
      <c r="A4178" s="1" t="s">
        <v>2703</v>
      </c>
      <c r="B4178" s="1" t="s">
        <v>810</v>
      </c>
      <c r="C4178" s="1" t="s">
        <v>2704</v>
      </c>
      <c r="D4178" s="1" t="s">
        <v>746</v>
      </c>
      <c r="E4178" s="1" t="s">
        <v>747</v>
      </c>
      <c r="F4178" s="1" t="s">
        <v>748</v>
      </c>
      <c r="G4178" s="1" t="s">
        <v>2676</v>
      </c>
      <c r="H4178">
        <v>2020</v>
      </c>
      <c r="I4178">
        <v>2022</v>
      </c>
      <c r="J4178">
        <f t="shared" si="130"/>
        <v>3</v>
      </c>
      <c r="K4178" s="1" t="s">
        <v>741</v>
      </c>
      <c r="L4178" s="1" t="s">
        <v>798</v>
      </c>
      <c r="M4178">
        <f t="shared" si="131"/>
        <v>4</v>
      </c>
      <c r="N4178" t="s">
        <v>650</v>
      </c>
    </row>
    <row r="4179" spans="1:14" hidden="1" x14ac:dyDescent="0.3">
      <c r="A4179" s="1" t="s">
        <v>2705</v>
      </c>
      <c r="B4179" s="1" t="s">
        <v>810</v>
      </c>
      <c r="C4179" s="1" t="s">
        <v>2706</v>
      </c>
      <c r="D4179" s="1" t="s">
        <v>746</v>
      </c>
      <c r="E4179" s="1" t="s">
        <v>747</v>
      </c>
      <c r="F4179" s="1" t="s">
        <v>748</v>
      </c>
      <c r="G4179" s="1" t="s">
        <v>2676</v>
      </c>
      <c r="H4179">
        <v>2018</v>
      </c>
      <c r="I4179">
        <v>2022</v>
      </c>
      <c r="J4179">
        <f t="shared" si="130"/>
        <v>5</v>
      </c>
      <c r="K4179" s="1" t="s">
        <v>741</v>
      </c>
      <c r="L4179" s="1" t="s">
        <v>798</v>
      </c>
      <c r="M4179">
        <f t="shared" si="131"/>
        <v>4</v>
      </c>
      <c r="N4179" t="s">
        <v>650</v>
      </c>
    </row>
    <row r="4180" spans="1:14" hidden="1" x14ac:dyDescent="0.3">
      <c r="A4180" t="s">
        <v>12718</v>
      </c>
      <c r="B4180" t="s">
        <v>810</v>
      </c>
      <c r="C4180" t="s">
        <v>12719</v>
      </c>
      <c r="E4180" s="1" t="e">
        <v>#N/A</v>
      </c>
      <c r="F4180" s="1" t="e">
        <v>#N/A</v>
      </c>
      <c r="G4180" s="1" t="s">
        <v>12710</v>
      </c>
      <c r="H4180">
        <v>2023</v>
      </c>
      <c r="I4180">
        <v>2026</v>
      </c>
      <c r="J4180">
        <f t="shared" si="130"/>
        <v>4</v>
      </c>
      <c r="K4180" s="1" t="s">
        <v>741</v>
      </c>
      <c r="L4180" s="1" t="s">
        <v>666</v>
      </c>
      <c r="M4180">
        <f t="shared" si="131"/>
        <v>0</v>
      </c>
    </row>
    <row r="4181" spans="1:14" hidden="1" x14ac:dyDescent="0.3">
      <c r="A4181" s="1" t="s">
        <v>2707</v>
      </c>
      <c r="B4181" s="1" t="s">
        <v>810</v>
      </c>
      <c r="C4181" s="1" t="s">
        <v>2708</v>
      </c>
      <c r="D4181" s="1" t="s">
        <v>746</v>
      </c>
      <c r="E4181" s="1" t="s">
        <v>747</v>
      </c>
      <c r="F4181" s="1" t="s">
        <v>748</v>
      </c>
      <c r="G4181" s="1" t="s">
        <v>2676</v>
      </c>
      <c r="H4181">
        <v>2010</v>
      </c>
      <c r="I4181">
        <v>2015</v>
      </c>
      <c r="J4181">
        <f t="shared" si="130"/>
        <v>6</v>
      </c>
      <c r="K4181" s="1" t="s">
        <v>741</v>
      </c>
      <c r="L4181" s="1" t="s">
        <v>666</v>
      </c>
      <c r="M4181">
        <f t="shared" si="131"/>
        <v>11</v>
      </c>
      <c r="N4181" t="s">
        <v>650</v>
      </c>
    </row>
    <row r="4182" spans="1:14" hidden="1" x14ac:dyDescent="0.3">
      <c r="A4182" s="1" t="s">
        <v>2709</v>
      </c>
      <c r="B4182" s="1" t="s">
        <v>810</v>
      </c>
      <c r="C4182" s="1" t="s">
        <v>2710</v>
      </c>
      <c r="D4182" s="1" t="s">
        <v>746</v>
      </c>
      <c r="E4182" s="1" t="s">
        <v>747</v>
      </c>
      <c r="F4182" s="1" t="s">
        <v>748</v>
      </c>
      <c r="G4182" s="1" t="s">
        <v>2676</v>
      </c>
      <c r="H4182">
        <v>2003</v>
      </c>
      <c r="I4182">
        <v>2003</v>
      </c>
      <c r="J4182">
        <f t="shared" si="130"/>
        <v>1</v>
      </c>
      <c r="K4182" s="1" t="s">
        <v>741</v>
      </c>
      <c r="L4182" s="1" t="s">
        <v>666</v>
      </c>
      <c r="M4182">
        <f t="shared" si="131"/>
        <v>23</v>
      </c>
      <c r="N4182" t="s">
        <v>640</v>
      </c>
    </row>
    <row r="4183" spans="1:14" hidden="1" x14ac:dyDescent="0.3">
      <c r="A4183" t="s">
        <v>12720</v>
      </c>
      <c r="B4183" t="s">
        <v>810</v>
      </c>
      <c r="C4183" t="s">
        <v>12721</v>
      </c>
      <c r="E4183" s="1" t="e">
        <v>#N/A</v>
      </c>
      <c r="F4183" s="1" t="e">
        <v>#N/A</v>
      </c>
      <c r="G4183" s="1" t="s">
        <v>12710</v>
      </c>
      <c r="H4183">
        <v>2025</v>
      </c>
      <c r="I4183">
        <v>2026</v>
      </c>
      <c r="J4183">
        <f t="shared" si="130"/>
        <v>2</v>
      </c>
      <c r="K4183" s="1" t="s">
        <v>741</v>
      </c>
      <c r="L4183" s="1" t="s">
        <v>666</v>
      </c>
      <c r="M4183">
        <f t="shared" si="131"/>
        <v>0</v>
      </c>
    </row>
    <row r="4184" spans="1:14" hidden="1" x14ac:dyDescent="0.3">
      <c r="A4184" s="1" t="s">
        <v>2711</v>
      </c>
      <c r="B4184" s="1" t="s">
        <v>810</v>
      </c>
      <c r="C4184" s="1" t="s">
        <v>2712</v>
      </c>
      <c r="D4184" s="1" t="s">
        <v>738</v>
      </c>
      <c r="E4184" s="1" t="s">
        <v>739</v>
      </c>
      <c r="F4184" s="1" t="s">
        <v>781</v>
      </c>
      <c r="G4184" s="1" t="s">
        <v>2676</v>
      </c>
      <c r="H4184">
        <v>2005</v>
      </c>
      <c r="I4184">
        <v>2015</v>
      </c>
      <c r="J4184">
        <f t="shared" si="130"/>
        <v>11</v>
      </c>
      <c r="K4184" s="1" t="s">
        <v>741</v>
      </c>
      <c r="L4184" s="1" t="s">
        <v>666</v>
      </c>
      <c r="M4184">
        <f t="shared" si="131"/>
        <v>11</v>
      </c>
      <c r="N4184" t="s">
        <v>650</v>
      </c>
    </row>
    <row r="4185" spans="1:14" hidden="1" x14ac:dyDescent="0.3">
      <c r="A4185" s="1" t="s">
        <v>2713</v>
      </c>
      <c r="B4185" s="1" t="s">
        <v>810</v>
      </c>
      <c r="C4185" s="1" t="s">
        <v>2714</v>
      </c>
      <c r="D4185" s="1" t="s">
        <v>738</v>
      </c>
      <c r="E4185" s="1" t="s">
        <v>739</v>
      </c>
      <c r="F4185" s="1" t="s">
        <v>781</v>
      </c>
      <c r="G4185" s="1" t="s">
        <v>2676</v>
      </c>
      <c r="H4185">
        <v>2003</v>
      </c>
      <c r="I4185">
        <v>2015</v>
      </c>
      <c r="J4185">
        <f t="shared" si="130"/>
        <v>13</v>
      </c>
      <c r="K4185" s="1" t="s">
        <v>741</v>
      </c>
      <c r="L4185" s="1" t="s">
        <v>666</v>
      </c>
      <c r="M4185">
        <f t="shared" si="131"/>
        <v>11</v>
      </c>
      <c r="N4185" t="s">
        <v>650</v>
      </c>
    </row>
    <row r="4186" spans="1:14" hidden="1" x14ac:dyDescent="0.3">
      <c r="A4186" s="1" t="s">
        <v>2715</v>
      </c>
      <c r="B4186" s="1" t="s">
        <v>810</v>
      </c>
      <c r="C4186" s="1" t="s">
        <v>2716</v>
      </c>
      <c r="D4186" s="1" t="s">
        <v>738</v>
      </c>
      <c r="E4186" s="1" t="s">
        <v>739</v>
      </c>
      <c r="F4186" s="1" t="s">
        <v>781</v>
      </c>
      <c r="G4186" s="1" t="s">
        <v>2676</v>
      </c>
      <c r="H4186">
        <v>2010</v>
      </c>
      <c r="I4186">
        <v>2015</v>
      </c>
      <c r="J4186">
        <f t="shared" si="130"/>
        <v>6</v>
      </c>
      <c r="K4186" s="1" t="s">
        <v>741</v>
      </c>
      <c r="L4186" s="1" t="s">
        <v>666</v>
      </c>
      <c r="M4186">
        <f t="shared" si="131"/>
        <v>11</v>
      </c>
      <c r="N4186" t="s">
        <v>650</v>
      </c>
    </row>
    <row r="4187" spans="1:14" hidden="1" x14ac:dyDescent="0.3">
      <c r="A4187" s="1" t="s">
        <v>2717</v>
      </c>
      <c r="B4187" s="1" t="s">
        <v>810</v>
      </c>
      <c r="C4187" s="1" t="s">
        <v>2718</v>
      </c>
      <c r="D4187" s="1" t="s">
        <v>738</v>
      </c>
      <c r="E4187" s="1" t="s">
        <v>739</v>
      </c>
      <c r="F4187" s="1" t="s">
        <v>781</v>
      </c>
      <c r="G4187" s="1" t="s">
        <v>2676</v>
      </c>
      <c r="H4187">
        <v>2003</v>
      </c>
      <c r="I4187">
        <v>2005</v>
      </c>
      <c r="J4187">
        <f t="shared" si="130"/>
        <v>3</v>
      </c>
      <c r="K4187" s="1" t="s">
        <v>741</v>
      </c>
      <c r="L4187" s="1" t="s">
        <v>666</v>
      </c>
      <c r="M4187">
        <f t="shared" si="131"/>
        <v>21</v>
      </c>
      <c r="N4187" t="s">
        <v>640</v>
      </c>
    </row>
    <row r="4188" spans="1:14" hidden="1" x14ac:dyDescent="0.3">
      <c r="A4188" s="1" t="s">
        <v>2719</v>
      </c>
      <c r="B4188" s="1" t="s">
        <v>810</v>
      </c>
      <c r="C4188" s="1" t="s">
        <v>2720</v>
      </c>
      <c r="D4188" s="1" t="s">
        <v>738</v>
      </c>
      <c r="E4188" s="1" t="s">
        <v>739</v>
      </c>
      <c r="F4188" s="1" t="s">
        <v>781</v>
      </c>
      <c r="G4188" s="1" t="s">
        <v>2676</v>
      </c>
      <c r="H4188">
        <v>2005</v>
      </c>
      <c r="I4188">
        <v>2015</v>
      </c>
      <c r="J4188">
        <f t="shared" si="130"/>
        <v>11</v>
      </c>
      <c r="K4188" s="1" t="s">
        <v>741</v>
      </c>
      <c r="L4188" s="1" t="s">
        <v>666</v>
      </c>
      <c r="M4188">
        <f t="shared" si="131"/>
        <v>11</v>
      </c>
      <c r="N4188" t="s">
        <v>650</v>
      </c>
    </row>
    <row r="4189" spans="1:14" hidden="1" x14ac:dyDescent="0.3">
      <c r="A4189" s="1" t="s">
        <v>2721</v>
      </c>
      <c r="B4189" s="1" t="s">
        <v>810</v>
      </c>
      <c r="C4189" s="1" t="s">
        <v>2722</v>
      </c>
      <c r="D4189" s="1" t="s">
        <v>738</v>
      </c>
      <c r="E4189" s="1" t="s">
        <v>739</v>
      </c>
      <c r="F4189" s="1" t="s">
        <v>781</v>
      </c>
      <c r="G4189" s="1" t="s">
        <v>2676</v>
      </c>
      <c r="H4189">
        <v>2005</v>
      </c>
      <c r="I4189">
        <v>2005</v>
      </c>
      <c r="J4189">
        <f t="shared" si="130"/>
        <v>1</v>
      </c>
      <c r="K4189" s="1" t="s">
        <v>741</v>
      </c>
      <c r="L4189" s="1" t="s">
        <v>666</v>
      </c>
      <c r="M4189">
        <f t="shared" si="131"/>
        <v>21</v>
      </c>
      <c r="N4189" t="s">
        <v>640</v>
      </c>
    </row>
    <row r="4190" spans="1:14" hidden="1" x14ac:dyDescent="0.3">
      <c r="A4190" s="1" t="s">
        <v>2723</v>
      </c>
      <c r="B4190" s="1" t="s">
        <v>810</v>
      </c>
      <c r="C4190" s="1" t="s">
        <v>2724</v>
      </c>
      <c r="D4190" s="1" t="s">
        <v>738</v>
      </c>
      <c r="E4190" s="1" t="s">
        <v>739</v>
      </c>
      <c r="F4190" s="1" t="s">
        <v>781</v>
      </c>
      <c r="G4190" s="1" t="s">
        <v>2676</v>
      </c>
      <c r="H4190">
        <v>2010</v>
      </c>
      <c r="I4190">
        <v>2015</v>
      </c>
      <c r="J4190">
        <f t="shared" si="130"/>
        <v>6</v>
      </c>
      <c r="K4190" s="1" t="s">
        <v>741</v>
      </c>
      <c r="L4190" s="1" t="s">
        <v>666</v>
      </c>
      <c r="M4190">
        <f t="shared" si="131"/>
        <v>11</v>
      </c>
      <c r="N4190" t="s">
        <v>650</v>
      </c>
    </row>
    <row r="4191" spans="1:14" hidden="1" x14ac:dyDescent="0.3">
      <c r="A4191" s="1" t="s">
        <v>2725</v>
      </c>
      <c r="B4191" s="1" t="s">
        <v>810</v>
      </c>
      <c r="C4191" s="1" t="s">
        <v>2726</v>
      </c>
      <c r="D4191" s="1" t="s">
        <v>746</v>
      </c>
      <c r="E4191" s="1" t="s">
        <v>747</v>
      </c>
      <c r="F4191" s="1" t="s">
        <v>748</v>
      </c>
      <c r="G4191" s="1" t="s">
        <v>2676</v>
      </c>
      <c r="H4191">
        <v>2019</v>
      </c>
      <c r="I4191">
        <v>2022</v>
      </c>
      <c r="J4191">
        <f t="shared" si="130"/>
        <v>4</v>
      </c>
      <c r="K4191" s="1" t="s">
        <v>741</v>
      </c>
      <c r="L4191" s="1" t="s">
        <v>798</v>
      </c>
      <c r="M4191">
        <f t="shared" si="131"/>
        <v>4</v>
      </c>
      <c r="N4191" t="s">
        <v>650</v>
      </c>
    </row>
    <row r="4192" spans="1:14" hidden="1" x14ac:dyDescent="0.3">
      <c r="A4192" s="1" t="s">
        <v>2727</v>
      </c>
      <c r="B4192" s="1" t="s">
        <v>810</v>
      </c>
      <c r="C4192" s="1" t="s">
        <v>2728</v>
      </c>
      <c r="D4192" s="1" t="s">
        <v>746</v>
      </c>
      <c r="E4192" s="1" t="s">
        <v>747</v>
      </c>
      <c r="F4192" s="1" t="s">
        <v>748</v>
      </c>
      <c r="G4192" s="1" t="s">
        <v>2676</v>
      </c>
      <c r="H4192">
        <v>2005</v>
      </c>
      <c r="I4192">
        <v>2015</v>
      </c>
      <c r="J4192">
        <f t="shared" si="130"/>
        <v>11</v>
      </c>
      <c r="K4192" s="1" t="s">
        <v>741</v>
      </c>
      <c r="L4192" s="1" t="s">
        <v>666</v>
      </c>
      <c r="M4192">
        <f t="shared" si="131"/>
        <v>11</v>
      </c>
      <c r="N4192" t="s">
        <v>650</v>
      </c>
    </row>
    <row r="4193" spans="1:14" hidden="1" x14ac:dyDescent="0.3">
      <c r="A4193" s="1" t="s">
        <v>2729</v>
      </c>
      <c r="B4193" s="1" t="s">
        <v>810</v>
      </c>
      <c r="C4193" s="1" t="s">
        <v>2730</v>
      </c>
      <c r="D4193" s="1" t="s">
        <v>746</v>
      </c>
      <c r="E4193" s="1" t="s">
        <v>747</v>
      </c>
      <c r="F4193" s="1" t="s">
        <v>748</v>
      </c>
      <c r="G4193" s="1" t="s">
        <v>2676</v>
      </c>
      <c r="H4193">
        <v>2012</v>
      </c>
      <c r="I4193">
        <v>2013</v>
      </c>
      <c r="J4193">
        <f t="shared" si="130"/>
        <v>2</v>
      </c>
      <c r="K4193" s="1" t="s">
        <v>741</v>
      </c>
      <c r="L4193" s="1" t="s">
        <v>666</v>
      </c>
      <c r="M4193">
        <f t="shared" si="131"/>
        <v>13</v>
      </c>
      <c r="N4193" t="s">
        <v>650</v>
      </c>
    </row>
    <row r="4194" spans="1:14" hidden="1" x14ac:dyDescent="0.3">
      <c r="A4194" s="1" t="s">
        <v>2731</v>
      </c>
      <c r="B4194" s="1" t="s">
        <v>810</v>
      </c>
      <c r="C4194" s="1" t="s">
        <v>2732</v>
      </c>
      <c r="D4194" s="1" t="s">
        <v>746</v>
      </c>
      <c r="E4194" s="1" t="s">
        <v>747</v>
      </c>
      <c r="F4194" s="1" t="s">
        <v>748</v>
      </c>
      <c r="G4194" s="1" t="s">
        <v>2676</v>
      </c>
      <c r="H4194">
        <v>2010</v>
      </c>
      <c r="I4194">
        <v>2015</v>
      </c>
      <c r="J4194">
        <f t="shared" si="130"/>
        <v>6</v>
      </c>
      <c r="K4194" s="1" t="s">
        <v>741</v>
      </c>
      <c r="L4194" s="1" t="s">
        <v>666</v>
      </c>
      <c r="M4194">
        <f t="shared" si="131"/>
        <v>11</v>
      </c>
      <c r="N4194" t="s">
        <v>650</v>
      </c>
    </row>
    <row r="4195" spans="1:14" hidden="1" x14ac:dyDescent="0.3">
      <c r="A4195" t="s">
        <v>12722</v>
      </c>
      <c r="B4195" t="s">
        <v>810</v>
      </c>
      <c r="C4195" t="s">
        <v>12723</v>
      </c>
      <c r="E4195" s="1" t="e">
        <v>#N/A</v>
      </c>
      <c r="F4195" s="1" t="e">
        <v>#N/A</v>
      </c>
      <c r="G4195" s="1" t="s">
        <v>12710</v>
      </c>
      <c r="H4195">
        <v>2023</v>
      </c>
      <c r="I4195">
        <v>2026</v>
      </c>
      <c r="J4195">
        <f t="shared" si="130"/>
        <v>4</v>
      </c>
      <c r="K4195" s="1" t="s">
        <v>741</v>
      </c>
      <c r="L4195" s="1" t="s">
        <v>666</v>
      </c>
      <c r="M4195">
        <f t="shared" si="131"/>
        <v>0</v>
      </c>
    </row>
    <row r="4196" spans="1:14" hidden="1" x14ac:dyDescent="0.3">
      <c r="A4196" t="s">
        <v>12724</v>
      </c>
      <c r="B4196" t="s">
        <v>810</v>
      </c>
      <c r="C4196" t="s">
        <v>12725</v>
      </c>
      <c r="E4196" s="1" t="e">
        <v>#N/A</v>
      </c>
      <c r="F4196" s="1" t="e">
        <v>#N/A</v>
      </c>
      <c r="G4196" s="1" t="s">
        <v>12710</v>
      </c>
      <c r="H4196">
        <v>2023</v>
      </c>
      <c r="I4196">
        <v>2023</v>
      </c>
      <c r="J4196">
        <f t="shared" si="130"/>
        <v>1</v>
      </c>
      <c r="K4196" s="1" t="s">
        <v>741</v>
      </c>
      <c r="L4196" s="1" t="s">
        <v>666</v>
      </c>
      <c r="M4196">
        <f t="shared" si="131"/>
        <v>3</v>
      </c>
    </row>
    <row r="4197" spans="1:14" hidden="1" x14ac:dyDescent="0.3">
      <c r="A4197" t="s">
        <v>12726</v>
      </c>
      <c r="B4197" t="s">
        <v>810</v>
      </c>
      <c r="C4197" t="s">
        <v>12727</v>
      </c>
      <c r="E4197" s="1" t="e">
        <v>#N/A</v>
      </c>
      <c r="F4197" s="1" t="e">
        <v>#N/A</v>
      </c>
      <c r="G4197" s="1" t="s">
        <v>12710</v>
      </c>
      <c r="H4197">
        <v>2025</v>
      </c>
      <c r="I4197">
        <v>2026</v>
      </c>
      <c r="J4197">
        <f t="shared" si="130"/>
        <v>2</v>
      </c>
      <c r="K4197" s="1" t="s">
        <v>741</v>
      </c>
      <c r="L4197" s="1" t="s">
        <v>666</v>
      </c>
      <c r="M4197">
        <f t="shared" si="131"/>
        <v>0</v>
      </c>
    </row>
    <row r="4198" spans="1:14" x14ac:dyDescent="0.3">
      <c r="A4198" s="1" t="s">
        <v>9398</v>
      </c>
      <c r="B4198" s="1" t="s">
        <v>1849</v>
      </c>
      <c r="C4198" s="1" t="s">
        <v>9399</v>
      </c>
      <c r="D4198" s="1" t="s">
        <v>644</v>
      </c>
      <c r="E4198" s="1" t="s">
        <v>6076</v>
      </c>
      <c r="F4198" s="1" t="s">
        <v>6076</v>
      </c>
      <c r="G4198" s="1" t="s">
        <v>9400</v>
      </c>
      <c r="H4198">
        <v>2000</v>
      </c>
      <c r="I4198">
        <v>2003</v>
      </c>
      <c r="J4198">
        <f t="shared" si="130"/>
        <v>4</v>
      </c>
      <c r="K4198" s="1" t="s">
        <v>6076</v>
      </c>
      <c r="L4198" s="1" t="s">
        <v>6076</v>
      </c>
      <c r="M4198">
        <f t="shared" si="131"/>
        <v>23</v>
      </c>
      <c r="N4198" t="s">
        <v>640</v>
      </c>
    </row>
    <row r="4199" spans="1:14" x14ac:dyDescent="0.3">
      <c r="A4199" s="1" t="s">
        <v>9401</v>
      </c>
      <c r="B4199" s="1" t="s">
        <v>1849</v>
      </c>
      <c r="C4199" s="1" t="s">
        <v>9402</v>
      </c>
      <c r="D4199" s="1" t="s">
        <v>644</v>
      </c>
      <c r="E4199" s="1" t="s">
        <v>6076</v>
      </c>
      <c r="F4199" s="1" t="s">
        <v>6076</v>
      </c>
      <c r="G4199" s="1" t="s">
        <v>9400</v>
      </c>
      <c r="H4199">
        <v>2000</v>
      </c>
      <c r="I4199">
        <v>2003</v>
      </c>
      <c r="J4199">
        <f t="shared" si="130"/>
        <v>4</v>
      </c>
      <c r="K4199" s="1" t="s">
        <v>6076</v>
      </c>
      <c r="L4199" s="1" t="s">
        <v>6076</v>
      </c>
      <c r="M4199">
        <f t="shared" si="131"/>
        <v>23</v>
      </c>
      <c r="N4199" t="s">
        <v>640</v>
      </c>
    </row>
    <row r="4200" spans="1:14" x14ac:dyDescent="0.3">
      <c r="A4200" s="1" t="s">
        <v>9403</v>
      </c>
      <c r="B4200" s="1" t="s">
        <v>910</v>
      </c>
      <c r="C4200" s="1" t="s">
        <v>9404</v>
      </c>
      <c r="D4200" s="1" t="s">
        <v>738</v>
      </c>
      <c r="E4200" s="1" t="s">
        <v>6076</v>
      </c>
      <c r="F4200" s="1" t="s">
        <v>6076</v>
      </c>
      <c r="G4200" s="1" t="s">
        <v>9405</v>
      </c>
      <c r="H4200">
        <v>1992</v>
      </c>
      <c r="I4200">
        <v>1994</v>
      </c>
      <c r="J4200">
        <f t="shared" si="130"/>
        <v>3</v>
      </c>
      <c r="K4200" s="1" t="s">
        <v>6076</v>
      </c>
      <c r="L4200" s="1" t="s">
        <v>6076</v>
      </c>
      <c r="M4200">
        <f t="shared" si="131"/>
        <v>32</v>
      </c>
      <c r="N4200" t="s">
        <v>640</v>
      </c>
    </row>
    <row r="4201" spans="1:14" x14ac:dyDescent="0.3">
      <c r="A4201" s="1" t="s">
        <v>9406</v>
      </c>
      <c r="B4201" s="1" t="s">
        <v>910</v>
      </c>
      <c r="C4201" s="1" t="s">
        <v>9407</v>
      </c>
      <c r="D4201" s="1" t="s">
        <v>738</v>
      </c>
      <c r="E4201" s="1" t="s">
        <v>6076</v>
      </c>
      <c r="F4201" s="1" t="s">
        <v>6076</v>
      </c>
      <c r="G4201" s="1" t="s">
        <v>9405</v>
      </c>
      <c r="H4201">
        <v>1992</v>
      </c>
      <c r="I4201">
        <v>1995</v>
      </c>
      <c r="J4201">
        <f t="shared" si="130"/>
        <v>4</v>
      </c>
      <c r="K4201" s="1" t="s">
        <v>6076</v>
      </c>
      <c r="L4201" s="1" t="s">
        <v>6076</v>
      </c>
      <c r="M4201">
        <f t="shared" si="131"/>
        <v>31</v>
      </c>
      <c r="N4201" t="s">
        <v>640</v>
      </c>
    </row>
    <row r="4202" spans="1:14" x14ac:dyDescent="0.3">
      <c r="A4202" s="1" t="s">
        <v>9408</v>
      </c>
      <c r="B4202" s="1" t="s">
        <v>802</v>
      </c>
      <c r="C4202" s="1" t="s">
        <v>9409</v>
      </c>
      <c r="D4202" s="1" t="s">
        <v>738</v>
      </c>
      <c r="E4202" s="1" t="s">
        <v>6076</v>
      </c>
      <c r="F4202" s="1" t="s">
        <v>6076</v>
      </c>
      <c r="G4202" s="1" t="s">
        <v>9410</v>
      </c>
      <c r="H4202">
        <v>1988</v>
      </c>
      <c r="I4202">
        <v>1988</v>
      </c>
      <c r="J4202">
        <f t="shared" si="130"/>
        <v>1</v>
      </c>
      <c r="K4202" s="1" t="s">
        <v>6076</v>
      </c>
      <c r="L4202" s="1" t="s">
        <v>6076</v>
      </c>
      <c r="M4202">
        <f t="shared" si="131"/>
        <v>38</v>
      </c>
      <c r="N4202" t="s">
        <v>640</v>
      </c>
    </row>
    <row r="4203" spans="1:14" x14ac:dyDescent="0.3">
      <c r="A4203" s="1" t="s">
        <v>9411</v>
      </c>
      <c r="B4203" s="1" t="s">
        <v>802</v>
      </c>
      <c r="C4203" s="1" t="s">
        <v>9412</v>
      </c>
      <c r="D4203" s="1" t="s">
        <v>738</v>
      </c>
      <c r="E4203" s="1" t="s">
        <v>6076</v>
      </c>
      <c r="F4203" s="1" t="s">
        <v>6076</v>
      </c>
      <c r="G4203" s="1" t="s">
        <v>9410</v>
      </c>
      <c r="H4203">
        <v>1985</v>
      </c>
      <c r="I4203">
        <v>1985</v>
      </c>
      <c r="J4203">
        <f t="shared" si="130"/>
        <v>1</v>
      </c>
      <c r="K4203" s="1" t="s">
        <v>6076</v>
      </c>
      <c r="L4203" s="1" t="s">
        <v>6076</v>
      </c>
      <c r="M4203">
        <f t="shared" si="131"/>
        <v>41</v>
      </c>
      <c r="N4203" t="s">
        <v>640</v>
      </c>
    </row>
    <row r="4204" spans="1:14" x14ac:dyDescent="0.3">
      <c r="A4204" s="1" t="s">
        <v>9413</v>
      </c>
      <c r="B4204" s="1" t="s">
        <v>802</v>
      </c>
      <c r="C4204" s="1" t="s">
        <v>9414</v>
      </c>
      <c r="D4204" s="1" t="s">
        <v>738</v>
      </c>
      <c r="E4204" s="1" t="s">
        <v>6076</v>
      </c>
      <c r="F4204" s="1" t="s">
        <v>6076</v>
      </c>
      <c r="G4204" s="1" t="s">
        <v>9410</v>
      </c>
      <c r="H4204">
        <v>1988</v>
      </c>
      <c r="I4204">
        <v>1988</v>
      </c>
      <c r="J4204">
        <f t="shared" si="130"/>
        <v>1</v>
      </c>
      <c r="K4204" s="1" t="s">
        <v>6076</v>
      </c>
      <c r="L4204" s="1" t="s">
        <v>6076</v>
      </c>
      <c r="M4204">
        <f t="shared" si="131"/>
        <v>38</v>
      </c>
      <c r="N4204" t="s">
        <v>640</v>
      </c>
    </row>
    <row r="4205" spans="1:14" x14ac:dyDescent="0.3">
      <c r="A4205" s="1" t="s">
        <v>9415</v>
      </c>
      <c r="B4205" s="1" t="s">
        <v>802</v>
      </c>
      <c r="C4205" s="1" t="s">
        <v>9416</v>
      </c>
      <c r="D4205" s="1" t="s">
        <v>738</v>
      </c>
      <c r="E4205" s="1" t="s">
        <v>6076</v>
      </c>
      <c r="F4205" s="1" t="s">
        <v>6076</v>
      </c>
      <c r="G4205" s="1" t="s">
        <v>9410</v>
      </c>
      <c r="H4205">
        <v>1986</v>
      </c>
      <c r="I4205">
        <v>1986</v>
      </c>
      <c r="J4205">
        <f t="shared" si="130"/>
        <v>1</v>
      </c>
      <c r="K4205" s="1" t="s">
        <v>6076</v>
      </c>
      <c r="L4205" s="1" t="s">
        <v>6076</v>
      </c>
      <c r="M4205">
        <f t="shared" si="131"/>
        <v>40</v>
      </c>
      <c r="N4205" t="s">
        <v>640</v>
      </c>
    </row>
    <row r="4206" spans="1:14" x14ac:dyDescent="0.3">
      <c r="A4206" s="1" t="s">
        <v>9417</v>
      </c>
      <c r="B4206" s="1" t="s">
        <v>802</v>
      </c>
      <c r="C4206" s="1" t="s">
        <v>9418</v>
      </c>
      <c r="D4206" s="1" t="s">
        <v>738</v>
      </c>
      <c r="E4206" s="1" t="s">
        <v>6076</v>
      </c>
      <c r="F4206" s="1" t="s">
        <v>6076</v>
      </c>
      <c r="G4206" s="1" t="s">
        <v>9410</v>
      </c>
      <c r="H4206">
        <v>1995</v>
      </c>
      <c r="I4206">
        <v>1995</v>
      </c>
      <c r="J4206">
        <f t="shared" si="130"/>
        <v>1</v>
      </c>
      <c r="K4206" s="1" t="s">
        <v>6076</v>
      </c>
      <c r="L4206" s="1" t="s">
        <v>6076</v>
      </c>
      <c r="M4206">
        <f t="shared" si="131"/>
        <v>31</v>
      </c>
      <c r="N4206" t="s">
        <v>640</v>
      </c>
    </row>
    <row r="4207" spans="1:14" x14ac:dyDescent="0.3">
      <c r="A4207" s="1" t="s">
        <v>9419</v>
      </c>
      <c r="B4207" s="1" t="s">
        <v>1205</v>
      </c>
      <c r="C4207" s="1" t="s">
        <v>9420</v>
      </c>
      <c r="D4207" s="1" t="s">
        <v>644</v>
      </c>
      <c r="E4207" s="1" t="s">
        <v>6076</v>
      </c>
      <c r="F4207" s="1" t="s">
        <v>6076</v>
      </c>
      <c r="G4207" s="1" t="s">
        <v>9421</v>
      </c>
      <c r="H4207">
        <v>1991</v>
      </c>
      <c r="I4207">
        <v>1995</v>
      </c>
      <c r="J4207">
        <f t="shared" si="130"/>
        <v>5</v>
      </c>
      <c r="K4207" s="1" t="s">
        <v>6076</v>
      </c>
      <c r="L4207" s="1" t="s">
        <v>6076</v>
      </c>
      <c r="M4207">
        <f t="shared" si="131"/>
        <v>31</v>
      </c>
      <c r="N4207" t="s">
        <v>640</v>
      </c>
    </row>
    <row r="4208" spans="1:14" x14ac:dyDescent="0.3">
      <c r="A4208" s="1" t="s">
        <v>9422</v>
      </c>
      <c r="B4208" s="1" t="s">
        <v>1205</v>
      </c>
      <c r="C4208" s="1" t="s">
        <v>9423</v>
      </c>
      <c r="D4208" s="1" t="s">
        <v>644</v>
      </c>
      <c r="E4208" s="1" t="s">
        <v>6076</v>
      </c>
      <c r="F4208" s="1" t="s">
        <v>6076</v>
      </c>
      <c r="G4208" s="1" t="s">
        <v>9421</v>
      </c>
      <c r="H4208">
        <v>1992</v>
      </c>
      <c r="I4208">
        <v>1992</v>
      </c>
      <c r="J4208">
        <f t="shared" si="130"/>
        <v>1</v>
      </c>
      <c r="K4208" s="1" t="s">
        <v>6076</v>
      </c>
      <c r="L4208" s="1" t="s">
        <v>6076</v>
      </c>
      <c r="M4208">
        <f t="shared" si="131"/>
        <v>34</v>
      </c>
      <c r="N4208" t="s">
        <v>640</v>
      </c>
    </row>
    <row r="4209" spans="1:14" x14ac:dyDescent="0.3">
      <c r="A4209" s="1" t="s">
        <v>9424</v>
      </c>
      <c r="B4209" s="1" t="s">
        <v>2154</v>
      </c>
      <c r="C4209" s="1" t="s">
        <v>9425</v>
      </c>
      <c r="D4209" s="1" t="s">
        <v>738</v>
      </c>
      <c r="E4209" s="1" t="s">
        <v>6076</v>
      </c>
      <c r="F4209" s="1" t="s">
        <v>6076</v>
      </c>
      <c r="G4209" s="1" t="s">
        <v>9426</v>
      </c>
      <c r="H4209">
        <v>1997</v>
      </c>
      <c r="I4209">
        <v>2000</v>
      </c>
      <c r="J4209">
        <f t="shared" si="130"/>
        <v>4</v>
      </c>
      <c r="K4209" s="1" t="s">
        <v>6076</v>
      </c>
      <c r="L4209" s="1" t="s">
        <v>6076</v>
      </c>
      <c r="M4209">
        <f t="shared" si="131"/>
        <v>26</v>
      </c>
      <c r="N4209" t="s">
        <v>640</v>
      </c>
    </row>
    <row r="4210" spans="1:14" hidden="1" x14ac:dyDescent="0.3">
      <c r="A4210" s="1" t="s">
        <v>2733</v>
      </c>
      <c r="B4210" s="1" t="s">
        <v>795</v>
      </c>
      <c r="C4210" s="1" t="s">
        <v>2734</v>
      </c>
      <c r="D4210" s="1" t="s">
        <v>738</v>
      </c>
      <c r="E4210" s="1" t="s">
        <v>739</v>
      </c>
      <c r="F4210" s="1" t="s">
        <v>781</v>
      </c>
      <c r="G4210" s="1" t="s">
        <v>2735</v>
      </c>
      <c r="H4210">
        <v>2015</v>
      </c>
      <c r="I4210">
        <v>2015</v>
      </c>
      <c r="J4210">
        <f t="shared" si="130"/>
        <v>1</v>
      </c>
      <c r="K4210" s="1" t="s">
        <v>741</v>
      </c>
      <c r="L4210" s="1" t="s">
        <v>798</v>
      </c>
      <c r="M4210">
        <f t="shared" si="131"/>
        <v>11</v>
      </c>
      <c r="N4210" t="s">
        <v>650</v>
      </c>
    </row>
    <row r="4211" spans="1:14" hidden="1" x14ac:dyDescent="0.3">
      <c r="A4211" s="1" t="s">
        <v>2736</v>
      </c>
      <c r="B4211" s="1" t="s">
        <v>795</v>
      </c>
      <c r="C4211" s="1" t="s">
        <v>2737</v>
      </c>
      <c r="D4211" s="1" t="s">
        <v>738</v>
      </c>
      <c r="E4211" s="1" t="s">
        <v>739</v>
      </c>
      <c r="F4211" s="1" t="s">
        <v>781</v>
      </c>
      <c r="G4211" s="1" t="s">
        <v>2735</v>
      </c>
      <c r="H4211">
        <v>2016</v>
      </c>
      <c r="I4211">
        <v>2019</v>
      </c>
      <c r="J4211">
        <f t="shared" si="130"/>
        <v>4</v>
      </c>
      <c r="K4211" s="1" t="s">
        <v>741</v>
      </c>
      <c r="L4211" s="1" t="s">
        <v>798</v>
      </c>
      <c r="M4211">
        <f t="shared" si="131"/>
        <v>7</v>
      </c>
      <c r="N4211" t="s">
        <v>650</v>
      </c>
    </row>
    <row r="4212" spans="1:14" hidden="1" x14ac:dyDescent="0.3">
      <c r="A4212" s="1" t="s">
        <v>2738</v>
      </c>
      <c r="B4212" s="1" t="s">
        <v>795</v>
      </c>
      <c r="C4212" s="1" t="s">
        <v>2739</v>
      </c>
      <c r="D4212" s="1" t="s">
        <v>738</v>
      </c>
      <c r="E4212" s="1" t="s">
        <v>739</v>
      </c>
      <c r="F4212" s="1" t="s">
        <v>781</v>
      </c>
      <c r="G4212" s="1" t="s">
        <v>2735</v>
      </c>
      <c r="H4212">
        <v>2007</v>
      </c>
      <c r="I4212">
        <v>2010</v>
      </c>
      <c r="J4212">
        <f t="shared" si="130"/>
        <v>4</v>
      </c>
      <c r="K4212" s="1" t="s">
        <v>741</v>
      </c>
      <c r="L4212" s="1" t="s">
        <v>798</v>
      </c>
      <c r="M4212">
        <f t="shared" si="131"/>
        <v>16</v>
      </c>
      <c r="N4212" t="s">
        <v>650</v>
      </c>
    </row>
    <row r="4213" spans="1:14" hidden="1" x14ac:dyDescent="0.3">
      <c r="A4213" s="1" t="s">
        <v>2740</v>
      </c>
      <c r="B4213" s="1" t="s">
        <v>795</v>
      </c>
      <c r="C4213" s="1" t="s">
        <v>2741</v>
      </c>
      <c r="D4213" s="1" t="s">
        <v>738</v>
      </c>
      <c r="E4213" s="1" t="s">
        <v>739</v>
      </c>
      <c r="F4213" s="1" t="s">
        <v>781</v>
      </c>
      <c r="G4213" s="1" t="s">
        <v>2735</v>
      </c>
      <c r="H4213">
        <v>2009</v>
      </c>
      <c r="I4213">
        <v>2019</v>
      </c>
      <c r="J4213">
        <f t="shared" si="130"/>
        <v>11</v>
      </c>
      <c r="K4213" s="1" t="s">
        <v>741</v>
      </c>
      <c r="L4213" s="1" t="s">
        <v>798</v>
      </c>
      <c r="M4213">
        <f t="shared" si="131"/>
        <v>7</v>
      </c>
      <c r="N4213" t="s">
        <v>650</v>
      </c>
    </row>
    <row r="4214" spans="1:14" hidden="1" x14ac:dyDescent="0.3">
      <c r="A4214" s="1" t="s">
        <v>2742</v>
      </c>
      <c r="B4214" s="1" t="s">
        <v>795</v>
      </c>
      <c r="C4214" s="1" t="s">
        <v>2743</v>
      </c>
      <c r="D4214" s="1" t="s">
        <v>738</v>
      </c>
      <c r="E4214" s="1" t="s">
        <v>739</v>
      </c>
      <c r="F4214" s="1" t="s">
        <v>781</v>
      </c>
      <c r="G4214" s="1" t="s">
        <v>2735</v>
      </c>
      <c r="H4214">
        <v>2013</v>
      </c>
      <c r="I4214">
        <v>2017</v>
      </c>
      <c r="J4214">
        <f t="shared" si="130"/>
        <v>5</v>
      </c>
      <c r="K4214" s="1" t="s">
        <v>741</v>
      </c>
      <c r="L4214" s="1" t="s">
        <v>798</v>
      </c>
      <c r="M4214">
        <f t="shared" si="131"/>
        <v>9</v>
      </c>
      <c r="N4214" t="s">
        <v>650</v>
      </c>
    </row>
    <row r="4215" spans="1:14" hidden="1" x14ac:dyDescent="0.3">
      <c r="A4215" s="1" t="s">
        <v>2744</v>
      </c>
      <c r="B4215" s="1" t="s">
        <v>795</v>
      </c>
      <c r="C4215" s="1" t="s">
        <v>2745</v>
      </c>
      <c r="D4215" s="1" t="s">
        <v>738</v>
      </c>
      <c r="E4215" s="1" t="s">
        <v>739</v>
      </c>
      <c r="F4215" s="1" t="s">
        <v>781</v>
      </c>
      <c r="G4215" s="1" t="s">
        <v>2735</v>
      </c>
      <c r="H4215">
        <v>2013</v>
      </c>
      <c r="I4215">
        <v>2019</v>
      </c>
      <c r="J4215">
        <f t="shared" si="130"/>
        <v>7</v>
      </c>
      <c r="K4215" s="1" t="s">
        <v>741</v>
      </c>
      <c r="L4215" s="1" t="s">
        <v>798</v>
      </c>
      <c r="M4215">
        <f t="shared" si="131"/>
        <v>7</v>
      </c>
      <c r="N4215" t="s">
        <v>650</v>
      </c>
    </row>
    <row r="4216" spans="1:14" hidden="1" x14ac:dyDescent="0.3">
      <c r="A4216" s="1" t="s">
        <v>2746</v>
      </c>
      <c r="B4216" s="1" t="s">
        <v>795</v>
      </c>
      <c r="C4216" s="1" t="s">
        <v>2747</v>
      </c>
      <c r="D4216" s="1" t="s">
        <v>738</v>
      </c>
      <c r="E4216" s="1" t="s">
        <v>739</v>
      </c>
      <c r="F4216" s="1" t="s">
        <v>781</v>
      </c>
      <c r="G4216" s="1" t="s">
        <v>2735</v>
      </c>
      <c r="H4216">
        <v>2014</v>
      </c>
      <c r="I4216">
        <v>2019</v>
      </c>
      <c r="J4216">
        <f t="shared" si="130"/>
        <v>6</v>
      </c>
      <c r="K4216" s="1" t="s">
        <v>741</v>
      </c>
      <c r="L4216" s="1" t="s">
        <v>798</v>
      </c>
      <c r="M4216">
        <f t="shared" si="131"/>
        <v>7</v>
      </c>
      <c r="N4216" t="s">
        <v>650</v>
      </c>
    </row>
    <row r="4217" spans="1:14" hidden="1" x14ac:dyDescent="0.3">
      <c r="A4217" s="1" t="s">
        <v>2748</v>
      </c>
      <c r="B4217" s="1" t="s">
        <v>795</v>
      </c>
      <c r="C4217" s="1" t="s">
        <v>2749</v>
      </c>
      <c r="D4217" s="1" t="s">
        <v>738</v>
      </c>
      <c r="E4217" s="1" t="s">
        <v>739</v>
      </c>
      <c r="F4217" s="1" t="s">
        <v>781</v>
      </c>
      <c r="G4217" s="1" t="s">
        <v>2735</v>
      </c>
      <c r="H4217">
        <v>2013</v>
      </c>
      <c r="I4217">
        <v>2019</v>
      </c>
      <c r="J4217">
        <f t="shared" si="130"/>
        <v>7</v>
      </c>
      <c r="K4217" s="1" t="s">
        <v>741</v>
      </c>
      <c r="L4217" s="1" t="s">
        <v>798</v>
      </c>
      <c r="M4217">
        <f t="shared" si="131"/>
        <v>7</v>
      </c>
      <c r="N4217" t="s">
        <v>650</v>
      </c>
    </row>
    <row r="4218" spans="1:14" hidden="1" x14ac:dyDescent="0.3">
      <c r="A4218" s="1" t="s">
        <v>2750</v>
      </c>
      <c r="B4218" s="1" t="s">
        <v>795</v>
      </c>
      <c r="C4218" s="1" t="s">
        <v>2751</v>
      </c>
      <c r="D4218" s="1" t="s">
        <v>738</v>
      </c>
      <c r="E4218" s="1" t="s">
        <v>739</v>
      </c>
      <c r="F4218" s="1" t="s">
        <v>781</v>
      </c>
      <c r="G4218" s="1" t="s">
        <v>2735</v>
      </c>
      <c r="H4218">
        <v>2014</v>
      </c>
      <c r="I4218">
        <v>2019</v>
      </c>
      <c r="J4218">
        <f t="shared" si="130"/>
        <v>6</v>
      </c>
      <c r="K4218" s="1" t="s">
        <v>741</v>
      </c>
      <c r="L4218" s="1" t="s">
        <v>798</v>
      </c>
      <c r="M4218">
        <f t="shared" si="131"/>
        <v>7</v>
      </c>
      <c r="N4218" t="s">
        <v>650</v>
      </c>
    </row>
    <row r="4219" spans="1:14" hidden="1" x14ac:dyDescent="0.3">
      <c r="A4219" s="1" t="s">
        <v>2752</v>
      </c>
      <c r="B4219" s="1" t="s">
        <v>795</v>
      </c>
      <c r="C4219" s="1" t="s">
        <v>2753</v>
      </c>
      <c r="D4219" s="1" t="s">
        <v>738</v>
      </c>
      <c r="E4219" s="1" t="s">
        <v>739</v>
      </c>
      <c r="F4219" s="1" t="s">
        <v>781</v>
      </c>
      <c r="G4219" s="1" t="s">
        <v>2735</v>
      </c>
      <c r="H4219">
        <v>2009</v>
      </c>
      <c r="I4219">
        <v>2010</v>
      </c>
      <c r="J4219">
        <f t="shared" si="130"/>
        <v>2</v>
      </c>
      <c r="K4219" s="1" t="s">
        <v>741</v>
      </c>
      <c r="L4219" s="1" t="s">
        <v>798</v>
      </c>
      <c r="M4219">
        <f t="shared" si="131"/>
        <v>16</v>
      </c>
      <c r="N4219" t="s">
        <v>650</v>
      </c>
    </row>
    <row r="4220" spans="1:14" hidden="1" x14ac:dyDescent="0.3">
      <c r="A4220" s="1" t="s">
        <v>2754</v>
      </c>
      <c r="B4220" s="1" t="s">
        <v>795</v>
      </c>
      <c r="C4220" s="1" t="s">
        <v>2755</v>
      </c>
      <c r="D4220" s="1" t="s">
        <v>738</v>
      </c>
      <c r="E4220" s="1" t="s">
        <v>739</v>
      </c>
      <c r="F4220" s="1" t="s">
        <v>781</v>
      </c>
      <c r="G4220" s="1" t="s">
        <v>2735</v>
      </c>
      <c r="H4220">
        <v>2007</v>
      </c>
      <c r="I4220">
        <v>2012</v>
      </c>
      <c r="J4220">
        <f t="shared" si="130"/>
        <v>6</v>
      </c>
      <c r="K4220" s="1" t="s">
        <v>741</v>
      </c>
      <c r="L4220" s="1" t="s">
        <v>798</v>
      </c>
      <c r="M4220">
        <f t="shared" si="131"/>
        <v>14</v>
      </c>
      <c r="N4220" t="s">
        <v>650</v>
      </c>
    </row>
    <row r="4221" spans="1:14" x14ac:dyDescent="0.3">
      <c r="A4221" s="1" t="s">
        <v>9427</v>
      </c>
      <c r="B4221" s="1" t="s">
        <v>1205</v>
      </c>
      <c r="C4221" s="1" t="s">
        <v>9428</v>
      </c>
      <c r="D4221" s="1" t="s">
        <v>746</v>
      </c>
      <c r="E4221" s="1" t="s">
        <v>6076</v>
      </c>
      <c r="F4221" s="1" t="s">
        <v>6076</v>
      </c>
      <c r="G4221" s="1" t="s">
        <v>9429</v>
      </c>
      <c r="H4221">
        <v>2012</v>
      </c>
      <c r="I4221">
        <v>2022</v>
      </c>
      <c r="J4221">
        <f t="shared" si="130"/>
        <v>11</v>
      </c>
      <c r="K4221" s="1" t="s">
        <v>6076</v>
      </c>
      <c r="L4221" s="1" t="s">
        <v>6076</v>
      </c>
      <c r="M4221">
        <f t="shared" si="131"/>
        <v>4</v>
      </c>
      <c r="N4221" t="s">
        <v>650</v>
      </c>
    </row>
    <row r="4222" spans="1:14" x14ac:dyDescent="0.3">
      <c r="A4222" s="1" t="s">
        <v>9430</v>
      </c>
      <c r="B4222" s="1" t="s">
        <v>1451</v>
      </c>
      <c r="C4222" s="1" t="s">
        <v>9431</v>
      </c>
      <c r="D4222" s="1" t="s">
        <v>3850</v>
      </c>
      <c r="E4222" s="1" t="s">
        <v>6076</v>
      </c>
      <c r="F4222" s="1" t="s">
        <v>6076</v>
      </c>
      <c r="G4222" s="1" t="s">
        <v>9432</v>
      </c>
      <c r="H4222">
        <v>1992</v>
      </c>
      <c r="I4222">
        <v>1993</v>
      </c>
      <c r="J4222">
        <f t="shared" si="130"/>
        <v>2</v>
      </c>
      <c r="K4222" s="1" t="s">
        <v>6076</v>
      </c>
      <c r="L4222" s="1" t="s">
        <v>6076</v>
      </c>
      <c r="M4222">
        <f t="shared" si="131"/>
        <v>33</v>
      </c>
      <c r="N4222" t="s">
        <v>640</v>
      </c>
    </row>
    <row r="4223" spans="1:14" x14ac:dyDescent="0.3">
      <c r="A4223" s="1" t="s">
        <v>9433</v>
      </c>
      <c r="B4223" s="1" t="s">
        <v>1451</v>
      </c>
      <c r="C4223" s="1" t="s">
        <v>9434</v>
      </c>
      <c r="D4223" s="1" t="s">
        <v>3850</v>
      </c>
      <c r="E4223" s="1" t="s">
        <v>6076</v>
      </c>
      <c r="F4223" s="1" t="s">
        <v>6076</v>
      </c>
      <c r="G4223" s="1" t="s">
        <v>9432</v>
      </c>
      <c r="H4223">
        <v>1993</v>
      </c>
      <c r="I4223">
        <v>1995</v>
      </c>
      <c r="J4223">
        <f t="shared" si="130"/>
        <v>3</v>
      </c>
      <c r="K4223" s="1" t="s">
        <v>6076</v>
      </c>
      <c r="L4223" s="1" t="s">
        <v>6076</v>
      </c>
      <c r="M4223">
        <f t="shared" si="131"/>
        <v>31</v>
      </c>
      <c r="N4223" t="s">
        <v>640</v>
      </c>
    </row>
    <row r="4224" spans="1:14" x14ac:dyDescent="0.3">
      <c r="A4224" t="s">
        <v>11155</v>
      </c>
      <c r="B4224" t="s">
        <v>10997</v>
      </c>
      <c r="C4224" t="s">
        <v>11156</v>
      </c>
      <c r="E4224" s="1" t="s">
        <v>6076</v>
      </c>
      <c r="F4224" s="1" t="s">
        <v>6076</v>
      </c>
      <c r="G4224" s="1" t="s">
        <v>12794</v>
      </c>
      <c r="H4224">
        <v>2006</v>
      </c>
      <c r="I4224">
        <v>2007</v>
      </c>
      <c r="J4224">
        <f t="shared" si="130"/>
        <v>2</v>
      </c>
      <c r="K4224" s="1" t="s">
        <v>6076</v>
      </c>
      <c r="L4224" s="1" t="s">
        <v>6076</v>
      </c>
      <c r="M4224">
        <f t="shared" si="131"/>
        <v>19</v>
      </c>
    </row>
    <row r="4225" spans="1:14" x14ac:dyDescent="0.3">
      <c r="A4225" t="s">
        <v>11157</v>
      </c>
      <c r="B4225" t="s">
        <v>10997</v>
      </c>
      <c r="C4225" t="s">
        <v>11158</v>
      </c>
      <c r="E4225" s="1" t="s">
        <v>6076</v>
      </c>
      <c r="F4225" s="1" t="s">
        <v>6076</v>
      </c>
      <c r="G4225" s="1" t="s">
        <v>12794</v>
      </c>
      <c r="H4225">
        <v>2006</v>
      </c>
      <c r="I4225">
        <v>2009</v>
      </c>
      <c r="J4225">
        <f t="shared" si="130"/>
        <v>4</v>
      </c>
      <c r="K4225" s="1" t="s">
        <v>6076</v>
      </c>
      <c r="L4225" s="1" t="s">
        <v>6076</v>
      </c>
      <c r="M4225">
        <f t="shared" si="131"/>
        <v>17</v>
      </c>
    </row>
    <row r="4226" spans="1:14" x14ac:dyDescent="0.3">
      <c r="A4226" t="s">
        <v>11159</v>
      </c>
      <c r="B4226" t="s">
        <v>10997</v>
      </c>
      <c r="C4226" t="s">
        <v>11160</v>
      </c>
      <c r="E4226" s="1" t="s">
        <v>6076</v>
      </c>
      <c r="F4226" s="1" t="s">
        <v>6076</v>
      </c>
      <c r="G4226" s="1" t="s">
        <v>12794</v>
      </c>
      <c r="H4226">
        <v>2001</v>
      </c>
      <c r="I4226">
        <v>2004</v>
      </c>
      <c r="J4226">
        <f t="shared" si="130"/>
        <v>4</v>
      </c>
      <c r="K4226" s="1" t="s">
        <v>6076</v>
      </c>
      <c r="L4226" s="1" t="s">
        <v>6076</v>
      </c>
      <c r="M4226">
        <f t="shared" si="131"/>
        <v>22</v>
      </c>
    </row>
    <row r="4227" spans="1:14" x14ac:dyDescent="0.3">
      <c r="A4227" t="s">
        <v>11161</v>
      </c>
      <c r="B4227" t="s">
        <v>10997</v>
      </c>
      <c r="C4227" t="s">
        <v>11162</v>
      </c>
      <c r="E4227" s="1" t="s">
        <v>6076</v>
      </c>
      <c r="F4227" s="1" t="s">
        <v>6076</v>
      </c>
      <c r="G4227" s="1" t="s">
        <v>12794</v>
      </c>
      <c r="H4227">
        <v>2005</v>
      </c>
      <c r="I4227">
        <v>2009</v>
      </c>
      <c r="J4227">
        <f t="shared" si="130"/>
        <v>5</v>
      </c>
      <c r="K4227" s="1" t="s">
        <v>6076</v>
      </c>
      <c r="L4227" s="1" t="s">
        <v>6076</v>
      </c>
      <c r="M4227">
        <f t="shared" si="131"/>
        <v>17</v>
      </c>
    </row>
    <row r="4228" spans="1:14" x14ac:dyDescent="0.3">
      <c r="A4228" t="s">
        <v>11163</v>
      </c>
      <c r="B4228" t="s">
        <v>10997</v>
      </c>
      <c r="C4228" t="s">
        <v>11164</v>
      </c>
      <c r="E4228" s="1" t="s">
        <v>6076</v>
      </c>
      <c r="F4228" s="1" t="s">
        <v>6076</v>
      </c>
      <c r="G4228" s="1" t="s">
        <v>12794</v>
      </c>
      <c r="H4228">
        <v>2010</v>
      </c>
      <c r="I4228">
        <v>2010</v>
      </c>
      <c r="J4228">
        <f t="shared" si="130"/>
        <v>1</v>
      </c>
      <c r="K4228" s="1" t="s">
        <v>6076</v>
      </c>
      <c r="L4228" s="1" t="s">
        <v>6076</v>
      </c>
      <c r="M4228">
        <f t="shared" si="131"/>
        <v>16</v>
      </c>
    </row>
    <row r="4229" spans="1:14" hidden="1" x14ac:dyDescent="0.3">
      <c r="A4229" t="s">
        <v>11373</v>
      </c>
      <c r="B4229" t="s">
        <v>802</v>
      </c>
      <c r="C4229" t="s">
        <v>11374</v>
      </c>
      <c r="E4229" s="1" t="e">
        <v>#N/A</v>
      </c>
      <c r="F4229" s="1" t="e">
        <v>#N/A</v>
      </c>
      <c r="G4229" s="1" t="s">
        <v>2758</v>
      </c>
      <c r="H4229">
        <v>2025</v>
      </c>
      <c r="I4229">
        <v>2026</v>
      </c>
      <c r="J4229">
        <f t="shared" si="130"/>
        <v>2</v>
      </c>
      <c r="K4229" s="1" t="s">
        <v>741</v>
      </c>
      <c r="L4229" s="1" t="s">
        <v>666</v>
      </c>
      <c r="M4229">
        <f t="shared" si="131"/>
        <v>0</v>
      </c>
    </row>
    <row r="4230" spans="1:14" hidden="1" x14ac:dyDescent="0.3">
      <c r="A4230" t="s">
        <v>11375</v>
      </c>
      <c r="B4230" t="s">
        <v>802</v>
      </c>
      <c r="C4230" t="s">
        <v>11376</v>
      </c>
      <c r="E4230" s="1" t="e">
        <v>#N/A</v>
      </c>
      <c r="F4230" s="1" t="e">
        <v>#N/A</v>
      </c>
      <c r="G4230" s="1" t="s">
        <v>2758</v>
      </c>
      <c r="H4230">
        <v>2023</v>
      </c>
      <c r="I4230">
        <v>2026</v>
      </c>
      <c r="J4230">
        <f t="shared" ref="J4230:J4293" si="132">1+(I4230-H4230)</f>
        <v>4</v>
      </c>
      <c r="K4230" s="1" t="s">
        <v>3665</v>
      </c>
      <c r="L4230" s="1" t="s">
        <v>649</v>
      </c>
      <c r="M4230">
        <f t="shared" ref="M4230:M4293" si="133">IF(I4230=0,0,$B$2-I4230)</f>
        <v>0</v>
      </c>
    </row>
    <row r="4231" spans="1:14" hidden="1" x14ac:dyDescent="0.3">
      <c r="A4231" s="1" t="s">
        <v>2756</v>
      </c>
      <c r="B4231" s="1" t="s">
        <v>802</v>
      </c>
      <c r="C4231" s="1" t="s">
        <v>2757</v>
      </c>
      <c r="D4231" s="1" t="s">
        <v>1395</v>
      </c>
      <c r="E4231" s="1" t="s">
        <v>1396</v>
      </c>
      <c r="F4231" s="1" t="s">
        <v>1348</v>
      </c>
      <c r="G4231" s="1" t="s">
        <v>2758</v>
      </c>
      <c r="H4231">
        <v>2022</v>
      </c>
      <c r="I4231">
        <v>2022</v>
      </c>
      <c r="J4231">
        <f t="shared" si="132"/>
        <v>1</v>
      </c>
      <c r="K4231" s="1" t="s">
        <v>741</v>
      </c>
      <c r="L4231" s="1" t="s">
        <v>798</v>
      </c>
      <c r="M4231">
        <f t="shared" si="133"/>
        <v>4</v>
      </c>
      <c r="N4231" t="s">
        <v>650</v>
      </c>
    </row>
    <row r="4232" spans="1:14" hidden="1" x14ac:dyDescent="0.3">
      <c r="A4232" t="s">
        <v>11377</v>
      </c>
      <c r="B4232" t="s">
        <v>802</v>
      </c>
      <c r="C4232" t="s">
        <v>11378</v>
      </c>
      <c r="E4232" s="1" t="e">
        <v>#N/A</v>
      </c>
      <c r="F4232" s="1" t="e">
        <v>#N/A</v>
      </c>
      <c r="G4232" s="1" t="s">
        <v>2758</v>
      </c>
      <c r="H4232">
        <v>2025</v>
      </c>
      <c r="I4232">
        <v>2026</v>
      </c>
      <c r="J4232">
        <f t="shared" si="132"/>
        <v>2</v>
      </c>
      <c r="K4232" s="1" t="s">
        <v>3665</v>
      </c>
      <c r="L4232" s="1" t="s">
        <v>649</v>
      </c>
      <c r="M4232">
        <f t="shared" si="133"/>
        <v>0</v>
      </c>
    </row>
    <row r="4233" spans="1:14" hidden="1" x14ac:dyDescent="0.3">
      <c r="A4233" s="1" t="s">
        <v>2759</v>
      </c>
      <c r="B4233" s="1" t="s">
        <v>802</v>
      </c>
      <c r="C4233" s="1" t="s">
        <v>2760</v>
      </c>
      <c r="D4233" s="1" t="s">
        <v>1395</v>
      </c>
      <c r="E4233" s="1" t="s">
        <v>1396</v>
      </c>
      <c r="F4233" s="1" t="s">
        <v>1348</v>
      </c>
      <c r="G4233" s="1" t="s">
        <v>2758</v>
      </c>
      <c r="H4233">
        <v>2022</v>
      </c>
      <c r="I4233">
        <v>2022</v>
      </c>
      <c r="J4233">
        <f t="shared" si="132"/>
        <v>1</v>
      </c>
      <c r="K4233" s="1" t="s">
        <v>741</v>
      </c>
      <c r="L4233" s="1" t="s">
        <v>798</v>
      </c>
      <c r="M4233">
        <f t="shared" si="133"/>
        <v>4</v>
      </c>
      <c r="N4233" t="s">
        <v>650</v>
      </c>
    </row>
    <row r="4234" spans="1:14" hidden="1" x14ac:dyDescent="0.3">
      <c r="A4234" s="1" t="s">
        <v>2761</v>
      </c>
      <c r="B4234" s="1" t="s">
        <v>802</v>
      </c>
      <c r="C4234" s="1" t="s">
        <v>2762</v>
      </c>
      <c r="D4234" s="1" t="s">
        <v>1395</v>
      </c>
      <c r="E4234" s="1" t="s">
        <v>1396</v>
      </c>
      <c r="F4234" s="1" t="s">
        <v>1348</v>
      </c>
      <c r="G4234" s="1" t="s">
        <v>2758</v>
      </c>
      <c r="H4234">
        <v>2022</v>
      </c>
      <c r="I4234">
        <v>2022</v>
      </c>
      <c r="J4234">
        <f t="shared" si="132"/>
        <v>1</v>
      </c>
      <c r="K4234" s="1" t="s">
        <v>741</v>
      </c>
      <c r="L4234" s="1" t="s">
        <v>798</v>
      </c>
      <c r="M4234">
        <f t="shared" si="133"/>
        <v>4</v>
      </c>
      <c r="N4234" t="s">
        <v>650</v>
      </c>
    </row>
    <row r="4235" spans="1:14" hidden="1" x14ac:dyDescent="0.3">
      <c r="A4235" s="1" t="s">
        <v>2763</v>
      </c>
      <c r="B4235" s="1" t="s">
        <v>802</v>
      </c>
      <c r="C4235" s="1" t="s">
        <v>2764</v>
      </c>
      <c r="D4235" s="1" t="s">
        <v>1395</v>
      </c>
      <c r="E4235" s="1" t="s">
        <v>1396</v>
      </c>
      <c r="F4235" s="1" t="s">
        <v>1348</v>
      </c>
      <c r="G4235" s="1" t="s">
        <v>2758</v>
      </c>
      <c r="H4235">
        <v>2022</v>
      </c>
      <c r="I4235">
        <v>2022</v>
      </c>
      <c r="J4235">
        <f t="shared" si="132"/>
        <v>1</v>
      </c>
      <c r="K4235" s="1" t="s">
        <v>741</v>
      </c>
      <c r="L4235" s="1" t="s">
        <v>798</v>
      </c>
      <c r="M4235">
        <f t="shared" si="133"/>
        <v>4</v>
      </c>
      <c r="N4235" t="s">
        <v>650</v>
      </c>
    </row>
    <row r="4236" spans="1:14" hidden="1" x14ac:dyDescent="0.3">
      <c r="A4236" s="1" t="s">
        <v>2765</v>
      </c>
      <c r="B4236" s="1" t="s">
        <v>802</v>
      </c>
      <c r="C4236" s="1" t="s">
        <v>2766</v>
      </c>
      <c r="D4236" s="1" t="s">
        <v>1395</v>
      </c>
      <c r="E4236" s="1" t="s">
        <v>1396</v>
      </c>
      <c r="F4236" s="1" t="s">
        <v>1348</v>
      </c>
      <c r="G4236" s="1" t="s">
        <v>2758</v>
      </c>
      <c r="H4236">
        <v>2022</v>
      </c>
      <c r="I4236">
        <v>2022</v>
      </c>
      <c r="J4236">
        <f t="shared" si="132"/>
        <v>1</v>
      </c>
      <c r="K4236" s="1" t="s">
        <v>741</v>
      </c>
      <c r="L4236" s="1" t="s">
        <v>798</v>
      </c>
      <c r="M4236">
        <f t="shared" si="133"/>
        <v>4</v>
      </c>
      <c r="N4236" t="s">
        <v>650</v>
      </c>
    </row>
    <row r="4237" spans="1:14" hidden="1" x14ac:dyDescent="0.3">
      <c r="A4237" t="s">
        <v>11379</v>
      </c>
      <c r="B4237" t="s">
        <v>802</v>
      </c>
      <c r="C4237" t="s">
        <v>11380</v>
      </c>
      <c r="E4237" s="1" t="e">
        <v>#N/A</v>
      </c>
      <c r="F4237" s="1" t="e">
        <v>#N/A</v>
      </c>
      <c r="G4237" s="1" t="s">
        <v>2758</v>
      </c>
      <c r="H4237">
        <v>2025</v>
      </c>
      <c r="I4237">
        <v>2026</v>
      </c>
      <c r="J4237">
        <f t="shared" si="132"/>
        <v>2</v>
      </c>
      <c r="K4237" s="1" t="s">
        <v>3665</v>
      </c>
      <c r="L4237" s="1" t="s">
        <v>649</v>
      </c>
      <c r="M4237">
        <f t="shared" si="133"/>
        <v>0</v>
      </c>
    </row>
    <row r="4238" spans="1:14" hidden="1" x14ac:dyDescent="0.3">
      <c r="A4238" t="s">
        <v>11381</v>
      </c>
      <c r="B4238" t="s">
        <v>802</v>
      </c>
      <c r="C4238" t="s">
        <v>11382</v>
      </c>
      <c r="E4238" s="1" t="e">
        <v>#N/A</v>
      </c>
      <c r="F4238" s="1" t="e">
        <v>#N/A</v>
      </c>
      <c r="G4238" s="1" t="s">
        <v>2758</v>
      </c>
      <c r="H4238">
        <v>2025</v>
      </c>
      <c r="I4238">
        <v>2026</v>
      </c>
      <c r="J4238">
        <f t="shared" si="132"/>
        <v>2</v>
      </c>
      <c r="K4238" s="1" t="s">
        <v>741</v>
      </c>
      <c r="L4238" s="1" t="s">
        <v>666</v>
      </c>
      <c r="M4238">
        <f t="shared" si="133"/>
        <v>0</v>
      </c>
    </row>
    <row r="4239" spans="1:14" hidden="1" x14ac:dyDescent="0.3">
      <c r="A4239" s="1" t="s">
        <v>2767</v>
      </c>
      <c r="B4239" s="1" t="s">
        <v>802</v>
      </c>
      <c r="C4239" s="1" t="s">
        <v>2768</v>
      </c>
      <c r="D4239" s="1" t="s">
        <v>746</v>
      </c>
      <c r="E4239" s="1" t="s">
        <v>747</v>
      </c>
      <c r="F4239" s="1" t="s">
        <v>748</v>
      </c>
      <c r="G4239" s="1" t="s">
        <v>2769</v>
      </c>
      <c r="H4239">
        <v>2008</v>
      </c>
      <c r="I4239">
        <v>2008</v>
      </c>
      <c r="J4239">
        <f t="shared" si="132"/>
        <v>1</v>
      </c>
      <c r="K4239" s="1" t="s">
        <v>741</v>
      </c>
      <c r="L4239" s="1" t="s">
        <v>666</v>
      </c>
      <c r="M4239">
        <f t="shared" si="133"/>
        <v>18</v>
      </c>
      <c r="N4239" t="s">
        <v>650</v>
      </c>
    </row>
    <row r="4240" spans="1:14" hidden="1" x14ac:dyDescent="0.3">
      <c r="A4240" s="1" t="s">
        <v>2770</v>
      </c>
      <c r="B4240" s="1" t="s">
        <v>802</v>
      </c>
      <c r="C4240" s="1" t="s">
        <v>2771</v>
      </c>
      <c r="D4240" s="1" t="s">
        <v>746</v>
      </c>
      <c r="E4240" s="1" t="s">
        <v>747</v>
      </c>
      <c r="F4240" s="1" t="s">
        <v>748</v>
      </c>
      <c r="G4240" s="1" t="s">
        <v>2769</v>
      </c>
      <c r="H4240">
        <v>2011</v>
      </c>
      <c r="I4240">
        <v>2011</v>
      </c>
      <c r="J4240">
        <f t="shared" si="132"/>
        <v>1</v>
      </c>
      <c r="K4240" s="1" t="s">
        <v>741</v>
      </c>
      <c r="L4240" s="1" t="s">
        <v>666</v>
      </c>
      <c r="M4240">
        <f t="shared" si="133"/>
        <v>15</v>
      </c>
      <c r="N4240" t="s">
        <v>650</v>
      </c>
    </row>
    <row r="4241" spans="1:14" hidden="1" x14ac:dyDescent="0.3">
      <c r="A4241" s="1" t="s">
        <v>2772</v>
      </c>
      <c r="B4241" s="1" t="s">
        <v>802</v>
      </c>
      <c r="C4241" s="1" t="s">
        <v>2773</v>
      </c>
      <c r="D4241" s="1" t="s">
        <v>746</v>
      </c>
      <c r="E4241" s="1" t="s">
        <v>747</v>
      </c>
      <c r="F4241" s="1" t="s">
        <v>748</v>
      </c>
      <c r="G4241" s="1" t="s">
        <v>2769</v>
      </c>
      <c r="H4241">
        <v>2012</v>
      </c>
      <c r="I4241">
        <v>2012</v>
      </c>
      <c r="J4241">
        <f t="shared" si="132"/>
        <v>1</v>
      </c>
      <c r="K4241" s="1" t="s">
        <v>741</v>
      </c>
      <c r="L4241" s="1" t="s">
        <v>666</v>
      </c>
      <c r="M4241">
        <f t="shared" si="133"/>
        <v>14</v>
      </c>
      <c r="N4241" t="s">
        <v>650</v>
      </c>
    </row>
    <row r="4242" spans="1:14" hidden="1" x14ac:dyDescent="0.3">
      <c r="A4242" s="1" t="s">
        <v>4634</v>
      </c>
      <c r="B4242" s="1" t="s">
        <v>802</v>
      </c>
      <c r="C4242" s="1" t="s">
        <v>4635</v>
      </c>
      <c r="D4242" s="1" t="s">
        <v>746</v>
      </c>
      <c r="E4242" s="1" t="s">
        <v>747</v>
      </c>
      <c r="F4242" s="1" t="s">
        <v>748</v>
      </c>
      <c r="G4242" s="1" t="s">
        <v>2769</v>
      </c>
      <c r="H4242">
        <v>2014</v>
      </c>
      <c r="I4242">
        <v>2014</v>
      </c>
      <c r="J4242">
        <f t="shared" si="132"/>
        <v>1</v>
      </c>
      <c r="K4242" s="1" t="s">
        <v>3665</v>
      </c>
      <c r="L4242" s="1" t="s">
        <v>666</v>
      </c>
      <c r="M4242">
        <f t="shared" si="133"/>
        <v>12</v>
      </c>
      <c r="N4242" t="s">
        <v>650</v>
      </c>
    </row>
    <row r="4243" spans="1:14" hidden="1" x14ac:dyDescent="0.3">
      <c r="A4243" s="1" t="s">
        <v>4636</v>
      </c>
      <c r="B4243" s="1" t="s">
        <v>802</v>
      </c>
      <c r="C4243" s="1" t="s">
        <v>4637</v>
      </c>
      <c r="D4243" s="1" t="s">
        <v>746</v>
      </c>
      <c r="E4243" s="1" t="s">
        <v>747</v>
      </c>
      <c r="F4243" s="1" t="s">
        <v>748</v>
      </c>
      <c r="G4243" s="1" t="s">
        <v>2769</v>
      </c>
      <c r="H4243">
        <v>2014</v>
      </c>
      <c r="I4243">
        <v>2014</v>
      </c>
      <c r="J4243">
        <f t="shared" si="132"/>
        <v>1</v>
      </c>
      <c r="K4243" s="1" t="s">
        <v>3665</v>
      </c>
      <c r="L4243" s="1" t="s">
        <v>666</v>
      </c>
      <c r="M4243">
        <f t="shared" si="133"/>
        <v>12</v>
      </c>
      <c r="N4243" t="s">
        <v>650</v>
      </c>
    </row>
    <row r="4244" spans="1:14" x14ac:dyDescent="0.3">
      <c r="A4244" s="1" t="s">
        <v>9435</v>
      </c>
      <c r="B4244" s="1" t="s">
        <v>802</v>
      </c>
      <c r="C4244" s="1" t="s">
        <v>9436</v>
      </c>
      <c r="D4244" s="1" t="s">
        <v>746</v>
      </c>
      <c r="E4244" s="1" t="s">
        <v>6076</v>
      </c>
      <c r="F4244" s="1" t="s">
        <v>6076</v>
      </c>
      <c r="G4244" s="1" t="s">
        <v>2769</v>
      </c>
      <c r="H4244">
        <v>1995</v>
      </c>
      <c r="I4244">
        <v>1995</v>
      </c>
      <c r="J4244">
        <f t="shared" si="132"/>
        <v>1</v>
      </c>
      <c r="K4244" s="1" t="s">
        <v>6076</v>
      </c>
      <c r="L4244" s="1" t="s">
        <v>6076</v>
      </c>
      <c r="M4244">
        <f t="shared" si="133"/>
        <v>31</v>
      </c>
      <c r="N4244" t="s">
        <v>640</v>
      </c>
    </row>
    <row r="4245" spans="1:14" x14ac:dyDescent="0.3">
      <c r="A4245" s="1" t="s">
        <v>9437</v>
      </c>
      <c r="B4245" s="1" t="s">
        <v>802</v>
      </c>
      <c r="C4245" s="1" t="s">
        <v>9438</v>
      </c>
      <c r="D4245" s="1" t="s">
        <v>746</v>
      </c>
      <c r="E4245" s="1" t="s">
        <v>6076</v>
      </c>
      <c r="F4245" s="1" t="s">
        <v>6076</v>
      </c>
      <c r="G4245" s="1" t="s">
        <v>2769</v>
      </c>
      <c r="H4245">
        <v>1995</v>
      </c>
      <c r="I4245">
        <v>1995</v>
      </c>
      <c r="J4245">
        <f t="shared" si="132"/>
        <v>1</v>
      </c>
      <c r="K4245" s="1" t="s">
        <v>6076</v>
      </c>
      <c r="L4245" s="1" t="s">
        <v>6076</v>
      </c>
      <c r="M4245">
        <f t="shared" si="133"/>
        <v>31</v>
      </c>
      <c r="N4245" t="s">
        <v>640</v>
      </c>
    </row>
    <row r="4246" spans="1:14" hidden="1" x14ac:dyDescent="0.3">
      <c r="A4246" s="1" t="s">
        <v>2774</v>
      </c>
      <c r="B4246" s="1" t="s">
        <v>802</v>
      </c>
      <c r="C4246" s="1" t="s">
        <v>2775</v>
      </c>
      <c r="D4246" s="1" t="s">
        <v>746</v>
      </c>
      <c r="E4246" s="1" t="s">
        <v>747</v>
      </c>
      <c r="F4246" s="1" t="s">
        <v>748</v>
      </c>
      <c r="G4246" s="1" t="s">
        <v>2769</v>
      </c>
      <c r="H4246">
        <v>2008</v>
      </c>
      <c r="I4246">
        <v>2008</v>
      </c>
      <c r="J4246">
        <f t="shared" si="132"/>
        <v>1</v>
      </c>
      <c r="K4246" s="1" t="s">
        <v>741</v>
      </c>
      <c r="L4246" s="1" t="s">
        <v>666</v>
      </c>
      <c r="M4246">
        <f t="shared" si="133"/>
        <v>18</v>
      </c>
      <c r="N4246" t="s">
        <v>650</v>
      </c>
    </row>
    <row r="4247" spans="1:14" hidden="1" x14ac:dyDescent="0.3">
      <c r="A4247" s="1" t="s">
        <v>2776</v>
      </c>
      <c r="B4247" s="1" t="s">
        <v>802</v>
      </c>
      <c r="C4247" s="1" t="s">
        <v>2777</v>
      </c>
      <c r="D4247" s="1" t="s">
        <v>746</v>
      </c>
      <c r="E4247" s="1" t="s">
        <v>747</v>
      </c>
      <c r="F4247" s="1" t="s">
        <v>748</v>
      </c>
      <c r="G4247" s="1" t="s">
        <v>2769</v>
      </c>
      <c r="H4247">
        <v>2011</v>
      </c>
      <c r="I4247">
        <v>2011</v>
      </c>
      <c r="J4247">
        <f t="shared" si="132"/>
        <v>1</v>
      </c>
      <c r="K4247" s="1" t="s">
        <v>741</v>
      </c>
      <c r="L4247" s="1" t="s">
        <v>666</v>
      </c>
      <c r="M4247">
        <f t="shared" si="133"/>
        <v>15</v>
      </c>
      <c r="N4247" t="s">
        <v>650</v>
      </c>
    </row>
    <row r="4248" spans="1:14" hidden="1" x14ac:dyDescent="0.3">
      <c r="A4248" s="1" t="s">
        <v>2778</v>
      </c>
      <c r="B4248" s="1" t="s">
        <v>802</v>
      </c>
      <c r="C4248" s="1" t="s">
        <v>2779</v>
      </c>
      <c r="D4248" s="1" t="s">
        <v>746</v>
      </c>
      <c r="E4248" s="1" t="s">
        <v>747</v>
      </c>
      <c r="F4248" s="1" t="s">
        <v>748</v>
      </c>
      <c r="G4248" s="1" t="s">
        <v>2769</v>
      </c>
      <c r="H4248">
        <v>2011</v>
      </c>
      <c r="I4248">
        <v>2011</v>
      </c>
      <c r="J4248">
        <f t="shared" si="132"/>
        <v>1</v>
      </c>
      <c r="K4248" s="1" t="s">
        <v>741</v>
      </c>
      <c r="L4248" s="1" t="s">
        <v>666</v>
      </c>
      <c r="M4248">
        <f t="shared" si="133"/>
        <v>15</v>
      </c>
      <c r="N4248" t="s">
        <v>650</v>
      </c>
    </row>
    <row r="4249" spans="1:14" x14ac:dyDescent="0.3">
      <c r="A4249" s="1" t="s">
        <v>9439</v>
      </c>
      <c r="B4249" s="1" t="s">
        <v>802</v>
      </c>
      <c r="C4249" s="1" t="s">
        <v>9440</v>
      </c>
      <c r="D4249" s="1" t="s">
        <v>746</v>
      </c>
      <c r="E4249" s="1" t="s">
        <v>6076</v>
      </c>
      <c r="F4249" s="1" t="s">
        <v>6076</v>
      </c>
      <c r="G4249" s="1" t="s">
        <v>2769</v>
      </c>
      <c r="H4249">
        <v>2011</v>
      </c>
      <c r="I4249">
        <v>2011</v>
      </c>
      <c r="J4249">
        <f t="shared" si="132"/>
        <v>1</v>
      </c>
      <c r="K4249" s="1" t="s">
        <v>6076</v>
      </c>
      <c r="L4249" s="1" t="s">
        <v>6076</v>
      </c>
      <c r="M4249">
        <f t="shared" si="133"/>
        <v>15</v>
      </c>
      <c r="N4249" t="s">
        <v>650</v>
      </c>
    </row>
    <row r="4250" spans="1:14" x14ac:dyDescent="0.3">
      <c r="A4250" s="1" t="s">
        <v>9441</v>
      </c>
      <c r="B4250" s="1" t="s">
        <v>802</v>
      </c>
      <c r="C4250" s="1" t="s">
        <v>9442</v>
      </c>
      <c r="D4250" s="1" t="s">
        <v>746</v>
      </c>
      <c r="E4250" s="1" t="s">
        <v>6076</v>
      </c>
      <c r="F4250" s="1" t="s">
        <v>6076</v>
      </c>
      <c r="G4250" s="1" t="s">
        <v>2769</v>
      </c>
      <c r="H4250">
        <v>2011</v>
      </c>
      <c r="I4250">
        <v>2011</v>
      </c>
      <c r="J4250">
        <f t="shared" si="132"/>
        <v>1</v>
      </c>
      <c r="K4250" s="1" t="s">
        <v>6076</v>
      </c>
      <c r="L4250" s="1" t="s">
        <v>6076</v>
      </c>
      <c r="M4250">
        <f t="shared" si="133"/>
        <v>15</v>
      </c>
      <c r="N4250" t="s">
        <v>650</v>
      </c>
    </row>
    <row r="4251" spans="1:14" x14ac:dyDescent="0.3">
      <c r="A4251" s="1" t="s">
        <v>9443</v>
      </c>
      <c r="B4251" s="1" t="s">
        <v>802</v>
      </c>
      <c r="C4251" s="1" t="s">
        <v>9444</v>
      </c>
      <c r="D4251" s="1" t="s">
        <v>746</v>
      </c>
      <c r="E4251" s="1" t="s">
        <v>6076</v>
      </c>
      <c r="F4251" s="1" t="s">
        <v>6076</v>
      </c>
      <c r="G4251" s="1" t="s">
        <v>2769</v>
      </c>
      <c r="H4251">
        <v>2014</v>
      </c>
      <c r="I4251">
        <v>2014</v>
      </c>
      <c r="J4251">
        <f t="shared" si="132"/>
        <v>1</v>
      </c>
      <c r="K4251" s="1" t="s">
        <v>6076</v>
      </c>
      <c r="L4251" s="1" t="s">
        <v>6076</v>
      </c>
      <c r="M4251">
        <f t="shared" si="133"/>
        <v>12</v>
      </c>
      <c r="N4251" t="s">
        <v>650</v>
      </c>
    </row>
    <row r="4252" spans="1:14" x14ac:dyDescent="0.3">
      <c r="A4252" s="1" t="s">
        <v>9445</v>
      </c>
      <c r="B4252" s="1" t="s">
        <v>802</v>
      </c>
      <c r="C4252" s="1" t="s">
        <v>9446</v>
      </c>
      <c r="D4252" s="1" t="s">
        <v>746</v>
      </c>
      <c r="E4252" s="1" t="s">
        <v>6076</v>
      </c>
      <c r="F4252" s="1" t="s">
        <v>6076</v>
      </c>
      <c r="G4252" s="1" t="s">
        <v>2769</v>
      </c>
      <c r="H4252">
        <v>2014</v>
      </c>
      <c r="I4252">
        <v>2014</v>
      </c>
      <c r="J4252">
        <f t="shared" si="132"/>
        <v>1</v>
      </c>
      <c r="K4252" s="1" t="s">
        <v>6076</v>
      </c>
      <c r="L4252" s="1" t="s">
        <v>6076</v>
      </c>
      <c r="M4252">
        <f t="shared" si="133"/>
        <v>12</v>
      </c>
      <c r="N4252" t="s">
        <v>650</v>
      </c>
    </row>
    <row r="4253" spans="1:14" hidden="1" x14ac:dyDescent="0.3">
      <c r="A4253" s="1" t="s">
        <v>2780</v>
      </c>
      <c r="B4253" s="1" t="s">
        <v>802</v>
      </c>
      <c r="C4253" s="1" t="s">
        <v>2781</v>
      </c>
      <c r="D4253" s="1" t="s">
        <v>746</v>
      </c>
      <c r="E4253" s="1" t="s">
        <v>747</v>
      </c>
      <c r="F4253" s="1" t="s">
        <v>748</v>
      </c>
      <c r="G4253" s="1" t="s">
        <v>2769</v>
      </c>
      <c r="H4253">
        <v>2008</v>
      </c>
      <c r="I4253">
        <v>2008</v>
      </c>
      <c r="J4253">
        <f t="shared" si="132"/>
        <v>1</v>
      </c>
      <c r="K4253" s="1" t="s">
        <v>741</v>
      </c>
      <c r="L4253" s="1" t="s">
        <v>666</v>
      </c>
      <c r="M4253">
        <f t="shared" si="133"/>
        <v>18</v>
      </c>
      <c r="N4253" t="s">
        <v>650</v>
      </c>
    </row>
    <row r="4254" spans="1:14" x14ac:dyDescent="0.3">
      <c r="A4254" s="1" t="s">
        <v>9447</v>
      </c>
      <c r="B4254" s="1" t="s">
        <v>802</v>
      </c>
      <c r="C4254" s="1" t="s">
        <v>9448</v>
      </c>
      <c r="D4254" s="1" t="s">
        <v>746</v>
      </c>
      <c r="E4254" s="1" t="s">
        <v>6076</v>
      </c>
      <c r="F4254" s="1" t="s">
        <v>6076</v>
      </c>
      <c r="G4254" s="1" t="s">
        <v>2769</v>
      </c>
      <c r="H4254">
        <v>1995</v>
      </c>
      <c r="I4254">
        <v>1995</v>
      </c>
      <c r="J4254">
        <f t="shared" si="132"/>
        <v>1</v>
      </c>
      <c r="K4254" s="1" t="s">
        <v>6076</v>
      </c>
      <c r="L4254" s="1" t="s">
        <v>6076</v>
      </c>
      <c r="M4254">
        <f t="shared" si="133"/>
        <v>31</v>
      </c>
      <c r="N4254" t="s">
        <v>640</v>
      </c>
    </row>
    <row r="4255" spans="1:14" hidden="1" x14ac:dyDescent="0.3">
      <c r="A4255" s="1" t="s">
        <v>9449</v>
      </c>
      <c r="B4255" s="1" t="s">
        <v>802</v>
      </c>
      <c r="C4255" s="1" t="s">
        <v>9450</v>
      </c>
      <c r="D4255" s="1" t="s">
        <v>746</v>
      </c>
      <c r="E4255" s="1" t="s">
        <v>747</v>
      </c>
      <c r="F4255" s="1" t="s">
        <v>748</v>
      </c>
      <c r="G4255" s="1" t="s">
        <v>2769</v>
      </c>
      <c r="H4255">
        <v>2008</v>
      </c>
      <c r="I4255">
        <v>2016</v>
      </c>
      <c r="J4255">
        <f t="shared" si="132"/>
        <v>9</v>
      </c>
      <c r="K4255" s="1" t="s">
        <v>741</v>
      </c>
      <c r="L4255" s="1" t="s">
        <v>649</v>
      </c>
      <c r="M4255">
        <f t="shared" si="133"/>
        <v>10</v>
      </c>
      <c r="N4255" t="s">
        <v>640</v>
      </c>
    </row>
    <row r="4256" spans="1:14" x14ac:dyDescent="0.3">
      <c r="A4256" s="1" t="s">
        <v>9451</v>
      </c>
      <c r="B4256" s="1" t="s">
        <v>802</v>
      </c>
      <c r="C4256" s="1" t="s">
        <v>9452</v>
      </c>
      <c r="D4256" s="1" t="s">
        <v>746</v>
      </c>
      <c r="E4256" s="1" t="s">
        <v>6076</v>
      </c>
      <c r="F4256" s="1" t="s">
        <v>6076</v>
      </c>
      <c r="G4256" s="1" t="s">
        <v>2769</v>
      </c>
      <c r="H4256">
        <v>2011</v>
      </c>
      <c r="I4256">
        <v>2011</v>
      </c>
      <c r="J4256">
        <f t="shared" si="132"/>
        <v>1</v>
      </c>
      <c r="K4256" s="1" t="s">
        <v>6076</v>
      </c>
      <c r="L4256" s="1" t="s">
        <v>6076</v>
      </c>
      <c r="M4256">
        <f t="shared" si="133"/>
        <v>15</v>
      </c>
      <c r="N4256" t="s">
        <v>650</v>
      </c>
    </row>
    <row r="4257" spans="1:14" x14ac:dyDescent="0.3">
      <c r="A4257" s="1" t="s">
        <v>9453</v>
      </c>
      <c r="B4257" s="1" t="s">
        <v>802</v>
      </c>
      <c r="C4257" s="1" t="s">
        <v>9454</v>
      </c>
      <c r="D4257" s="1" t="s">
        <v>746</v>
      </c>
      <c r="E4257" s="1" t="s">
        <v>6076</v>
      </c>
      <c r="F4257" s="1" t="s">
        <v>6076</v>
      </c>
      <c r="G4257" s="1" t="s">
        <v>2769</v>
      </c>
      <c r="H4257">
        <v>1995</v>
      </c>
      <c r="I4257">
        <v>1995</v>
      </c>
      <c r="J4257">
        <f t="shared" si="132"/>
        <v>1</v>
      </c>
      <c r="K4257" s="1" t="s">
        <v>6076</v>
      </c>
      <c r="L4257" s="1" t="s">
        <v>6076</v>
      </c>
      <c r="M4257">
        <f t="shared" si="133"/>
        <v>31</v>
      </c>
      <c r="N4257" t="s">
        <v>640</v>
      </c>
    </row>
    <row r="4258" spans="1:14" x14ac:dyDescent="0.3">
      <c r="A4258" s="1" t="s">
        <v>9455</v>
      </c>
      <c r="B4258" s="1" t="s">
        <v>802</v>
      </c>
      <c r="C4258" s="1" t="s">
        <v>9456</v>
      </c>
      <c r="D4258" s="1" t="s">
        <v>746</v>
      </c>
      <c r="E4258" s="1" t="s">
        <v>6076</v>
      </c>
      <c r="F4258" s="1" t="s">
        <v>6076</v>
      </c>
      <c r="G4258" s="1" t="s">
        <v>2769</v>
      </c>
      <c r="H4258">
        <v>2009</v>
      </c>
      <c r="I4258">
        <v>2009</v>
      </c>
      <c r="J4258">
        <f t="shared" si="132"/>
        <v>1</v>
      </c>
      <c r="K4258" s="1" t="s">
        <v>6076</v>
      </c>
      <c r="L4258" s="1" t="s">
        <v>6076</v>
      </c>
      <c r="M4258">
        <f t="shared" si="133"/>
        <v>17</v>
      </c>
      <c r="N4258" t="s">
        <v>650</v>
      </c>
    </row>
    <row r="4259" spans="1:14" x14ac:dyDescent="0.3">
      <c r="A4259" s="1" t="s">
        <v>389</v>
      </c>
      <c r="B4259" s="1" t="s">
        <v>5940</v>
      </c>
      <c r="C4259" s="1" t="s">
        <v>390</v>
      </c>
      <c r="D4259" s="1" t="s">
        <v>1395</v>
      </c>
      <c r="E4259" s="1" t="s">
        <v>6076</v>
      </c>
      <c r="F4259" s="1" t="s">
        <v>6076</v>
      </c>
      <c r="G4259" s="1" t="s">
        <v>9457</v>
      </c>
      <c r="H4259">
        <v>2016</v>
      </c>
      <c r="I4259">
        <v>2019</v>
      </c>
      <c r="J4259">
        <f t="shared" si="132"/>
        <v>4</v>
      </c>
      <c r="K4259" s="1" t="s">
        <v>6076</v>
      </c>
      <c r="L4259" s="1" t="s">
        <v>6076</v>
      </c>
      <c r="M4259">
        <f t="shared" si="133"/>
        <v>7</v>
      </c>
    </row>
    <row r="4260" spans="1:14" x14ac:dyDescent="0.3">
      <c r="A4260" t="s">
        <v>391</v>
      </c>
      <c r="B4260" t="s">
        <v>5940</v>
      </c>
      <c r="C4260" t="s">
        <v>392</v>
      </c>
      <c r="E4260" s="1" t="s">
        <v>6076</v>
      </c>
      <c r="F4260" s="1" t="s">
        <v>6076</v>
      </c>
      <c r="G4260" s="1" t="s">
        <v>9457</v>
      </c>
      <c r="H4260">
        <v>2024</v>
      </c>
      <c r="I4260">
        <v>2024</v>
      </c>
      <c r="J4260">
        <f t="shared" si="132"/>
        <v>1</v>
      </c>
      <c r="K4260" s="1" t="s">
        <v>6076</v>
      </c>
      <c r="L4260" s="1" t="s">
        <v>6076</v>
      </c>
      <c r="M4260">
        <f t="shared" si="133"/>
        <v>2</v>
      </c>
    </row>
    <row r="4261" spans="1:14" x14ac:dyDescent="0.3">
      <c r="A4261" s="1" t="s">
        <v>393</v>
      </c>
      <c r="B4261" s="1" t="s">
        <v>5940</v>
      </c>
      <c r="C4261" s="1" t="s">
        <v>394</v>
      </c>
      <c r="D4261" s="1" t="s">
        <v>1395</v>
      </c>
      <c r="E4261" s="1" t="s">
        <v>6076</v>
      </c>
      <c r="F4261" s="1" t="s">
        <v>6076</v>
      </c>
      <c r="G4261" s="1" t="s">
        <v>9457</v>
      </c>
      <c r="H4261">
        <v>2013</v>
      </c>
      <c r="I4261">
        <v>2018</v>
      </c>
      <c r="J4261">
        <f t="shared" si="132"/>
        <v>6</v>
      </c>
      <c r="K4261" s="1" t="s">
        <v>6076</v>
      </c>
      <c r="L4261" s="1" t="s">
        <v>6076</v>
      </c>
      <c r="M4261">
        <f t="shared" si="133"/>
        <v>8</v>
      </c>
    </row>
    <row r="4262" spans="1:14" x14ac:dyDescent="0.3">
      <c r="A4262" s="1" t="s">
        <v>395</v>
      </c>
      <c r="B4262" s="1" t="s">
        <v>5940</v>
      </c>
      <c r="C4262" s="1" t="s">
        <v>396</v>
      </c>
      <c r="D4262" s="1" t="s">
        <v>1395</v>
      </c>
      <c r="E4262" s="1" t="s">
        <v>6076</v>
      </c>
      <c r="F4262" s="1" t="s">
        <v>6076</v>
      </c>
      <c r="G4262" s="1" t="s">
        <v>9457</v>
      </c>
      <c r="H4262">
        <v>2013</v>
      </c>
      <c r="I4262">
        <v>2018</v>
      </c>
      <c r="J4262">
        <f t="shared" si="132"/>
        <v>6</v>
      </c>
      <c r="K4262" s="1" t="s">
        <v>6076</v>
      </c>
      <c r="L4262" s="1" t="s">
        <v>6076</v>
      </c>
      <c r="M4262">
        <f t="shared" si="133"/>
        <v>8</v>
      </c>
    </row>
    <row r="4263" spans="1:14" x14ac:dyDescent="0.3">
      <c r="A4263" s="1" t="s">
        <v>397</v>
      </c>
      <c r="B4263" s="1" t="s">
        <v>5940</v>
      </c>
      <c r="C4263" s="1" t="s">
        <v>398</v>
      </c>
      <c r="D4263" s="1" t="s">
        <v>1395</v>
      </c>
      <c r="E4263" s="1" t="s">
        <v>6076</v>
      </c>
      <c r="F4263" s="1" t="s">
        <v>6076</v>
      </c>
      <c r="G4263" s="1" t="s">
        <v>9457</v>
      </c>
      <c r="H4263">
        <v>2018</v>
      </c>
      <c r="I4263">
        <v>2022</v>
      </c>
      <c r="J4263">
        <f t="shared" si="132"/>
        <v>5</v>
      </c>
      <c r="K4263" s="1" t="s">
        <v>6076</v>
      </c>
      <c r="L4263" s="1" t="s">
        <v>6076</v>
      </c>
      <c r="M4263">
        <f t="shared" si="133"/>
        <v>4</v>
      </c>
    </row>
    <row r="4264" spans="1:14" x14ac:dyDescent="0.3">
      <c r="A4264" s="1" t="s">
        <v>399</v>
      </c>
      <c r="B4264" s="1" t="s">
        <v>5940</v>
      </c>
      <c r="C4264" s="1" t="s">
        <v>400</v>
      </c>
      <c r="D4264" s="1" t="s">
        <v>1395</v>
      </c>
      <c r="E4264" s="1" t="s">
        <v>6076</v>
      </c>
      <c r="F4264" s="1" t="s">
        <v>6076</v>
      </c>
      <c r="G4264" s="1" t="s">
        <v>9457</v>
      </c>
      <c r="H4264">
        <v>2021</v>
      </c>
      <c r="I4264">
        <v>2022</v>
      </c>
      <c r="J4264">
        <f t="shared" si="132"/>
        <v>2</v>
      </c>
      <c r="K4264" s="1" t="s">
        <v>6076</v>
      </c>
      <c r="L4264" s="1" t="s">
        <v>6076</v>
      </c>
      <c r="M4264">
        <f t="shared" si="133"/>
        <v>4</v>
      </c>
    </row>
    <row r="4265" spans="1:14" x14ac:dyDescent="0.3">
      <c r="A4265" s="1" t="s">
        <v>401</v>
      </c>
      <c r="B4265" s="1" t="s">
        <v>5940</v>
      </c>
      <c r="C4265" s="1" t="s">
        <v>402</v>
      </c>
      <c r="D4265" s="1" t="s">
        <v>1395</v>
      </c>
      <c r="E4265" s="1" t="s">
        <v>6076</v>
      </c>
      <c r="F4265" s="1" t="s">
        <v>6076</v>
      </c>
      <c r="G4265" s="1" t="s">
        <v>9457</v>
      </c>
      <c r="H4265">
        <v>2019</v>
      </c>
      <c r="I4265">
        <v>2022</v>
      </c>
      <c r="J4265">
        <f t="shared" si="132"/>
        <v>4</v>
      </c>
      <c r="K4265" s="1" t="s">
        <v>6076</v>
      </c>
      <c r="L4265" s="1" t="s">
        <v>6076</v>
      </c>
      <c r="M4265">
        <f t="shared" si="133"/>
        <v>4</v>
      </c>
    </row>
    <row r="4266" spans="1:14" x14ac:dyDescent="0.3">
      <c r="A4266" t="s">
        <v>403</v>
      </c>
      <c r="B4266" t="s">
        <v>5940</v>
      </c>
      <c r="C4266" t="s">
        <v>404</v>
      </c>
      <c r="E4266" s="1" t="s">
        <v>6076</v>
      </c>
      <c r="F4266" s="1" t="s">
        <v>6076</v>
      </c>
      <c r="G4266" s="1" t="s">
        <v>9457</v>
      </c>
      <c r="H4266">
        <v>2022</v>
      </c>
      <c r="I4266">
        <v>2026</v>
      </c>
      <c r="J4266">
        <f t="shared" si="132"/>
        <v>5</v>
      </c>
      <c r="K4266" s="1" t="s">
        <v>6076</v>
      </c>
      <c r="L4266" s="1" t="s">
        <v>6076</v>
      </c>
      <c r="M4266">
        <f t="shared" si="133"/>
        <v>0</v>
      </c>
    </row>
    <row r="4267" spans="1:14" x14ac:dyDescent="0.3">
      <c r="A4267" t="s">
        <v>405</v>
      </c>
      <c r="B4267" t="s">
        <v>5940</v>
      </c>
      <c r="C4267" t="s">
        <v>406</v>
      </c>
      <c r="E4267" s="1" t="s">
        <v>6076</v>
      </c>
      <c r="F4267" s="1" t="s">
        <v>6076</v>
      </c>
      <c r="G4267" s="1" t="s">
        <v>9457</v>
      </c>
      <c r="H4267">
        <v>2024</v>
      </c>
      <c r="I4267">
        <v>2026</v>
      </c>
      <c r="J4267">
        <f t="shared" si="132"/>
        <v>3</v>
      </c>
      <c r="K4267" s="1" t="s">
        <v>6076</v>
      </c>
      <c r="L4267" s="1" t="s">
        <v>6076</v>
      </c>
      <c r="M4267">
        <f t="shared" si="133"/>
        <v>0</v>
      </c>
    </row>
    <row r="4268" spans="1:14" x14ac:dyDescent="0.3">
      <c r="A4268" t="s">
        <v>407</v>
      </c>
      <c r="B4268" t="s">
        <v>5940</v>
      </c>
      <c r="C4268" t="s">
        <v>408</v>
      </c>
      <c r="E4268" s="1" t="s">
        <v>6076</v>
      </c>
      <c r="F4268" s="1" t="s">
        <v>6076</v>
      </c>
      <c r="G4268" s="1" t="s">
        <v>9457</v>
      </c>
      <c r="H4268">
        <v>2022</v>
      </c>
      <c r="I4268">
        <v>2026</v>
      </c>
      <c r="J4268">
        <f t="shared" si="132"/>
        <v>5</v>
      </c>
      <c r="K4268" s="1" t="s">
        <v>6076</v>
      </c>
      <c r="L4268" s="1" t="s">
        <v>6076</v>
      </c>
      <c r="M4268">
        <f t="shared" si="133"/>
        <v>0</v>
      </c>
    </row>
    <row r="4269" spans="1:14" x14ac:dyDescent="0.3">
      <c r="A4269" s="1" t="s">
        <v>409</v>
      </c>
      <c r="B4269" s="1" t="s">
        <v>5940</v>
      </c>
      <c r="C4269" s="1" t="s">
        <v>410</v>
      </c>
      <c r="D4269" s="1" t="s">
        <v>1395</v>
      </c>
      <c r="E4269" s="1" t="s">
        <v>6076</v>
      </c>
      <c r="F4269" s="1" t="s">
        <v>6076</v>
      </c>
      <c r="G4269" s="1" t="s">
        <v>9457</v>
      </c>
      <c r="H4269">
        <v>2019</v>
      </c>
      <c r="I4269">
        <v>2022</v>
      </c>
      <c r="J4269">
        <f t="shared" si="132"/>
        <v>4</v>
      </c>
      <c r="K4269" s="1" t="s">
        <v>6076</v>
      </c>
      <c r="L4269" s="1" t="s">
        <v>6076</v>
      </c>
      <c r="M4269">
        <f t="shared" si="133"/>
        <v>4</v>
      </c>
    </row>
    <row r="4270" spans="1:14" x14ac:dyDescent="0.3">
      <c r="A4270" t="s">
        <v>411</v>
      </c>
      <c r="B4270" t="s">
        <v>5940</v>
      </c>
      <c r="C4270" t="s">
        <v>412</v>
      </c>
      <c r="E4270" s="1" t="s">
        <v>6076</v>
      </c>
      <c r="F4270" s="1" t="s">
        <v>6076</v>
      </c>
      <c r="G4270" s="1" t="s">
        <v>9457</v>
      </c>
      <c r="H4270">
        <v>2022</v>
      </c>
      <c r="I4270">
        <v>2026</v>
      </c>
      <c r="J4270">
        <f t="shared" si="132"/>
        <v>5</v>
      </c>
      <c r="K4270" s="1" t="s">
        <v>6076</v>
      </c>
      <c r="L4270" s="1" t="s">
        <v>6076</v>
      </c>
      <c r="M4270">
        <f t="shared" si="133"/>
        <v>0</v>
      </c>
    </row>
    <row r="4271" spans="1:14" x14ac:dyDescent="0.3">
      <c r="A4271" t="s">
        <v>413</v>
      </c>
      <c r="B4271" t="s">
        <v>5940</v>
      </c>
      <c r="C4271" t="s">
        <v>414</v>
      </c>
      <c r="E4271" s="1" t="s">
        <v>6076</v>
      </c>
      <c r="F4271" s="1" t="s">
        <v>6076</v>
      </c>
      <c r="G4271" s="1" t="s">
        <v>9457</v>
      </c>
      <c r="H4271">
        <v>2022</v>
      </c>
      <c r="I4271">
        <v>2026</v>
      </c>
      <c r="J4271">
        <f t="shared" si="132"/>
        <v>5</v>
      </c>
      <c r="K4271" s="1" t="s">
        <v>6076</v>
      </c>
      <c r="L4271" s="1" t="s">
        <v>6076</v>
      </c>
      <c r="M4271">
        <f t="shared" si="133"/>
        <v>0</v>
      </c>
    </row>
    <row r="4272" spans="1:14" x14ac:dyDescent="0.3">
      <c r="A4272" t="s">
        <v>415</v>
      </c>
      <c r="B4272" t="s">
        <v>5940</v>
      </c>
      <c r="C4272" t="s">
        <v>416</v>
      </c>
      <c r="E4272" s="1" t="s">
        <v>6076</v>
      </c>
      <c r="F4272" s="1" t="s">
        <v>6076</v>
      </c>
      <c r="G4272" s="1" t="s">
        <v>9457</v>
      </c>
      <c r="H4272">
        <v>2024</v>
      </c>
      <c r="I4272">
        <v>2026</v>
      </c>
      <c r="J4272">
        <f t="shared" si="132"/>
        <v>3</v>
      </c>
      <c r="K4272" s="1" t="s">
        <v>6076</v>
      </c>
      <c r="L4272" s="1" t="s">
        <v>6076</v>
      </c>
      <c r="M4272">
        <f t="shared" si="133"/>
        <v>0</v>
      </c>
    </row>
    <row r="4273" spans="1:13" x14ac:dyDescent="0.3">
      <c r="A4273" t="s">
        <v>417</v>
      </c>
      <c r="B4273" t="s">
        <v>5940</v>
      </c>
      <c r="C4273" t="s">
        <v>418</v>
      </c>
      <c r="E4273" s="1" t="s">
        <v>6076</v>
      </c>
      <c r="F4273" s="1" t="s">
        <v>6076</v>
      </c>
      <c r="G4273" s="1" t="s">
        <v>9457</v>
      </c>
      <c r="H4273">
        <v>2022</v>
      </c>
      <c r="I4273">
        <v>2026</v>
      </c>
      <c r="J4273">
        <f t="shared" si="132"/>
        <v>5</v>
      </c>
      <c r="K4273" s="1" t="s">
        <v>6076</v>
      </c>
      <c r="L4273" s="1" t="s">
        <v>6076</v>
      </c>
      <c r="M4273">
        <f t="shared" si="133"/>
        <v>0</v>
      </c>
    </row>
    <row r="4274" spans="1:13" x14ac:dyDescent="0.3">
      <c r="A4274" t="s">
        <v>419</v>
      </c>
      <c r="B4274" t="s">
        <v>5940</v>
      </c>
      <c r="C4274" t="s">
        <v>420</v>
      </c>
      <c r="E4274" s="1" t="s">
        <v>6076</v>
      </c>
      <c r="F4274" s="1" t="s">
        <v>6076</v>
      </c>
      <c r="G4274" s="1" t="s">
        <v>9457</v>
      </c>
      <c r="H4274">
        <v>2024</v>
      </c>
      <c r="I4274">
        <v>2024</v>
      </c>
      <c r="J4274">
        <f t="shared" si="132"/>
        <v>1</v>
      </c>
      <c r="K4274" s="1" t="s">
        <v>6076</v>
      </c>
      <c r="L4274" s="1" t="s">
        <v>6076</v>
      </c>
      <c r="M4274">
        <f t="shared" si="133"/>
        <v>2</v>
      </c>
    </row>
    <row r="4275" spans="1:13" x14ac:dyDescent="0.3">
      <c r="A4275" s="1" t="s">
        <v>421</v>
      </c>
      <c r="B4275" s="1" t="s">
        <v>5940</v>
      </c>
      <c r="C4275" s="1" t="s">
        <v>422</v>
      </c>
      <c r="D4275" s="1" t="s">
        <v>1395</v>
      </c>
      <c r="E4275" s="1" t="s">
        <v>6076</v>
      </c>
      <c r="F4275" s="1" t="s">
        <v>6076</v>
      </c>
      <c r="G4275" s="1" t="s">
        <v>9458</v>
      </c>
      <c r="H4275">
        <v>2013</v>
      </c>
      <c r="I4275">
        <v>2017</v>
      </c>
      <c r="J4275">
        <f t="shared" si="132"/>
        <v>5</v>
      </c>
      <c r="K4275" s="1" t="s">
        <v>6076</v>
      </c>
      <c r="L4275" s="1" t="s">
        <v>6076</v>
      </c>
      <c r="M4275">
        <f t="shared" si="133"/>
        <v>9</v>
      </c>
    </row>
    <row r="4276" spans="1:13" x14ac:dyDescent="0.3">
      <c r="A4276" s="1" t="s">
        <v>423</v>
      </c>
      <c r="B4276" s="1" t="s">
        <v>5940</v>
      </c>
      <c r="C4276" s="1" t="s">
        <v>424</v>
      </c>
      <c r="D4276" s="1" t="s">
        <v>1395</v>
      </c>
      <c r="E4276" s="1" t="s">
        <v>6076</v>
      </c>
      <c r="F4276" s="1" t="s">
        <v>6076</v>
      </c>
      <c r="G4276" s="1" t="s">
        <v>9458</v>
      </c>
      <c r="H4276">
        <v>2009</v>
      </c>
      <c r="I4276">
        <v>2013</v>
      </c>
      <c r="J4276">
        <f t="shared" si="132"/>
        <v>5</v>
      </c>
      <c r="K4276" s="1" t="s">
        <v>6076</v>
      </c>
      <c r="L4276" s="1" t="s">
        <v>6076</v>
      </c>
      <c r="M4276">
        <f t="shared" si="133"/>
        <v>13</v>
      </c>
    </row>
    <row r="4277" spans="1:13" x14ac:dyDescent="0.3">
      <c r="A4277" s="1" t="s">
        <v>425</v>
      </c>
      <c r="B4277" s="1" t="s">
        <v>5940</v>
      </c>
      <c r="C4277" s="1" t="s">
        <v>426</v>
      </c>
      <c r="D4277" s="1" t="s">
        <v>1395</v>
      </c>
      <c r="E4277" s="1" t="s">
        <v>6076</v>
      </c>
      <c r="F4277" s="1" t="s">
        <v>6076</v>
      </c>
      <c r="G4277" s="1" t="s">
        <v>9458</v>
      </c>
      <c r="H4277">
        <v>2018</v>
      </c>
      <c r="I4277">
        <v>2020</v>
      </c>
      <c r="J4277">
        <f t="shared" si="132"/>
        <v>3</v>
      </c>
      <c r="K4277" s="1" t="s">
        <v>6076</v>
      </c>
      <c r="L4277" s="1" t="s">
        <v>6076</v>
      </c>
      <c r="M4277">
        <f t="shared" si="133"/>
        <v>6</v>
      </c>
    </row>
    <row r="4278" spans="1:13" x14ac:dyDescent="0.3">
      <c r="A4278" s="1" t="s">
        <v>427</v>
      </c>
      <c r="B4278" s="1" t="s">
        <v>5940</v>
      </c>
      <c r="C4278" s="1" t="s">
        <v>428</v>
      </c>
      <c r="D4278" s="1" t="s">
        <v>1395</v>
      </c>
      <c r="E4278" s="1" t="s">
        <v>6076</v>
      </c>
      <c r="F4278" s="1" t="s">
        <v>6076</v>
      </c>
      <c r="G4278" s="1" t="s">
        <v>9458</v>
      </c>
      <c r="H4278">
        <v>2013</v>
      </c>
      <c r="I4278">
        <v>2016</v>
      </c>
      <c r="J4278">
        <f t="shared" si="132"/>
        <v>4</v>
      </c>
      <c r="K4278" s="1" t="s">
        <v>6076</v>
      </c>
      <c r="L4278" s="1" t="s">
        <v>6076</v>
      </c>
      <c r="M4278">
        <f t="shared" si="133"/>
        <v>10</v>
      </c>
    </row>
    <row r="4279" spans="1:13" x14ac:dyDescent="0.3">
      <c r="A4279" s="1" t="s">
        <v>429</v>
      </c>
      <c r="B4279" s="1" t="s">
        <v>5940</v>
      </c>
      <c r="C4279" s="1" t="s">
        <v>430</v>
      </c>
      <c r="D4279" s="1" t="s">
        <v>1395</v>
      </c>
      <c r="E4279" s="1" t="s">
        <v>6076</v>
      </c>
      <c r="F4279" s="1" t="s">
        <v>6076</v>
      </c>
      <c r="G4279" s="1" t="s">
        <v>9458</v>
      </c>
      <c r="H4279">
        <v>2009</v>
      </c>
      <c r="I4279">
        <v>2012</v>
      </c>
      <c r="J4279">
        <f t="shared" si="132"/>
        <v>4</v>
      </c>
      <c r="K4279" s="1" t="s">
        <v>6076</v>
      </c>
      <c r="L4279" s="1" t="s">
        <v>6076</v>
      </c>
      <c r="M4279">
        <f t="shared" si="133"/>
        <v>14</v>
      </c>
    </row>
    <row r="4280" spans="1:13" x14ac:dyDescent="0.3">
      <c r="A4280" t="s">
        <v>431</v>
      </c>
      <c r="B4280" t="s">
        <v>5940</v>
      </c>
      <c r="C4280" t="s">
        <v>432</v>
      </c>
      <c r="E4280" s="1" t="s">
        <v>6076</v>
      </c>
      <c r="F4280" s="1" t="s">
        <v>6076</v>
      </c>
      <c r="G4280" s="1" t="s">
        <v>9458</v>
      </c>
      <c r="H4280">
        <v>2025</v>
      </c>
      <c r="I4280">
        <v>2026</v>
      </c>
      <c r="J4280">
        <f t="shared" si="132"/>
        <v>2</v>
      </c>
      <c r="K4280" s="1" t="s">
        <v>6076</v>
      </c>
      <c r="L4280" s="1" t="s">
        <v>6076</v>
      </c>
      <c r="M4280">
        <f t="shared" si="133"/>
        <v>0</v>
      </c>
    </row>
    <row r="4281" spans="1:13" x14ac:dyDescent="0.3">
      <c r="A4281" s="1" t="s">
        <v>433</v>
      </c>
      <c r="B4281" s="1" t="s">
        <v>5940</v>
      </c>
      <c r="C4281" s="1" t="s">
        <v>434</v>
      </c>
      <c r="D4281" s="1" t="s">
        <v>1395</v>
      </c>
      <c r="E4281" s="1" t="s">
        <v>6076</v>
      </c>
      <c r="F4281" s="1" t="s">
        <v>6076</v>
      </c>
      <c r="G4281" s="1" t="s">
        <v>9458</v>
      </c>
      <c r="H4281">
        <v>2018</v>
      </c>
      <c r="I4281">
        <v>2018</v>
      </c>
      <c r="J4281">
        <f t="shared" si="132"/>
        <v>1</v>
      </c>
      <c r="K4281" s="1" t="s">
        <v>6076</v>
      </c>
      <c r="L4281" s="1" t="s">
        <v>6076</v>
      </c>
      <c r="M4281">
        <f t="shared" si="133"/>
        <v>8</v>
      </c>
    </row>
    <row r="4282" spans="1:13" x14ac:dyDescent="0.3">
      <c r="A4282" s="1" t="s">
        <v>435</v>
      </c>
      <c r="B4282" s="1" t="s">
        <v>5940</v>
      </c>
      <c r="C4282" s="1" t="s">
        <v>436</v>
      </c>
      <c r="D4282" s="1" t="s">
        <v>1395</v>
      </c>
      <c r="E4282" s="1" t="s">
        <v>6076</v>
      </c>
      <c r="F4282" s="1" t="s">
        <v>6076</v>
      </c>
      <c r="G4282" s="1" t="s">
        <v>9458</v>
      </c>
      <c r="H4282">
        <v>2018</v>
      </c>
      <c r="I4282">
        <v>2018</v>
      </c>
      <c r="J4282">
        <f t="shared" si="132"/>
        <v>1</v>
      </c>
      <c r="K4282" s="1" t="s">
        <v>6076</v>
      </c>
      <c r="L4282" s="1" t="s">
        <v>6076</v>
      </c>
      <c r="M4282">
        <f t="shared" si="133"/>
        <v>8</v>
      </c>
    </row>
    <row r="4283" spans="1:13" x14ac:dyDescent="0.3">
      <c r="A4283" s="1" t="s">
        <v>437</v>
      </c>
      <c r="B4283" s="1" t="s">
        <v>5940</v>
      </c>
      <c r="C4283" s="1" t="s">
        <v>438</v>
      </c>
      <c r="D4283" s="1" t="s">
        <v>1395</v>
      </c>
      <c r="E4283" s="1" t="s">
        <v>6076</v>
      </c>
      <c r="F4283" s="1" t="s">
        <v>6076</v>
      </c>
      <c r="G4283" s="1" t="s">
        <v>9458</v>
      </c>
      <c r="H4283">
        <v>2018</v>
      </c>
      <c r="I4283">
        <v>2018</v>
      </c>
      <c r="J4283">
        <f t="shared" si="132"/>
        <v>1</v>
      </c>
      <c r="K4283" s="1" t="s">
        <v>6076</v>
      </c>
      <c r="L4283" s="1" t="s">
        <v>6076</v>
      </c>
      <c r="M4283">
        <f t="shared" si="133"/>
        <v>8</v>
      </c>
    </row>
    <row r="4284" spans="1:13" x14ac:dyDescent="0.3">
      <c r="A4284" s="1" t="s">
        <v>439</v>
      </c>
      <c r="B4284" s="1" t="s">
        <v>5940</v>
      </c>
      <c r="C4284" s="1" t="s">
        <v>440</v>
      </c>
      <c r="D4284" s="1" t="s">
        <v>1395</v>
      </c>
      <c r="E4284" s="1" t="s">
        <v>6076</v>
      </c>
      <c r="F4284" s="1" t="s">
        <v>6076</v>
      </c>
      <c r="G4284" s="1" t="s">
        <v>9458</v>
      </c>
      <c r="H4284">
        <v>2009</v>
      </c>
      <c r="I4284">
        <v>2013</v>
      </c>
      <c r="J4284">
        <f t="shared" si="132"/>
        <v>5</v>
      </c>
      <c r="K4284" s="1" t="s">
        <v>6076</v>
      </c>
      <c r="L4284" s="1" t="s">
        <v>6076</v>
      </c>
      <c r="M4284">
        <f t="shared" si="133"/>
        <v>13</v>
      </c>
    </row>
    <row r="4285" spans="1:13" x14ac:dyDescent="0.3">
      <c r="A4285" t="s">
        <v>441</v>
      </c>
      <c r="B4285" t="s">
        <v>5940</v>
      </c>
      <c r="C4285" t="s">
        <v>442</v>
      </c>
      <c r="E4285" s="1" t="s">
        <v>6076</v>
      </c>
      <c r="F4285" s="1" t="s">
        <v>6076</v>
      </c>
      <c r="G4285" s="1" t="s">
        <v>9458</v>
      </c>
      <c r="H4285">
        <v>2022</v>
      </c>
      <c r="I4285">
        <v>2026</v>
      </c>
      <c r="J4285">
        <f t="shared" si="132"/>
        <v>5</v>
      </c>
      <c r="K4285" s="1" t="s">
        <v>6076</v>
      </c>
      <c r="L4285" s="1" t="s">
        <v>6076</v>
      </c>
      <c r="M4285">
        <f t="shared" si="133"/>
        <v>0</v>
      </c>
    </row>
    <row r="4286" spans="1:13" x14ac:dyDescent="0.3">
      <c r="A4286" t="s">
        <v>443</v>
      </c>
      <c r="B4286" t="s">
        <v>5940</v>
      </c>
      <c r="C4286" t="s">
        <v>444</v>
      </c>
      <c r="E4286" s="1" t="s">
        <v>6076</v>
      </c>
      <c r="F4286" s="1" t="s">
        <v>6076</v>
      </c>
      <c r="G4286" s="1" t="s">
        <v>9458</v>
      </c>
      <c r="H4286">
        <v>2022</v>
      </c>
      <c r="I4286">
        <v>2026</v>
      </c>
      <c r="J4286">
        <f t="shared" si="132"/>
        <v>5</v>
      </c>
      <c r="K4286" s="1" t="s">
        <v>6076</v>
      </c>
      <c r="L4286" s="1" t="s">
        <v>6076</v>
      </c>
      <c r="M4286">
        <f t="shared" si="133"/>
        <v>0</v>
      </c>
    </row>
    <row r="4287" spans="1:13" x14ac:dyDescent="0.3">
      <c r="A4287" s="1" t="s">
        <v>445</v>
      </c>
      <c r="B4287" s="1" t="s">
        <v>5940</v>
      </c>
      <c r="C4287" s="1" t="s">
        <v>446</v>
      </c>
      <c r="D4287" s="1" t="s">
        <v>1395</v>
      </c>
      <c r="E4287" s="1" t="s">
        <v>6076</v>
      </c>
      <c r="F4287" s="1" t="s">
        <v>6076</v>
      </c>
      <c r="G4287" s="1" t="s">
        <v>9458</v>
      </c>
      <c r="H4287">
        <v>2019</v>
      </c>
      <c r="I4287">
        <v>2022</v>
      </c>
      <c r="J4287">
        <f t="shared" si="132"/>
        <v>4</v>
      </c>
      <c r="K4287" s="1" t="s">
        <v>6076</v>
      </c>
      <c r="L4287" s="1" t="s">
        <v>6076</v>
      </c>
      <c r="M4287">
        <f t="shared" si="133"/>
        <v>4</v>
      </c>
    </row>
    <row r="4288" spans="1:13" x14ac:dyDescent="0.3">
      <c r="A4288" s="1" t="s">
        <v>447</v>
      </c>
      <c r="B4288" s="1" t="s">
        <v>5940</v>
      </c>
      <c r="C4288" s="1" t="s">
        <v>448</v>
      </c>
      <c r="D4288" s="1" t="s">
        <v>1395</v>
      </c>
      <c r="E4288" s="1" t="s">
        <v>6076</v>
      </c>
      <c r="F4288" s="1" t="s">
        <v>6076</v>
      </c>
      <c r="G4288" s="1" t="s">
        <v>9458</v>
      </c>
      <c r="H4288">
        <v>2019</v>
      </c>
      <c r="I4288">
        <v>2022</v>
      </c>
      <c r="J4288">
        <f t="shared" si="132"/>
        <v>4</v>
      </c>
      <c r="K4288" s="1" t="s">
        <v>6076</v>
      </c>
      <c r="L4288" s="1" t="s">
        <v>6076</v>
      </c>
      <c r="M4288">
        <f t="shared" si="133"/>
        <v>4</v>
      </c>
    </row>
    <row r="4289" spans="1:13" x14ac:dyDescent="0.3">
      <c r="A4289" t="s">
        <v>454</v>
      </c>
      <c r="B4289" t="s">
        <v>5940</v>
      </c>
      <c r="C4289" t="s">
        <v>455</v>
      </c>
      <c r="E4289" s="1" t="s">
        <v>6076</v>
      </c>
      <c r="F4289" s="1" t="s">
        <v>6076</v>
      </c>
      <c r="G4289" s="1" t="s">
        <v>9458</v>
      </c>
      <c r="H4289">
        <v>2022</v>
      </c>
      <c r="I4289">
        <v>2026</v>
      </c>
      <c r="J4289">
        <f t="shared" si="132"/>
        <v>5</v>
      </c>
      <c r="K4289" s="1" t="s">
        <v>6076</v>
      </c>
      <c r="L4289" s="1" t="s">
        <v>6076</v>
      </c>
      <c r="M4289">
        <f t="shared" si="133"/>
        <v>0</v>
      </c>
    </row>
    <row r="4290" spans="1:13" x14ac:dyDescent="0.3">
      <c r="A4290" t="s">
        <v>456</v>
      </c>
      <c r="B4290" t="s">
        <v>5940</v>
      </c>
      <c r="C4290" t="s">
        <v>457</v>
      </c>
      <c r="E4290" s="1" t="s">
        <v>6076</v>
      </c>
      <c r="F4290" s="1" t="s">
        <v>6076</v>
      </c>
      <c r="G4290" s="1" t="s">
        <v>9458</v>
      </c>
      <c r="H4290">
        <v>2022</v>
      </c>
      <c r="I4290">
        <v>2026</v>
      </c>
      <c r="J4290">
        <f t="shared" si="132"/>
        <v>5</v>
      </c>
      <c r="K4290" s="1" t="s">
        <v>6076</v>
      </c>
      <c r="L4290" s="1" t="s">
        <v>6076</v>
      </c>
      <c r="M4290">
        <f t="shared" si="133"/>
        <v>0</v>
      </c>
    </row>
    <row r="4291" spans="1:13" x14ac:dyDescent="0.3">
      <c r="A4291" s="1" t="s">
        <v>449</v>
      </c>
      <c r="B4291" s="1" t="s">
        <v>5940</v>
      </c>
      <c r="C4291" s="1" t="s">
        <v>9459</v>
      </c>
      <c r="D4291" s="1" t="s">
        <v>1395</v>
      </c>
      <c r="E4291" s="1" t="s">
        <v>6076</v>
      </c>
      <c r="F4291" s="1" t="s">
        <v>6076</v>
      </c>
      <c r="G4291" s="1" t="s">
        <v>9458</v>
      </c>
      <c r="H4291">
        <v>2019</v>
      </c>
      <c r="I4291">
        <v>2022</v>
      </c>
      <c r="J4291">
        <f t="shared" si="132"/>
        <v>4</v>
      </c>
      <c r="K4291" s="1" t="s">
        <v>6076</v>
      </c>
      <c r="L4291" s="1" t="s">
        <v>6076</v>
      </c>
      <c r="M4291">
        <f t="shared" si="133"/>
        <v>4</v>
      </c>
    </row>
    <row r="4292" spans="1:13" x14ac:dyDescent="0.3">
      <c r="A4292" t="s">
        <v>450</v>
      </c>
      <c r="B4292" t="s">
        <v>5940</v>
      </c>
      <c r="C4292" t="s">
        <v>451</v>
      </c>
      <c r="E4292" s="1" t="s">
        <v>6076</v>
      </c>
      <c r="F4292" s="1" t="s">
        <v>6076</v>
      </c>
      <c r="G4292" s="1" t="s">
        <v>9458</v>
      </c>
      <c r="H4292">
        <v>2025</v>
      </c>
      <c r="I4292">
        <v>2026</v>
      </c>
      <c r="J4292">
        <f t="shared" si="132"/>
        <v>2</v>
      </c>
      <c r="K4292" s="1" t="s">
        <v>6076</v>
      </c>
      <c r="L4292" s="1" t="s">
        <v>6076</v>
      </c>
      <c r="M4292">
        <f t="shared" si="133"/>
        <v>0</v>
      </c>
    </row>
    <row r="4293" spans="1:13" x14ac:dyDescent="0.3">
      <c r="A4293" s="1" t="s">
        <v>452</v>
      </c>
      <c r="B4293" s="1" t="s">
        <v>5940</v>
      </c>
      <c r="C4293" s="1" t="s">
        <v>453</v>
      </c>
      <c r="D4293" s="1" t="s">
        <v>1395</v>
      </c>
      <c r="E4293" s="1" t="s">
        <v>6076</v>
      </c>
      <c r="F4293" s="1" t="s">
        <v>6076</v>
      </c>
      <c r="G4293" s="1" t="s">
        <v>9458</v>
      </c>
      <c r="H4293">
        <v>2021</v>
      </c>
      <c r="I4293">
        <v>2022</v>
      </c>
      <c r="J4293">
        <f t="shared" si="132"/>
        <v>2</v>
      </c>
      <c r="K4293" s="1" t="s">
        <v>6076</v>
      </c>
      <c r="L4293" s="1" t="s">
        <v>6076</v>
      </c>
      <c r="M4293">
        <f t="shared" si="133"/>
        <v>4</v>
      </c>
    </row>
    <row r="4294" spans="1:13" x14ac:dyDescent="0.3">
      <c r="A4294" s="1" t="s">
        <v>458</v>
      </c>
      <c r="B4294" s="1" t="s">
        <v>5940</v>
      </c>
      <c r="C4294" s="1" t="s">
        <v>459</v>
      </c>
      <c r="D4294" s="1" t="s">
        <v>1395</v>
      </c>
      <c r="E4294" s="1" t="s">
        <v>6076</v>
      </c>
      <c r="F4294" s="1" t="s">
        <v>6076</v>
      </c>
      <c r="G4294" s="1" t="s">
        <v>9458</v>
      </c>
      <c r="H4294">
        <v>2021</v>
      </c>
      <c r="I4294">
        <v>2022</v>
      </c>
      <c r="J4294">
        <f t="shared" ref="J4294:J4357" si="134">1+(I4294-H4294)</f>
        <v>2</v>
      </c>
      <c r="K4294" s="1" t="s">
        <v>6076</v>
      </c>
      <c r="L4294" s="1" t="s">
        <v>6076</v>
      </c>
      <c r="M4294">
        <f t="shared" ref="M4294:M4357" si="135">IF(I4294=0,0,$B$2-I4294)</f>
        <v>4</v>
      </c>
    </row>
    <row r="4295" spans="1:13" x14ac:dyDescent="0.3">
      <c r="A4295" t="s">
        <v>460</v>
      </c>
      <c r="B4295" t="s">
        <v>5940</v>
      </c>
      <c r="C4295" t="s">
        <v>461</v>
      </c>
      <c r="E4295" s="1" t="s">
        <v>6076</v>
      </c>
      <c r="F4295" s="1" t="s">
        <v>6076</v>
      </c>
      <c r="G4295" s="1" t="s">
        <v>9458</v>
      </c>
      <c r="H4295">
        <v>2025</v>
      </c>
      <c r="I4295">
        <v>2026</v>
      </c>
      <c r="J4295">
        <f t="shared" si="134"/>
        <v>2</v>
      </c>
      <c r="K4295" s="1" t="s">
        <v>6076</v>
      </c>
      <c r="L4295" s="1" t="s">
        <v>6076</v>
      </c>
      <c r="M4295">
        <f t="shared" si="135"/>
        <v>0</v>
      </c>
    </row>
    <row r="4296" spans="1:13" x14ac:dyDescent="0.3">
      <c r="A4296" s="1" t="s">
        <v>462</v>
      </c>
      <c r="B4296" s="1" t="s">
        <v>5940</v>
      </c>
      <c r="C4296" s="1" t="s">
        <v>463</v>
      </c>
      <c r="D4296" s="1" t="s">
        <v>1395</v>
      </c>
      <c r="E4296" s="1" t="s">
        <v>6076</v>
      </c>
      <c r="F4296" s="1" t="s">
        <v>6076</v>
      </c>
      <c r="G4296" s="1" t="s">
        <v>9458</v>
      </c>
      <c r="H4296">
        <v>2021</v>
      </c>
      <c r="I4296">
        <v>2022</v>
      </c>
      <c r="J4296">
        <f t="shared" si="134"/>
        <v>2</v>
      </c>
      <c r="K4296" s="1" t="s">
        <v>6076</v>
      </c>
      <c r="L4296" s="1" t="s">
        <v>6076</v>
      </c>
      <c r="M4296">
        <f t="shared" si="135"/>
        <v>4</v>
      </c>
    </row>
    <row r="4297" spans="1:13" x14ac:dyDescent="0.3">
      <c r="A4297" t="s">
        <v>464</v>
      </c>
      <c r="B4297" t="s">
        <v>5940</v>
      </c>
      <c r="C4297" t="s">
        <v>465</v>
      </c>
      <c r="E4297" s="1" t="s">
        <v>6076</v>
      </c>
      <c r="F4297" s="1" t="s">
        <v>6076</v>
      </c>
      <c r="G4297" s="1" t="s">
        <v>12758</v>
      </c>
      <c r="H4297">
        <v>2025</v>
      </c>
      <c r="I4297">
        <v>2026</v>
      </c>
      <c r="J4297">
        <f t="shared" si="134"/>
        <v>2</v>
      </c>
      <c r="K4297" s="1" t="s">
        <v>6076</v>
      </c>
      <c r="L4297" s="1" t="s">
        <v>6076</v>
      </c>
      <c r="M4297">
        <f t="shared" si="135"/>
        <v>0</v>
      </c>
    </row>
    <row r="4298" spans="1:13" x14ac:dyDescent="0.3">
      <c r="A4298" t="s">
        <v>466</v>
      </c>
      <c r="B4298" t="s">
        <v>5940</v>
      </c>
      <c r="C4298" t="s">
        <v>467</v>
      </c>
      <c r="E4298" s="1" t="s">
        <v>6076</v>
      </c>
      <c r="F4298" s="1" t="s">
        <v>6076</v>
      </c>
      <c r="G4298" s="1" t="s">
        <v>12758</v>
      </c>
      <c r="H4298">
        <v>2025</v>
      </c>
      <c r="I4298">
        <v>2026</v>
      </c>
      <c r="J4298">
        <f t="shared" si="134"/>
        <v>2</v>
      </c>
      <c r="K4298" s="1" t="s">
        <v>6076</v>
      </c>
      <c r="L4298" s="1" t="s">
        <v>6076</v>
      </c>
      <c r="M4298">
        <f t="shared" si="135"/>
        <v>0</v>
      </c>
    </row>
    <row r="4299" spans="1:13" x14ac:dyDescent="0.3">
      <c r="A4299" s="1" t="s">
        <v>468</v>
      </c>
      <c r="B4299" s="1" t="s">
        <v>5940</v>
      </c>
      <c r="C4299" s="1" t="s">
        <v>469</v>
      </c>
      <c r="D4299" s="1" t="s">
        <v>1395</v>
      </c>
      <c r="E4299" s="1" t="s">
        <v>6076</v>
      </c>
      <c r="F4299" s="1" t="s">
        <v>6076</v>
      </c>
      <c r="G4299" s="1" t="s">
        <v>9460</v>
      </c>
      <c r="H4299">
        <v>2017</v>
      </c>
      <c r="I4299">
        <v>2019</v>
      </c>
      <c r="J4299">
        <f t="shared" si="134"/>
        <v>3</v>
      </c>
      <c r="K4299" s="1" t="s">
        <v>6076</v>
      </c>
      <c r="L4299" s="1" t="s">
        <v>6076</v>
      </c>
      <c r="M4299">
        <f t="shared" si="135"/>
        <v>7</v>
      </c>
    </row>
    <row r="4300" spans="1:13" x14ac:dyDescent="0.3">
      <c r="A4300" s="1" t="s">
        <v>470</v>
      </c>
      <c r="B4300" s="1" t="s">
        <v>5940</v>
      </c>
      <c r="C4300" s="1" t="s">
        <v>9461</v>
      </c>
      <c r="D4300" s="1" t="s">
        <v>1395</v>
      </c>
      <c r="E4300" s="1" t="s">
        <v>6076</v>
      </c>
      <c r="F4300" s="1" t="s">
        <v>6076</v>
      </c>
      <c r="G4300" s="1" t="s">
        <v>9460</v>
      </c>
      <c r="H4300">
        <v>2011</v>
      </c>
      <c r="I4300">
        <v>2022</v>
      </c>
      <c r="J4300">
        <f t="shared" si="134"/>
        <v>12</v>
      </c>
      <c r="K4300" s="1" t="s">
        <v>6076</v>
      </c>
      <c r="L4300" s="1" t="s">
        <v>6076</v>
      </c>
      <c r="M4300">
        <f t="shared" si="135"/>
        <v>4</v>
      </c>
    </row>
    <row r="4301" spans="1:13" x14ac:dyDescent="0.3">
      <c r="A4301" s="1" t="s">
        <v>471</v>
      </c>
      <c r="B4301" s="1" t="s">
        <v>5940</v>
      </c>
      <c r="C4301" s="1" t="s">
        <v>472</v>
      </c>
      <c r="D4301" s="1" t="s">
        <v>1395</v>
      </c>
      <c r="E4301" s="1" t="s">
        <v>6076</v>
      </c>
      <c r="F4301" s="1" t="s">
        <v>6076</v>
      </c>
      <c r="G4301" s="1" t="s">
        <v>9460</v>
      </c>
      <c r="H4301">
        <v>2008</v>
      </c>
      <c r="I4301">
        <v>2010</v>
      </c>
      <c r="J4301">
        <f t="shared" si="134"/>
        <v>3</v>
      </c>
      <c r="K4301" s="1" t="s">
        <v>6076</v>
      </c>
      <c r="L4301" s="1" t="s">
        <v>6076</v>
      </c>
      <c r="M4301">
        <f t="shared" si="135"/>
        <v>16</v>
      </c>
    </row>
    <row r="4302" spans="1:13" x14ac:dyDescent="0.3">
      <c r="A4302" s="1" t="s">
        <v>473</v>
      </c>
      <c r="B4302" s="1" t="s">
        <v>5940</v>
      </c>
      <c r="C4302" s="1" t="s">
        <v>474</v>
      </c>
      <c r="D4302" s="1" t="s">
        <v>1395</v>
      </c>
      <c r="E4302" s="1" t="s">
        <v>6076</v>
      </c>
      <c r="F4302" s="1" t="s">
        <v>6076</v>
      </c>
      <c r="G4302" s="1" t="s">
        <v>9460</v>
      </c>
      <c r="H4302">
        <v>2007</v>
      </c>
      <c r="I4302">
        <v>2010</v>
      </c>
      <c r="J4302">
        <f t="shared" si="134"/>
        <v>4</v>
      </c>
      <c r="K4302" s="1" t="s">
        <v>6076</v>
      </c>
      <c r="L4302" s="1" t="s">
        <v>6076</v>
      </c>
      <c r="M4302">
        <f t="shared" si="135"/>
        <v>16</v>
      </c>
    </row>
    <row r="4303" spans="1:13" x14ac:dyDescent="0.3">
      <c r="A4303" s="1" t="s">
        <v>475</v>
      </c>
      <c r="B4303" s="1" t="s">
        <v>5940</v>
      </c>
      <c r="C4303" s="1" t="s">
        <v>9462</v>
      </c>
      <c r="D4303" s="1" t="s">
        <v>1395</v>
      </c>
      <c r="E4303" s="1" t="s">
        <v>6076</v>
      </c>
      <c r="F4303" s="1" t="s">
        <v>6076</v>
      </c>
      <c r="G4303" s="1" t="s">
        <v>9460</v>
      </c>
      <c r="H4303">
        <v>2019</v>
      </c>
      <c r="I4303">
        <v>2019</v>
      </c>
      <c r="J4303">
        <f t="shared" si="134"/>
        <v>1</v>
      </c>
      <c r="K4303" s="1" t="s">
        <v>6076</v>
      </c>
      <c r="L4303" s="1" t="s">
        <v>6076</v>
      </c>
      <c r="M4303">
        <f t="shared" si="135"/>
        <v>7</v>
      </c>
    </row>
    <row r="4304" spans="1:13" x14ac:dyDescent="0.3">
      <c r="A4304" s="1" t="s">
        <v>476</v>
      </c>
      <c r="B4304" s="1" t="s">
        <v>5940</v>
      </c>
      <c r="C4304" s="1" t="s">
        <v>477</v>
      </c>
      <c r="D4304" s="1" t="s">
        <v>1395</v>
      </c>
      <c r="E4304" s="1" t="s">
        <v>6076</v>
      </c>
      <c r="F4304" s="1" t="s">
        <v>6076</v>
      </c>
      <c r="G4304" s="1" t="s">
        <v>9460</v>
      </c>
      <c r="H4304">
        <v>2019</v>
      </c>
      <c r="I4304">
        <v>2019</v>
      </c>
      <c r="J4304">
        <f t="shared" si="134"/>
        <v>1</v>
      </c>
      <c r="K4304" s="1" t="s">
        <v>6076</v>
      </c>
      <c r="L4304" s="1" t="s">
        <v>6076</v>
      </c>
      <c r="M4304">
        <f t="shared" si="135"/>
        <v>7</v>
      </c>
    </row>
    <row r="4305" spans="1:14" x14ac:dyDescent="0.3">
      <c r="A4305" t="s">
        <v>478</v>
      </c>
      <c r="B4305" t="s">
        <v>5940</v>
      </c>
      <c r="C4305" t="s">
        <v>479</v>
      </c>
      <c r="E4305" s="1" t="s">
        <v>6076</v>
      </c>
      <c r="F4305" s="1" t="s">
        <v>6076</v>
      </c>
      <c r="G4305" s="1" t="s">
        <v>9460</v>
      </c>
      <c r="H4305">
        <v>2025</v>
      </c>
      <c r="I4305">
        <v>2026</v>
      </c>
      <c r="J4305">
        <f t="shared" si="134"/>
        <v>2</v>
      </c>
      <c r="K4305" s="1" t="s">
        <v>6076</v>
      </c>
      <c r="L4305" s="1" t="s">
        <v>6076</v>
      </c>
      <c r="M4305">
        <f t="shared" si="135"/>
        <v>0</v>
      </c>
    </row>
    <row r="4306" spans="1:14" x14ac:dyDescent="0.3">
      <c r="A4306" s="1" t="s">
        <v>480</v>
      </c>
      <c r="B4306" s="1" t="s">
        <v>5940</v>
      </c>
      <c r="C4306" s="1" t="s">
        <v>481</v>
      </c>
      <c r="D4306" s="1" t="s">
        <v>1395</v>
      </c>
      <c r="E4306" s="1" t="s">
        <v>6076</v>
      </c>
      <c r="F4306" s="1" t="s">
        <v>6076</v>
      </c>
      <c r="G4306" s="1" t="s">
        <v>9460</v>
      </c>
      <c r="H4306">
        <v>2020</v>
      </c>
      <c r="I4306">
        <v>2022</v>
      </c>
      <c r="J4306">
        <f t="shared" si="134"/>
        <v>3</v>
      </c>
      <c r="K4306" s="1" t="s">
        <v>6076</v>
      </c>
      <c r="L4306" s="1" t="s">
        <v>6076</v>
      </c>
      <c r="M4306">
        <f t="shared" si="135"/>
        <v>4</v>
      </c>
    </row>
    <row r="4307" spans="1:14" x14ac:dyDescent="0.3">
      <c r="A4307" t="s">
        <v>482</v>
      </c>
      <c r="B4307" t="s">
        <v>5940</v>
      </c>
      <c r="C4307" t="s">
        <v>483</v>
      </c>
      <c r="E4307" s="1" t="s">
        <v>6076</v>
      </c>
      <c r="F4307" s="1" t="s">
        <v>6076</v>
      </c>
      <c r="G4307" s="1" t="s">
        <v>9464</v>
      </c>
      <c r="H4307">
        <v>2024</v>
      </c>
      <c r="I4307">
        <v>2026</v>
      </c>
      <c r="J4307">
        <f t="shared" si="134"/>
        <v>3</v>
      </c>
      <c r="K4307" s="1" t="s">
        <v>6076</v>
      </c>
      <c r="L4307" s="1" t="s">
        <v>6076</v>
      </c>
      <c r="M4307">
        <f t="shared" si="135"/>
        <v>0</v>
      </c>
    </row>
    <row r="4308" spans="1:14" x14ac:dyDescent="0.3">
      <c r="A4308" t="s">
        <v>484</v>
      </c>
      <c r="B4308" t="s">
        <v>5940</v>
      </c>
      <c r="C4308" t="s">
        <v>485</v>
      </c>
      <c r="E4308" s="1" t="s">
        <v>6076</v>
      </c>
      <c r="F4308" s="1" t="s">
        <v>6076</v>
      </c>
      <c r="G4308" s="1" t="s">
        <v>9464</v>
      </c>
      <c r="H4308">
        <v>2024</v>
      </c>
      <c r="I4308">
        <v>2026</v>
      </c>
      <c r="J4308">
        <f t="shared" si="134"/>
        <v>3</v>
      </c>
      <c r="K4308" s="1" t="s">
        <v>6076</v>
      </c>
      <c r="L4308" s="1" t="s">
        <v>6076</v>
      </c>
      <c r="M4308">
        <f t="shared" si="135"/>
        <v>0</v>
      </c>
    </row>
    <row r="4309" spans="1:14" x14ac:dyDescent="0.3">
      <c r="A4309" t="s">
        <v>486</v>
      </c>
      <c r="B4309" t="s">
        <v>5940</v>
      </c>
      <c r="C4309" t="s">
        <v>487</v>
      </c>
      <c r="E4309" s="1" t="s">
        <v>6076</v>
      </c>
      <c r="F4309" s="1" t="s">
        <v>6076</v>
      </c>
      <c r="G4309" s="1" t="s">
        <v>9464</v>
      </c>
      <c r="H4309">
        <v>2024</v>
      </c>
      <c r="I4309">
        <v>2026</v>
      </c>
      <c r="J4309">
        <f t="shared" si="134"/>
        <v>3</v>
      </c>
      <c r="K4309" s="1" t="s">
        <v>6076</v>
      </c>
      <c r="L4309" s="1" t="s">
        <v>6076</v>
      </c>
      <c r="M4309">
        <f t="shared" si="135"/>
        <v>0</v>
      </c>
    </row>
    <row r="4310" spans="1:14" x14ac:dyDescent="0.3">
      <c r="A4310" t="s">
        <v>488</v>
      </c>
      <c r="B4310" t="s">
        <v>5940</v>
      </c>
      <c r="C4310" t="s">
        <v>489</v>
      </c>
      <c r="E4310" s="1" t="s">
        <v>6076</v>
      </c>
      <c r="F4310" s="1" t="s">
        <v>6076</v>
      </c>
      <c r="G4310" s="1" t="s">
        <v>9464</v>
      </c>
      <c r="H4310">
        <v>2024</v>
      </c>
      <c r="I4310">
        <v>2024</v>
      </c>
      <c r="J4310">
        <f t="shared" si="134"/>
        <v>1</v>
      </c>
      <c r="K4310" s="1" t="s">
        <v>6076</v>
      </c>
      <c r="L4310" s="1" t="s">
        <v>6076</v>
      </c>
      <c r="M4310">
        <f t="shared" si="135"/>
        <v>2</v>
      </c>
    </row>
    <row r="4311" spans="1:14" x14ac:dyDescent="0.3">
      <c r="A4311" s="1" t="s">
        <v>490</v>
      </c>
      <c r="B4311" s="1" t="s">
        <v>5940</v>
      </c>
      <c r="C4311" s="1" t="s">
        <v>9463</v>
      </c>
      <c r="D4311" s="1" t="s">
        <v>1395</v>
      </c>
      <c r="E4311" s="1" t="s">
        <v>6076</v>
      </c>
      <c r="F4311" s="1" t="s">
        <v>6076</v>
      </c>
      <c r="G4311" s="1" t="s">
        <v>9464</v>
      </c>
      <c r="H4311">
        <v>2019</v>
      </c>
      <c r="I4311">
        <v>2022</v>
      </c>
      <c r="J4311">
        <f t="shared" si="134"/>
        <v>4</v>
      </c>
      <c r="K4311" s="1" t="s">
        <v>6076</v>
      </c>
      <c r="L4311" s="1" t="s">
        <v>6076</v>
      </c>
      <c r="M4311">
        <f t="shared" si="135"/>
        <v>4</v>
      </c>
    </row>
    <row r="4312" spans="1:14" x14ac:dyDescent="0.3">
      <c r="A4312" s="1" t="s">
        <v>491</v>
      </c>
      <c r="B4312" s="1" t="s">
        <v>5940</v>
      </c>
      <c r="C4312" s="1" t="s">
        <v>9465</v>
      </c>
      <c r="D4312" s="1" t="s">
        <v>1395</v>
      </c>
      <c r="E4312" s="1" t="s">
        <v>6076</v>
      </c>
      <c r="F4312" s="1" t="s">
        <v>6076</v>
      </c>
      <c r="G4312" s="1" t="s">
        <v>9464</v>
      </c>
      <c r="H4312">
        <v>2019</v>
      </c>
      <c r="I4312">
        <v>2022</v>
      </c>
      <c r="J4312">
        <f t="shared" si="134"/>
        <v>4</v>
      </c>
      <c r="K4312" s="1" t="s">
        <v>6076</v>
      </c>
      <c r="L4312" s="1" t="s">
        <v>6076</v>
      </c>
      <c r="M4312">
        <f t="shared" si="135"/>
        <v>4</v>
      </c>
    </row>
    <row r="4313" spans="1:14" hidden="1" x14ac:dyDescent="0.3">
      <c r="A4313" s="1" t="s">
        <v>4638</v>
      </c>
      <c r="B4313" s="1" t="s">
        <v>3790</v>
      </c>
      <c r="C4313" s="1" t="s">
        <v>4639</v>
      </c>
      <c r="D4313" s="1" t="s">
        <v>746</v>
      </c>
      <c r="E4313" s="1" t="s">
        <v>747</v>
      </c>
      <c r="F4313" s="1" t="s">
        <v>748</v>
      </c>
      <c r="G4313" s="1" t="s">
        <v>4640</v>
      </c>
      <c r="H4313">
        <v>2015</v>
      </c>
      <c r="I4313">
        <v>2015</v>
      </c>
      <c r="J4313">
        <f t="shared" si="134"/>
        <v>1</v>
      </c>
      <c r="K4313" s="1" t="s">
        <v>3665</v>
      </c>
      <c r="L4313" s="1" t="s">
        <v>649</v>
      </c>
      <c r="M4313">
        <f t="shared" si="135"/>
        <v>11</v>
      </c>
      <c r="N4313" t="s">
        <v>650</v>
      </c>
    </row>
    <row r="4314" spans="1:14" hidden="1" x14ac:dyDescent="0.3">
      <c r="A4314" s="1" t="s">
        <v>4641</v>
      </c>
      <c r="B4314" s="1" t="s">
        <v>3790</v>
      </c>
      <c r="C4314" s="1" t="s">
        <v>4642</v>
      </c>
      <c r="D4314" s="1" t="s">
        <v>746</v>
      </c>
      <c r="E4314" s="1" t="s">
        <v>747</v>
      </c>
      <c r="F4314" s="1" t="s">
        <v>748</v>
      </c>
      <c r="G4314" s="1" t="s">
        <v>4640</v>
      </c>
      <c r="H4314">
        <v>2015</v>
      </c>
      <c r="I4314">
        <v>2020</v>
      </c>
      <c r="J4314">
        <f t="shared" si="134"/>
        <v>6</v>
      </c>
      <c r="K4314" s="1" t="s">
        <v>3665</v>
      </c>
      <c r="L4314" s="1" t="s">
        <v>649</v>
      </c>
      <c r="M4314">
        <f t="shared" si="135"/>
        <v>6</v>
      </c>
      <c r="N4314" t="s">
        <v>650</v>
      </c>
    </row>
    <row r="4315" spans="1:14" hidden="1" x14ac:dyDescent="0.3">
      <c r="A4315" s="1" t="s">
        <v>4643</v>
      </c>
      <c r="B4315" s="1" t="s">
        <v>3790</v>
      </c>
      <c r="C4315" s="1" t="s">
        <v>4644</v>
      </c>
      <c r="D4315" s="1" t="s">
        <v>746</v>
      </c>
      <c r="E4315" s="1" t="s">
        <v>747</v>
      </c>
      <c r="F4315" s="1" t="s">
        <v>748</v>
      </c>
      <c r="G4315" s="1" t="s">
        <v>4640</v>
      </c>
      <c r="H4315">
        <v>2015</v>
      </c>
      <c r="I4315">
        <v>2020</v>
      </c>
      <c r="J4315">
        <f t="shared" si="134"/>
        <v>6</v>
      </c>
      <c r="K4315" s="1" t="s">
        <v>3665</v>
      </c>
      <c r="L4315" s="1" t="s">
        <v>649</v>
      </c>
      <c r="M4315">
        <f t="shared" si="135"/>
        <v>6</v>
      </c>
      <c r="N4315" t="s">
        <v>650</v>
      </c>
    </row>
    <row r="4316" spans="1:14" hidden="1" x14ac:dyDescent="0.3">
      <c r="A4316" s="1" t="s">
        <v>4645</v>
      </c>
      <c r="B4316" s="1" t="s">
        <v>3790</v>
      </c>
      <c r="C4316" s="1" t="s">
        <v>4646</v>
      </c>
      <c r="D4316" s="1" t="s">
        <v>746</v>
      </c>
      <c r="E4316" s="1" t="s">
        <v>747</v>
      </c>
      <c r="F4316" s="1" t="s">
        <v>748</v>
      </c>
      <c r="G4316" s="1" t="s">
        <v>4640</v>
      </c>
      <c r="H4316">
        <v>2018</v>
      </c>
      <c r="I4316">
        <v>2019</v>
      </c>
      <c r="J4316">
        <f t="shared" si="134"/>
        <v>2</v>
      </c>
      <c r="K4316" s="1" t="s">
        <v>3665</v>
      </c>
      <c r="L4316" s="1" t="s">
        <v>649</v>
      </c>
      <c r="M4316">
        <f t="shared" si="135"/>
        <v>7</v>
      </c>
      <c r="N4316" t="s">
        <v>650</v>
      </c>
    </row>
    <row r="4317" spans="1:14" hidden="1" x14ac:dyDescent="0.3">
      <c r="A4317" s="1" t="s">
        <v>4647</v>
      </c>
      <c r="B4317" s="1" t="s">
        <v>3790</v>
      </c>
      <c r="C4317" s="1" t="s">
        <v>4648</v>
      </c>
      <c r="D4317" s="1" t="s">
        <v>746</v>
      </c>
      <c r="E4317" s="1" t="s">
        <v>747</v>
      </c>
      <c r="F4317" s="1" t="s">
        <v>748</v>
      </c>
      <c r="G4317" s="1" t="s">
        <v>4640</v>
      </c>
      <c r="H4317">
        <v>2011</v>
      </c>
      <c r="I4317">
        <v>2015</v>
      </c>
      <c r="J4317">
        <f t="shared" si="134"/>
        <v>5</v>
      </c>
      <c r="K4317" s="1" t="s">
        <v>3665</v>
      </c>
      <c r="L4317" s="1" t="s">
        <v>649</v>
      </c>
      <c r="M4317">
        <f t="shared" si="135"/>
        <v>11</v>
      </c>
      <c r="N4317" t="s">
        <v>650</v>
      </c>
    </row>
    <row r="4318" spans="1:14" x14ac:dyDescent="0.3">
      <c r="A4318" s="1" t="s">
        <v>9466</v>
      </c>
      <c r="B4318" s="1" t="s">
        <v>810</v>
      </c>
      <c r="C4318" s="1" t="s">
        <v>9467</v>
      </c>
      <c r="D4318" s="1" t="s">
        <v>738</v>
      </c>
      <c r="E4318" s="1" t="s">
        <v>6076</v>
      </c>
      <c r="F4318" s="1" t="s">
        <v>6076</v>
      </c>
      <c r="G4318" s="1" t="s">
        <v>9468</v>
      </c>
      <c r="H4318">
        <v>1996</v>
      </c>
      <c r="I4318">
        <v>2002</v>
      </c>
      <c r="J4318">
        <f t="shared" si="134"/>
        <v>7</v>
      </c>
      <c r="K4318" s="1" t="s">
        <v>6076</v>
      </c>
      <c r="L4318" s="1" t="s">
        <v>6076</v>
      </c>
      <c r="M4318">
        <f t="shared" si="135"/>
        <v>24</v>
      </c>
      <c r="N4318" t="s">
        <v>640</v>
      </c>
    </row>
    <row r="4319" spans="1:14" x14ac:dyDescent="0.3">
      <c r="A4319" s="1" t="s">
        <v>9469</v>
      </c>
      <c r="B4319" s="1" t="s">
        <v>810</v>
      </c>
      <c r="C4319" s="1" t="s">
        <v>9470</v>
      </c>
      <c r="D4319" s="1" t="s">
        <v>738</v>
      </c>
      <c r="E4319" s="1" t="s">
        <v>6076</v>
      </c>
      <c r="F4319" s="1" t="s">
        <v>6076</v>
      </c>
      <c r="G4319" s="1" t="s">
        <v>9468</v>
      </c>
      <c r="H4319">
        <v>1996</v>
      </c>
      <c r="I4319">
        <v>2002</v>
      </c>
      <c r="J4319">
        <f t="shared" si="134"/>
        <v>7</v>
      </c>
      <c r="K4319" s="1" t="s">
        <v>6076</v>
      </c>
      <c r="L4319" s="1" t="s">
        <v>6076</v>
      </c>
      <c r="M4319">
        <f t="shared" si="135"/>
        <v>24</v>
      </c>
      <c r="N4319" t="s">
        <v>640</v>
      </c>
    </row>
    <row r="4320" spans="1:14" x14ac:dyDescent="0.3">
      <c r="A4320" s="1" t="s">
        <v>9471</v>
      </c>
      <c r="B4320" s="1" t="s">
        <v>810</v>
      </c>
      <c r="C4320" s="1" t="s">
        <v>9472</v>
      </c>
      <c r="D4320" s="1" t="s">
        <v>738</v>
      </c>
      <c r="E4320" s="1" t="s">
        <v>6076</v>
      </c>
      <c r="F4320" s="1" t="s">
        <v>6076</v>
      </c>
      <c r="G4320" s="1" t="s">
        <v>9468</v>
      </c>
      <c r="H4320">
        <v>1985</v>
      </c>
      <c r="I4320">
        <v>1996</v>
      </c>
      <c r="J4320">
        <f t="shared" si="134"/>
        <v>12</v>
      </c>
      <c r="K4320" s="1" t="s">
        <v>6076</v>
      </c>
      <c r="L4320" s="1" t="s">
        <v>6076</v>
      </c>
      <c r="M4320">
        <f t="shared" si="135"/>
        <v>30</v>
      </c>
      <c r="N4320" t="s">
        <v>640</v>
      </c>
    </row>
    <row r="4321" spans="1:14" x14ac:dyDescent="0.3">
      <c r="A4321" s="1" t="s">
        <v>9473</v>
      </c>
      <c r="B4321" s="1" t="s">
        <v>810</v>
      </c>
      <c r="C4321" s="1" t="s">
        <v>9474</v>
      </c>
      <c r="D4321" s="1" t="s">
        <v>738</v>
      </c>
      <c r="E4321" s="1" t="s">
        <v>6076</v>
      </c>
      <c r="F4321" s="1" t="s">
        <v>6076</v>
      </c>
      <c r="G4321" s="1" t="s">
        <v>9468</v>
      </c>
      <c r="H4321">
        <v>1996</v>
      </c>
      <c r="I4321">
        <v>1999</v>
      </c>
      <c r="J4321">
        <f t="shared" si="134"/>
        <v>4</v>
      </c>
      <c r="K4321" s="1" t="s">
        <v>6076</v>
      </c>
      <c r="L4321" s="1" t="s">
        <v>6076</v>
      </c>
      <c r="M4321">
        <f t="shared" si="135"/>
        <v>27</v>
      </c>
      <c r="N4321" t="s">
        <v>640</v>
      </c>
    </row>
    <row r="4322" spans="1:14" x14ac:dyDescent="0.3">
      <c r="A4322" s="1" t="s">
        <v>9475</v>
      </c>
      <c r="B4322" s="1" t="s">
        <v>810</v>
      </c>
      <c r="C4322" s="1" t="s">
        <v>9476</v>
      </c>
      <c r="D4322" s="1" t="s">
        <v>738</v>
      </c>
      <c r="E4322" s="1" t="s">
        <v>6076</v>
      </c>
      <c r="F4322" s="1" t="s">
        <v>6076</v>
      </c>
      <c r="G4322" s="1" t="s">
        <v>9468</v>
      </c>
      <c r="H4322">
        <v>1996</v>
      </c>
      <c r="I4322">
        <v>1999</v>
      </c>
      <c r="J4322">
        <f t="shared" si="134"/>
        <v>4</v>
      </c>
      <c r="K4322" s="1" t="s">
        <v>6076</v>
      </c>
      <c r="L4322" s="1" t="s">
        <v>6076</v>
      </c>
      <c r="M4322">
        <f t="shared" si="135"/>
        <v>27</v>
      </c>
      <c r="N4322" t="s">
        <v>640</v>
      </c>
    </row>
    <row r="4323" spans="1:14" x14ac:dyDescent="0.3">
      <c r="A4323" s="1" t="s">
        <v>9477</v>
      </c>
      <c r="B4323" s="1" t="s">
        <v>810</v>
      </c>
      <c r="C4323" s="1" t="s">
        <v>9478</v>
      </c>
      <c r="D4323" s="1" t="s">
        <v>738</v>
      </c>
      <c r="E4323" s="1" t="s">
        <v>6076</v>
      </c>
      <c r="F4323" s="1" t="s">
        <v>6076</v>
      </c>
      <c r="G4323" s="1" t="s">
        <v>9468</v>
      </c>
      <c r="H4323">
        <v>1987</v>
      </c>
      <c r="I4323">
        <v>1997</v>
      </c>
      <c r="J4323">
        <f t="shared" si="134"/>
        <v>11</v>
      </c>
      <c r="K4323" s="1" t="s">
        <v>6076</v>
      </c>
      <c r="L4323" s="1" t="s">
        <v>6076</v>
      </c>
      <c r="M4323">
        <f t="shared" si="135"/>
        <v>29</v>
      </c>
      <c r="N4323" t="s">
        <v>640</v>
      </c>
    </row>
    <row r="4324" spans="1:14" x14ac:dyDescent="0.3">
      <c r="A4324" s="1" t="s">
        <v>9479</v>
      </c>
      <c r="B4324" s="1" t="s">
        <v>810</v>
      </c>
      <c r="C4324" s="1" t="s">
        <v>9480</v>
      </c>
      <c r="D4324" s="1" t="s">
        <v>738</v>
      </c>
      <c r="E4324" s="1" t="s">
        <v>6076</v>
      </c>
      <c r="F4324" s="1" t="s">
        <v>6076</v>
      </c>
      <c r="G4324" s="1" t="s">
        <v>9468</v>
      </c>
      <c r="H4324">
        <v>1987</v>
      </c>
      <c r="I4324">
        <v>1997</v>
      </c>
      <c r="J4324">
        <f t="shared" si="134"/>
        <v>11</v>
      </c>
      <c r="K4324" s="1" t="s">
        <v>6076</v>
      </c>
      <c r="L4324" s="1" t="s">
        <v>6076</v>
      </c>
      <c r="M4324">
        <f t="shared" si="135"/>
        <v>29</v>
      </c>
      <c r="N4324" t="s">
        <v>640</v>
      </c>
    </row>
    <row r="4325" spans="1:14" x14ac:dyDescent="0.3">
      <c r="A4325" s="1" t="s">
        <v>9481</v>
      </c>
      <c r="B4325" s="1" t="s">
        <v>2154</v>
      </c>
      <c r="C4325" s="1" t="s">
        <v>9482</v>
      </c>
      <c r="D4325" s="1" t="s">
        <v>644</v>
      </c>
      <c r="E4325" s="1" t="s">
        <v>6076</v>
      </c>
      <c r="F4325" s="1" t="s">
        <v>6076</v>
      </c>
      <c r="G4325" s="1" t="s">
        <v>9483</v>
      </c>
      <c r="H4325">
        <v>1993</v>
      </c>
      <c r="I4325">
        <v>1996</v>
      </c>
      <c r="J4325">
        <f t="shared" si="134"/>
        <v>4</v>
      </c>
      <c r="K4325" s="1" t="s">
        <v>6076</v>
      </c>
      <c r="L4325" s="1" t="s">
        <v>6076</v>
      </c>
      <c r="M4325">
        <f t="shared" si="135"/>
        <v>30</v>
      </c>
      <c r="N4325" t="s">
        <v>640</v>
      </c>
    </row>
    <row r="4326" spans="1:14" x14ac:dyDescent="0.3">
      <c r="A4326" s="1" t="s">
        <v>9484</v>
      </c>
      <c r="B4326" s="1" t="s">
        <v>2154</v>
      </c>
      <c r="C4326" s="1" t="s">
        <v>9485</v>
      </c>
      <c r="D4326" s="1" t="s">
        <v>644</v>
      </c>
      <c r="E4326" s="1" t="s">
        <v>6076</v>
      </c>
      <c r="F4326" s="1" t="s">
        <v>6076</v>
      </c>
      <c r="G4326" s="1" t="s">
        <v>9483</v>
      </c>
      <c r="H4326">
        <v>1995</v>
      </c>
      <c r="I4326">
        <v>1995</v>
      </c>
      <c r="J4326">
        <f t="shared" si="134"/>
        <v>1</v>
      </c>
      <c r="K4326" s="1" t="s">
        <v>6076</v>
      </c>
      <c r="L4326" s="1" t="s">
        <v>6076</v>
      </c>
      <c r="M4326">
        <f t="shared" si="135"/>
        <v>31</v>
      </c>
      <c r="N4326" t="s">
        <v>640</v>
      </c>
    </row>
    <row r="4327" spans="1:14" x14ac:dyDescent="0.3">
      <c r="A4327" s="1" t="s">
        <v>9486</v>
      </c>
      <c r="B4327" s="1" t="s">
        <v>2667</v>
      </c>
      <c r="C4327" s="1" t="s">
        <v>9487</v>
      </c>
      <c r="D4327" s="1" t="s">
        <v>738</v>
      </c>
      <c r="E4327" s="1" t="s">
        <v>6076</v>
      </c>
      <c r="F4327" s="1" t="s">
        <v>6076</v>
      </c>
      <c r="G4327" s="1" t="s">
        <v>9488</v>
      </c>
      <c r="H4327">
        <v>2015</v>
      </c>
      <c r="I4327">
        <v>2016</v>
      </c>
      <c r="J4327">
        <f t="shared" si="134"/>
        <v>2</v>
      </c>
      <c r="K4327" s="1" t="s">
        <v>6076</v>
      </c>
      <c r="L4327" s="1" t="s">
        <v>6076</v>
      </c>
      <c r="M4327">
        <f t="shared" si="135"/>
        <v>10</v>
      </c>
      <c r="N4327" t="s">
        <v>650</v>
      </c>
    </row>
    <row r="4328" spans="1:14" x14ac:dyDescent="0.3">
      <c r="A4328" s="1" t="s">
        <v>492</v>
      </c>
      <c r="B4328" s="1" t="s">
        <v>5940</v>
      </c>
      <c r="C4328" s="1" t="s">
        <v>493</v>
      </c>
      <c r="D4328" s="1" t="s">
        <v>3850</v>
      </c>
      <c r="E4328" s="1" t="s">
        <v>6076</v>
      </c>
      <c r="F4328" s="1" t="s">
        <v>6076</v>
      </c>
      <c r="G4328" s="1" t="s">
        <v>9489</v>
      </c>
      <c r="H4328">
        <v>2008</v>
      </c>
      <c r="I4328">
        <v>2012</v>
      </c>
      <c r="J4328">
        <f t="shared" si="134"/>
        <v>5</v>
      </c>
      <c r="K4328" s="1" t="s">
        <v>6076</v>
      </c>
      <c r="L4328" s="1" t="s">
        <v>6076</v>
      </c>
      <c r="M4328">
        <f t="shared" si="135"/>
        <v>14</v>
      </c>
    </row>
    <row r="4329" spans="1:14" x14ac:dyDescent="0.3">
      <c r="A4329" s="1" t="s">
        <v>494</v>
      </c>
      <c r="B4329" s="1" t="s">
        <v>5940</v>
      </c>
      <c r="C4329" s="1" t="s">
        <v>495</v>
      </c>
      <c r="D4329" s="1" t="s">
        <v>3850</v>
      </c>
      <c r="E4329" s="1" t="s">
        <v>6076</v>
      </c>
      <c r="F4329" s="1" t="s">
        <v>6076</v>
      </c>
      <c r="G4329" s="1" t="s">
        <v>9489</v>
      </c>
      <c r="H4329">
        <v>2010</v>
      </c>
      <c r="I4329">
        <v>2022</v>
      </c>
      <c r="J4329">
        <f t="shared" si="134"/>
        <v>13</v>
      </c>
      <c r="K4329" s="1" t="s">
        <v>6076</v>
      </c>
      <c r="L4329" s="1" t="s">
        <v>6076</v>
      </c>
      <c r="M4329">
        <f t="shared" si="135"/>
        <v>4</v>
      </c>
    </row>
    <row r="4330" spans="1:14" x14ac:dyDescent="0.3">
      <c r="A4330" s="1" t="s">
        <v>496</v>
      </c>
      <c r="B4330" s="1" t="s">
        <v>5940</v>
      </c>
      <c r="C4330" s="1" t="s">
        <v>497</v>
      </c>
      <c r="D4330" s="1" t="s">
        <v>3850</v>
      </c>
      <c r="E4330" s="1" t="s">
        <v>6076</v>
      </c>
      <c r="F4330" s="1" t="s">
        <v>6076</v>
      </c>
      <c r="G4330" s="1" t="s">
        <v>9489</v>
      </c>
      <c r="H4330">
        <v>2012</v>
      </c>
      <c r="I4330">
        <v>2012</v>
      </c>
      <c r="J4330">
        <f t="shared" si="134"/>
        <v>1</v>
      </c>
      <c r="K4330" s="1" t="s">
        <v>6076</v>
      </c>
      <c r="L4330" s="1" t="s">
        <v>6076</v>
      </c>
      <c r="M4330">
        <f t="shared" si="135"/>
        <v>14</v>
      </c>
    </row>
    <row r="4331" spans="1:14" x14ac:dyDescent="0.3">
      <c r="A4331" s="1" t="s">
        <v>498</v>
      </c>
      <c r="B4331" s="1" t="s">
        <v>5940</v>
      </c>
      <c r="C4331" s="1" t="s">
        <v>499</v>
      </c>
      <c r="D4331" s="1" t="s">
        <v>3850</v>
      </c>
      <c r="E4331" s="1" t="s">
        <v>6076</v>
      </c>
      <c r="F4331" s="1" t="s">
        <v>6076</v>
      </c>
      <c r="G4331" s="1" t="s">
        <v>9489</v>
      </c>
      <c r="H4331">
        <v>2010</v>
      </c>
      <c r="I4331">
        <v>2016</v>
      </c>
      <c r="J4331">
        <f t="shared" si="134"/>
        <v>7</v>
      </c>
      <c r="K4331" s="1" t="s">
        <v>6076</v>
      </c>
      <c r="L4331" s="1" t="s">
        <v>6076</v>
      </c>
      <c r="M4331">
        <f t="shared" si="135"/>
        <v>10</v>
      </c>
    </row>
    <row r="4332" spans="1:14" x14ac:dyDescent="0.3">
      <c r="A4332" t="s">
        <v>11299</v>
      </c>
      <c r="B4332" t="s">
        <v>10998</v>
      </c>
      <c r="C4332" t="s">
        <v>11300</v>
      </c>
      <c r="E4332" s="1" t="s">
        <v>6076</v>
      </c>
      <c r="F4332" s="1" t="s">
        <v>6076</v>
      </c>
      <c r="G4332" s="1" t="s">
        <v>12807</v>
      </c>
      <c r="H4332">
        <v>2004</v>
      </c>
      <c r="I4332">
        <v>2009</v>
      </c>
      <c r="J4332">
        <f t="shared" si="134"/>
        <v>6</v>
      </c>
      <c r="K4332" s="1" t="s">
        <v>6076</v>
      </c>
      <c r="L4332" s="1" t="s">
        <v>6076</v>
      </c>
      <c r="M4332">
        <f t="shared" si="135"/>
        <v>17</v>
      </c>
    </row>
    <row r="4333" spans="1:14" x14ac:dyDescent="0.3">
      <c r="A4333" t="s">
        <v>11301</v>
      </c>
      <c r="B4333" t="s">
        <v>10998</v>
      </c>
      <c r="C4333" t="s">
        <v>11302</v>
      </c>
      <c r="E4333" s="1" t="s">
        <v>6076</v>
      </c>
      <c r="F4333" s="1" t="s">
        <v>6076</v>
      </c>
      <c r="G4333" s="1" t="s">
        <v>12807</v>
      </c>
      <c r="H4333">
        <v>2006</v>
      </c>
      <c r="I4333">
        <v>2009</v>
      </c>
      <c r="J4333">
        <f t="shared" si="134"/>
        <v>4</v>
      </c>
      <c r="K4333" s="1" t="s">
        <v>6076</v>
      </c>
      <c r="L4333" s="1" t="s">
        <v>6076</v>
      </c>
      <c r="M4333">
        <f t="shared" si="135"/>
        <v>17</v>
      </c>
    </row>
    <row r="4334" spans="1:14" x14ac:dyDescent="0.3">
      <c r="A4334" t="s">
        <v>11303</v>
      </c>
      <c r="B4334" t="s">
        <v>10998</v>
      </c>
      <c r="C4334" t="s">
        <v>11304</v>
      </c>
      <c r="E4334" s="1" t="s">
        <v>6076</v>
      </c>
      <c r="F4334" s="1" t="s">
        <v>6076</v>
      </c>
      <c r="G4334" s="1" t="s">
        <v>12807</v>
      </c>
      <c r="H4334">
        <v>2012</v>
      </c>
      <c r="I4334">
        <v>2012</v>
      </c>
      <c r="J4334">
        <f t="shared" si="134"/>
        <v>1</v>
      </c>
      <c r="K4334" s="1" t="s">
        <v>6076</v>
      </c>
      <c r="L4334" s="1" t="s">
        <v>6076</v>
      </c>
      <c r="M4334">
        <f t="shared" si="135"/>
        <v>14</v>
      </c>
    </row>
    <row r="4335" spans="1:14" x14ac:dyDescent="0.3">
      <c r="A4335" t="s">
        <v>11305</v>
      </c>
      <c r="B4335" t="s">
        <v>10998</v>
      </c>
      <c r="C4335" t="s">
        <v>11306</v>
      </c>
      <c r="E4335" s="1" t="s">
        <v>6076</v>
      </c>
      <c r="F4335" s="1" t="s">
        <v>6076</v>
      </c>
      <c r="G4335" s="1" t="s">
        <v>12807</v>
      </c>
      <c r="H4335">
        <v>2010</v>
      </c>
      <c r="I4335">
        <v>2010</v>
      </c>
      <c r="J4335">
        <f t="shared" si="134"/>
        <v>1</v>
      </c>
      <c r="K4335" s="1" t="s">
        <v>6076</v>
      </c>
      <c r="L4335" s="1" t="s">
        <v>6076</v>
      </c>
      <c r="M4335">
        <f t="shared" si="135"/>
        <v>16</v>
      </c>
    </row>
    <row r="4336" spans="1:14" x14ac:dyDescent="0.3">
      <c r="A4336" t="s">
        <v>11307</v>
      </c>
      <c r="B4336" t="s">
        <v>10998</v>
      </c>
      <c r="C4336" t="s">
        <v>11308</v>
      </c>
      <c r="E4336" s="1" t="s">
        <v>6076</v>
      </c>
      <c r="F4336" s="1" t="s">
        <v>6076</v>
      </c>
      <c r="G4336" s="1" t="s">
        <v>12807</v>
      </c>
      <c r="H4336">
        <v>2005</v>
      </c>
      <c r="I4336">
        <v>2010</v>
      </c>
      <c r="J4336">
        <f t="shared" si="134"/>
        <v>6</v>
      </c>
      <c r="K4336" s="1" t="s">
        <v>6076</v>
      </c>
      <c r="L4336" s="1" t="s">
        <v>6076</v>
      </c>
      <c r="M4336">
        <f t="shared" si="135"/>
        <v>16</v>
      </c>
    </row>
    <row r="4337" spans="1:14" x14ac:dyDescent="0.3">
      <c r="A4337" t="s">
        <v>11309</v>
      </c>
      <c r="B4337" t="s">
        <v>10998</v>
      </c>
      <c r="C4337" t="s">
        <v>11310</v>
      </c>
      <c r="E4337" s="1" t="s">
        <v>6076</v>
      </c>
      <c r="F4337" s="1" t="s">
        <v>6076</v>
      </c>
      <c r="G4337" s="1" t="s">
        <v>12807</v>
      </c>
      <c r="H4337">
        <v>1994</v>
      </c>
      <c r="I4337">
        <v>1995</v>
      </c>
      <c r="J4337">
        <f t="shared" si="134"/>
        <v>2</v>
      </c>
      <c r="K4337" s="1" t="s">
        <v>6076</v>
      </c>
      <c r="L4337" s="1" t="s">
        <v>6076</v>
      </c>
      <c r="M4337">
        <f t="shared" si="135"/>
        <v>31</v>
      </c>
    </row>
    <row r="4338" spans="1:14" x14ac:dyDescent="0.3">
      <c r="A4338" t="s">
        <v>11311</v>
      </c>
      <c r="B4338" t="s">
        <v>10998</v>
      </c>
      <c r="C4338" t="s">
        <v>11312</v>
      </c>
      <c r="E4338" s="1" t="s">
        <v>6076</v>
      </c>
      <c r="F4338" s="1" t="s">
        <v>6076</v>
      </c>
      <c r="G4338" s="1" t="s">
        <v>12807</v>
      </c>
      <c r="H4338">
        <v>1994</v>
      </c>
      <c r="I4338">
        <v>1996</v>
      </c>
      <c r="J4338">
        <f t="shared" si="134"/>
        <v>3</v>
      </c>
      <c r="K4338" s="1" t="s">
        <v>6076</v>
      </c>
      <c r="L4338" s="1" t="s">
        <v>6076</v>
      </c>
      <c r="M4338">
        <f t="shared" si="135"/>
        <v>30</v>
      </c>
    </row>
    <row r="4339" spans="1:14" x14ac:dyDescent="0.3">
      <c r="A4339" t="s">
        <v>11313</v>
      </c>
      <c r="B4339" t="s">
        <v>10998</v>
      </c>
      <c r="C4339" t="s">
        <v>11314</v>
      </c>
      <c r="E4339" s="1" t="s">
        <v>6076</v>
      </c>
      <c r="F4339" s="1" t="s">
        <v>6076</v>
      </c>
      <c r="G4339" s="1" t="s">
        <v>12807</v>
      </c>
      <c r="H4339">
        <v>1994</v>
      </c>
      <c r="I4339">
        <v>2001</v>
      </c>
      <c r="J4339">
        <f t="shared" si="134"/>
        <v>8</v>
      </c>
      <c r="K4339" s="1" t="s">
        <v>6076</v>
      </c>
      <c r="L4339" s="1" t="s">
        <v>6076</v>
      </c>
      <c r="M4339">
        <f t="shared" si="135"/>
        <v>25</v>
      </c>
    </row>
    <row r="4340" spans="1:14" hidden="1" x14ac:dyDescent="0.3">
      <c r="A4340" t="s">
        <v>12228</v>
      </c>
      <c r="B4340" t="s">
        <v>11000</v>
      </c>
      <c r="C4340" t="s">
        <v>12229</v>
      </c>
      <c r="E4340" s="1" t="e">
        <v>#N/A</v>
      </c>
      <c r="F4340" s="1" t="e">
        <v>#N/A</v>
      </c>
      <c r="G4340" s="1" t="s">
        <v>12876</v>
      </c>
      <c r="H4340">
        <v>2025</v>
      </c>
      <c r="I4340">
        <v>2026</v>
      </c>
      <c r="J4340">
        <f t="shared" si="134"/>
        <v>2</v>
      </c>
      <c r="K4340" s="1" t="s">
        <v>12912</v>
      </c>
      <c r="L4340" s="1" t="s">
        <v>12912</v>
      </c>
      <c r="M4340">
        <f t="shared" si="135"/>
        <v>0</v>
      </c>
    </row>
    <row r="4341" spans="1:14" x14ac:dyDescent="0.3">
      <c r="A4341" t="s">
        <v>12230</v>
      </c>
      <c r="B4341" t="s">
        <v>11000</v>
      </c>
      <c r="C4341" t="s">
        <v>12231</v>
      </c>
      <c r="E4341" s="1" t="s">
        <v>6076</v>
      </c>
      <c r="F4341" s="1" t="s">
        <v>6076</v>
      </c>
      <c r="G4341" s="1" t="s">
        <v>12876</v>
      </c>
      <c r="H4341">
        <v>2023</v>
      </c>
      <c r="I4341">
        <v>2026</v>
      </c>
      <c r="J4341">
        <f t="shared" si="134"/>
        <v>4</v>
      </c>
      <c r="K4341" s="1" t="s">
        <v>6076</v>
      </c>
      <c r="L4341" s="1" t="s">
        <v>6076</v>
      </c>
      <c r="M4341">
        <f t="shared" si="135"/>
        <v>0</v>
      </c>
    </row>
    <row r="4342" spans="1:14" x14ac:dyDescent="0.3">
      <c r="A4342" t="s">
        <v>12232</v>
      </c>
      <c r="B4342" t="s">
        <v>11000</v>
      </c>
      <c r="C4342" t="s">
        <v>12233</v>
      </c>
      <c r="E4342" s="1" t="s">
        <v>6076</v>
      </c>
      <c r="F4342" s="1" t="s">
        <v>6076</v>
      </c>
      <c r="G4342" s="1" t="s">
        <v>12876</v>
      </c>
      <c r="H4342">
        <v>2023</v>
      </c>
      <c r="I4342">
        <v>2024</v>
      </c>
      <c r="J4342">
        <f t="shared" si="134"/>
        <v>2</v>
      </c>
      <c r="K4342" s="1" t="s">
        <v>6076</v>
      </c>
      <c r="L4342" s="1" t="s">
        <v>6076</v>
      </c>
      <c r="M4342">
        <f t="shared" si="135"/>
        <v>2</v>
      </c>
    </row>
    <row r="4343" spans="1:14" x14ac:dyDescent="0.3">
      <c r="A4343" t="s">
        <v>12234</v>
      </c>
      <c r="B4343" t="s">
        <v>11000</v>
      </c>
      <c r="C4343" t="s">
        <v>12235</v>
      </c>
      <c r="E4343" s="1" t="s">
        <v>6076</v>
      </c>
      <c r="F4343" s="1" t="s">
        <v>6076</v>
      </c>
      <c r="G4343" s="1" t="s">
        <v>12876</v>
      </c>
      <c r="H4343">
        <v>2025</v>
      </c>
      <c r="I4343">
        <v>2026</v>
      </c>
      <c r="J4343">
        <f t="shared" si="134"/>
        <v>2</v>
      </c>
      <c r="K4343" s="1" t="s">
        <v>6076</v>
      </c>
      <c r="L4343" s="1" t="s">
        <v>6076</v>
      </c>
      <c r="M4343">
        <f t="shared" si="135"/>
        <v>0</v>
      </c>
    </row>
    <row r="4344" spans="1:14" hidden="1" x14ac:dyDescent="0.3">
      <c r="A4344" t="s">
        <v>12236</v>
      </c>
      <c r="B4344" t="s">
        <v>11000</v>
      </c>
      <c r="C4344" t="s">
        <v>12237</v>
      </c>
      <c r="E4344" s="1" t="e">
        <v>#N/A</v>
      </c>
      <c r="F4344" s="1" t="e">
        <v>#N/A</v>
      </c>
      <c r="G4344" s="1" t="s">
        <v>12876</v>
      </c>
      <c r="H4344">
        <v>2023</v>
      </c>
      <c r="I4344">
        <v>2026</v>
      </c>
      <c r="J4344">
        <f t="shared" si="134"/>
        <v>4</v>
      </c>
      <c r="K4344" s="1" t="s">
        <v>12912</v>
      </c>
      <c r="L4344" s="1" t="s">
        <v>12912</v>
      </c>
      <c r="M4344">
        <f t="shared" si="135"/>
        <v>0</v>
      </c>
    </row>
    <row r="4345" spans="1:14" hidden="1" x14ac:dyDescent="0.3">
      <c r="A4345" t="s">
        <v>12238</v>
      </c>
      <c r="B4345" t="s">
        <v>11000</v>
      </c>
      <c r="C4345" t="s">
        <v>12239</v>
      </c>
      <c r="E4345" s="1" t="e">
        <v>#N/A</v>
      </c>
      <c r="F4345" s="1" t="e">
        <v>#N/A</v>
      </c>
      <c r="G4345" s="1" t="s">
        <v>12876</v>
      </c>
      <c r="H4345">
        <v>2023</v>
      </c>
      <c r="I4345">
        <v>2024</v>
      </c>
      <c r="J4345">
        <f t="shared" si="134"/>
        <v>2</v>
      </c>
      <c r="K4345" s="1" t="s">
        <v>12912</v>
      </c>
      <c r="L4345" s="1" t="s">
        <v>12912</v>
      </c>
      <c r="M4345">
        <f t="shared" si="135"/>
        <v>2</v>
      </c>
    </row>
    <row r="4346" spans="1:14" hidden="1" x14ac:dyDescent="0.3">
      <c r="A4346" t="s">
        <v>12240</v>
      </c>
      <c r="B4346" t="s">
        <v>11000</v>
      </c>
      <c r="C4346" t="s">
        <v>12241</v>
      </c>
      <c r="E4346" s="1" t="e">
        <v>#N/A</v>
      </c>
      <c r="F4346" s="1" t="e">
        <v>#N/A</v>
      </c>
      <c r="G4346" s="1" t="s">
        <v>12876</v>
      </c>
      <c r="H4346">
        <v>2025</v>
      </c>
      <c r="I4346">
        <v>2026</v>
      </c>
      <c r="J4346">
        <f t="shared" si="134"/>
        <v>2</v>
      </c>
      <c r="K4346" s="1" t="s">
        <v>12912</v>
      </c>
      <c r="L4346" s="1" t="s">
        <v>12912</v>
      </c>
      <c r="M4346">
        <f t="shared" si="135"/>
        <v>0</v>
      </c>
    </row>
    <row r="4347" spans="1:14" hidden="1" x14ac:dyDescent="0.3">
      <c r="A4347" t="s">
        <v>12242</v>
      </c>
      <c r="B4347" t="s">
        <v>11000</v>
      </c>
      <c r="C4347" t="s">
        <v>12243</v>
      </c>
      <c r="E4347" s="1" t="e">
        <v>#N/A</v>
      </c>
      <c r="F4347" s="1" t="e">
        <v>#N/A</v>
      </c>
      <c r="G4347" s="1" t="s">
        <v>12876</v>
      </c>
      <c r="H4347">
        <v>2023</v>
      </c>
      <c r="I4347">
        <v>2026</v>
      </c>
      <c r="J4347">
        <f t="shared" si="134"/>
        <v>4</v>
      </c>
      <c r="K4347" s="1" t="s">
        <v>12912</v>
      </c>
      <c r="L4347" s="1" t="s">
        <v>12912</v>
      </c>
      <c r="M4347">
        <f t="shared" si="135"/>
        <v>0</v>
      </c>
    </row>
    <row r="4348" spans="1:14" hidden="1" x14ac:dyDescent="0.3">
      <c r="A4348" t="s">
        <v>12244</v>
      </c>
      <c r="B4348" t="s">
        <v>11000</v>
      </c>
      <c r="C4348" t="s">
        <v>12245</v>
      </c>
      <c r="E4348" s="1" t="e">
        <v>#N/A</v>
      </c>
      <c r="F4348" s="1" t="e">
        <v>#N/A</v>
      </c>
      <c r="G4348" s="1" t="s">
        <v>12876</v>
      </c>
      <c r="H4348">
        <v>2024</v>
      </c>
      <c r="I4348">
        <v>2026</v>
      </c>
      <c r="J4348">
        <f t="shared" si="134"/>
        <v>3</v>
      </c>
      <c r="K4348" s="1" t="s">
        <v>12912</v>
      </c>
      <c r="L4348" s="1" t="s">
        <v>12912</v>
      </c>
      <c r="M4348">
        <f t="shared" si="135"/>
        <v>0</v>
      </c>
    </row>
    <row r="4349" spans="1:14" x14ac:dyDescent="0.3">
      <c r="A4349" s="1" t="s">
        <v>9490</v>
      </c>
      <c r="B4349" s="1" t="s">
        <v>1451</v>
      </c>
      <c r="C4349" s="1" t="s">
        <v>9491</v>
      </c>
      <c r="D4349" s="1" t="s">
        <v>1242</v>
      </c>
      <c r="E4349" s="1" t="s">
        <v>6076</v>
      </c>
      <c r="F4349" s="1" t="s">
        <v>6076</v>
      </c>
      <c r="G4349" s="1" t="s">
        <v>4651</v>
      </c>
      <c r="H4349">
        <v>1999</v>
      </c>
      <c r="I4349">
        <v>2001</v>
      </c>
      <c r="J4349">
        <f t="shared" si="134"/>
        <v>3</v>
      </c>
      <c r="K4349" s="1" t="s">
        <v>6076</v>
      </c>
      <c r="L4349" s="1" t="s">
        <v>6076</v>
      </c>
      <c r="M4349">
        <f t="shared" si="135"/>
        <v>25</v>
      </c>
      <c r="N4349" t="s">
        <v>640</v>
      </c>
    </row>
    <row r="4350" spans="1:14" x14ac:dyDescent="0.3">
      <c r="A4350" s="1" t="s">
        <v>9492</v>
      </c>
      <c r="B4350" s="1" t="s">
        <v>1451</v>
      </c>
      <c r="C4350" s="1" t="s">
        <v>9493</v>
      </c>
      <c r="D4350" s="1" t="s">
        <v>1242</v>
      </c>
      <c r="E4350" s="1" t="s">
        <v>6076</v>
      </c>
      <c r="F4350" s="1" t="s">
        <v>6076</v>
      </c>
      <c r="G4350" s="1" t="s">
        <v>4651</v>
      </c>
      <c r="H4350">
        <v>1998</v>
      </c>
      <c r="I4350">
        <v>2001</v>
      </c>
      <c r="J4350">
        <f t="shared" si="134"/>
        <v>4</v>
      </c>
      <c r="K4350" s="1" t="s">
        <v>6076</v>
      </c>
      <c r="L4350" s="1" t="s">
        <v>6076</v>
      </c>
      <c r="M4350">
        <f t="shared" si="135"/>
        <v>25</v>
      </c>
      <c r="N4350" t="s">
        <v>640</v>
      </c>
    </row>
    <row r="4351" spans="1:14" x14ac:dyDescent="0.3">
      <c r="A4351" s="1" t="s">
        <v>9494</v>
      </c>
      <c r="B4351" s="1" t="s">
        <v>1451</v>
      </c>
      <c r="C4351" s="1" t="s">
        <v>9495</v>
      </c>
      <c r="D4351" s="1" t="s">
        <v>1242</v>
      </c>
      <c r="E4351" s="1" t="s">
        <v>6076</v>
      </c>
      <c r="F4351" s="1" t="s">
        <v>6076</v>
      </c>
      <c r="G4351" s="1" t="s">
        <v>4651</v>
      </c>
      <c r="H4351">
        <v>1998</v>
      </c>
      <c r="I4351">
        <v>2001</v>
      </c>
      <c r="J4351">
        <f t="shared" si="134"/>
        <v>4</v>
      </c>
      <c r="K4351" s="1" t="s">
        <v>6076</v>
      </c>
      <c r="L4351" s="1" t="s">
        <v>6076</v>
      </c>
      <c r="M4351">
        <f t="shared" si="135"/>
        <v>25</v>
      </c>
      <c r="N4351" t="s">
        <v>640</v>
      </c>
    </row>
    <row r="4352" spans="1:14" x14ac:dyDescent="0.3">
      <c r="A4352" s="1" t="s">
        <v>9496</v>
      </c>
      <c r="B4352" s="1" t="s">
        <v>1451</v>
      </c>
      <c r="C4352" s="1" t="s">
        <v>9497</v>
      </c>
      <c r="D4352" s="1" t="s">
        <v>1242</v>
      </c>
      <c r="E4352" s="1" t="s">
        <v>6076</v>
      </c>
      <c r="F4352" s="1" t="s">
        <v>6076</v>
      </c>
      <c r="G4352" s="1" t="s">
        <v>4651</v>
      </c>
      <c r="H4352">
        <v>1999</v>
      </c>
      <c r="I4352">
        <v>2001</v>
      </c>
      <c r="J4352">
        <f t="shared" si="134"/>
        <v>3</v>
      </c>
      <c r="K4352" s="1" t="s">
        <v>6076</v>
      </c>
      <c r="L4352" s="1" t="s">
        <v>6076</v>
      </c>
      <c r="M4352">
        <f t="shared" si="135"/>
        <v>25</v>
      </c>
      <c r="N4352" t="s">
        <v>640</v>
      </c>
    </row>
    <row r="4353" spans="1:14" x14ac:dyDescent="0.3">
      <c r="A4353" s="1" t="s">
        <v>9498</v>
      </c>
      <c r="B4353" s="1" t="s">
        <v>1451</v>
      </c>
      <c r="C4353" s="1" t="s">
        <v>9499</v>
      </c>
      <c r="D4353" s="1" t="s">
        <v>1242</v>
      </c>
      <c r="E4353" s="1" t="s">
        <v>6076</v>
      </c>
      <c r="F4353" s="1" t="s">
        <v>6076</v>
      </c>
      <c r="G4353" s="1" t="s">
        <v>4651</v>
      </c>
      <c r="H4353">
        <v>1998</v>
      </c>
      <c r="I4353">
        <v>2001</v>
      </c>
      <c r="J4353">
        <f t="shared" si="134"/>
        <v>4</v>
      </c>
      <c r="K4353" s="1" t="s">
        <v>6076</v>
      </c>
      <c r="L4353" s="1" t="s">
        <v>6076</v>
      </c>
      <c r="M4353">
        <f t="shared" si="135"/>
        <v>25</v>
      </c>
      <c r="N4353" t="s">
        <v>640</v>
      </c>
    </row>
    <row r="4354" spans="1:14" x14ac:dyDescent="0.3">
      <c r="A4354" s="1" t="s">
        <v>9500</v>
      </c>
      <c r="B4354" s="1" t="s">
        <v>1451</v>
      </c>
      <c r="C4354" s="1" t="s">
        <v>9501</v>
      </c>
      <c r="D4354" s="1" t="s">
        <v>1242</v>
      </c>
      <c r="E4354" s="1" t="s">
        <v>6076</v>
      </c>
      <c r="F4354" s="1" t="s">
        <v>6076</v>
      </c>
      <c r="G4354" s="1" t="s">
        <v>4651</v>
      </c>
      <c r="H4354">
        <v>1998</v>
      </c>
      <c r="I4354">
        <v>2001</v>
      </c>
      <c r="J4354">
        <f t="shared" si="134"/>
        <v>4</v>
      </c>
      <c r="K4354" s="1" t="s">
        <v>6076</v>
      </c>
      <c r="L4354" s="1" t="s">
        <v>6076</v>
      </c>
      <c r="M4354">
        <f t="shared" si="135"/>
        <v>25</v>
      </c>
      <c r="N4354" t="s">
        <v>640</v>
      </c>
    </row>
    <row r="4355" spans="1:14" x14ac:dyDescent="0.3">
      <c r="A4355" s="1" t="s">
        <v>9502</v>
      </c>
      <c r="B4355" s="1" t="s">
        <v>1451</v>
      </c>
      <c r="C4355" s="1" t="s">
        <v>9503</v>
      </c>
      <c r="D4355" s="1" t="s">
        <v>1242</v>
      </c>
      <c r="E4355" s="1" t="s">
        <v>6076</v>
      </c>
      <c r="F4355" s="1" t="s">
        <v>6076</v>
      </c>
      <c r="G4355" s="1" t="s">
        <v>4651</v>
      </c>
      <c r="H4355">
        <v>1999</v>
      </c>
      <c r="I4355">
        <v>2001</v>
      </c>
      <c r="J4355">
        <f t="shared" si="134"/>
        <v>3</v>
      </c>
      <c r="K4355" s="1" t="s">
        <v>6076</v>
      </c>
      <c r="L4355" s="1" t="s">
        <v>6076</v>
      </c>
      <c r="M4355">
        <f t="shared" si="135"/>
        <v>25</v>
      </c>
      <c r="N4355" t="s">
        <v>640</v>
      </c>
    </row>
    <row r="4356" spans="1:14" x14ac:dyDescent="0.3">
      <c r="A4356" s="1" t="s">
        <v>9504</v>
      </c>
      <c r="B4356" s="1" t="s">
        <v>1451</v>
      </c>
      <c r="C4356" s="1" t="s">
        <v>9505</v>
      </c>
      <c r="D4356" s="1" t="s">
        <v>1242</v>
      </c>
      <c r="E4356" s="1" t="s">
        <v>6076</v>
      </c>
      <c r="F4356" s="1" t="s">
        <v>6076</v>
      </c>
      <c r="G4356" s="1" t="s">
        <v>4651</v>
      </c>
      <c r="H4356">
        <v>1998</v>
      </c>
      <c r="I4356">
        <v>2001</v>
      </c>
      <c r="J4356">
        <f t="shared" si="134"/>
        <v>4</v>
      </c>
      <c r="K4356" s="1" t="s">
        <v>6076</v>
      </c>
      <c r="L4356" s="1" t="s">
        <v>6076</v>
      </c>
      <c r="M4356">
        <f t="shared" si="135"/>
        <v>25</v>
      </c>
      <c r="N4356" t="s">
        <v>640</v>
      </c>
    </row>
    <row r="4357" spans="1:14" hidden="1" x14ac:dyDescent="0.3">
      <c r="A4357" t="s">
        <v>11473</v>
      </c>
      <c r="B4357" t="s">
        <v>1451</v>
      </c>
      <c r="C4357" t="s">
        <v>11474</v>
      </c>
      <c r="E4357" s="1" t="e">
        <v>#N/A</v>
      </c>
      <c r="F4357" s="1" t="e">
        <v>#N/A</v>
      </c>
      <c r="G4357" s="1" t="s">
        <v>12826</v>
      </c>
      <c r="H4357">
        <v>2025</v>
      </c>
      <c r="I4357">
        <v>2026</v>
      </c>
      <c r="J4357">
        <f t="shared" si="134"/>
        <v>2</v>
      </c>
      <c r="K4357" s="1" t="s">
        <v>4668</v>
      </c>
      <c r="L4357" s="1" t="s">
        <v>659</v>
      </c>
      <c r="M4357">
        <f t="shared" si="135"/>
        <v>0</v>
      </c>
    </row>
    <row r="4358" spans="1:14" hidden="1" x14ac:dyDescent="0.3">
      <c r="A4358" s="1" t="s">
        <v>5480</v>
      </c>
      <c r="B4358" s="1" t="s">
        <v>1451</v>
      </c>
      <c r="C4358" s="1" t="s">
        <v>5481</v>
      </c>
      <c r="D4358" s="1" t="s">
        <v>1242</v>
      </c>
      <c r="E4358" s="1" t="s">
        <v>4250</v>
      </c>
      <c r="F4358" s="1" t="s">
        <v>4251</v>
      </c>
      <c r="G4358" s="1" t="s">
        <v>4651</v>
      </c>
      <c r="H4358">
        <v>2022</v>
      </c>
      <c r="I4358">
        <v>2022</v>
      </c>
      <c r="J4358">
        <f t="shared" ref="J4358:J4421" si="136">1+(I4358-H4358)</f>
        <v>1</v>
      </c>
      <c r="K4358" s="1" t="s">
        <v>4668</v>
      </c>
      <c r="L4358" s="1" t="s">
        <v>649</v>
      </c>
      <c r="M4358">
        <f t="shared" ref="M4358:M4421" si="137">IF(I4358=0,0,$B$2-I4358)</f>
        <v>4</v>
      </c>
      <c r="N4358" t="s">
        <v>650</v>
      </c>
    </row>
    <row r="4359" spans="1:14" hidden="1" x14ac:dyDescent="0.3">
      <c r="A4359" t="s">
        <v>11475</v>
      </c>
      <c r="B4359" t="s">
        <v>1451</v>
      </c>
      <c r="C4359" t="s">
        <v>11476</v>
      </c>
      <c r="E4359" s="1" t="e">
        <v>#N/A</v>
      </c>
      <c r="F4359" s="1" t="e">
        <v>#N/A</v>
      </c>
      <c r="G4359" s="1" t="s">
        <v>12826</v>
      </c>
      <c r="H4359">
        <v>2022</v>
      </c>
      <c r="I4359">
        <v>2023</v>
      </c>
      <c r="J4359">
        <f t="shared" si="136"/>
        <v>2</v>
      </c>
      <c r="K4359" s="1" t="s">
        <v>4668</v>
      </c>
      <c r="L4359" s="1" t="s">
        <v>659</v>
      </c>
      <c r="M4359">
        <f t="shared" si="137"/>
        <v>3</v>
      </c>
    </row>
    <row r="4360" spans="1:14" hidden="1" x14ac:dyDescent="0.3">
      <c r="A4360" s="1" t="s">
        <v>5482</v>
      </c>
      <c r="B4360" s="1" t="s">
        <v>1451</v>
      </c>
      <c r="C4360" s="1" t="s">
        <v>5483</v>
      </c>
      <c r="D4360" s="1" t="s">
        <v>1242</v>
      </c>
      <c r="E4360" s="1" t="s">
        <v>4250</v>
      </c>
      <c r="F4360" s="1" t="s">
        <v>4251</v>
      </c>
      <c r="G4360" s="1" t="s">
        <v>4651</v>
      </c>
      <c r="H4360">
        <v>2010</v>
      </c>
      <c r="I4360">
        <v>2012</v>
      </c>
      <c r="J4360">
        <f t="shared" si="136"/>
        <v>3</v>
      </c>
      <c r="K4360" s="1" t="s">
        <v>4668</v>
      </c>
      <c r="L4360" s="1" t="s">
        <v>649</v>
      </c>
      <c r="M4360">
        <f t="shared" si="137"/>
        <v>14</v>
      </c>
      <c r="N4360" t="s">
        <v>650</v>
      </c>
    </row>
    <row r="4361" spans="1:14" hidden="1" x14ac:dyDescent="0.3">
      <c r="A4361" s="1" t="s">
        <v>5484</v>
      </c>
      <c r="B4361" s="1" t="s">
        <v>1451</v>
      </c>
      <c r="C4361" s="1" t="s">
        <v>5485</v>
      </c>
      <c r="D4361" s="1" t="s">
        <v>1242</v>
      </c>
      <c r="E4361" s="1" t="s">
        <v>4250</v>
      </c>
      <c r="F4361" s="1" t="s">
        <v>4251</v>
      </c>
      <c r="G4361" s="1" t="s">
        <v>4651</v>
      </c>
      <c r="H4361">
        <v>2013</v>
      </c>
      <c r="I4361">
        <v>2019</v>
      </c>
      <c r="J4361">
        <f t="shared" si="136"/>
        <v>7</v>
      </c>
      <c r="K4361" s="1" t="s">
        <v>4668</v>
      </c>
      <c r="L4361" s="1" t="s">
        <v>649</v>
      </c>
      <c r="M4361">
        <f t="shared" si="137"/>
        <v>7</v>
      </c>
      <c r="N4361" t="s">
        <v>650</v>
      </c>
    </row>
    <row r="4362" spans="1:14" hidden="1" x14ac:dyDescent="0.3">
      <c r="A4362" s="1" t="s">
        <v>5486</v>
      </c>
      <c r="B4362" s="1" t="s">
        <v>1451</v>
      </c>
      <c r="C4362" s="1" t="s">
        <v>5487</v>
      </c>
      <c r="D4362" s="1" t="s">
        <v>1242</v>
      </c>
      <c r="E4362" s="1" t="s">
        <v>4250</v>
      </c>
      <c r="F4362" s="1" t="s">
        <v>4251</v>
      </c>
      <c r="G4362" s="1" t="s">
        <v>4651</v>
      </c>
      <c r="H4362">
        <v>2005</v>
      </c>
      <c r="I4362">
        <v>2012</v>
      </c>
      <c r="J4362">
        <f t="shared" si="136"/>
        <v>8</v>
      </c>
      <c r="K4362" s="1" t="s">
        <v>4668</v>
      </c>
      <c r="L4362" s="1" t="s">
        <v>649</v>
      </c>
      <c r="M4362">
        <f t="shared" si="137"/>
        <v>14</v>
      </c>
      <c r="N4362" t="s">
        <v>650</v>
      </c>
    </row>
    <row r="4363" spans="1:14" x14ac:dyDescent="0.3">
      <c r="A4363" t="s">
        <v>11477</v>
      </c>
      <c r="B4363" t="s">
        <v>1451</v>
      </c>
      <c r="C4363" t="s">
        <v>11478</v>
      </c>
      <c r="E4363" s="1" t="s">
        <v>6076</v>
      </c>
      <c r="F4363" s="1" t="s">
        <v>6076</v>
      </c>
      <c r="G4363" s="1" t="s">
        <v>12826</v>
      </c>
      <c r="H4363">
        <v>2024</v>
      </c>
      <c r="I4363">
        <v>2026</v>
      </c>
      <c r="J4363">
        <f t="shared" si="136"/>
        <v>3</v>
      </c>
      <c r="K4363" s="1" t="s">
        <v>6076</v>
      </c>
      <c r="L4363" s="1" t="s">
        <v>6076</v>
      </c>
      <c r="M4363">
        <f t="shared" si="137"/>
        <v>0</v>
      </c>
    </row>
    <row r="4364" spans="1:14" hidden="1" x14ac:dyDescent="0.3">
      <c r="A4364" s="1" t="s">
        <v>5488</v>
      </c>
      <c r="B4364" s="1" t="s">
        <v>1451</v>
      </c>
      <c r="C4364" s="1" t="s">
        <v>5489</v>
      </c>
      <c r="D4364" s="1" t="s">
        <v>1242</v>
      </c>
      <c r="E4364" s="1" t="s">
        <v>4250</v>
      </c>
      <c r="F4364" s="1" t="s">
        <v>4251</v>
      </c>
      <c r="G4364" s="1" t="s">
        <v>4651</v>
      </c>
      <c r="H4364">
        <v>2013</v>
      </c>
      <c r="I4364">
        <v>2022</v>
      </c>
      <c r="J4364">
        <f t="shared" si="136"/>
        <v>10</v>
      </c>
      <c r="K4364" s="1" t="s">
        <v>4668</v>
      </c>
      <c r="L4364" s="1" t="s">
        <v>649</v>
      </c>
      <c r="M4364">
        <f t="shared" si="137"/>
        <v>4</v>
      </c>
      <c r="N4364" t="s">
        <v>650</v>
      </c>
    </row>
    <row r="4365" spans="1:14" x14ac:dyDescent="0.3">
      <c r="A4365" s="1" t="s">
        <v>9506</v>
      </c>
      <c r="B4365" s="1" t="s">
        <v>1451</v>
      </c>
      <c r="C4365" s="1" t="s">
        <v>5489</v>
      </c>
      <c r="D4365" s="1" t="s">
        <v>1242</v>
      </c>
      <c r="E4365" s="1" t="s">
        <v>6076</v>
      </c>
      <c r="F4365" s="1" t="s">
        <v>6076</v>
      </c>
      <c r="G4365" s="1" t="s">
        <v>4651</v>
      </c>
      <c r="H4365">
        <v>1998</v>
      </c>
      <c r="I4365">
        <v>2001</v>
      </c>
      <c r="J4365">
        <f t="shared" si="136"/>
        <v>4</v>
      </c>
      <c r="K4365" s="1" t="s">
        <v>6076</v>
      </c>
      <c r="L4365" s="1" t="s">
        <v>6076</v>
      </c>
      <c r="M4365">
        <f t="shared" si="137"/>
        <v>25</v>
      </c>
      <c r="N4365" t="s">
        <v>640</v>
      </c>
    </row>
    <row r="4366" spans="1:14" x14ac:dyDescent="0.3">
      <c r="A4366" t="s">
        <v>11479</v>
      </c>
      <c r="B4366" t="s">
        <v>1451</v>
      </c>
      <c r="C4366" t="s">
        <v>11480</v>
      </c>
      <c r="E4366" s="1" t="s">
        <v>6076</v>
      </c>
      <c r="F4366" s="1" t="s">
        <v>6076</v>
      </c>
      <c r="G4366" s="1" t="s">
        <v>12826</v>
      </c>
      <c r="H4366">
        <v>2024</v>
      </c>
      <c r="I4366">
        <v>2026</v>
      </c>
      <c r="J4366">
        <f t="shared" si="136"/>
        <v>3</v>
      </c>
      <c r="K4366" s="1" t="s">
        <v>6076</v>
      </c>
      <c r="L4366" s="1" t="s">
        <v>6076</v>
      </c>
      <c r="M4366">
        <f t="shared" si="137"/>
        <v>0</v>
      </c>
    </row>
    <row r="4367" spans="1:14" x14ac:dyDescent="0.3">
      <c r="A4367" t="s">
        <v>11481</v>
      </c>
      <c r="B4367" t="s">
        <v>1451</v>
      </c>
      <c r="C4367" t="s">
        <v>11482</v>
      </c>
      <c r="E4367" s="1" t="s">
        <v>6076</v>
      </c>
      <c r="F4367" s="1" t="s">
        <v>6076</v>
      </c>
      <c r="G4367" s="1" t="s">
        <v>12826</v>
      </c>
      <c r="H4367">
        <v>2024</v>
      </c>
      <c r="I4367">
        <v>2026</v>
      </c>
      <c r="J4367">
        <f t="shared" si="136"/>
        <v>3</v>
      </c>
      <c r="K4367" s="1" t="s">
        <v>6076</v>
      </c>
      <c r="L4367" s="1" t="s">
        <v>6076</v>
      </c>
      <c r="M4367">
        <f t="shared" si="137"/>
        <v>0</v>
      </c>
    </row>
    <row r="4368" spans="1:14" x14ac:dyDescent="0.3">
      <c r="A4368" s="1" t="s">
        <v>9507</v>
      </c>
      <c r="B4368" s="1" t="s">
        <v>1451</v>
      </c>
      <c r="C4368" s="1" t="s">
        <v>9508</v>
      </c>
      <c r="D4368" s="1" t="s">
        <v>1242</v>
      </c>
      <c r="E4368" s="1" t="s">
        <v>6076</v>
      </c>
      <c r="F4368" s="1" t="s">
        <v>6076</v>
      </c>
      <c r="G4368" s="1" t="s">
        <v>4651</v>
      </c>
      <c r="H4368">
        <v>1994</v>
      </c>
      <c r="I4368">
        <v>1995</v>
      </c>
      <c r="J4368">
        <f t="shared" si="136"/>
        <v>2</v>
      </c>
      <c r="K4368" s="1" t="s">
        <v>6076</v>
      </c>
      <c r="L4368" s="1" t="s">
        <v>6076</v>
      </c>
      <c r="M4368">
        <f t="shared" si="137"/>
        <v>31</v>
      </c>
      <c r="N4368" t="s">
        <v>640</v>
      </c>
    </row>
    <row r="4369" spans="1:14" x14ac:dyDescent="0.3">
      <c r="A4369" s="1" t="s">
        <v>9509</v>
      </c>
      <c r="B4369" s="1" t="s">
        <v>1451</v>
      </c>
      <c r="C4369" s="1" t="s">
        <v>9510</v>
      </c>
      <c r="D4369" s="1" t="s">
        <v>1242</v>
      </c>
      <c r="E4369" s="1" t="s">
        <v>6076</v>
      </c>
      <c r="F4369" s="1" t="s">
        <v>6076</v>
      </c>
      <c r="G4369" s="1" t="s">
        <v>4651</v>
      </c>
      <c r="H4369">
        <v>1993</v>
      </c>
      <c r="I4369">
        <v>1996</v>
      </c>
      <c r="J4369">
        <f t="shared" si="136"/>
        <v>4</v>
      </c>
      <c r="K4369" s="1" t="s">
        <v>6076</v>
      </c>
      <c r="L4369" s="1" t="s">
        <v>6076</v>
      </c>
      <c r="M4369">
        <f t="shared" si="137"/>
        <v>30</v>
      </c>
      <c r="N4369" t="s">
        <v>640</v>
      </c>
    </row>
    <row r="4370" spans="1:14" hidden="1" x14ac:dyDescent="0.3">
      <c r="A4370" s="1" t="s">
        <v>5490</v>
      </c>
      <c r="B4370" s="1" t="s">
        <v>1451</v>
      </c>
      <c r="C4370" s="1" t="s">
        <v>5491</v>
      </c>
      <c r="D4370" s="1" t="s">
        <v>1242</v>
      </c>
      <c r="E4370" s="1" t="s">
        <v>4250</v>
      </c>
      <c r="F4370" s="1" t="s">
        <v>4251</v>
      </c>
      <c r="G4370" s="1" t="s">
        <v>4651</v>
      </c>
      <c r="H4370">
        <v>2014</v>
      </c>
      <c r="I4370">
        <v>2016</v>
      </c>
      <c r="J4370">
        <f t="shared" si="136"/>
        <v>3</v>
      </c>
      <c r="K4370" s="1" t="s">
        <v>4668</v>
      </c>
      <c r="L4370" s="1" t="s">
        <v>649</v>
      </c>
      <c r="M4370">
        <f t="shared" si="137"/>
        <v>10</v>
      </c>
      <c r="N4370" t="s">
        <v>650</v>
      </c>
    </row>
    <row r="4371" spans="1:14" hidden="1" x14ac:dyDescent="0.3">
      <c r="A4371" s="1" t="s">
        <v>5492</v>
      </c>
      <c r="B4371" s="1" t="s">
        <v>1451</v>
      </c>
      <c r="C4371" s="1" t="s">
        <v>5493</v>
      </c>
      <c r="D4371" s="1" t="s">
        <v>1242</v>
      </c>
      <c r="E4371" s="1" t="s">
        <v>4250</v>
      </c>
      <c r="F4371" s="1" t="s">
        <v>4251</v>
      </c>
      <c r="G4371" s="1" t="s">
        <v>4651</v>
      </c>
      <c r="H4371">
        <v>2018</v>
      </c>
      <c r="I4371">
        <v>2018</v>
      </c>
      <c r="J4371">
        <f t="shared" si="136"/>
        <v>1</v>
      </c>
      <c r="K4371" s="1" t="s">
        <v>4668</v>
      </c>
      <c r="L4371" s="1" t="s">
        <v>649</v>
      </c>
      <c r="M4371">
        <f t="shared" si="137"/>
        <v>8</v>
      </c>
      <c r="N4371" t="s">
        <v>650</v>
      </c>
    </row>
    <row r="4372" spans="1:14" hidden="1" x14ac:dyDescent="0.3">
      <c r="A4372" s="1" t="s">
        <v>5494</v>
      </c>
      <c r="B4372" s="1" t="s">
        <v>1451</v>
      </c>
      <c r="C4372" s="1" t="s">
        <v>5495</v>
      </c>
      <c r="D4372" s="1" t="s">
        <v>1242</v>
      </c>
      <c r="E4372" s="1" t="s">
        <v>4250</v>
      </c>
      <c r="F4372" s="1" t="s">
        <v>4251</v>
      </c>
      <c r="G4372" s="1" t="s">
        <v>4651</v>
      </c>
      <c r="H4372">
        <v>2020</v>
      </c>
      <c r="I4372">
        <v>2022</v>
      </c>
      <c r="J4372">
        <f t="shared" si="136"/>
        <v>3</v>
      </c>
      <c r="K4372" s="1" t="s">
        <v>4668</v>
      </c>
      <c r="L4372" s="1" t="s">
        <v>649</v>
      </c>
      <c r="M4372">
        <f t="shared" si="137"/>
        <v>4</v>
      </c>
      <c r="N4372" t="s">
        <v>650</v>
      </c>
    </row>
    <row r="4373" spans="1:14" x14ac:dyDescent="0.3">
      <c r="A4373" s="1" t="s">
        <v>9511</v>
      </c>
      <c r="B4373" s="1" t="s">
        <v>1451</v>
      </c>
      <c r="C4373" s="1" t="s">
        <v>9512</v>
      </c>
      <c r="D4373" s="1" t="s">
        <v>1242</v>
      </c>
      <c r="E4373" s="1" t="s">
        <v>6076</v>
      </c>
      <c r="F4373" s="1" t="s">
        <v>6076</v>
      </c>
      <c r="G4373" s="1" t="s">
        <v>4651</v>
      </c>
      <c r="H4373">
        <v>1994</v>
      </c>
      <c r="I4373">
        <v>1998</v>
      </c>
      <c r="J4373">
        <f t="shared" si="136"/>
        <v>5</v>
      </c>
      <c r="K4373" s="1" t="s">
        <v>6076</v>
      </c>
      <c r="L4373" s="1" t="s">
        <v>6076</v>
      </c>
      <c r="M4373">
        <f t="shared" si="137"/>
        <v>28</v>
      </c>
      <c r="N4373" t="s">
        <v>640</v>
      </c>
    </row>
    <row r="4374" spans="1:14" hidden="1" x14ac:dyDescent="0.3">
      <c r="A4374" s="1" t="s">
        <v>5496</v>
      </c>
      <c r="B4374" s="1" t="s">
        <v>1451</v>
      </c>
      <c r="C4374" s="1" t="s">
        <v>5497</v>
      </c>
      <c r="D4374" s="1" t="s">
        <v>1242</v>
      </c>
      <c r="E4374" s="1" t="s">
        <v>4250</v>
      </c>
      <c r="F4374" s="1" t="s">
        <v>4251</v>
      </c>
      <c r="G4374" s="1" t="s">
        <v>4651</v>
      </c>
      <c r="H4374">
        <v>2013</v>
      </c>
      <c r="I4374">
        <v>2017</v>
      </c>
      <c r="J4374">
        <f t="shared" si="136"/>
        <v>5</v>
      </c>
      <c r="K4374" s="1" t="s">
        <v>4668</v>
      </c>
      <c r="L4374" s="1" t="s">
        <v>649</v>
      </c>
      <c r="M4374">
        <f t="shared" si="137"/>
        <v>9</v>
      </c>
      <c r="N4374" t="s">
        <v>650</v>
      </c>
    </row>
    <row r="4375" spans="1:14" hidden="1" x14ac:dyDescent="0.3">
      <c r="A4375" s="1" t="s">
        <v>5498</v>
      </c>
      <c r="B4375" s="1" t="s">
        <v>1451</v>
      </c>
      <c r="C4375" s="1" t="s">
        <v>5499</v>
      </c>
      <c r="D4375" s="1" t="s">
        <v>1242</v>
      </c>
      <c r="E4375" s="1" t="s">
        <v>4250</v>
      </c>
      <c r="F4375" s="1" t="s">
        <v>4251</v>
      </c>
      <c r="G4375" s="1" t="s">
        <v>4651</v>
      </c>
      <c r="H4375">
        <v>2013</v>
      </c>
      <c r="I4375">
        <v>2015</v>
      </c>
      <c r="J4375">
        <f t="shared" si="136"/>
        <v>3</v>
      </c>
      <c r="K4375" s="1" t="s">
        <v>4668</v>
      </c>
      <c r="L4375" s="1" t="s">
        <v>649</v>
      </c>
      <c r="M4375">
        <f t="shared" si="137"/>
        <v>11</v>
      </c>
      <c r="N4375" t="s">
        <v>650</v>
      </c>
    </row>
    <row r="4376" spans="1:14" hidden="1" x14ac:dyDescent="0.3">
      <c r="A4376" s="1" t="s">
        <v>5500</v>
      </c>
      <c r="B4376" s="1" t="s">
        <v>1451</v>
      </c>
      <c r="C4376" s="1" t="s">
        <v>5501</v>
      </c>
      <c r="D4376" s="1" t="s">
        <v>1242</v>
      </c>
      <c r="E4376" s="1" t="s">
        <v>4250</v>
      </c>
      <c r="F4376" s="1" t="s">
        <v>4251</v>
      </c>
      <c r="G4376" s="1" t="s">
        <v>4651</v>
      </c>
      <c r="H4376">
        <v>2013</v>
      </c>
      <c r="I4376">
        <v>2020</v>
      </c>
      <c r="J4376">
        <f t="shared" si="136"/>
        <v>8</v>
      </c>
      <c r="K4376" s="1" t="s">
        <v>4668</v>
      </c>
      <c r="L4376" s="1" t="s">
        <v>649</v>
      </c>
      <c r="M4376">
        <f t="shared" si="137"/>
        <v>6</v>
      </c>
      <c r="N4376" t="s">
        <v>650</v>
      </c>
    </row>
    <row r="4377" spans="1:14" hidden="1" x14ac:dyDescent="0.3">
      <c r="A4377" s="1" t="s">
        <v>5502</v>
      </c>
      <c r="B4377" s="1" t="s">
        <v>1451</v>
      </c>
      <c r="C4377" s="1" t="s">
        <v>5503</v>
      </c>
      <c r="D4377" s="1" t="s">
        <v>1242</v>
      </c>
      <c r="E4377" s="1" t="s">
        <v>4250</v>
      </c>
      <c r="F4377" s="1" t="s">
        <v>4251</v>
      </c>
      <c r="G4377" s="1" t="s">
        <v>4651</v>
      </c>
      <c r="H4377">
        <v>2013</v>
      </c>
      <c r="I4377">
        <v>2022</v>
      </c>
      <c r="J4377">
        <f t="shared" si="136"/>
        <v>10</v>
      </c>
      <c r="K4377" s="1" t="s">
        <v>4668</v>
      </c>
      <c r="L4377" s="1" t="s">
        <v>649</v>
      </c>
      <c r="M4377">
        <f t="shared" si="137"/>
        <v>4</v>
      </c>
      <c r="N4377" t="s">
        <v>650</v>
      </c>
    </row>
    <row r="4378" spans="1:14" hidden="1" x14ac:dyDescent="0.3">
      <c r="A4378" s="1" t="s">
        <v>5504</v>
      </c>
      <c r="B4378" s="1" t="s">
        <v>1451</v>
      </c>
      <c r="C4378" s="1" t="s">
        <v>5505</v>
      </c>
      <c r="D4378" s="1" t="s">
        <v>1242</v>
      </c>
      <c r="E4378" s="1" t="s">
        <v>4250</v>
      </c>
      <c r="F4378" s="1" t="s">
        <v>4251</v>
      </c>
      <c r="G4378" s="1" t="s">
        <v>4651</v>
      </c>
      <c r="H4378">
        <v>2013</v>
      </c>
      <c r="I4378">
        <v>2017</v>
      </c>
      <c r="J4378">
        <f t="shared" si="136"/>
        <v>5</v>
      </c>
      <c r="K4378" s="1" t="s">
        <v>4668</v>
      </c>
      <c r="L4378" s="1" t="s">
        <v>649</v>
      </c>
      <c r="M4378">
        <f t="shared" si="137"/>
        <v>9</v>
      </c>
      <c r="N4378" t="s">
        <v>650</v>
      </c>
    </row>
    <row r="4379" spans="1:14" hidden="1" x14ac:dyDescent="0.3">
      <c r="A4379" s="1" t="s">
        <v>5506</v>
      </c>
      <c r="B4379" s="1" t="s">
        <v>1451</v>
      </c>
      <c r="C4379" s="1" t="s">
        <v>5507</v>
      </c>
      <c r="D4379" s="1" t="s">
        <v>1242</v>
      </c>
      <c r="E4379" s="1" t="s">
        <v>4250</v>
      </c>
      <c r="F4379" s="1" t="s">
        <v>4251</v>
      </c>
      <c r="G4379" s="1" t="s">
        <v>4651</v>
      </c>
      <c r="H4379">
        <v>2010</v>
      </c>
      <c r="I4379">
        <v>2011</v>
      </c>
      <c r="J4379">
        <f t="shared" si="136"/>
        <v>2</v>
      </c>
      <c r="K4379" s="1" t="s">
        <v>4668</v>
      </c>
      <c r="L4379" s="1" t="s">
        <v>649</v>
      </c>
      <c r="M4379">
        <f t="shared" si="137"/>
        <v>15</v>
      </c>
      <c r="N4379" t="s">
        <v>650</v>
      </c>
    </row>
    <row r="4380" spans="1:14" hidden="1" x14ac:dyDescent="0.3">
      <c r="A4380" s="1" t="s">
        <v>5508</v>
      </c>
      <c r="B4380" s="1" t="s">
        <v>1451</v>
      </c>
      <c r="C4380" s="1" t="s">
        <v>5509</v>
      </c>
      <c r="D4380" s="1" t="s">
        <v>1242</v>
      </c>
      <c r="E4380" s="1" t="s">
        <v>4250</v>
      </c>
      <c r="F4380" s="1" t="s">
        <v>4251</v>
      </c>
      <c r="G4380" s="1" t="s">
        <v>4651</v>
      </c>
      <c r="H4380">
        <v>2010</v>
      </c>
      <c r="I4380">
        <v>2011</v>
      </c>
      <c r="J4380">
        <f t="shared" si="136"/>
        <v>2</v>
      </c>
      <c r="K4380" s="1" t="s">
        <v>4668</v>
      </c>
      <c r="L4380" s="1" t="s">
        <v>649</v>
      </c>
      <c r="M4380">
        <f t="shared" si="137"/>
        <v>15</v>
      </c>
      <c r="N4380" t="s">
        <v>650</v>
      </c>
    </row>
    <row r="4381" spans="1:14" hidden="1" x14ac:dyDescent="0.3">
      <c r="A4381" s="1" t="s">
        <v>5510</v>
      </c>
      <c r="B4381" s="1" t="s">
        <v>1451</v>
      </c>
      <c r="C4381" s="1" t="s">
        <v>5511</v>
      </c>
      <c r="D4381" s="1" t="s">
        <v>1242</v>
      </c>
      <c r="E4381" s="1" t="s">
        <v>4250</v>
      </c>
      <c r="F4381" s="1" t="s">
        <v>4251</v>
      </c>
      <c r="G4381" s="1" t="s">
        <v>4651</v>
      </c>
      <c r="H4381">
        <v>2009</v>
      </c>
      <c r="I4381">
        <v>2011</v>
      </c>
      <c r="J4381">
        <f t="shared" si="136"/>
        <v>3</v>
      </c>
      <c r="K4381" s="1" t="s">
        <v>4668</v>
      </c>
      <c r="L4381" s="1" t="s">
        <v>649</v>
      </c>
      <c r="M4381">
        <f t="shared" si="137"/>
        <v>15</v>
      </c>
      <c r="N4381" t="s">
        <v>650</v>
      </c>
    </row>
    <row r="4382" spans="1:14" hidden="1" x14ac:dyDescent="0.3">
      <c r="A4382" t="s">
        <v>11483</v>
      </c>
      <c r="B4382" t="s">
        <v>1451</v>
      </c>
      <c r="C4382" t="s">
        <v>11484</v>
      </c>
      <c r="E4382" s="1" t="e">
        <v>#N/A</v>
      </c>
      <c r="F4382" s="1" t="e">
        <v>#N/A</v>
      </c>
      <c r="G4382" s="1" t="s">
        <v>12826</v>
      </c>
      <c r="H4382">
        <v>2024</v>
      </c>
      <c r="I4382">
        <v>2026</v>
      </c>
      <c r="J4382">
        <f t="shared" si="136"/>
        <v>3</v>
      </c>
      <c r="K4382" s="1" t="s">
        <v>4668</v>
      </c>
      <c r="L4382" s="1" t="s">
        <v>649</v>
      </c>
      <c r="M4382">
        <f t="shared" si="137"/>
        <v>0</v>
      </c>
    </row>
    <row r="4383" spans="1:14" hidden="1" x14ac:dyDescent="0.3">
      <c r="A4383" s="1" t="s">
        <v>5512</v>
      </c>
      <c r="B4383" s="1" t="s">
        <v>1451</v>
      </c>
      <c r="C4383" s="1" t="s">
        <v>5513</v>
      </c>
      <c r="D4383" s="1" t="s">
        <v>1242</v>
      </c>
      <c r="E4383" s="1" t="s">
        <v>4250</v>
      </c>
      <c r="F4383" s="1" t="s">
        <v>4251</v>
      </c>
      <c r="G4383" s="1" t="s">
        <v>4651</v>
      </c>
      <c r="H4383">
        <v>2013</v>
      </c>
      <c r="I4383">
        <v>2022</v>
      </c>
      <c r="J4383">
        <f t="shared" si="136"/>
        <v>10</v>
      </c>
      <c r="K4383" s="1" t="s">
        <v>4668</v>
      </c>
      <c r="L4383" s="1" t="s">
        <v>649</v>
      </c>
      <c r="M4383">
        <f t="shared" si="137"/>
        <v>4</v>
      </c>
      <c r="N4383" t="s">
        <v>650</v>
      </c>
    </row>
    <row r="4384" spans="1:14" hidden="1" x14ac:dyDescent="0.3">
      <c r="A4384" s="1" t="s">
        <v>5514</v>
      </c>
      <c r="B4384" s="1" t="s">
        <v>1451</v>
      </c>
      <c r="C4384" s="1" t="s">
        <v>5515</v>
      </c>
      <c r="D4384" s="1" t="s">
        <v>1242</v>
      </c>
      <c r="E4384" s="1" t="s">
        <v>4250</v>
      </c>
      <c r="F4384" s="1" t="s">
        <v>4251</v>
      </c>
      <c r="G4384" s="1" t="s">
        <v>4651</v>
      </c>
      <c r="H4384">
        <v>2013</v>
      </c>
      <c r="I4384">
        <v>2022</v>
      </c>
      <c r="J4384">
        <f t="shared" si="136"/>
        <v>10</v>
      </c>
      <c r="K4384" s="1" t="s">
        <v>4668</v>
      </c>
      <c r="L4384" s="1" t="s">
        <v>649</v>
      </c>
      <c r="M4384">
        <f t="shared" si="137"/>
        <v>4</v>
      </c>
      <c r="N4384" t="s">
        <v>650</v>
      </c>
    </row>
    <row r="4385" spans="1:14" hidden="1" x14ac:dyDescent="0.3">
      <c r="A4385" s="1" t="s">
        <v>5516</v>
      </c>
      <c r="B4385" s="1" t="s">
        <v>1451</v>
      </c>
      <c r="C4385" s="1" t="s">
        <v>5517</v>
      </c>
      <c r="D4385" s="1" t="s">
        <v>1242</v>
      </c>
      <c r="E4385" s="1" t="s">
        <v>4250</v>
      </c>
      <c r="F4385" s="1" t="s">
        <v>4251</v>
      </c>
      <c r="G4385" s="1" t="s">
        <v>4651</v>
      </c>
      <c r="H4385">
        <v>2001</v>
      </c>
      <c r="I4385">
        <v>2012</v>
      </c>
      <c r="J4385">
        <f t="shared" si="136"/>
        <v>12</v>
      </c>
      <c r="K4385" s="1" t="s">
        <v>4668</v>
      </c>
      <c r="L4385" s="1" t="s">
        <v>649</v>
      </c>
      <c r="M4385">
        <f t="shared" si="137"/>
        <v>14</v>
      </c>
      <c r="N4385" t="s">
        <v>650</v>
      </c>
    </row>
    <row r="4386" spans="1:14" hidden="1" x14ac:dyDescent="0.3">
      <c r="A4386" s="1" t="s">
        <v>5518</v>
      </c>
      <c r="B4386" s="1" t="s">
        <v>1451</v>
      </c>
      <c r="C4386" s="1" t="s">
        <v>5519</v>
      </c>
      <c r="D4386" s="1" t="s">
        <v>1242</v>
      </c>
      <c r="E4386" s="1" t="s">
        <v>4250</v>
      </c>
      <c r="F4386" s="1" t="s">
        <v>4251</v>
      </c>
      <c r="G4386" s="1" t="s">
        <v>4651</v>
      </c>
      <c r="H4386">
        <v>2001</v>
      </c>
      <c r="I4386">
        <v>2003</v>
      </c>
      <c r="J4386">
        <f t="shared" si="136"/>
        <v>3</v>
      </c>
      <c r="K4386" s="1" t="s">
        <v>4668</v>
      </c>
      <c r="L4386" s="1" t="s">
        <v>659</v>
      </c>
      <c r="M4386">
        <f t="shared" si="137"/>
        <v>23</v>
      </c>
      <c r="N4386" t="s">
        <v>650</v>
      </c>
    </row>
    <row r="4387" spans="1:14" x14ac:dyDescent="0.3">
      <c r="A4387" s="1" t="s">
        <v>9513</v>
      </c>
      <c r="B4387" s="1" t="s">
        <v>1451</v>
      </c>
      <c r="C4387" s="1" t="s">
        <v>9514</v>
      </c>
      <c r="D4387" s="1" t="s">
        <v>1242</v>
      </c>
      <c r="E4387" s="1" t="s">
        <v>6076</v>
      </c>
      <c r="F4387" s="1" t="s">
        <v>6076</v>
      </c>
      <c r="G4387" s="1" t="s">
        <v>4651</v>
      </c>
      <c r="H4387">
        <v>2001</v>
      </c>
      <c r="I4387">
        <v>2012</v>
      </c>
      <c r="J4387">
        <f t="shared" si="136"/>
        <v>12</v>
      </c>
      <c r="K4387" s="1" t="s">
        <v>6076</v>
      </c>
      <c r="L4387" s="1" t="s">
        <v>6076</v>
      </c>
      <c r="M4387">
        <f t="shared" si="137"/>
        <v>14</v>
      </c>
      <c r="N4387" t="s">
        <v>650</v>
      </c>
    </row>
    <row r="4388" spans="1:14" x14ac:dyDescent="0.3">
      <c r="A4388" s="1" t="s">
        <v>9515</v>
      </c>
      <c r="B4388" s="1" t="s">
        <v>1451</v>
      </c>
      <c r="C4388" s="1" t="s">
        <v>9516</v>
      </c>
      <c r="D4388" s="1" t="s">
        <v>1242</v>
      </c>
      <c r="E4388" s="1" t="s">
        <v>6076</v>
      </c>
      <c r="F4388" s="1" t="s">
        <v>6076</v>
      </c>
      <c r="G4388" s="1" t="s">
        <v>4651</v>
      </c>
      <c r="H4388">
        <v>1997</v>
      </c>
      <c r="I4388">
        <v>1997</v>
      </c>
      <c r="J4388">
        <f t="shared" si="136"/>
        <v>1</v>
      </c>
      <c r="K4388" s="1" t="s">
        <v>6076</v>
      </c>
      <c r="L4388" s="1" t="s">
        <v>6076</v>
      </c>
      <c r="M4388">
        <f t="shared" si="137"/>
        <v>29</v>
      </c>
      <c r="N4388" t="s">
        <v>640</v>
      </c>
    </row>
    <row r="4389" spans="1:14" hidden="1" x14ac:dyDescent="0.3">
      <c r="A4389" s="1" t="s">
        <v>5520</v>
      </c>
      <c r="B4389" s="1" t="s">
        <v>1451</v>
      </c>
      <c r="C4389" s="1" t="s">
        <v>5521</v>
      </c>
      <c r="D4389" s="1" t="s">
        <v>1242</v>
      </c>
      <c r="E4389" s="1" t="s">
        <v>4250</v>
      </c>
      <c r="F4389" s="1" t="s">
        <v>4251</v>
      </c>
      <c r="G4389" s="1" t="s">
        <v>4651</v>
      </c>
      <c r="H4389">
        <v>2001</v>
      </c>
      <c r="I4389">
        <v>2006</v>
      </c>
      <c r="J4389">
        <f t="shared" si="136"/>
        <v>6</v>
      </c>
      <c r="K4389" s="1" t="s">
        <v>4668</v>
      </c>
      <c r="L4389" s="1" t="s">
        <v>659</v>
      </c>
      <c r="M4389">
        <f t="shared" si="137"/>
        <v>20</v>
      </c>
      <c r="N4389" t="s">
        <v>650</v>
      </c>
    </row>
    <row r="4390" spans="1:14" hidden="1" x14ac:dyDescent="0.3">
      <c r="A4390" s="1" t="s">
        <v>5522</v>
      </c>
      <c r="B4390" s="1" t="s">
        <v>1451</v>
      </c>
      <c r="C4390" s="1" t="s">
        <v>5523</v>
      </c>
      <c r="D4390" s="1" t="s">
        <v>1242</v>
      </c>
      <c r="E4390" s="1" t="s">
        <v>4250</v>
      </c>
      <c r="F4390" s="1" t="s">
        <v>4251</v>
      </c>
      <c r="G4390" s="1" t="s">
        <v>4651</v>
      </c>
      <c r="H4390">
        <v>2002</v>
      </c>
      <c r="I4390">
        <v>2003</v>
      </c>
      <c r="J4390">
        <f t="shared" si="136"/>
        <v>2</v>
      </c>
      <c r="K4390" s="1" t="s">
        <v>4668</v>
      </c>
      <c r="L4390" s="1" t="s">
        <v>659</v>
      </c>
      <c r="M4390">
        <f t="shared" si="137"/>
        <v>23</v>
      </c>
      <c r="N4390" t="s">
        <v>650</v>
      </c>
    </row>
    <row r="4391" spans="1:14" hidden="1" x14ac:dyDescent="0.3">
      <c r="A4391" s="1" t="s">
        <v>5524</v>
      </c>
      <c r="B4391" s="1" t="s">
        <v>1451</v>
      </c>
      <c r="C4391" s="1" t="s">
        <v>5525</v>
      </c>
      <c r="D4391" s="1" t="s">
        <v>1242</v>
      </c>
      <c r="E4391" s="1" t="s">
        <v>4250</v>
      </c>
      <c r="F4391" s="1" t="s">
        <v>4251</v>
      </c>
      <c r="G4391" s="1" t="s">
        <v>4651</v>
      </c>
      <c r="H4391">
        <v>2002</v>
      </c>
      <c r="I4391">
        <v>2006</v>
      </c>
      <c r="J4391">
        <f t="shared" si="136"/>
        <v>5</v>
      </c>
      <c r="K4391" s="1" t="s">
        <v>4668</v>
      </c>
      <c r="L4391" s="1" t="s">
        <v>659</v>
      </c>
      <c r="M4391">
        <f t="shared" si="137"/>
        <v>20</v>
      </c>
      <c r="N4391" t="s">
        <v>650</v>
      </c>
    </row>
    <row r="4392" spans="1:14" hidden="1" x14ac:dyDescent="0.3">
      <c r="A4392" s="1" t="s">
        <v>5526</v>
      </c>
      <c r="B4392" s="1" t="s">
        <v>1451</v>
      </c>
      <c r="C4392" s="1" t="s">
        <v>5527</v>
      </c>
      <c r="D4392" s="1" t="s">
        <v>1242</v>
      </c>
      <c r="E4392" s="1" t="s">
        <v>4250</v>
      </c>
      <c r="F4392" s="1" t="s">
        <v>4251</v>
      </c>
      <c r="G4392" s="1" t="s">
        <v>4651</v>
      </c>
      <c r="H4392">
        <v>2002</v>
      </c>
      <c r="I4392">
        <v>2006</v>
      </c>
      <c r="J4392">
        <f t="shared" si="136"/>
        <v>5</v>
      </c>
      <c r="K4392" s="1" t="s">
        <v>4668</v>
      </c>
      <c r="L4392" s="1" t="s">
        <v>659</v>
      </c>
      <c r="M4392">
        <f t="shared" si="137"/>
        <v>20</v>
      </c>
      <c r="N4392" t="s">
        <v>650</v>
      </c>
    </row>
    <row r="4393" spans="1:14" hidden="1" x14ac:dyDescent="0.3">
      <c r="A4393" s="1" t="s">
        <v>5528</v>
      </c>
      <c r="B4393" s="1" t="s">
        <v>1451</v>
      </c>
      <c r="C4393" s="1" t="s">
        <v>5529</v>
      </c>
      <c r="D4393" s="1" t="s">
        <v>1242</v>
      </c>
      <c r="E4393" s="1" t="s">
        <v>4250</v>
      </c>
      <c r="F4393" s="1" t="s">
        <v>4251</v>
      </c>
      <c r="G4393" s="1" t="s">
        <v>4651</v>
      </c>
      <c r="H4393">
        <v>2002</v>
      </c>
      <c r="I4393">
        <v>2003</v>
      </c>
      <c r="J4393">
        <f t="shared" si="136"/>
        <v>2</v>
      </c>
      <c r="K4393" s="1" t="s">
        <v>4668</v>
      </c>
      <c r="L4393" s="1" t="s">
        <v>659</v>
      </c>
      <c r="M4393">
        <f t="shared" si="137"/>
        <v>23</v>
      </c>
      <c r="N4393" t="s">
        <v>650</v>
      </c>
    </row>
    <row r="4394" spans="1:14" hidden="1" x14ac:dyDescent="0.3">
      <c r="A4394" s="1" t="s">
        <v>5530</v>
      </c>
      <c r="B4394" s="1" t="s">
        <v>1451</v>
      </c>
      <c r="C4394" s="1" t="s">
        <v>5531</v>
      </c>
      <c r="D4394" s="1" t="s">
        <v>1242</v>
      </c>
      <c r="E4394" s="1" t="s">
        <v>4250</v>
      </c>
      <c r="F4394" s="1" t="s">
        <v>4251</v>
      </c>
      <c r="G4394" s="1" t="s">
        <v>4651</v>
      </c>
      <c r="H4394">
        <v>2002</v>
      </c>
      <c r="I4394">
        <v>2006</v>
      </c>
      <c r="J4394">
        <f t="shared" si="136"/>
        <v>5</v>
      </c>
      <c r="K4394" s="1" t="s">
        <v>4668</v>
      </c>
      <c r="L4394" s="1" t="s">
        <v>659</v>
      </c>
      <c r="M4394">
        <f t="shared" si="137"/>
        <v>20</v>
      </c>
      <c r="N4394" t="s">
        <v>650</v>
      </c>
    </row>
    <row r="4395" spans="1:14" hidden="1" x14ac:dyDescent="0.3">
      <c r="A4395" s="1" t="s">
        <v>5532</v>
      </c>
      <c r="B4395" s="1" t="s">
        <v>1451</v>
      </c>
      <c r="C4395" s="1" t="s">
        <v>5533</v>
      </c>
      <c r="D4395" s="1" t="s">
        <v>1242</v>
      </c>
      <c r="E4395" s="1" t="s">
        <v>4250</v>
      </c>
      <c r="F4395" s="1" t="s">
        <v>4251</v>
      </c>
      <c r="G4395" s="1" t="s">
        <v>4651</v>
      </c>
      <c r="H4395">
        <v>2005</v>
      </c>
      <c r="I4395">
        <v>2012</v>
      </c>
      <c r="J4395">
        <f t="shared" si="136"/>
        <v>8</v>
      </c>
      <c r="K4395" s="1" t="s">
        <v>4668</v>
      </c>
      <c r="L4395" s="1" t="s">
        <v>659</v>
      </c>
      <c r="M4395">
        <f t="shared" si="137"/>
        <v>14</v>
      </c>
      <c r="N4395" t="s">
        <v>650</v>
      </c>
    </row>
    <row r="4396" spans="1:14" hidden="1" x14ac:dyDescent="0.3">
      <c r="A4396" s="1" t="s">
        <v>5534</v>
      </c>
      <c r="B4396" s="1" t="s">
        <v>1451</v>
      </c>
      <c r="C4396" s="1" t="s">
        <v>5535</v>
      </c>
      <c r="D4396" s="1" t="s">
        <v>1242</v>
      </c>
      <c r="E4396" s="1" t="s">
        <v>4250</v>
      </c>
      <c r="F4396" s="1" t="s">
        <v>4251</v>
      </c>
      <c r="G4396" s="1" t="s">
        <v>4651</v>
      </c>
      <c r="H4396">
        <v>2005</v>
      </c>
      <c r="I4396">
        <v>2012</v>
      </c>
      <c r="J4396">
        <f t="shared" si="136"/>
        <v>8</v>
      </c>
      <c r="K4396" s="1" t="s">
        <v>4668</v>
      </c>
      <c r="L4396" s="1" t="s">
        <v>659</v>
      </c>
      <c r="M4396">
        <f t="shared" si="137"/>
        <v>14</v>
      </c>
      <c r="N4396" t="s">
        <v>650</v>
      </c>
    </row>
    <row r="4397" spans="1:14" hidden="1" x14ac:dyDescent="0.3">
      <c r="A4397" s="1" t="s">
        <v>4649</v>
      </c>
      <c r="B4397" s="1" t="s">
        <v>1451</v>
      </c>
      <c r="C4397" s="1" t="s">
        <v>4650</v>
      </c>
      <c r="D4397" s="1" t="s">
        <v>1242</v>
      </c>
      <c r="E4397" s="1" t="s">
        <v>4250</v>
      </c>
      <c r="F4397" s="1" t="s">
        <v>4251</v>
      </c>
      <c r="G4397" s="1" t="s">
        <v>4651</v>
      </c>
      <c r="H4397">
        <v>2005</v>
      </c>
      <c r="I4397">
        <v>2012</v>
      </c>
      <c r="J4397">
        <f t="shared" si="136"/>
        <v>8</v>
      </c>
      <c r="K4397" s="1" t="s">
        <v>3665</v>
      </c>
      <c r="L4397" s="1" t="s">
        <v>666</v>
      </c>
      <c r="M4397">
        <f t="shared" si="137"/>
        <v>14</v>
      </c>
      <c r="N4397" t="s">
        <v>650</v>
      </c>
    </row>
    <row r="4398" spans="1:14" hidden="1" x14ac:dyDescent="0.3">
      <c r="A4398" s="1" t="s">
        <v>5536</v>
      </c>
      <c r="B4398" s="1" t="s">
        <v>1451</v>
      </c>
      <c r="C4398" s="1" t="s">
        <v>5537</v>
      </c>
      <c r="D4398" s="1" t="s">
        <v>1242</v>
      </c>
      <c r="E4398" s="1" t="s">
        <v>4250</v>
      </c>
      <c r="F4398" s="1" t="s">
        <v>4251</v>
      </c>
      <c r="G4398" s="1" t="s">
        <v>4651</v>
      </c>
      <c r="H4398">
        <v>2005</v>
      </c>
      <c r="I4398">
        <v>2012</v>
      </c>
      <c r="J4398">
        <f t="shared" si="136"/>
        <v>8</v>
      </c>
      <c r="K4398" s="1" t="s">
        <v>4668</v>
      </c>
      <c r="L4398" s="1" t="s">
        <v>659</v>
      </c>
      <c r="M4398">
        <f t="shared" si="137"/>
        <v>14</v>
      </c>
      <c r="N4398" t="s">
        <v>650</v>
      </c>
    </row>
    <row r="4399" spans="1:14" hidden="1" x14ac:dyDescent="0.3">
      <c r="A4399" s="1" t="s">
        <v>5538</v>
      </c>
      <c r="B4399" s="1" t="s">
        <v>1451</v>
      </c>
      <c r="C4399" s="1" t="s">
        <v>5539</v>
      </c>
      <c r="D4399" s="1" t="s">
        <v>1242</v>
      </c>
      <c r="E4399" s="1" t="s">
        <v>4250</v>
      </c>
      <c r="F4399" s="1" t="s">
        <v>4251</v>
      </c>
      <c r="G4399" s="1" t="s">
        <v>4651</v>
      </c>
      <c r="H4399">
        <v>2001</v>
      </c>
      <c r="I4399">
        <v>2022</v>
      </c>
      <c r="J4399">
        <f t="shared" si="136"/>
        <v>22</v>
      </c>
      <c r="K4399" s="1" t="s">
        <v>4668</v>
      </c>
      <c r="L4399" s="1" t="s">
        <v>659</v>
      </c>
      <c r="M4399">
        <f t="shared" si="137"/>
        <v>4</v>
      </c>
      <c r="N4399" t="s">
        <v>650</v>
      </c>
    </row>
    <row r="4400" spans="1:14" x14ac:dyDescent="0.3">
      <c r="A4400" s="1" t="s">
        <v>9517</v>
      </c>
      <c r="B4400" s="1" t="s">
        <v>1451</v>
      </c>
      <c r="C4400" s="1" t="s">
        <v>9518</v>
      </c>
      <c r="D4400" s="1" t="s">
        <v>1242</v>
      </c>
      <c r="E4400" s="1" t="s">
        <v>6076</v>
      </c>
      <c r="F4400" s="1" t="s">
        <v>6076</v>
      </c>
      <c r="G4400" s="1" t="s">
        <v>4651</v>
      </c>
      <c r="H4400">
        <v>1994</v>
      </c>
      <c r="I4400">
        <v>2001</v>
      </c>
      <c r="J4400">
        <f t="shared" si="136"/>
        <v>8</v>
      </c>
      <c r="K4400" s="1" t="s">
        <v>6076</v>
      </c>
      <c r="L4400" s="1" t="s">
        <v>6076</v>
      </c>
      <c r="M4400">
        <f t="shared" si="137"/>
        <v>25</v>
      </c>
      <c r="N4400" t="s">
        <v>640</v>
      </c>
    </row>
    <row r="4401" spans="1:14" hidden="1" x14ac:dyDescent="0.3">
      <c r="A4401" t="s">
        <v>11485</v>
      </c>
      <c r="B4401" t="s">
        <v>1451</v>
      </c>
      <c r="C4401" t="s">
        <v>11486</v>
      </c>
      <c r="E4401" s="1" t="e">
        <v>#N/A</v>
      </c>
      <c r="F4401" s="1" t="e">
        <v>#N/A</v>
      </c>
      <c r="G4401" s="1" t="s">
        <v>12826</v>
      </c>
      <c r="H4401">
        <v>2024</v>
      </c>
      <c r="I4401">
        <v>2024</v>
      </c>
      <c r="J4401">
        <f t="shared" si="136"/>
        <v>1</v>
      </c>
      <c r="K4401" s="1" t="s">
        <v>4668</v>
      </c>
      <c r="L4401" s="1" t="s">
        <v>659</v>
      </c>
      <c r="M4401">
        <f t="shared" si="137"/>
        <v>2</v>
      </c>
    </row>
    <row r="4402" spans="1:14" hidden="1" x14ac:dyDescent="0.3">
      <c r="A4402" t="s">
        <v>11487</v>
      </c>
      <c r="B4402" t="s">
        <v>1451</v>
      </c>
      <c r="C4402" t="s">
        <v>11488</v>
      </c>
      <c r="E4402" s="1" t="e">
        <v>#N/A</v>
      </c>
      <c r="F4402" s="1" t="e">
        <v>#N/A</v>
      </c>
      <c r="G4402" s="1" t="s">
        <v>12826</v>
      </c>
      <c r="H4402">
        <v>2024</v>
      </c>
      <c r="I4402">
        <v>2026</v>
      </c>
      <c r="J4402">
        <f t="shared" si="136"/>
        <v>3</v>
      </c>
      <c r="K4402" s="1" t="s">
        <v>4668</v>
      </c>
      <c r="L4402" s="1" t="s">
        <v>659</v>
      </c>
      <c r="M4402">
        <f t="shared" si="137"/>
        <v>0</v>
      </c>
    </row>
    <row r="4403" spans="1:14" hidden="1" x14ac:dyDescent="0.3">
      <c r="A4403" s="1" t="s">
        <v>5540</v>
      </c>
      <c r="B4403" s="1" t="s">
        <v>1451</v>
      </c>
      <c r="C4403" s="1" t="s">
        <v>5541</v>
      </c>
      <c r="D4403" s="1" t="s">
        <v>1242</v>
      </c>
      <c r="E4403" s="1" t="s">
        <v>4250</v>
      </c>
      <c r="F4403" s="1" t="s">
        <v>4251</v>
      </c>
      <c r="G4403" s="1" t="s">
        <v>4651</v>
      </c>
      <c r="H4403">
        <v>2019</v>
      </c>
      <c r="I4403">
        <v>2022</v>
      </c>
      <c r="J4403">
        <f t="shared" si="136"/>
        <v>4</v>
      </c>
      <c r="K4403" s="1" t="s">
        <v>4668</v>
      </c>
      <c r="L4403" s="1" t="s">
        <v>659</v>
      </c>
      <c r="M4403">
        <f t="shared" si="137"/>
        <v>4</v>
      </c>
      <c r="N4403" t="s">
        <v>650</v>
      </c>
    </row>
    <row r="4404" spans="1:14" hidden="1" x14ac:dyDescent="0.3">
      <c r="A4404" s="1" t="s">
        <v>5542</v>
      </c>
      <c r="B4404" s="1" t="s">
        <v>1451</v>
      </c>
      <c r="C4404" s="1" t="s">
        <v>5543</v>
      </c>
      <c r="D4404" s="1" t="s">
        <v>1242</v>
      </c>
      <c r="E4404" s="1" t="s">
        <v>4250</v>
      </c>
      <c r="F4404" s="1" t="s">
        <v>4251</v>
      </c>
      <c r="G4404" s="1" t="s">
        <v>4651</v>
      </c>
      <c r="H4404">
        <v>2018</v>
      </c>
      <c r="I4404">
        <v>2018</v>
      </c>
      <c r="J4404">
        <f t="shared" si="136"/>
        <v>1</v>
      </c>
      <c r="K4404" s="1" t="s">
        <v>4668</v>
      </c>
      <c r="L4404" s="1" t="s">
        <v>659</v>
      </c>
      <c r="M4404">
        <f t="shared" si="137"/>
        <v>8</v>
      </c>
      <c r="N4404" t="s">
        <v>650</v>
      </c>
    </row>
    <row r="4405" spans="1:14" hidden="1" x14ac:dyDescent="0.3">
      <c r="A4405" s="1" t="s">
        <v>5544</v>
      </c>
      <c r="B4405" s="1" t="s">
        <v>1451</v>
      </c>
      <c r="C4405" s="1" t="s">
        <v>5545</v>
      </c>
      <c r="D4405" s="1" t="s">
        <v>1242</v>
      </c>
      <c r="E4405" s="1" t="s">
        <v>4250</v>
      </c>
      <c r="F4405" s="1" t="s">
        <v>4251</v>
      </c>
      <c r="G4405" s="1" t="s">
        <v>4651</v>
      </c>
      <c r="H4405">
        <v>2016</v>
      </c>
      <c r="I4405">
        <v>2022</v>
      </c>
      <c r="J4405">
        <f t="shared" si="136"/>
        <v>7</v>
      </c>
      <c r="K4405" s="1" t="s">
        <v>4668</v>
      </c>
      <c r="L4405" s="1" t="s">
        <v>659</v>
      </c>
      <c r="M4405">
        <f t="shared" si="137"/>
        <v>4</v>
      </c>
      <c r="N4405" t="s">
        <v>650</v>
      </c>
    </row>
    <row r="4406" spans="1:14" hidden="1" x14ac:dyDescent="0.3">
      <c r="A4406" s="1" t="s">
        <v>5546</v>
      </c>
      <c r="B4406" s="1" t="s">
        <v>1451</v>
      </c>
      <c r="C4406" s="1" t="s">
        <v>5547</v>
      </c>
      <c r="D4406" s="1" t="s">
        <v>1242</v>
      </c>
      <c r="E4406" s="1" t="s">
        <v>4250</v>
      </c>
      <c r="F4406" s="1" t="s">
        <v>4251</v>
      </c>
      <c r="G4406" s="1" t="s">
        <v>4651</v>
      </c>
      <c r="H4406">
        <v>2013</v>
      </c>
      <c r="I4406">
        <v>2020</v>
      </c>
      <c r="J4406">
        <f t="shared" si="136"/>
        <v>8</v>
      </c>
      <c r="K4406" s="1" t="s">
        <v>4668</v>
      </c>
      <c r="L4406" s="1" t="s">
        <v>659</v>
      </c>
      <c r="M4406">
        <f t="shared" si="137"/>
        <v>6</v>
      </c>
      <c r="N4406" t="s">
        <v>650</v>
      </c>
    </row>
    <row r="4407" spans="1:14" hidden="1" x14ac:dyDescent="0.3">
      <c r="A4407" s="1" t="s">
        <v>5548</v>
      </c>
      <c r="B4407" s="1" t="s">
        <v>1451</v>
      </c>
      <c r="C4407" s="1" t="s">
        <v>5549</v>
      </c>
      <c r="D4407" s="1" t="s">
        <v>1242</v>
      </c>
      <c r="E4407" s="1" t="s">
        <v>4250</v>
      </c>
      <c r="F4407" s="1" t="s">
        <v>4251</v>
      </c>
      <c r="G4407" s="1" t="s">
        <v>4651</v>
      </c>
      <c r="H4407">
        <v>2004</v>
      </c>
      <c r="I4407">
        <v>2012</v>
      </c>
      <c r="J4407">
        <f t="shared" si="136"/>
        <v>9</v>
      </c>
      <c r="K4407" s="1" t="s">
        <v>4668</v>
      </c>
      <c r="L4407" s="1" t="s">
        <v>659</v>
      </c>
      <c r="M4407">
        <f t="shared" si="137"/>
        <v>14</v>
      </c>
      <c r="N4407" t="s">
        <v>650</v>
      </c>
    </row>
    <row r="4408" spans="1:14" hidden="1" x14ac:dyDescent="0.3">
      <c r="A4408" s="1" t="s">
        <v>5550</v>
      </c>
      <c r="B4408" s="1" t="s">
        <v>1451</v>
      </c>
      <c r="C4408" s="1" t="s">
        <v>5551</v>
      </c>
      <c r="D4408" s="1" t="s">
        <v>1242</v>
      </c>
      <c r="E4408" s="1" t="s">
        <v>4250</v>
      </c>
      <c r="F4408" s="1" t="s">
        <v>4251</v>
      </c>
      <c r="G4408" s="1" t="s">
        <v>4651</v>
      </c>
      <c r="H4408">
        <v>2004</v>
      </c>
      <c r="I4408">
        <v>2012</v>
      </c>
      <c r="J4408">
        <f t="shared" si="136"/>
        <v>9</v>
      </c>
      <c r="K4408" s="1" t="s">
        <v>4668</v>
      </c>
      <c r="L4408" s="1" t="s">
        <v>659</v>
      </c>
      <c r="M4408">
        <f t="shared" si="137"/>
        <v>14</v>
      </c>
      <c r="N4408" t="s">
        <v>650</v>
      </c>
    </row>
    <row r="4409" spans="1:14" hidden="1" x14ac:dyDescent="0.3">
      <c r="A4409" s="1" t="s">
        <v>5552</v>
      </c>
      <c r="B4409" s="1" t="s">
        <v>1451</v>
      </c>
      <c r="C4409" s="1" t="s">
        <v>5553</v>
      </c>
      <c r="D4409" s="1" t="s">
        <v>1242</v>
      </c>
      <c r="E4409" s="1" t="s">
        <v>4250</v>
      </c>
      <c r="F4409" s="1" t="s">
        <v>4251</v>
      </c>
      <c r="G4409" s="1" t="s">
        <v>4651</v>
      </c>
      <c r="H4409">
        <v>2013</v>
      </c>
      <c r="I4409">
        <v>2019</v>
      </c>
      <c r="J4409">
        <f t="shared" si="136"/>
        <v>7</v>
      </c>
      <c r="K4409" s="1" t="s">
        <v>4668</v>
      </c>
      <c r="L4409" s="1" t="s">
        <v>659</v>
      </c>
      <c r="M4409">
        <f t="shared" si="137"/>
        <v>7</v>
      </c>
      <c r="N4409" t="s">
        <v>650</v>
      </c>
    </row>
    <row r="4410" spans="1:14" hidden="1" x14ac:dyDescent="0.3">
      <c r="A4410" s="1" t="s">
        <v>5554</v>
      </c>
      <c r="B4410" s="1" t="s">
        <v>1451</v>
      </c>
      <c r="C4410" s="1" t="s">
        <v>5555</v>
      </c>
      <c r="D4410" s="1" t="s">
        <v>1242</v>
      </c>
      <c r="E4410" s="1" t="s">
        <v>4250</v>
      </c>
      <c r="F4410" s="1" t="s">
        <v>4251</v>
      </c>
      <c r="G4410" s="1" t="s">
        <v>4651</v>
      </c>
      <c r="H4410">
        <v>2013</v>
      </c>
      <c r="I4410">
        <v>2015</v>
      </c>
      <c r="J4410">
        <f t="shared" si="136"/>
        <v>3</v>
      </c>
      <c r="K4410" s="1" t="s">
        <v>4668</v>
      </c>
      <c r="L4410" s="1" t="s">
        <v>659</v>
      </c>
      <c r="M4410">
        <f t="shared" si="137"/>
        <v>11</v>
      </c>
      <c r="N4410" t="s">
        <v>650</v>
      </c>
    </row>
    <row r="4411" spans="1:14" hidden="1" x14ac:dyDescent="0.3">
      <c r="A4411" s="1" t="s">
        <v>5556</v>
      </c>
      <c r="B4411" s="1" t="s">
        <v>1451</v>
      </c>
      <c r="C4411" s="1" t="s">
        <v>5557</v>
      </c>
      <c r="D4411" s="1" t="s">
        <v>1242</v>
      </c>
      <c r="E4411" s="1" t="s">
        <v>4250</v>
      </c>
      <c r="F4411" s="1" t="s">
        <v>4251</v>
      </c>
      <c r="G4411" s="1" t="s">
        <v>4651</v>
      </c>
      <c r="H4411">
        <v>2004</v>
      </c>
      <c r="I4411">
        <v>2005</v>
      </c>
      <c r="J4411">
        <f t="shared" si="136"/>
        <v>2</v>
      </c>
      <c r="K4411" s="1" t="s">
        <v>4668</v>
      </c>
      <c r="L4411" s="1" t="s">
        <v>659</v>
      </c>
      <c r="M4411">
        <f t="shared" si="137"/>
        <v>21</v>
      </c>
      <c r="N4411" t="s">
        <v>650</v>
      </c>
    </row>
    <row r="4412" spans="1:14" hidden="1" x14ac:dyDescent="0.3">
      <c r="A4412" s="1" t="s">
        <v>5558</v>
      </c>
      <c r="B4412" s="1" t="s">
        <v>1451</v>
      </c>
      <c r="C4412" s="1" t="s">
        <v>5559</v>
      </c>
      <c r="D4412" s="1" t="s">
        <v>1242</v>
      </c>
      <c r="E4412" s="1" t="s">
        <v>4250</v>
      </c>
      <c r="F4412" s="1" t="s">
        <v>4251</v>
      </c>
      <c r="G4412" s="1" t="s">
        <v>4651</v>
      </c>
      <c r="H4412">
        <v>2004</v>
      </c>
      <c r="I4412">
        <v>2005</v>
      </c>
      <c r="J4412">
        <f t="shared" si="136"/>
        <v>2</v>
      </c>
      <c r="K4412" s="1" t="s">
        <v>4668</v>
      </c>
      <c r="L4412" s="1" t="s">
        <v>659</v>
      </c>
      <c r="M4412">
        <f t="shared" si="137"/>
        <v>21</v>
      </c>
      <c r="N4412" t="s">
        <v>650</v>
      </c>
    </row>
    <row r="4413" spans="1:14" hidden="1" x14ac:dyDescent="0.3">
      <c r="A4413" s="1" t="s">
        <v>5560</v>
      </c>
      <c r="B4413" s="1" t="s">
        <v>1451</v>
      </c>
      <c r="C4413" s="1" t="s">
        <v>5561</v>
      </c>
      <c r="D4413" s="1" t="s">
        <v>1242</v>
      </c>
      <c r="E4413" s="1" t="s">
        <v>4250</v>
      </c>
      <c r="F4413" s="1" t="s">
        <v>4251</v>
      </c>
      <c r="G4413" s="1" t="s">
        <v>4651</v>
      </c>
      <c r="H4413">
        <v>2004</v>
      </c>
      <c r="I4413">
        <v>2005</v>
      </c>
      <c r="J4413">
        <f t="shared" si="136"/>
        <v>2</v>
      </c>
      <c r="K4413" s="1" t="s">
        <v>4668</v>
      </c>
      <c r="L4413" s="1" t="s">
        <v>659</v>
      </c>
      <c r="M4413">
        <f t="shared" si="137"/>
        <v>21</v>
      </c>
      <c r="N4413" t="s">
        <v>650</v>
      </c>
    </row>
    <row r="4414" spans="1:14" hidden="1" x14ac:dyDescent="0.3">
      <c r="A4414" s="1" t="s">
        <v>5562</v>
      </c>
      <c r="B4414" s="1" t="s">
        <v>1451</v>
      </c>
      <c r="C4414" s="1" t="s">
        <v>5563</v>
      </c>
      <c r="D4414" s="1" t="s">
        <v>1242</v>
      </c>
      <c r="E4414" s="1" t="s">
        <v>4250</v>
      </c>
      <c r="F4414" s="1" t="s">
        <v>4251</v>
      </c>
      <c r="G4414" s="1" t="s">
        <v>4651</v>
      </c>
      <c r="H4414">
        <v>2004</v>
      </c>
      <c r="I4414">
        <v>2006</v>
      </c>
      <c r="J4414">
        <f t="shared" si="136"/>
        <v>3</v>
      </c>
      <c r="K4414" s="1" t="s">
        <v>4668</v>
      </c>
      <c r="L4414" s="1" t="s">
        <v>659</v>
      </c>
      <c r="M4414">
        <f t="shared" si="137"/>
        <v>20</v>
      </c>
      <c r="N4414" t="s">
        <v>650</v>
      </c>
    </row>
    <row r="4415" spans="1:14" hidden="1" x14ac:dyDescent="0.3">
      <c r="A4415" s="1" t="s">
        <v>5564</v>
      </c>
      <c r="B4415" s="1" t="s">
        <v>1451</v>
      </c>
      <c r="C4415" s="1" t="s">
        <v>5565</v>
      </c>
      <c r="D4415" s="1" t="s">
        <v>1242</v>
      </c>
      <c r="E4415" s="1" t="s">
        <v>4250</v>
      </c>
      <c r="F4415" s="1" t="s">
        <v>4251</v>
      </c>
      <c r="G4415" s="1" t="s">
        <v>4651</v>
      </c>
      <c r="H4415">
        <v>2005</v>
      </c>
      <c r="I4415">
        <v>2012</v>
      </c>
      <c r="J4415">
        <f t="shared" si="136"/>
        <v>8</v>
      </c>
      <c r="K4415" s="1" t="s">
        <v>4668</v>
      </c>
      <c r="L4415" s="1" t="s">
        <v>659</v>
      </c>
      <c r="M4415">
        <f t="shared" si="137"/>
        <v>14</v>
      </c>
      <c r="N4415" t="s">
        <v>650</v>
      </c>
    </row>
    <row r="4416" spans="1:14" hidden="1" x14ac:dyDescent="0.3">
      <c r="A4416" s="1" t="s">
        <v>5566</v>
      </c>
      <c r="B4416" s="1" t="s">
        <v>1451</v>
      </c>
      <c r="C4416" s="1" t="s">
        <v>5567</v>
      </c>
      <c r="D4416" s="1" t="s">
        <v>1242</v>
      </c>
      <c r="E4416" s="1" t="s">
        <v>4250</v>
      </c>
      <c r="F4416" s="1" t="s">
        <v>4251</v>
      </c>
      <c r="G4416" s="1" t="s">
        <v>4651</v>
      </c>
      <c r="H4416">
        <v>2005</v>
      </c>
      <c r="I4416">
        <v>2012</v>
      </c>
      <c r="J4416">
        <f t="shared" si="136"/>
        <v>8</v>
      </c>
      <c r="K4416" s="1" t="s">
        <v>4668</v>
      </c>
      <c r="L4416" s="1" t="s">
        <v>659</v>
      </c>
      <c r="M4416">
        <f t="shared" si="137"/>
        <v>14</v>
      </c>
      <c r="N4416" t="s">
        <v>650</v>
      </c>
    </row>
    <row r="4417" spans="1:14" hidden="1" x14ac:dyDescent="0.3">
      <c r="A4417" s="1" t="s">
        <v>5568</v>
      </c>
      <c r="B4417" s="1" t="s">
        <v>1451</v>
      </c>
      <c r="C4417" s="1" t="s">
        <v>5569</v>
      </c>
      <c r="D4417" s="1" t="s">
        <v>1242</v>
      </c>
      <c r="E4417" s="1" t="s">
        <v>4250</v>
      </c>
      <c r="F4417" s="1" t="s">
        <v>4251</v>
      </c>
      <c r="G4417" s="1" t="s">
        <v>4651</v>
      </c>
      <c r="H4417">
        <v>2005</v>
      </c>
      <c r="I4417">
        <v>2012</v>
      </c>
      <c r="J4417">
        <f t="shared" si="136"/>
        <v>8</v>
      </c>
      <c r="K4417" s="1" t="s">
        <v>4668</v>
      </c>
      <c r="L4417" s="1" t="s">
        <v>659</v>
      </c>
      <c r="M4417">
        <f t="shared" si="137"/>
        <v>14</v>
      </c>
      <c r="N4417" t="s">
        <v>650</v>
      </c>
    </row>
    <row r="4418" spans="1:14" hidden="1" x14ac:dyDescent="0.3">
      <c r="A4418" s="1" t="s">
        <v>5570</v>
      </c>
      <c r="B4418" s="1" t="s">
        <v>1451</v>
      </c>
      <c r="C4418" s="1" t="s">
        <v>5571</v>
      </c>
      <c r="D4418" s="1" t="s">
        <v>1242</v>
      </c>
      <c r="E4418" s="1" t="s">
        <v>4250</v>
      </c>
      <c r="F4418" s="1" t="s">
        <v>4251</v>
      </c>
      <c r="G4418" s="1" t="s">
        <v>4651</v>
      </c>
      <c r="H4418">
        <v>2009</v>
      </c>
      <c r="I4418">
        <v>2009</v>
      </c>
      <c r="J4418">
        <f t="shared" si="136"/>
        <v>1</v>
      </c>
      <c r="K4418" s="1" t="s">
        <v>4668</v>
      </c>
      <c r="L4418" s="1" t="s">
        <v>659</v>
      </c>
      <c r="M4418">
        <f t="shared" si="137"/>
        <v>17</v>
      </c>
      <c r="N4418" t="s">
        <v>650</v>
      </c>
    </row>
    <row r="4419" spans="1:14" x14ac:dyDescent="0.3">
      <c r="A4419" t="s">
        <v>11489</v>
      </c>
      <c r="B4419" t="s">
        <v>1451</v>
      </c>
      <c r="C4419" t="s">
        <v>11490</v>
      </c>
      <c r="E4419" s="1" t="s">
        <v>6076</v>
      </c>
      <c r="F4419" s="1" t="s">
        <v>6076</v>
      </c>
      <c r="G4419" s="1" t="s">
        <v>12826</v>
      </c>
      <c r="H4419">
        <v>2024</v>
      </c>
      <c r="I4419">
        <v>2026</v>
      </c>
      <c r="J4419">
        <f t="shared" si="136"/>
        <v>3</v>
      </c>
      <c r="K4419" s="1" t="s">
        <v>6076</v>
      </c>
      <c r="L4419" s="1" t="s">
        <v>6076</v>
      </c>
      <c r="M4419">
        <f t="shared" si="137"/>
        <v>0</v>
      </c>
    </row>
    <row r="4420" spans="1:14" hidden="1" x14ac:dyDescent="0.3">
      <c r="A4420" s="1" t="s">
        <v>5572</v>
      </c>
      <c r="B4420" s="1" t="s">
        <v>1451</v>
      </c>
      <c r="C4420" s="1" t="s">
        <v>5573</v>
      </c>
      <c r="D4420" s="1" t="s">
        <v>1242</v>
      </c>
      <c r="E4420" s="1" t="s">
        <v>4250</v>
      </c>
      <c r="F4420" s="1" t="s">
        <v>4251</v>
      </c>
      <c r="G4420" s="1" t="s">
        <v>4651</v>
      </c>
      <c r="H4420">
        <v>2013</v>
      </c>
      <c r="I4420">
        <v>2016</v>
      </c>
      <c r="J4420">
        <f t="shared" si="136"/>
        <v>4</v>
      </c>
      <c r="K4420" s="1" t="s">
        <v>4668</v>
      </c>
      <c r="L4420" s="1" t="s">
        <v>659</v>
      </c>
      <c r="M4420">
        <f t="shared" si="137"/>
        <v>10</v>
      </c>
      <c r="N4420" t="s">
        <v>650</v>
      </c>
    </row>
    <row r="4421" spans="1:14" hidden="1" x14ac:dyDescent="0.3">
      <c r="A4421" s="1" t="s">
        <v>5574</v>
      </c>
      <c r="B4421" s="1" t="s">
        <v>1451</v>
      </c>
      <c r="C4421" s="1" t="s">
        <v>5575</v>
      </c>
      <c r="D4421" s="1" t="s">
        <v>1242</v>
      </c>
      <c r="E4421" s="1" t="s">
        <v>4250</v>
      </c>
      <c r="F4421" s="1" t="s">
        <v>4251</v>
      </c>
      <c r="G4421" s="1" t="s">
        <v>4651</v>
      </c>
      <c r="H4421">
        <v>2013</v>
      </c>
      <c r="I4421">
        <v>2016</v>
      </c>
      <c r="J4421">
        <f t="shared" si="136"/>
        <v>4</v>
      </c>
      <c r="K4421" s="1" t="s">
        <v>4668</v>
      </c>
      <c r="L4421" s="1" t="s">
        <v>659</v>
      </c>
      <c r="M4421">
        <f t="shared" si="137"/>
        <v>10</v>
      </c>
      <c r="N4421" t="s">
        <v>650</v>
      </c>
    </row>
    <row r="4422" spans="1:14" hidden="1" x14ac:dyDescent="0.3">
      <c r="A4422" s="1" t="s">
        <v>5576</v>
      </c>
      <c r="B4422" s="1" t="s">
        <v>1451</v>
      </c>
      <c r="C4422" s="1" t="s">
        <v>5577</v>
      </c>
      <c r="D4422" s="1" t="s">
        <v>1242</v>
      </c>
      <c r="E4422" s="1" t="s">
        <v>4250</v>
      </c>
      <c r="F4422" s="1" t="s">
        <v>4251</v>
      </c>
      <c r="G4422" s="1" t="s">
        <v>4651</v>
      </c>
      <c r="H4422">
        <v>2013</v>
      </c>
      <c r="I4422">
        <v>2015</v>
      </c>
      <c r="J4422">
        <f t="shared" ref="J4422:J4485" si="138">1+(I4422-H4422)</f>
        <v>3</v>
      </c>
      <c r="K4422" s="1" t="s">
        <v>4668</v>
      </c>
      <c r="L4422" s="1" t="s">
        <v>659</v>
      </c>
      <c r="M4422">
        <f t="shared" ref="M4422:M4485" si="139">IF(I4422=0,0,$B$2-I4422)</f>
        <v>11</v>
      </c>
      <c r="N4422" t="s">
        <v>650</v>
      </c>
    </row>
    <row r="4423" spans="1:14" hidden="1" x14ac:dyDescent="0.3">
      <c r="A4423" s="1" t="s">
        <v>5578</v>
      </c>
      <c r="B4423" s="1" t="s">
        <v>1451</v>
      </c>
      <c r="C4423" s="1" t="s">
        <v>5579</v>
      </c>
      <c r="D4423" s="1" t="s">
        <v>1242</v>
      </c>
      <c r="E4423" s="1" t="s">
        <v>4250</v>
      </c>
      <c r="F4423" s="1" t="s">
        <v>4251</v>
      </c>
      <c r="G4423" s="1" t="s">
        <v>4651</v>
      </c>
      <c r="H4423">
        <v>2008</v>
      </c>
      <c r="I4423">
        <v>2012</v>
      </c>
      <c r="J4423">
        <f t="shared" si="138"/>
        <v>5</v>
      </c>
      <c r="K4423" s="1" t="s">
        <v>4668</v>
      </c>
      <c r="L4423" s="1" t="s">
        <v>659</v>
      </c>
      <c r="M4423">
        <f t="shared" si="139"/>
        <v>14</v>
      </c>
      <c r="N4423" t="s">
        <v>650</v>
      </c>
    </row>
    <row r="4424" spans="1:14" hidden="1" x14ac:dyDescent="0.3">
      <c r="A4424" s="1" t="s">
        <v>5580</v>
      </c>
      <c r="B4424" s="1" t="s">
        <v>1451</v>
      </c>
      <c r="C4424" s="1" t="s">
        <v>5581</v>
      </c>
      <c r="D4424" s="1" t="s">
        <v>1242</v>
      </c>
      <c r="E4424" s="1" t="s">
        <v>4250</v>
      </c>
      <c r="F4424" s="1" t="s">
        <v>4251</v>
      </c>
      <c r="G4424" s="1" t="s">
        <v>4651</v>
      </c>
      <c r="H4424">
        <v>2007</v>
      </c>
      <c r="I4424">
        <v>2012</v>
      </c>
      <c r="J4424">
        <f t="shared" si="138"/>
        <v>6</v>
      </c>
      <c r="K4424" s="1" t="s">
        <v>4668</v>
      </c>
      <c r="L4424" s="1" t="s">
        <v>659</v>
      </c>
      <c r="M4424">
        <f t="shared" si="139"/>
        <v>14</v>
      </c>
      <c r="N4424" t="s">
        <v>650</v>
      </c>
    </row>
    <row r="4425" spans="1:14" x14ac:dyDescent="0.3">
      <c r="A4425" s="1" t="s">
        <v>9519</v>
      </c>
      <c r="B4425" s="1" t="s">
        <v>1451</v>
      </c>
      <c r="C4425" s="1" t="s">
        <v>9520</v>
      </c>
      <c r="D4425" s="1" t="s">
        <v>1242</v>
      </c>
      <c r="E4425" s="1" t="s">
        <v>6076</v>
      </c>
      <c r="F4425" s="1" t="s">
        <v>6076</v>
      </c>
      <c r="G4425" s="1" t="s">
        <v>4651</v>
      </c>
      <c r="H4425">
        <v>1997</v>
      </c>
      <c r="I4425">
        <v>1999</v>
      </c>
      <c r="J4425">
        <f t="shared" si="138"/>
        <v>3</v>
      </c>
      <c r="K4425" s="1" t="s">
        <v>6076</v>
      </c>
      <c r="L4425" s="1" t="s">
        <v>6076</v>
      </c>
      <c r="M4425">
        <f t="shared" si="139"/>
        <v>27</v>
      </c>
      <c r="N4425" t="s">
        <v>640</v>
      </c>
    </row>
    <row r="4426" spans="1:14" hidden="1" x14ac:dyDescent="0.3">
      <c r="A4426" s="1" t="s">
        <v>5582</v>
      </c>
      <c r="B4426" s="1" t="s">
        <v>1451</v>
      </c>
      <c r="C4426" s="1" t="s">
        <v>5583</v>
      </c>
      <c r="D4426" s="1" t="s">
        <v>1242</v>
      </c>
      <c r="E4426" s="1" t="s">
        <v>4250</v>
      </c>
      <c r="F4426" s="1" t="s">
        <v>4251</v>
      </c>
      <c r="G4426" s="1" t="s">
        <v>4651</v>
      </c>
      <c r="H4426">
        <v>2013</v>
      </c>
      <c r="I4426">
        <v>2019</v>
      </c>
      <c r="J4426">
        <f t="shared" si="138"/>
        <v>7</v>
      </c>
      <c r="K4426" s="1" t="s">
        <v>4668</v>
      </c>
      <c r="L4426" s="1" t="s">
        <v>659</v>
      </c>
      <c r="M4426">
        <f t="shared" si="139"/>
        <v>7</v>
      </c>
      <c r="N4426" t="s">
        <v>650</v>
      </c>
    </row>
    <row r="4427" spans="1:14" x14ac:dyDescent="0.3">
      <c r="A4427" s="1" t="s">
        <v>9521</v>
      </c>
      <c r="B4427" s="1" t="s">
        <v>1451</v>
      </c>
      <c r="C4427" s="1" t="s">
        <v>9522</v>
      </c>
      <c r="D4427" s="1" t="s">
        <v>1242</v>
      </c>
      <c r="E4427" s="1" t="s">
        <v>6076</v>
      </c>
      <c r="F4427" s="1" t="s">
        <v>6076</v>
      </c>
      <c r="G4427" s="1" t="s">
        <v>4651</v>
      </c>
      <c r="H4427">
        <v>1998</v>
      </c>
      <c r="I4427">
        <v>2001</v>
      </c>
      <c r="J4427">
        <f t="shared" si="138"/>
        <v>4</v>
      </c>
      <c r="K4427" s="1" t="s">
        <v>6076</v>
      </c>
      <c r="L4427" s="1" t="s">
        <v>6076</v>
      </c>
      <c r="M4427">
        <f t="shared" si="139"/>
        <v>25</v>
      </c>
      <c r="N4427" t="s">
        <v>640</v>
      </c>
    </row>
    <row r="4428" spans="1:14" x14ac:dyDescent="0.3">
      <c r="A4428" s="1" t="s">
        <v>9523</v>
      </c>
      <c r="B4428" s="1" t="s">
        <v>1451</v>
      </c>
      <c r="C4428" s="1" t="s">
        <v>9524</v>
      </c>
      <c r="D4428" s="1" t="s">
        <v>1242</v>
      </c>
      <c r="E4428" s="1" t="s">
        <v>6076</v>
      </c>
      <c r="F4428" s="1" t="s">
        <v>6076</v>
      </c>
      <c r="G4428" s="1" t="s">
        <v>4651</v>
      </c>
      <c r="H4428">
        <v>1998</v>
      </c>
      <c r="I4428">
        <v>2001</v>
      </c>
      <c r="J4428">
        <f t="shared" si="138"/>
        <v>4</v>
      </c>
      <c r="K4428" s="1" t="s">
        <v>6076</v>
      </c>
      <c r="L4428" s="1" t="s">
        <v>6076</v>
      </c>
      <c r="M4428">
        <f t="shared" si="139"/>
        <v>25</v>
      </c>
      <c r="N4428" t="s">
        <v>640</v>
      </c>
    </row>
    <row r="4429" spans="1:14" x14ac:dyDescent="0.3">
      <c r="A4429" s="1" t="s">
        <v>9525</v>
      </c>
      <c r="B4429" s="1" t="s">
        <v>1451</v>
      </c>
      <c r="C4429" s="1" t="s">
        <v>9526</v>
      </c>
      <c r="D4429" s="1" t="s">
        <v>1242</v>
      </c>
      <c r="E4429" s="1" t="s">
        <v>6076</v>
      </c>
      <c r="F4429" s="1" t="s">
        <v>6076</v>
      </c>
      <c r="G4429" s="1" t="s">
        <v>4651</v>
      </c>
      <c r="H4429">
        <v>1998</v>
      </c>
      <c r="I4429">
        <v>2001</v>
      </c>
      <c r="J4429">
        <f t="shared" si="138"/>
        <v>4</v>
      </c>
      <c r="K4429" s="1" t="s">
        <v>6076</v>
      </c>
      <c r="L4429" s="1" t="s">
        <v>6076</v>
      </c>
      <c r="M4429">
        <f t="shared" si="139"/>
        <v>25</v>
      </c>
      <c r="N4429" t="s">
        <v>640</v>
      </c>
    </row>
    <row r="4430" spans="1:14" x14ac:dyDescent="0.3">
      <c r="A4430" s="1" t="s">
        <v>9527</v>
      </c>
      <c r="B4430" s="1" t="s">
        <v>1451</v>
      </c>
      <c r="C4430" s="1" t="s">
        <v>9528</v>
      </c>
      <c r="D4430" s="1" t="s">
        <v>1242</v>
      </c>
      <c r="E4430" s="1" t="s">
        <v>6076</v>
      </c>
      <c r="F4430" s="1" t="s">
        <v>6076</v>
      </c>
      <c r="G4430" s="1" t="s">
        <v>4651</v>
      </c>
      <c r="H4430">
        <v>1998</v>
      </c>
      <c r="I4430">
        <v>2001</v>
      </c>
      <c r="J4430">
        <f t="shared" si="138"/>
        <v>4</v>
      </c>
      <c r="K4430" s="1" t="s">
        <v>6076</v>
      </c>
      <c r="L4430" s="1" t="s">
        <v>6076</v>
      </c>
      <c r="M4430">
        <f t="shared" si="139"/>
        <v>25</v>
      </c>
      <c r="N4430" t="s">
        <v>640</v>
      </c>
    </row>
    <row r="4431" spans="1:14" x14ac:dyDescent="0.3">
      <c r="A4431" s="1" t="s">
        <v>9529</v>
      </c>
      <c r="B4431" s="1" t="s">
        <v>1451</v>
      </c>
      <c r="C4431" s="1" t="s">
        <v>9530</v>
      </c>
      <c r="D4431" s="1" t="s">
        <v>1242</v>
      </c>
      <c r="E4431" s="1" t="s">
        <v>6076</v>
      </c>
      <c r="F4431" s="1" t="s">
        <v>6076</v>
      </c>
      <c r="G4431" s="1" t="s">
        <v>4651</v>
      </c>
      <c r="H4431">
        <v>1999</v>
      </c>
      <c r="I4431">
        <v>2001</v>
      </c>
      <c r="J4431">
        <f t="shared" si="138"/>
        <v>3</v>
      </c>
      <c r="K4431" s="1" t="s">
        <v>6076</v>
      </c>
      <c r="L4431" s="1" t="s">
        <v>6076</v>
      </c>
      <c r="M4431">
        <f t="shared" si="139"/>
        <v>25</v>
      </c>
      <c r="N4431" t="s">
        <v>640</v>
      </c>
    </row>
    <row r="4432" spans="1:14" x14ac:dyDescent="0.3">
      <c r="A4432" s="1" t="s">
        <v>9531</v>
      </c>
      <c r="B4432" s="1" t="s">
        <v>1451</v>
      </c>
      <c r="C4432" s="1" t="s">
        <v>9532</v>
      </c>
      <c r="D4432" s="1" t="s">
        <v>1242</v>
      </c>
      <c r="E4432" s="1" t="s">
        <v>6076</v>
      </c>
      <c r="F4432" s="1" t="s">
        <v>6076</v>
      </c>
      <c r="G4432" s="1" t="s">
        <v>4651</v>
      </c>
      <c r="H4432">
        <v>1998</v>
      </c>
      <c r="I4432">
        <v>2001</v>
      </c>
      <c r="J4432">
        <f t="shared" si="138"/>
        <v>4</v>
      </c>
      <c r="K4432" s="1" t="s">
        <v>6076</v>
      </c>
      <c r="L4432" s="1" t="s">
        <v>6076</v>
      </c>
      <c r="M4432">
        <f t="shared" si="139"/>
        <v>25</v>
      </c>
      <c r="N4432" t="s">
        <v>640</v>
      </c>
    </row>
    <row r="4433" spans="1:14" hidden="1" x14ac:dyDescent="0.3">
      <c r="A4433" s="1" t="s">
        <v>5584</v>
      </c>
      <c r="B4433" s="1" t="s">
        <v>1451</v>
      </c>
      <c r="C4433" s="1" t="s">
        <v>5585</v>
      </c>
      <c r="D4433" s="1" t="s">
        <v>1242</v>
      </c>
      <c r="E4433" s="1" t="s">
        <v>4250</v>
      </c>
      <c r="F4433" s="1" t="s">
        <v>4251</v>
      </c>
      <c r="G4433" s="1" t="s">
        <v>4651</v>
      </c>
      <c r="H4433">
        <v>2002</v>
      </c>
      <c r="I4433">
        <v>2005</v>
      </c>
      <c r="J4433">
        <f t="shared" si="138"/>
        <v>4</v>
      </c>
      <c r="K4433" s="1" t="s">
        <v>4668</v>
      </c>
      <c r="L4433" s="1" t="s">
        <v>659</v>
      </c>
      <c r="M4433">
        <f t="shared" si="139"/>
        <v>21</v>
      </c>
      <c r="N4433" t="s">
        <v>650</v>
      </c>
    </row>
    <row r="4434" spans="1:14" hidden="1" x14ac:dyDescent="0.3">
      <c r="A4434" s="1" t="s">
        <v>5586</v>
      </c>
      <c r="B4434" s="1" t="s">
        <v>1451</v>
      </c>
      <c r="C4434" s="1" t="s">
        <v>5587</v>
      </c>
      <c r="D4434" s="1" t="s">
        <v>1242</v>
      </c>
      <c r="E4434" s="1" t="s">
        <v>4250</v>
      </c>
      <c r="F4434" s="1" t="s">
        <v>4251</v>
      </c>
      <c r="G4434" s="1" t="s">
        <v>4651</v>
      </c>
      <c r="H4434">
        <v>2002</v>
      </c>
      <c r="I4434">
        <v>2005</v>
      </c>
      <c r="J4434">
        <f t="shared" si="138"/>
        <v>4</v>
      </c>
      <c r="K4434" s="1" t="s">
        <v>4668</v>
      </c>
      <c r="L4434" s="1" t="s">
        <v>659</v>
      </c>
      <c r="M4434">
        <f t="shared" si="139"/>
        <v>21</v>
      </c>
      <c r="N4434" t="s">
        <v>650</v>
      </c>
    </row>
    <row r="4435" spans="1:14" hidden="1" x14ac:dyDescent="0.3">
      <c r="A4435" s="1" t="s">
        <v>5588</v>
      </c>
      <c r="B4435" s="1" t="s">
        <v>1451</v>
      </c>
      <c r="C4435" s="1" t="s">
        <v>5589</v>
      </c>
      <c r="D4435" s="1" t="s">
        <v>1242</v>
      </c>
      <c r="E4435" s="1" t="s">
        <v>4250</v>
      </c>
      <c r="F4435" s="1" t="s">
        <v>4251</v>
      </c>
      <c r="G4435" s="1" t="s">
        <v>4651</v>
      </c>
      <c r="H4435">
        <v>2002</v>
      </c>
      <c r="I4435">
        <v>2003</v>
      </c>
      <c r="J4435">
        <f t="shared" si="138"/>
        <v>2</v>
      </c>
      <c r="K4435" s="1" t="s">
        <v>4668</v>
      </c>
      <c r="L4435" s="1" t="s">
        <v>659</v>
      </c>
      <c r="M4435">
        <f t="shared" si="139"/>
        <v>23</v>
      </c>
      <c r="N4435" t="s">
        <v>650</v>
      </c>
    </row>
    <row r="4436" spans="1:14" hidden="1" x14ac:dyDescent="0.3">
      <c r="A4436" s="1" t="s">
        <v>5590</v>
      </c>
      <c r="B4436" s="1" t="s">
        <v>1451</v>
      </c>
      <c r="C4436" s="1" t="s">
        <v>5591</v>
      </c>
      <c r="D4436" s="1" t="s">
        <v>1242</v>
      </c>
      <c r="E4436" s="1" t="s">
        <v>4250</v>
      </c>
      <c r="F4436" s="1" t="s">
        <v>4251</v>
      </c>
      <c r="G4436" s="1" t="s">
        <v>4651</v>
      </c>
      <c r="H4436">
        <v>2005</v>
      </c>
      <c r="I4436">
        <v>2012</v>
      </c>
      <c r="J4436">
        <f t="shared" si="138"/>
        <v>8</v>
      </c>
      <c r="K4436" s="1" t="s">
        <v>4668</v>
      </c>
      <c r="L4436" s="1" t="s">
        <v>659</v>
      </c>
      <c r="M4436">
        <f t="shared" si="139"/>
        <v>14</v>
      </c>
      <c r="N4436" t="s">
        <v>650</v>
      </c>
    </row>
    <row r="4437" spans="1:14" hidden="1" x14ac:dyDescent="0.3">
      <c r="A4437" s="1" t="s">
        <v>5592</v>
      </c>
      <c r="B4437" s="1" t="s">
        <v>1451</v>
      </c>
      <c r="C4437" s="1" t="s">
        <v>5593</v>
      </c>
      <c r="D4437" s="1" t="s">
        <v>1242</v>
      </c>
      <c r="E4437" s="1" t="s">
        <v>4250</v>
      </c>
      <c r="F4437" s="1" t="s">
        <v>4251</v>
      </c>
      <c r="G4437" s="1" t="s">
        <v>4651</v>
      </c>
      <c r="H4437">
        <v>2005</v>
      </c>
      <c r="I4437">
        <v>2012</v>
      </c>
      <c r="J4437">
        <f t="shared" si="138"/>
        <v>8</v>
      </c>
      <c r="K4437" s="1" t="s">
        <v>4668</v>
      </c>
      <c r="L4437" s="1" t="s">
        <v>659</v>
      </c>
      <c r="M4437">
        <f t="shared" si="139"/>
        <v>14</v>
      </c>
      <c r="N4437" t="s">
        <v>650</v>
      </c>
    </row>
    <row r="4438" spans="1:14" x14ac:dyDescent="0.3">
      <c r="A4438" t="s">
        <v>11491</v>
      </c>
      <c r="B4438" t="s">
        <v>1451</v>
      </c>
      <c r="C4438" t="s">
        <v>11492</v>
      </c>
      <c r="E4438" s="1" t="s">
        <v>6076</v>
      </c>
      <c r="F4438" s="1" t="s">
        <v>6076</v>
      </c>
      <c r="G4438" s="1" t="s">
        <v>12826</v>
      </c>
      <c r="H4438">
        <v>2024</v>
      </c>
      <c r="I4438">
        <v>2026</v>
      </c>
      <c r="J4438">
        <f t="shared" si="138"/>
        <v>3</v>
      </c>
      <c r="K4438" s="1" t="s">
        <v>6076</v>
      </c>
      <c r="L4438" s="1" t="s">
        <v>6076</v>
      </c>
      <c r="M4438">
        <f t="shared" si="139"/>
        <v>0</v>
      </c>
    </row>
    <row r="4439" spans="1:14" hidden="1" x14ac:dyDescent="0.3">
      <c r="A4439" s="1" t="s">
        <v>5594</v>
      </c>
      <c r="B4439" s="1" t="s">
        <v>1451</v>
      </c>
      <c r="C4439" s="1" t="s">
        <v>5595</v>
      </c>
      <c r="D4439" s="1" t="s">
        <v>1242</v>
      </c>
      <c r="E4439" s="1" t="s">
        <v>4250</v>
      </c>
      <c r="F4439" s="1" t="s">
        <v>4251</v>
      </c>
      <c r="G4439" s="1" t="s">
        <v>4651</v>
      </c>
      <c r="H4439">
        <v>2013</v>
      </c>
      <c r="I4439">
        <v>2016</v>
      </c>
      <c r="J4439">
        <f t="shared" si="138"/>
        <v>4</v>
      </c>
      <c r="K4439" s="1" t="s">
        <v>4668</v>
      </c>
      <c r="L4439" s="1" t="s">
        <v>659</v>
      </c>
      <c r="M4439">
        <f t="shared" si="139"/>
        <v>10</v>
      </c>
      <c r="N4439" t="s">
        <v>650</v>
      </c>
    </row>
    <row r="4440" spans="1:14" hidden="1" x14ac:dyDescent="0.3">
      <c r="A4440" s="1" t="s">
        <v>5596</v>
      </c>
      <c r="B4440" s="1" t="s">
        <v>1451</v>
      </c>
      <c r="C4440" s="1" t="s">
        <v>5597</v>
      </c>
      <c r="D4440" s="1" t="s">
        <v>1242</v>
      </c>
      <c r="E4440" s="1" t="s">
        <v>4250</v>
      </c>
      <c r="F4440" s="1" t="s">
        <v>4251</v>
      </c>
      <c r="G4440" s="1" t="s">
        <v>4651</v>
      </c>
      <c r="H4440">
        <v>2013</v>
      </c>
      <c r="I4440">
        <v>2022</v>
      </c>
      <c r="J4440">
        <f t="shared" si="138"/>
        <v>10</v>
      </c>
      <c r="K4440" s="1" t="s">
        <v>4668</v>
      </c>
      <c r="L4440" s="1" t="s">
        <v>659</v>
      </c>
      <c r="M4440">
        <f t="shared" si="139"/>
        <v>4</v>
      </c>
      <c r="N4440" t="s">
        <v>650</v>
      </c>
    </row>
    <row r="4441" spans="1:14" hidden="1" x14ac:dyDescent="0.3">
      <c r="A4441" s="1" t="s">
        <v>5598</v>
      </c>
      <c r="B4441" s="1" t="s">
        <v>1451</v>
      </c>
      <c r="C4441" s="1" t="s">
        <v>5599</v>
      </c>
      <c r="D4441" s="1" t="s">
        <v>1242</v>
      </c>
      <c r="E4441" s="1" t="s">
        <v>4250</v>
      </c>
      <c r="F4441" s="1" t="s">
        <v>4251</v>
      </c>
      <c r="G4441" s="1" t="s">
        <v>4651</v>
      </c>
      <c r="H4441">
        <v>2001</v>
      </c>
      <c r="I4441">
        <v>2004</v>
      </c>
      <c r="J4441">
        <f t="shared" si="138"/>
        <v>4</v>
      </c>
      <c r="K4441" s="1" t="s">
        <v>4668</v>
      </c>
      <c r="L4441" s="1" t="s">
        <v>659</v>
      </c>
      <c r="M4441">
        <f t="shared" si="139"/>
        <v>22</v>
      </c>
      <c r="N4441" t="s">
        <v>650</v>
      </c>
    </row>
    <row r="4442" spans="1:14" hidden="1" x14ac:dyDescent="0.3">
      <c r="A4442" s="1" t="s">
        <v>5600</v>
      </c>
      <c r="B4442" s="1" t="s">
        <v>1451</v>
      </c>
      <c r="C4442" s="1" t="s">
        <v>5601</v>
      </c>
      <c r="D4442" s="1" t="s">
        <v>1242</v>
      </c>
      <c r="E4442" s="1" t="s">
        <v>4250</v>
      </c>
      <c r="F4442" s="1" t="s">
        <v>4251</v>
      </c>
      <c r="G4442" s="1" t="s">
        <v>4651</v>
      </c>
      <c r="H4442">
        <v>2001</v>
      </c>
      <c r="I4442">
        <v>2002</v>
      </c>
      <c r="J4442">
        <f t="shared" si="138"/>
        <v>2</v>
      </c>
      <c r="K4442" s="1" t="s">
        <v>4668</v>
      </c>
      <c r="L4442" s="1" t="s">
        <v>659</v>
      </c>
      <c r="M4442">
        <f t="shared" si="139"/>
        <v>24</v>
      </c>
      <c r="N4442" t="s">
        <v>650</v>
      </c>
    </row>
    <row r="4443" spans="1:14" x14ac:dyDescent="0.3">
      <c r="A4443" s="1" t="s">
        <v>9533</v>
      </c>
      <c r="B4443" s="1" t="s">
        <v>1451</v>
      </c>
      <c r="C4443" s="1" t="s">
        <v>9534</v>
      </c>
      <c r="D4443" s="1" t="s">
        <v>1242</v>
      </c>
      <c r="E4443" s="1" t="s">
        <v>6076</v>
      </c>
      <c r="F4443" s="1" t="s">
        <v>6076</v>
      </c>
      <c r="G4443" s="1" t="s">
        <v>4651</v>
      </c>
      <c r="H4443">
        <v>1999</v>
      </c>
      <c r="I4443">
        <v>2001</v>
      </c>
      <c r="J4443">
        <f t="shared" si="138"/>
        <v>3</v>
      </c>
      <c r="K4443" s="1" t="s">
        <v>6076</v>
      </c>
      <c r="L4443" s="1" t="s">
        <v>6076</v>
      </c>
      <c r="M4443">
        <f t="shared" si="139"/>
        <v>25</v>
      </c>
      <c r="N4443" t="s">
        <v>640</v>
      </c>
    </row>
    <row r="4444" spans="1:14" x14ac:dyDescent="0.3">
      <c r="A4444" s="1" t="s">
        <v>9535</v>
      </c>
      <c r="B4444" s="1" t="s">
        <v>1451</v>
      </c>
      <c r="C4444" s="1" t="s">
        <v>9536</v>
      </c>
      <c r="D4444" s="1" t="s">
        <v>1242</v>
      </c>
      <c r="E4444" s="1" t="s">
        <v>6076</v>
      </c>
      <c r="F4444" s="1" t="s">
        <v>6076</v>
      </c>
      <c r="G4444" s="1" t="s">
        <v>4651</v>
      </c>
      <c r="H4444">
        <v>1994</v>
      </c>
      <c r="I4444">
        <v>2001</v>
      </c>
      <c r="J4444">
        <f t="shared" si="138"/>
        <v>8</v>
      </c>
      <c r="K4444" s="1" t="s">
        <v>6076</v>
      </c>
      <c r="L4444" s="1" t="s">
        <v>6076</v>
      </c>
      <c r="M4444">
        <f t="shared" si="139"/>
        <v>25</v>
      </c>
      <c r="N4444" t="s">
        <v>640</v>
      </c>
    </row>
    <row r="4445" spans="1:14" x14ac:dyDescent="0.3">
      <c r="A4445" s="1" t="s">
        <v>9537</v>
      </c>
      <c r="B4445" s="1" t="s">
        <v>1451</v>
      </c>
      <c r="C4445" s="1" t="s">
        <v>9538</v>
      </c>
      <c r="D4445" s="1" t="s">
        <v>1242</v>
      </c>
      <c r="E4445" s="1" t="s">
        <v>6076</v>
      </c>
      <c r="F4445" s="1" t="s">
        <v>6076</v>
      </c>
      <c r="G4445" s="1" t="s">
        <v>4651</v>
      </c>
      <c r="H4445">
        <v>1998</v>
      </c>
      <c r="I4445">
        <v>2002</v>
      </c>
      <c r="J4445">
        <f t="shared" si="138"/>
        <v>5</v>
      </c>
      <c r="K4445" s="1" t="s">
        <v>6076</v>
      </c>
      <c r="L4445" s="1" t="s">
        <v>6076</v>
      </c>
      <c r="M4445">
        <f t="shared" si="139"/>
        <v>24</v>
      </c>
      <c r="N4445" t="s">
        <v>650</v>
      </c>
    </row>
    <row r="4446" spans="1:14" x14ac:dyDescent="0.3">
      <c r="A4446" s="1" t="s">
        <v>9539</v>
      </c>
      <c r="B4446" s="1" t="s">
        <v>1451</v>
      </c>
      <c r="C4446" s="1" t="s">
        <v>9540</v>
      </c>
      <c r="D4446" s="1" t="s">
        <v>1242</v>
      </c>
      <c r="E4446" s="1" t="s">
        <v>6076</v>
      </c>
      <c r="F4446" s="1" t="s">
        <v>6076</v>
      </c>
      <c r="G4446" s="1" t="s">
        <v>4651</v>
      </c>
      <c r="H4446">
        <v>1999</v>
      </c>
      <c r="I4446">
        <v>2001</v>
      </c>
      <c r="J4446">
        <f t="shared" si="138"/>
        <v>3</v>
      </c>
      <c r="K4446" s="1" t="s">
        <v>6076</v>
      </c>
      <c r="L4446" s="1" t="s">
        <v>6076</v>
      </c>
      <c r="M4446">
        <f t="shared" si="139"/>
        <v>25</v>
      </c>
      <c r="N4446" t="s">
        <v>640</v>
      </c>
    </row>
    <row r="4447" spans="1:14" x14ac:dyDescent="0.3">
      <c r="A4447" s="1" t="s">
        <v>9541</v>
      </c>
      <c r="B4447" s="1" t="s">
        <v>1451</v>
      </c>
      <c r="C4447" s="1" t="s">
        <v>9542</v>
      </c>
      <c r="D4447" s="1" t="s">
        <v>1242</v>
      </c>
      <c r="E4447" s="1" t="s">
        <v>6076</v>
      </c>
      <c r="F4447" s="1" t="s">
        <v>6076</v>
      </c>
      <c r="G4447" s="1" t="s">
        <v>4651</v>
      </c>
      <c r="H4447">
        <v>1998</v>
      </c>
      <c r="I4447">
        <v>2001</v>
      </c>
      <c r="J4447">
        <f t="shared" si="138"/>
        <v>4</v>
      </c>
      <c r="K4447" s="1" t="s">
        <v>6076</v>
      </c>
      <c r="L4447" s="1" t="s">
        <v>6076</v>
      </c>
      <c r="M4447">
        <f t="shared" si="139"/>
        <v>25</v>
      </c>
      <c r="N4447" t="s">
        <v>640</v>
      </c>
    </row>
    <row r="4448" spans="1:14" hidden="1" x14ac:dyDescent="0.3">
      <c r="A4448" s="1" t="s">
        <v>5602</v>
      </c>
      <c r="B4448" s="1" t="s">
        <v>1451</v>
      </c>
      <c r="C4448" s="1" t="s">
        <v>5603</v>
      </c>
      <c r="D4448" s="1" t="s">
        <v>1242</v>
      </c>
      <c r="E4448" s="1" t="s">
        <v>4250</v>
      </c>
      <c r="F4448" s="1" t="s">
        <v>4251</v>
      </c>
      <c r="G4448" s="1" t="s">
        <v>4651</v>
      </c>
      <c r="H4448">
        <v>2003</v>
      </c>
      <c r="I4448">
        <v>2005</v>
      </c>
      <c r="J4448">
        <f t="shared" si="138"/>
        <v>3</v>
      </c>
      <c r="K4448" s="1" t="s">
        <v>4668</v>
      </c>
      <c r="L4448" s="1" t="s">
        <v>659</v>
      </c>
      <c r="M4448">
        <f t="shared" si="139"/>
        <v>21</v>
      </c>
      <c r="N4448" t="s">
        <v>650</v>
      </c>
    </row>
    <row r="4449" spans="1:14" x14ac:dyDescent="0.3">
      <c r="A4449" s="1" t="s">
        <v>9543</v>
      </c>
      <c r="B4449" s="1" t="s">
        <v>1205</v>
      </c>
      <c r="C4449" s="1" t="s">
        <v>9544</v>
      </c>
      <c r="D4449" s="1" t="s">
        <v>1395</v>
      </c>
      <c r="E4449" s="1" t="s">
        <v>6076</v>
      </c>
      <c r="F4449" s="1" t="s">
        <v>6076</v>
      </c>
      <c r="G4449" s="1" t="s">
        <v>9545</v>
      </c>
      <c r="H4449">
        <v>2013</v>
      </c>
      <c r="I4449">
        <v>2018</v>
      </c>
      <c r="J4449">
        <f t="shared" si="138"/>
        <v>6</v>
      </c>
      <c r="K4449" s="1" t="s">
        <v>6076</v>
      </c>
      <c r="L4449" s="1" t="s">
        <v>6076</v>
      </c>
      <c r="M4449">
        <f t="shared" si="139"/>
        <v>8</v>
      </c>
      <c r="N4449" t="s">
        <v>650</v>
      </c>
    </row>
    <row r="4450" spans="1:14" x14ac:dyDescent="0.3">
      <c r="A4450" s="1" t="s">
        <v>9546</v>
      </c>
      <c r="B4450" s="1" t="s">
        <v>1205</v>
      </c>
      <c r="C4450" s="1" t="s">
        <v>9547</v>
      </c>
      <c r="D4450" s="1" t="s">
        <v>1395</v>
      </c>
      <c r="E4450" s="1" t="s">
        <v>6076</v>
      </c>
      <c r="F4450" s="1" t="s">
        <v>6076</v>
      </c>
      <c r="G4450" s="1" t="s">
        <v>9545</v>
      </c>
      <c r="H4450">
        <v>2015</v>
      </c>
      <c r="I4450">
        <v>2015</v>
      </c>
      <c r="J4450">
        <f t="shared" si="138"/>
        <v>1</v>
      </c>
      <c r="K4450" s="1" t="s">
        <v>6076</v>
      </c>
      <c r="L4450" s="1" t="s">
        <v>6076</v>
      </c>
      <c r="M4450">
        <f t="shared" si="139"/>
        <v>11</v>
      </c>
      <c r="N4450" t="s">
        <v>650</v>
      </c>
    </row>
    <row r="4451" spans="1:14" x14ac:dyDescent="0.3">
      <c r="A4451" s="1" t="s">
        <v>9548</v>
      </c>
      <c r="B4451" s="1" t="s">
        <v>1205</v>
      </c>
      <c r="C4451" s="1" t="s">
        <v>9549</v>
      </c>
      <c r="D4451" s="1" t="s">
        <v>1395</v>
      </c>
      <c r="E4451" s="1" t="s">
        <v>6076</v>
      </c>
      <c r="F4451" s="1" t="s">
        <v>6076</v>
      </c>
      <c r="G4451" s="1" t="s">
        <v>9545</v>
      </c>
      <c r="H4451">
        <v>1999</v>
      </c>
      <c r="I4451">
        <v>2002</v>
      </c>
      <c r="J4451">
        <f t="shared" si="138"/>
        <v>4</v>
      </c>
      <c r="K4451" s="1" t="s">
        <v>6076</v>
      </c>
      <c r="L4451" s="1" t="s">
        <v>6076</v>
      </c>
      <c r="M4451">
        <f t="shared" si="139"/>
        <v>24</v>
      </c>
      <c r="N4451" t="s">
        <v>650</v>
      </c>
    </row>
    <row r="4452" spans="1:14" x14ac:dyDescent="0.3">
      <c r="A4452" s="1" t="s">
        <v>9550</v>
      </c>
      <c r="B4452" s="1" t="s">
        <v>1205</v>
      </c>
      <c r="C4452" s="1" t="s">
        <v>9551</v>
      </c>
      <c r="D4452" s="1" t="s">
        <v>1395</v>
      </c>
      <c r="E4452" s="1" t="s">
        <v>6076</v>
      </c>
      <c r="F4452" s="1" t="s">
        <v>6076</v>
      </c>
      <c r="G4452" s="1" t="s">
        <v>9545</v>
      </c>
      <c r="H4452">
        <v>2015</v>
      </c>
      <c r="I4452">
        <v>2015</v>
      </c>
      <c r="J4452">
        <f t="shared" si="138"/>
        <v>1</v>
      </c>
      <c r="K4452" s="1" t="s">
        <v>6076</v>
      </c>
      <c r="L4452" s="1" t="s">
        <v>6076</v>
      </c>
      <c r="M4452">
        <f t="shared" si="139"/>
        <v>11</v>
      </c>
      <c r="N4452" t="s">
        <v>650</v>
      </c>
    </row>
    <row r="4453" spans="1:14" x14ac:dyDescent="0.3">
      <c r="A4453" s="1" t="s">
        <v>9552</v>
      </c>
      <c r="B4453" s="1" t="s">
        <v>1205</v>
      </c>
      <c r="C4453" s="1" t="s">
        <v>9553</v>
      </c>
      <c r="D4453" s="1" t="s">
        <v>1395</v>
      </c>
      <c r="E4453" s="1" t="s">
        <v>6076</v>
      </c>
      <c r="F4453" s="1" t="s">
        <v>6076</v>
      </c>
      <c r="G4453" s="1" t="s">
        <v>9545</v>
      </c>
      <c r="H4453">
        <v>2015</v>
      </c>
      <c r="I4453">
        <v>2019</v>
      </c>
      <c r="J4453">
        <f t="shared" si="138"/>
        <v>5</v>
      </c>
      <c r="K4453" s="1" t="s">
        <v>6076</v>
      </c>
      <c r="L4453" s="1" t="s">
        <v>6076</v>
      </c>
      <c r="M4453">
        <f t="shared" si="139"/>
        <v>7</v>
      </c>
      <c r="N4453" t="s">
        <v>650</v>
      </c>
    </row>
    <row r="4454" spans="1:14" x14ac:dyDescent="0.3">
      <c r="A4454" s="1" t="s">
        <v>9554</v>
      </c>
      <c r="B4454" s="1" t="s">
        <v>1205</v>
      </c>
      <c r="C4454" s="1" t="s">
        <v>9555</v>
      </c>
      <c r="D4454" s="1" t="s">
        <v>1395</v>
      </c>
      <c r="E4454" s="1" t="s">
        <v>6076</v>
      </c>
      <c r="F4454" s="1" t="s">
        <v>6076</v>
      </c>
      <c r="G4454" s="1" t="s">
        <v>9545</v>
      </c>
      <c r="H4454">
        <v>2011</v>
      </c>
      <c r="I4454">
        <v>2012</v>
      </c>
      <c r="J4454">
        <f t="shared" si="138"/>
        <v>2</v>
      </c>
      <c r="K4454" s="1" t="s">
        <v>6076</v>
      </c>
      <c r="L4454" s="1" t="s">
        <v>6076</v>
      </c>
      <c r="M4454">
        <f t="shared" si="139"/>
        <v>14</v>
      </c>
      <c r="N4454" t="s">
        <v>650</v>
      </c>
    </row>
    <row r="4455" spans="1:14" x14ac:dyDescent="0.3">
      <c r="A4455" s="1" t="s">
        <v>9556</v>
      </c>
      <c r="B4455" s="1" t="s">
        <v>1205</v>
      </c>
      <c r="C4455" s="1" t="s">
        <v>9557</v>
      </c>
      <c r="D4455" s="1" t="s">
        <v>1395</v>
      </c>
      <c r="E4455" s="1" t="s">
        <v>6076</v>
      </c>
      <c r="F4455" s="1" t="s">
        <v>6076</v>
      </c>
      <c r="G4455" s="1" t="s">
        <v>9545</v>
      </c>
      <c r="H4455">
        <v>2006</v>
      </c>
      <c r="I4455">
        <v>2012</v>
      </c>
      <c r="J4455">
        <f t="shared" si="138"/>
        <v>7</v>
      </c>
      <c r="K4455" s="1" t="s">
        <v>6076</v>
      </c>
      <c r="L4455" s="1" t="s">
        <v>6076</v>
      </c>
      <c r="M4455">
        <f t="shared" si="139"/>
        <v>14</v>
      </c>
      <c r="N4455" t="s">
        <v>650</v>
      </c>
    </row>
    <row r="4456" spans="1:14" x14ac:dyDescent="0.3">
      <c r="A4456" s="1" t="s">
        <v>9558</v>
      </c>
      <c r="B4456" s="1" t="s">
        <v>1205</v>
      </c>
      <c r="C4456" s="1" t="s">
        <v>9559</v>
      </c>
      <c r="D4456" s="1" t="s">
        <v>1395</v>
      </c>
      <c r="E4456" s="1" t="s">
        <v>6076</v>
      </c>
      <c r="F4456" s="1" t="s">
        <v>6076</v>
      </c>
      <c r="G4456" s="1" t="s">
        <v>9545</v>
      </c>
      <c r="H4456">
        <v>2013</v>
      </c>
      <c r="I4456">
        <v>2016</v>
      </c>
      <c r="J4456">
        <f t="shared" si="138"/>
        <v>4</v>
      </c>
      <c r="K4456" s="1" t="s">
        <v>6076</v>
      </c>
      <c r="L4456" s="1" t="s">
        <v>6076</v>
      </c>
      <c r="M4456">
        <f t="shared" si="139"/>
        <v>10</v>
      </c>
      <c r="N4456" t="s">
        <v>650</v>
      </c>
    </row>
    <row r="4457" spans="1:14" x14ac:dyDescent="0.3">
      <c r="A4457" s="1" t="s">
        <v>9560</v>
      </c>
      <c r="B4457" s="1" t="s">
        <v>1205</v>
      </c>
      <c r="C4457" s="1" t="s">
        <v>9561</v>
      </c>
      <c r="D4457" s="1" t="s">
        <v>1395</v>
      </c>
      <c r="E4457" s="1" t="s">
        <v>6076</v>
      </c>
      <c r="F4457" s="1" t="s">
        <v>6076</v>
      </c>
      <c r="G4457" s="1" t="s">
        <v>9545</v>
      </c>
      <c r="H4457">
        <v>2019</v>
      </c>
      <c r="I4457">
        <v>2022</v>
      </c>
      <c r="J4457">
        <f t="shared" si="138"/>
        <v>4</v>
      </c>
      <c r="K4457" s="1" t="s">
        <v>6076</v>
      </c>
      <c r="L4457" s="1" t="s">
        <v>6076</v>
      </c>
      <c r="M4457">
        <f t="shared" si="139"/>
        <v>4</v>
      </c>
      <c r="N4457" t="s">
        <v>650</v>
      </c>
    </row>
    <row r="4458" spans="1:14" x14ac:dyDescent="0.3">
      <c r="A4458" s="1" t="s">
        <v>9562</v>
      </c>
      <c r="B4458" s="1" t="s">
        <v>1205</v>
      </c>
      <c r="C4458" s="1" t="s">
        <v>9563</v>
      </c>
      <c r="D4458" s="1" t="s">
        <v>1395</v>
      </c>
      <c r="E4458" s="1" t="s">
        <v>6076</v>
      </c>
      <c r="F4458" s="1" t="s">
        <v>6076</v>
      </c>
      <c r="G4458" s="1" t="s">
        <v>9545</v>
      </c>
      <c r="H4458">
        <v>2020</v>
      </c>
      <c r="I4458">
        <v>2022</v>
      </c>
      <c r="J4458">
        <f t="shared" si="138"/>
        <v>3</v>
      </c>
      <c r="K4458" s="1" t="s">
        <v>6076</v>
      </c>
      <c r="L4458" s="1" t="s">
        <v>6076</v>
      </c>
      <c r="M4458">
        <f t="shared" si="139"/>
        <v>4</v>
      </c>
      <c r="N4458" t="s">
        <v>650</v>
      </c>
    </row>
    <row r="4459" spans="1:14" x14ac:dyDescent="0.3">
      <c r="A4459" s="1" t="s">
        <v>9564</v>
      </c>
      <c r="B4459" s="1" t="s">
        <v>1205</v>
      </c>
      <c r="C4459" s="1" t="s">
        <v>9565</v>
      </c>
      <c r="D4459" s="1" t="s">
        <v>1395</v>
      </c>
      <c r="E4459" s="1" t="s">
        <v>6076</v>
      </c>
      <c r="F4459" s="1" t="s">
        <v>6076</v>
      </c>
      <c r="G4459" s="1" t="s">
        <v>9545</v>
      </c>
      <c r="H4459">
        <v>2019</v>
      </c>
      <c r="I4459">
        <v>2022</v>
      </c>
      <c r="J4459">
        <f t="shared" si="138"/>
        <v>4</v>
      </c>
      <c r="K4459" s="1" t="s">
        <v>6076</v>
      </c>
      <c r="L4459" s="1" t="s">
        <v>6076</v>
      </c>
      <c r="M4459">
        <f t="shared" si="139"/>
        <v>4</v>
      </c>
      <c r="N4459" t="s">
        <v>650</v>
      </c>
    </row>
    <row r="4460" spans="1:14" x14ac:dyDescent="0.3">
      <c r="A4460" s="1" t="s">
        <v>9566</v>
      </c>
      <c r="B4460" s="1" t="s">
        <v>1205</v>
      </c>
      <c r="C4460" s="1" t="s">
        <v>9567</v>
      </c>
      <c r="D4460" s="1" t="s">
        <v>1395</v>
      </c>
      <c r="E4460" s="1" t="s">
        <v>6076</v>
      </c>
      <c r="F4460" s="1" t="s">
        <v>6076</v>
      </c>
      <c r="G4460" s="1" t="s">
        <v>9545</v>
      </c>
      <c r="H4460">
        <v>2020</v>
      </c>
      <c r="I4460">
        <v>2022</v>
      </c>
      <c r="J4460">
        <f t="shared" si="138"/>
        <v>3</v>
      </c>
      <c r="K4460" s="1" t="s">
        <v>6076</v>
      </c>
      <c r="L4460" s="1" t="s">
        <v>6076</v>
      </c>
      <c r="M4460">
        <f t="shared" si="139"/>
        <v>4</v>
      </c>
      <c r="N4460" t="s">
        <v>650</v>
      </c>
    </row>
    <row r="4461" spans="1:14" x14ac:dyDescent="0.3">
      <c r="A4461" t="s">
        <v>12347</v>
      </c>
      <c r="B4461" t="s">
        <v>1205</v>
      </c>
      <c r="C4461" t="s">
        <v>12348</v>
      </c>
      <c r="E4461" s="1" t="s">
        <v>6076</v>
      </c>
      <c r="F4461" s="1" t="s">
        <v>6076</v>
      </c>
      <c r="G4461" s="1" t="s">
        <v>9545</v>
      </c>
      <c r="H4461">
        <v>2024</v>
      </c>
      <c r="I4461">
        <v>2026</v>
      </c>
      <c r="J4461">
        <f t="shared" si="138"/>
        <v>3</v>
      </c>
      <c r="K4461" s="1" t="s">
        <v>6076</v>
      </c>
      <c r="L4461" s="1" t="s">
        <v>6076</v>
      </c>
      <c r="M4461">
        <f t="shared" si="139"/>
        <v>0</v>
      </c>
    </row>
    <row r="4462" spans="1:14" x14ac:dyDescent="0.3">
      <c r="A4462" s="1" t="s">
        <v>9568</v>
      </c>
      <c r="B4462" s="1" t="s">
        <v>642</v>
      </c>
      <c r="C4462" s="1" t="s">
        <v>9569</v>
      </c>
      <c r="D4462" s="1" t="s">
        <v>3850</v>
      </c>
      <c r="E4462" s="1" t="s">
        <v>6076</v>
      </c>
      <c r="F4462" s="1" t="s">
        <v>6076</v>
      </c>
      <c r="G4462" s="1" t="s">
        <v>9570</v>
      </c>
      <c r="H4462">
        <v>2012</v>
      </c>
      <c r="I4462">
        <v>2015</v>
      </c>
      <c r="J4462">
        <f t="shared" si="138"/>
        <v>4</v>
      </c>
      <c r="K4462" s="1" t="s">
        <v>6076</v>
      </c>
      <c r="L4462" s="1" t="s">
        <v>6076</v>
      </c>
      <c r="M4462">
        <f t="shared" si="139"/>
        <v>11</v>
      </c>
      <c r="N4462" t="s">
        <v>650</v>
      </c>
    </row>
    <row r="4463" spans="1:14" hidden="1" x14ac:dyDescent="0.3">
      <c r="A4463" s="1" t="s">
        <v>2782</v>
      </c>
      <c r="B4463" s="1" t="s">
        <v>2783</v>
      </c>
      <c r="C4463" s="1" t="s">
        <v>2784</v>
      </c>
      <c r="D4463" s="1" t="s">
        <v>1395</v>
      </c>
      <c r="E4463" s="1" t="s">
        <v>1396</v>
      </c>
      <c r="F4463" s="1" t="s">
        <v>1397</v>
      </c>
      <c r="G4463" s="1" t="s">
        <v>2785</v>
      </c>
      <c r="H4463">
        <v>2016</v>
      </c>
      <c r="I4463">
        <v>2018</v>
      </c>
      <c r="J4463">
        <f t="shared" si="138"/>
        <v>3</v>
      </c>
      <c r="K4463" s="34" t="s">
        <v>3665</v>
      </c>
      <c r="L4463" s="34" t="s">
        <v>666</v>
      </c>
      <c r="M4463">
        <f t="shared" si="139"/>
        <v>8</v>
      </c>
      <c r="N4463" t="s">
        <v>650</v>
      </c>
    </row>
    <row r="4464" spans="1:14" hidden="1" x14ac:dyDescent="0.3">
      <c r="A4464" s="1" t="s">
        <v>2786</v>
      </c>
      <c r="B4464" s="1" t="s">
        <v>2783</v>
      </c>
      <c r="C4464" s="1" t="s">
        <v>2787</v>
      </c>
      <c r="D4464" s="1" t="s">
        <v>1395</v>
      </c>
      <c r="E4464" s="1" t="s">
        <v>1396</v>
      </c>
      <c r="F4464" s="1" t="s">
        <v>1397</v>
      </c>
      <c r="G4464" s="1" t="s">
        <v>2785</v>
      </c>
      <c r="H4464">
        <v>2016</v>
      </c>
      <c r="I4464">
        <v>2017</v>
      </c>
      <c r="J4464">
        <f t="shared" si="138"/>
        <v>2</v>
      </c>
      <c r="K4464" s="34" t="s">
        <v>3665</v>
      </c>
      <c r="L4464" s="34" t="s">
        <v>666</v>
      </c>
      <c r="M4464">
        <f t="shared" si="139"/>
        <v>9</v>
      </c>
      <c r="N4464" t="s">
        <v>650</v>
      </c>
    </row>
    <row r="4465" spans="1:14" hidden="1" x14ac:dyDescent="0.3">
      <c r="A4465" s="1" t="s">
        <v>2788</v>
      </c>
      <c r="B4465" s="1" t="s">
        <v>2783</v>
      </c>
      <c r="C4465" s="1" t="s">
        <v>2789</v>
      </c>
      <c r="D4465" s="1" t="s">
        <v>1395</v>
      </c>
      <c r="E4465" s="1" t="s">
        <v>1396</v>
      </c>
      <c r="F4465" s="1" t="s">
        <v>1397</v>
      </c>
      <c r="G4465" s="1" t="s">
        <v>2785</v>
      </c>
      <c r="H4465">
        <v>2016</v>
      </c>
      <c r="I4465">
        <v>2017</v>
      </c>
      <c r="J4465">
        <f t="shared" si="138"/>
        <v>2</v>
      </c>
      <c r="K4465" s="34" t="s">
        <v>3665</v>
      </c>
      <c r="L4465" s="34" t="s">
        <v>666</v>
      </c>
      <c r="M4465">
        <f t="shared" si="139"/>
        <v>9</v>
      </c>
      <c r="N4465" t="s">
        <v>650</v>
      </c>
    </row>
    <row r="4466" spans="1:14" hidden="1" x14ac:dyDescent="0.3">
      <c r="A4466" t="s">
        <v>11704</v>
      </c>
      <c r="B4466" t="s">
        <v>2783</v>
      </c>
      <c r="C4466" t="s">
        <v>11705</v>
      </c>
      <c r="E4466" s="1" t="e">
        <v>#N/A</v>
      </c>
      <c r="F4466" s="1" t="e">
        <v>#N/A</v>
      </c>
      <c r="G4466" s="1" t="s">
        <v>12844</v>
      </c>
      <c r="H4466">
        <v>2025</v>
      </c>
      <c r="I4466">
        <v>2026</v>
      </c>
      <c r="J4466">
        <f t="shared" si="138"/>
        <v>2</v>
      </c>
      <c r="K4466" s="34" t="s">
        <v>3665</v>
      </c>
      <c r="L4466" s="34" t="s">
        <v>666</v>
      </c>
      <c r="M4466">
        <f t="shared" si="139"/>
        <v>0</v>
      </c>
    </row>
    <row r="4467" spans="1:14" hidden="1" x14ac:dyDescent="0.3">
      <c r="A4467" s="1" t="s">
        <v>2790</v>
      </c>
      <c r="B4467" s="1" t="s">
        <v>2783</v>
      </c>
      <c r="C4467" s="1" t="s">
        <v>2791</v>
      </c>
      <c r="D4467" s="1" t="s">
        <v>1395</v>
      </c>
      <c r="E4467" s="1" t="s">
        <v>1396</v>
      </c>
      <c r="F4467" s="1" t="s">
        <v>1397</v>
      </c>
      <c r="G4467" s="1" t="s">
        <v>2785</v>
      </c>
      <c r="H4467">
        <v>2018</v>
      </c>
      <c r="I4467">
        <v>2018</v>
      </c>
      <c r="J4467">
        <f t="shared" si="138"/>
        <v>1</v>
      </c>
      <c r="K4467" s="34" t="s">
        <v>3665</v>
      </c>
      <c r="L4467" s="34" t="s">
        <v>666</v>
      </c>
      <c r="M4467">
        <f t="shared" si="139"/>
        <v>8</v>
      </c>
      <c r="N4467" t="s">
        <v>650</v>
      </c>
    </row>
    <row r="4468" spans="1:14" hidden="1" x14ac:dyDescent="0.3">
      <c r="A4468" s="1" t="s">
        <v>2792</v>
      </c>
      <c r="B4468" s="1" t="s">
        <v>2783</v>
      </c>
      <c r="C4468" s="1" t="s">
        <v>2793</v>
      </c>
      <c r="D4468" s="1" t="s">
        <v>1395</v>
      </c>
      <c r="E4468" s="1" t="s">
        <v>1396</v>
      </c>
      <c r="F4468" s="1" t="s">
        <v>1397</v>
      </c>
      <c r="G4468" s="1" t="s">
        <v>2785</v>
      </c>
      <c r="H4468">
        <v>2018</v>
      </c>
      <c r="I4468">
        <v>2018</v>
      </c>
      <c r="J4468">
        <f t="shared" si="138"/>
        <v>1</v>
      </c>
      <c r="K4468" s="34" t="s">
        <v>3665</v>
      </c>
      <c r="L4468" s="34" t="s">
        <v>666</v>
      </c>
      <c r="M4468">
        <f t="shared" si="139"/>
        <v>8</v>
      </c>
      <c r="N4468" t="s">
        <v>650</v>
      </c>
    </row>
    <row r="4469" spans="1:14" hidden="1" x14ac:dyDescent="0.3">
      <c r="A4469" s="1" t="s">
        <v>2794</v>
      </c>
      <c r="B4469" s="1" t="s">
        <v>2783</v>
      </c>
      <c r="C4469" s="1" t="s">
        <v>2795</v>
      </c>
      <c r="D4469" s="1" t="s">
        <v>1395</v>
      </c>
      <c r="E4469" s="1" t="s">
        <v>1396</v>
      </c>
      <c r="F4469" s="1" t="s">
        <v>1397</v>
      </c>
      <c r="G4469" s="1" t="s">
        <v>2785</v>
      </c>
      <c r="H4469">
        <v>2016</v>
      </c>
      <c r="I4469">
        <v>2017</v>
      </c>
      <c r="J4469">
        <f t="shared" si="138"/>
        <v>2</v>
      </c>
      <c r="K4469" s="34" t="s">
        <v>3665</v>
      </c>
      <c r="L4469" s="34" t="s">
        <v>666</v>
      </c>
      <c r="M4469">
        <f t="shared" si="139"/>
        <v>9</v>
      </c>
      <c r="N4469" t="s">
        <v>650</v>
      </c>
    </row>
    <row r="4470" spans="1:14" hidden="1" x14ac:dyDescent="0.3">
      <c r="A4470" s="1" t="s">
        <v>2796</v>
      </c>
      <c r="B4470" s="1" t="s">
        <v>2783</v>
      </c>
      <c r="C4470" s="1" t="s">
        <v>2797</v>
      </c>
      <c r="D4470" s="1" t="s">
        <v>1395</v>
      </c>
      <c r="E4470" s="1" t="s">
        <v>1396</v>
      </c>
      <c r="F4470" s="1" t="s">
        <v>1397</v>
      </c>
      <c r="G4470" s="1" t="s">
        <v>2785</v>
      </c>
      <c r="H4470">
        <v>2016</v>
      </c>
      <c r="I4470">
        <v>2017</v>
      </c>
      <c r="J4470">
        <f t="shared" si="138"/>
        <v>2</v>
      </c>
      <c r="K4470" s="34" t="s">
        <v>3665</v>
      </c>
      <c r="L4470" s="34" t="s">
        <v>666</v>
      </c>
      <c r="M4470">
        <f t="shared" si="139"/>
        <v>9</v>
      </c>
      <c r="N4470" t="s">
        <v>650</v>
      </c>
    </row>
    <row r="4471" spans="1:14" hidden="1" x14ac:dyDescent="0.3">
      <c r="A4471" s="1" t="s">
        <v>2798</v>
      </c>
      <c r="B4471" s="1" t="s">
        <v>2783</v>
      </c>
      <c r="C4471" s="1" t="s">
        <v>2799</v>
      </c>
      <c r="D4471" s="1" t="s">
        <v>1395</v>
      </c>
      <c r="E4471" s="1" t="s">
        <v>1396</v>
      </c>
      <c r="F4471" s="1" t="s">
        <v>1397</v>
      </c>
      <c r="G4471" s="1" t="s">
        <v>2785</v>
      </c>
      <c r="H4471">
        <v>2018</v>
      </c>
      <c r="I4471">
        <v>2018</v>
      </c>
      <c r="J4471">
        <f t="shared" si="138"/>
        <v>1</v>
      </c>
      <c r="K4471" s="34" t="s">
        <v>3665</v>
      </c>
      <c r="L4471" s="34" t="s">
        <v>666</v>
      </c>
      <c r="M4471">
        <f t="shared" si="139"/>
        <v>8</v>
      </c>
      <c r="N4471" t="s">
        <v>650</v>
      </c>
    </row>
    <row r="4472" spans="1:14" hidden="1" x14ac:dyDescent="0.3">
      <c r="A4472" t="s">
        <v>11706</v>
      </c>
      <c r="B4472" t="s">
        <v>2783</v>
      </c>
      <c r="C4472" t="s">
        <v>11707</v>
      </c>
      <c r="E4472" s="1" t="e">
        <v>#N/A</v>
      </c>
      <c r="F4472" s="1" t="e">
        <v>#N/A</v>
      </c>
      <c r="G4472" s="1" t="s">
        <v>12844</v>
      </c>
      <c r="H4472">
        <v>2025</v>
      </c>
      <c r="I4472">
        <v>2026</v>
      </c>
      <c r="J4472">
        <f t="shared" si="138"/>
        <v>2</v>
      </c>
      <c r="K4472" s="34" t="s">
        <v>3665</v>
      </c>
      <c r="L4472" s="34" t="s">
        <v>666</v>
      </c>
      <c r="M4472">
        <f t="shared" si="139"/>
        <v>0</v>
      </c>
    </row>
    <row r="4473" spans="1:14" hidden="1" x14ac:dyDescent="0.3">
      <c r="A4473" s="1" t="s">
        <v>2800</v>
      </c>
      <c r="B4473" s="1" t="s">
        <v>2783</v>
      </c>
      <c r="C4473" s="1" t="s">
        <v>2801</v>
      </c>
      <c r="D4473" s="1" t="s">
        <v>1395</v>
      </c>
      <c r="E4473" s="1" t="s">
        <v>1396</v>
      </c>
      <c r="F4473" s="1" t="s">
        <v>1397</v>
      </c>
      <c r="G4473" s="1" t="s">
        <v>2785</v>
      </c>
      <c r="H4473">
        <v>2022</v>
      </c>
      <c r="I4473">
        <v>2022</v>
      </c>
      <c r="J4473">
        <f t="shared" si="138"/>
        <v>1</v>
      </c>
      <c r="K4473" s="34" t="s">
        <v>3665</v>
      </c>
      <c r="L4473" s="34" t="s">
        <v>666</v>
      </c>
      <c r="M4473">
        <f t="shared" si="139"/>
        <v>4</v>
      </c>
      <c r="N4473" t="s">
        <v>650</v>
      </c>
    </row>
    <row r="4474" spans="1:14" hidden="1" x14ac:dyDescent="0.3">
      <c r="A4474" s="1" t="s">
        <v>2802</v>
      </c>
      <c r="B4474" s="1" t="s">
        <v>2783</v>
      </c>
      <c r="C4474" s="1" t="s">
        <v>2803</v>
      </c>
      <c r="D4474" s="1" t="s">
        <v>1395</v>
      </c>
      <c r="E4474" s="1" t="s">
        <v>1396</v>
      </c>
      <c r="F4474" s="1" t="s">
        <v>1397</v>
      </c>
      <c r="G4474" s="1" t="s">
        <v>2785</v>
      </c>
      <c r="H4474">
        <v>2015</v>
      </c>
      <c r="I4474">
        <v>2022</v>
      </c>
      <c r="J4474">
        <f t="shared" si="138"/>
        <v>8</v>
      </c>
      <c r="K4474" s="34" t="s">
        <v>3665</v>
      </c>
      <c r="L4474" s="34" t="s">
        <v>666</v>
      </c>
      <c r="M4474">
        <f t="shared" si="139"/>
        <v>4</v>
      </c>
      <c r="N4474" t="s">
        <v>650</v>
      </c>
    </row>
    <row r="4475" spans="1:14" hidden="1" x14ac:dyDescent="0.3">
      <c r="A4475" s="1" t="s">
        <v>2804</v>
      </c>
      <c r="B4475" s="1" t="s">
        <v>2783</v>
      </c>
      <c r="C4475" s="1" t="s">
        <v>2805</v>
      </c>
      <c r="D4475" s="1" t="s">
        <v>1395</v>
      </c>
      <c r="E4475" s="1" t="s">
        <v>1396</v>
      </c>
      <c r="F4475" s="1" t="s">
        <v>1397</v>
      </c>
      <c r="G4475" s="1" t="s">
        <v>2785</v>
      </c>
      <c r="H4475">
        <v>2016</v>
      </c>
      <c r="I4475">
        <v>2022</v>
      </c>
      <c r="J4475">
        <f t="shared" si="138"/>
        <v>7</v>
      </c>
      <c r="K4475" s="34" t="s">
        <v>3665</v>
      </c>
      <c r="L4475" s="34" t="s">
        <v>666</v>
      </c>
      <c r="M4475">
        <f t="shared" si="139"/>
        <v>4</v>
      </c>
      <c r="N4475" t="s">
        <v>650</v>
      </c>
    </row>
    <row r="4476" spans="1:14" hidden="1" x14ac:dyDescent="0.3">
      <c r="A4476" s="1" t="s">
        <v>2806</v>
      </c>
      <c r="B4476" s="1" t="s">
        <v>2783</v>
      </c>
      <c r="C4476" s="1" t="s">
        <v>2807</v>
      </c>
      <c r="D4476" s="1" t="s">
        <v>1395</v>
      </c>
      <c r="E4476" s="1" t="s">
        <v>1396</v>
      </c>
      <c r="F4476" s="1" t="s">
        <v>1397</v>
      </c>
      <c r="G4476" s="1" t="s">
        <v>2785</v>
      </c>
      <c r="H4476">
        <v>2021</v>
      </c>
      <c r="I4476">
        <v>2022</v>
      </c>
      <c r="J4476">
        <f t="shared" si="138"/>
        <v>2</v>
      </c>
      <c r="K4476" s="34" t="s">
        <v>3665</v>
      </c>
      <c r="L4476" s="34" t="s">
        <v>666</v>
      </c>
      <c r="M4476">
        <f t="shared" si="139"/>
        <v>4</v>
      </c>
      <c r="N4476" t="s">
        <v>650</v>
      </c>
    </row>
    <row r="4477" spans="1:14" hidden="1" x14ac:dyDescent="0.3">
      <c r="A4477" s="1" t="s">
        <v>2808</v>
      </c>
      <c r="B4477" s="1" t="s">
        <v>2783</v>
      </c>
      <c r="C4477" s="1" t="s">
        <v>2809</v>
      </c>
      <c r="D4477" s="1" t="s">
        <v>1395</v>
      </c>
      <c r="E4477" s="1" t="s">
        <v>1396</v>
      </c>
      <c r="F4477" s="1" t="s">
        <v>1397</v>
      </c>
      <c r="G4477" s="1" t="s">
        <v>2785</v>
      </c>
      <c r="H4477">
        <v>2018</v>
      </c>
      <c r="I4477">
        <v>2018</v>
      </c>
      <c r="J4477">
        <f t="shared" si="138"/>
        <v>1</v>
      </c>
      <c r="K4477" s="34" t="s">
        <v>3665</v>
      </c>
      <c r="L4477" s="34" t="s">
        <v>666</v>
      </c>
      <c r="M4477">
        <f t="shared" si="139"/>
        <v>8</v>
      </c>
      <c r="N4477" t="s">
        <v>650</v>
      </c>
    </row>
    <row r="4478" spans="1:14" hidden="1" x14ac:dyDescent="0.3">
      <c r="A4478" s="1" t="s">
        <v>2810</v>
      </c>
      <c r="B4478" s="1" t="s">
        <v>2783</v>
      </c>
      <c r="C4478" s="1" t="s">
        <v>2811</v>
      </c>
      <c r="D4478" s="1" t="s">
        <v>1395</v>
      </c>
      <c r="E4478" s="1" t="s">
        <v>1396</v>
      </c>
      <c r="F4478" s="1" t="s">
        <v>1397</v>
      </c>
      <c r="G4478" s="1" t="s">
        <v>2785</v>
      </c>
      <c r="H4478">
        <v>2018</v>
      </c>
      <c r="I4478">
        <v>2018</v>
      </c>
      <c r="J4478">
        <f t="shared" si="138"/>
        <v>1</v>
      </c>
      <c r="K4478" s="34" t="s">
        <v>3665</v>
      </c>
      <c r="L4478" s="34" t="s">
        <v>666</v>
      </c>
      <c r="M4478">
        <f t="shared" si="139"/>
        <v>8</v>
      </c>
      <c r="N4478" t="s">
        <v>650</v>
      </c>
    </row>
    <row r="4479" spans="1:14" hidden="1" x14ac:dyDescent="0.3">
      <c r="A4479" s="1" t="s">
        <v>2812</v>
      </c>
      <c r="B4479" s="1" t="s">
        <v>2783</v>
      </c>
      <c r="C4479" s="1" t="s">
        <v>2813</v>
      </c>
      <c r="D4479" s="1" t="s">
        <v>1395</v>
      </c>
      <c r="E4479" s="1" t="s">
        <v>1396</v>
      </c>
      <c r="F4479" s="1" t="s">
        <v>1397</v>
      </c>
      <c r="G4479" s="1" t="s">
        <v>2785</v>
      </c>
      <c r="H4479">
        <v>2022</v>
      </c>
      <c r="I4479">
        <v>2022</v>
      </c>
      <c r="J4479">
        <f t="shared" si="138"/>
        <v>1</v>
      </c>
      <c r="K4479" s="34" t="s">
        <v>3665</v>
      </c>
      <c r="L4479" s="34" t="s">
        <v>666</v>
      </c>
      <c r="M4479">
        <f t="shared" si="139"/>
        <v>4</v>
      </c>
      <c r="N4479" t="s">
        <v>650</v>
      </c>
    </row>
    <row r="4480" spans="1:14" hidden="1" x14ac:dyDescent="0.3">
      <c r="A4480" t="s">
        <v>11708</v>
      </c>
      <c r="B4480" t="s">
        <v>2783</v>
      </c>
      <c r="C4480" t="s">
        <v>11709</v>
      </c>
      <c r="E4480" s="1" t="e">
        <v>#N/A</v>
      </c>
      <c r="F4480" s="1" t="e">
        <v>#N/A</v>
      </c>
      <c r="G4480" s="1" t="s">
        <v>12844</v>
      </c>
      <c r="H4480">
        <v>2025</v>
      </c>
      <c r="I4480">
        <v>2026</v>
      </c>
      <c r="J4480">
        <f t="shared" si="138"/>
        <v>2</v>
      </c>
      <c r="K4480" s="34" t="s">
        <v>3665</v>
      </c>
      <c r="L4480" s="34" t="s">
        <v>666</v>
      </c>
      <c r="M4480">
        <f t="shared" si="139"/>
        <v>0</v>
      </c>
    </row>
    <row r="4481" spans="1:14" hidden="1" x14ac:dyDescent="0.3">
      <c r="A4481" s="1" t="s">
        <v>2814</v>
      </c>
      <c r="B4481" s="1" t="s">
        <v>2783</v>
      </c>
      <c r="C4481" s="1" t="s">
        <v>2815</v>
      </c>
      <c r="D4481" s="1" t="s">
        <v>1395</v>
      </c>
      <c r="E4481" s="1" t="s">
        <v>1396</v>
      </c>
      <c r="F4481" s="1" t="s">
        <v>1397</v>
      </c>
      <c r="G4481" s="1" t="s">
        <v>2785</v>
      </c>
      <c r="H4481">
        <v>2016</v>
      </c>
      <c r="I4481">
        <v>2022</v>
      </c>
      <c r="J4481">
        <f t="shared" si="138"/>
        <v>7</v>
      </c>
      <c r="K4481" s="34" t="s">
        <v>3665</v>
      </c>
      <c r="L4481" s="34" t="s">
        <v>666</v>
      </c>
      <c r="M4481">
        <f t="shared" si="139"/>
        <v>4</v>
      </c>
      <c r="N4481" t="s">
        <v>650</v>
      </c>
    </row>
    <row r="4482" spans="1:14" hidden="1" x14ac:dyDescent="0.3">
      <c r="A4482" s="1" t="s">
        <v>2816</v>
      </c>
      <c r="B4482" s="1" t="s">
        <v>2783</v>
      </c>
      <c r="C4482" s="1" t="s">
        <v>2817</v>
      </c>
      <c r="D4482" s="1" t="s">
        <v>1395</v>
      </c>
      <c r="E4482" s="1" t="s">
        <v>1396</v>
      </c>
      <c r="F4482" s="1" t="s">
        <v>1397</v>
      </c>
      <c r="G4482" s="1" t="s">
        <v>2785</v>
      </c>
      <c r="H4482">
        <v>2015</v>
      </c>
      <c r="I4482">
        <v>2019</v>
      </c>
      <c r="J4482">
        <f t="shared" si="138"/>
        <v>5</v>
      </c>
      <c r="K4482" s="34" t="s">
        <v>3665</v>
      </c>
      <c r="L4482" s="34" t="s">
        <v>666</v>
      </c>
      <c r="M4482">
        <f t="shared" si="139"/>
        <v>7</v>
      </c>
      <c r="N4482" t="s">
        <v>650</v>
      </c>
    </row>
    <row r="4483" spans="1:14" hidden="1" x14ac:dyDescent="0.3">
      <c r="A4483" s="1" t="s">
        <v>2818</v>
      </c>
      <c r="B4483" s="1" t="s">
        <v>2783</v>
      </c>
      <c r="C4483" s="1" t="s">
        <v>2819</v>
      </c>
      <c r="D4483" s="1" t="s">
        <v>1395</v>
      </c>
      <c r="E4483" s="1" t="s">
        <v>1396</v>
      </c>
      <c r="F4483" s="1" t="s">
        <v>1397</v>
      </c>
      <c r="G4483" s="1" t="s">
        <v>2785</v>
      </c>
      <c r="H4483">
        <v>2016</v>
      </c>
      <c r="I4483">
        <v>2017</v>
      </c>
      <c r="J4483">
        <f t="shared" si="138"/>
        <v>2</v>
      </c>
      <c r="K4483" s="34" t="s">
        <v>3665</v>
      </c>
      <c r="L4483" s="34" t="s">
        <v>666</v>
      </c>
      <c r="M4483">
        <f t="shared" si="139"/>
        <v>9</v>
      </c>
      <c r="N4483" t="s">
        <v>650</v>
      </c>
    </row>
    <row r="4484" spans="1:14" hidden="1" x14ac:dyDescent="0.3">
      <c r="A4484" t="s">
        <v>11710</v>
      </c>
      <c r="B4484" t="s">
        <v>2783</v>
      </c>
      <c r="C4484" t="s">
        <v>11711</v>
      </c>
      <c r="E4484" s="1" t="e">
        <v>#N/A</v>
      </c>
      <c r="F4484" s="1" t="e">
        <v>#N/A</v>
      </c>
      <c r="G4484" s="1" t="s">
        <v>12844</v>
      </c>
      <c r="H4484">
        <v>2025</v>
      </c>
      <c r="I4484">
        <v>2026</v>
      </c>
      <c r="J4484">
        <f t="shared" si="138"/>
        <v>2</v>
      </c>
      <c r="K4484" s="34" t="s">
        <v>3665</v>
      </c>
      <c r="L4484" s="34" t="s">
        <v>666</v>
      </c>
      <c r="M4484">
        <f t="shared" si="139"/>
        <v>0</v>
      </c>
    </row>
    <row r="4485" spans="1:14" hidden="1" x14ac:dyDescent="0.3">
      <c r="A4485" s="1" t="s">
        <v>2820</v>
      </c>
      <c r="B4485" s="1" t="s">
        <v>2783</v>
      </c>
      <c r="C4485" s="1" t="s">
        <v>2821</v>
      </c>
      <c r="D4485" s="1" t="s">
        <v>1395</v>
      </c>
      <c r="E4485" s="1" t="s">
        <v>1396</v>
      </c>
      <c r="F4485" s="1" t="s">
        <v>1397</v>
      </c>
      <c r="G4485" s="1" t="s">
        <v>2785</v>
      </c>
      <c r="H4485">
        <v>2022</v>
      </c>
      <c r="I4485">
        <v>2022</v>
      </c>
      <c r="J4485">
        <f t="shared" si="138"/>
        <v>1</v>
      </c>
      <c r="K4485" s="34" t="s">
        <v>3665</v>
      </c>
      <c r="L4485" s="34" t="s">
        <v>666</v>
      </c>
      <c r="M4485">
        <f t="shared" si="139"/>
        <v>4</v>
      </c>
      <c r="N4485" t="s">
        <v>650</v>
      </c>
    </row>
    <row r="4486" spans="1:14" hidden="1" x14ac:dyDescent="0.3">
      <c r="A4486" s="1" t="s">
        <v>2822</v>
      </c>
      <c r="B4486" s="1" t="s">
        <v>2783</v>
      </c>
      <c r="C4486" s="1" t="s">
        <v>2823</v>
      </c>
      <c r="D4486" s="1" t="s">
        <v>1395</v>
      </c>
      <c r="E4486" s="1" t="s">
        <v>1396</v>
      </c>
      <c r="F4486" s="1" t="s">
        <v>1397</v>
      </c>
      <c r="G4486" s="1" t="s">
        <v>2785</v>
      </c>
      <c r="H4486">
        <v>2020</v>
      </c>
      <c r="I4486">
        <v>2022</v>
      </c>
      <c r="J4486">
        <f t="shared" ref="J4486:J4549" si="140">1+(I4486-H4486)</f>
        <v>3</v>
      </c>
      <c r="K4486" s="34" t="s">
        <v>3665</v>
      </c>
      <c r="L4486" s="34" t="s">
        <v>666</v>
      </c>
      <c r="M4486">
        <f t="shared" ref="M4486:M4549" si="141">IF(I4486=0,0,$B$2-I4486)</f>
        <v>4</v>
      </c>
      <c r="N4486" t="s">
        <v>650</v>
      </c>
    </row>
    <row r="4487" spans="1:14" hidden="1" x14ac:dyDescent="0.3">
      <c r="A4487" t="s">
        <v>11712</v>
      </c>
      <c r="B4487" t="s">
        <v>2783</v>
      </c>
      <c r="C4487" t="s">
        <v>11713</v>
      </c>
      <c r="E4487" s="1" t="e">
        <v>#N/A</v>
      </c>
      <c r="F4487" s="1" t="e">
        <v>#N/A</v>
      </c>
      <c r="G4487" s="1" t="s">
        <v>12844</v>
      </c>
      <c r="H4487">
        <v>2023</v>
      </c>
      <c r="I4487">
        <v>2026</v>
      </c>
      <c r="J4487">
        <f t="shared" si="140"/>
        <v>4</v>
      </c>
      <c r="K4487" s="34" t="s">
        <v>3665</v>
      </c>
      <c r="L4487" s="34" t="s">
        <v>666</v>
      </c>
      <c r="M4487">
        <f t="shared" si="141"/>
        <v>0</v>
      </c>
    </row>
    <row r="4488" spans="1:14" hidden="1" x14ac:dyDescent="0.3">
      <c r="A4488" s="1" t="s">
        <v>2824</v>
      </c>
      <c r="B4488" s="1" t="s">
        <v>2783</v>
      </c>
      <c r="C4488" s="1" t="s">
        <v>2825</v>
      </c>
      <c r="D4488" s="1" t="s">
        <v>1395</v>
      </c>
      <c r="E4488" s="1" t="s">
        <v>1396</v>
      </c>
      <c r="F4488" s="1" t="s">
        <v>1397</v>
      </c>
      <c r="G4488" s="1" t="s">
        <v>2785</v>
      </c>
      <c r="H4488">
        <v>2015</v>
      </c>
      <c r="I4488">
        <v>2022</v>
      </c>
      <c r="J4488">
        <f t="shared" si="140"/>
        <v>8</v>
      </c>
      <c r="K4488" s="34" t="s">
        <v>3665</v>
      </c>
      <c r="L4488" s="34" t="s">
        <v>659</v>
      </c>
      <c r="M4488">
        <f t="shared" si="141"/>
        <v>4</v>
      </c>
      <c r="N4488" t="s">
        <v>650</v>
      </c>
    </row>
    <row r="4489" spans="1:14" hidden="1" x14ac:dyDescent="0.3">
      <c r="A4489" s="1" t="s">
        <v>2826</v>
      </c>
      <c r="B4489" s="1" t="s">
        <v>2783</v>
      </c>
      <c r="C4489" s="1" t="s">
        <v>2827</v>
      </c>
      <c r="D4489" s="1" t="s">
        <v>1395</v>
      </c>
      <c r="E4489" s="1" t="s">
        <v>1396</v>
      </c>
      <c r="F4489" s="1" t="s">
        <v>1397</v>
      </c>
      <c r="G4489" s="1" t="s">
        <v>2785</v>
      </c>
      <c r="H4489">
        <v>2022</v>
      </c>
      <c r="I4489">
        <v>2022</v>
      </c>
      <c r="J4489">
        <f t="shared" si="140"/>
        <v>1</v>
      </c>
      <c r="K4489" s="34" t="s">
        <v>3665</v>
      </c>
      <c r="L4489" s="34" t="s">
        <v>659</v>
      </c>
      <c r="M4489">
        <f t="shared" si="141"/>
        <v>4</v>
      </c>
      <c r="N4489" t="s">
        <v>650</v>
      </c>
    </row>
    <row r="4490" spans="1:14" hidden="1" x14ac:dyDescent="0.3">
      <c r="A4490" s="1" t="s">
        <v>2828</v>
      </c>
      <c r="B4490" s="1" t="s">
        <v>2783</v>
      </c>
      <c r="C4490" s="1" t="s">
        <v>2829</v>
      </c>
      <c r="D4490" s="1" t="s">
        <v>1395</v>
      </c>
      <c r="E4490" s="1" t="s">
        <v>1396</v>
      </c>
      <c r="F4490" s="1" t="s">
        <v>1397</v>
      </c>
      <c r="G4490" s="1" t="s">
        <v>2785</v>
      </c>
      <c r="H4490">
        <v>2019</v>
      </c>
      <c r="I4490">
        <v>2019</v>
      </c>
      <c r="J4490">
        <f t="shared" si="140"/>
        <v>1</v>
      </c>
      <c r="K4490" s="34" t="s">
        <v>3665</v>
      </c>
      <c r="L4490" s="34" t="s">
        <v>666</v>
      </c>
      <c r="M4490">
        <f t="shared" si="141"/>
        <v>7</v>
      </c>
      <c r="N4490" t="s">
        <v>650</v>
      </c>
    </row>
    <row r="4491" spans="1:14" hidden="1" x14ac:dyDescent="0.3">
      <c r="A4491" t="s">
        <v>11714</v>
      </c>
      <c r="B4491" t="s">
        <v>2783</v>
      </c>
      <c r="C4491" t="s">
        <v>11715</v>
      </c>
      <c r="E4491" s="1" t="e">
        <v>#N/A</v>
      </c>
      <c r="F4491" s="1" t="e">
        <v>#N/A</v>
      </c>
      <c r="G4491" s="1" t="s">
        <v>12844</v>
      </c>
      <c r="H4491">
        <v>2025</v>
      </c>
      <c r="I4491">
        <v>2026</v>
      </c>
      <c r="J4491">
        <f t="shared" si="140"/>
        <v>2</v>
      </c>
      <c r="K4491" s="34" t="s">
        <v>3665</v>
      </c>
      <c r="L4491" s="34" t="s">
        <v>666</v>
      </c>
      <c r="M4491">
        <f t="shared" si="141"/>
        <v>0</v>
      </c>
    </row>
    <row r="4492" spans="1:14" hidden="1" x14ac:dyDescent="0.3">
      <c r="A4492" s="1" t="s">
        <v>2830</v>
      </c>
      <c r="B4492" s="1" t="s">
        <v>2783</v>
      </c>
      <c r="C4492" s="1" t="s">
        <v>2831</v>
      </c>
      <c r="D4492" s="1" t="s">
        <v>1395</v>
      </c>
      <c r="E4492" s="1" t="s">
        <v>1396</v>
      </c>
      <c r="F4492" s="1" t="s">
        <v>1397</v>
      </c>
      <c r="G4492" s="1" t="s">
        <v>2785</v>
      </c>
      <c r="H4492">
        <v>2016</v>
      </c>
      <c r="I4492">
        <v>2022</v>
      </c>
      <c r="J4492">
        <f t="shared" si="140"/>
        <v>7</v>
      </c>
      <c r="K4492" s="34" t="s">
        <v>3665</v>
      </c>
      <c r="L4492" s="34" t="s">
        <v>666</v>
      </c>
      <c r="M4492">
        <f t="shared" si="141"/>
        <v>4</v>
      </c>
      <c r="N4492" t="s">
        <v>650</v>
      </c>
    </row>
    <row r="4493" spans="1:14" x14ac:dyDescent="0.3">
      <c r="A4493" s="1" t="s">
        <v>9571</v>
      </c>
      <c r="B4493" s="1" t="s">
        <v>2667</v>
      </c>
      <c r="C4493" s="1" t="s">
        <v>9572</v>
      </c>
      <c r="D4493" s="1" t="s">
        <v>746</v>
      </c>
      <c r="E4493" s="1" t="s">
        <v>6076</v>
      </c>
      <c r="F4493" s="1" t="s">
        <v>6076</v>
      </c>
      <c r="G4493" s="1" t="s">
        <v>9573</v>
      </c>
      <c r="H4493">
        <v>2020</v>
      </c>
      <c r="I4493">
        <v>2022</v>
      </c>
      <c r="J4493">
        <f t="shared" si="140"/>
        <v>3</v>
      </c>
      <c r="K4493" s="1" t="s">
        <v>6076</v>
      </c>
      <c r="L4493" s="1" t="s">
        <v>6076</v>
      </c>
      <c r="M4493">
        <f t="shared" si="141"/>
        <v>4</v>
      </c>
      <c r="N4493" t="s">
        <v>650</v>
      </c>
    </row>
    <row r="4494" spans="1:14" x14ac:dyDescent="0.3">
      <c r="A4494" s="1" t="s">
        <v>9574</v>
      </c>
      <c r="B4494" s="1" t="s">
        <v>2667</v>
      </c>
      <c r="C4494" s="1" t="s">
        <v>9575</v>
      </c>
      <c r="D4494" s="1" t="s">
        <v>746</v>
      </c>
      <c r="E4494" s="1" t="s">
        <v>6076</v>
      </c>
      <c r="F4494" s="1" t="s">
        <v>6076</v>
      </c>
      <c r="G4494" s="1" t="s">
        <v>9573</v>
      </c>
      <c r="H4494">
        <v>2020</v>
      </c>
      <c r="I4494">
        <v>2022</v>
      </c>
      <c r="J4494">
        <f t="shared" si="140"/>
        <v>3</v>
      </c>
      <c r="K4494" s="1" t="s">
        <v>6076</v>
      </c>
      <c r="L4494" s="1" t="s">
        <v>6076</v>
      </c>
      <c r="M4494">
        <f t="shared" si="141"/>
        <v>4</v>
      </c>
      <c r="N4494" t="s">
        <v>650</v>
      </c>
    </row>
    <row r="4495" spans="1:14" x14ac:dyDescent="0.3">
      <c r="A4495" s="1" t="s">
        <v>9576</v>
      </c>
      <c r="B4495" s="1" t="s">
        <v>1451</v>
      </c>
      <c r="C4495" s="1" t="s">
        <v>9577</v>
      </c>
      <c r="D4495" s="1" t="s">
        <v>738</v>
      </c>
      <c r="E4495" s="1" t="s">
        <v>6076</v>
      </c>
      <c r="F4495" s="1" t="s">
        <v>6076</v>
      </c>
      <c r="G4495" s="1" t="s">
        <v>9578</v>
      </c>
      <c r="H4495">
        <v>1992</v>
      </c>
      <c r="I4495">
        <v>1996</v>
      </c>
      <c r="J4495">
        <f t="shared" si="140"/>
        <v>5</v>
      </c>
      <c r="K4495" s="1" t="s">
        <v>6076</v>
      </c>
      <c r="L4495" s="1" t="s">
        <v>6076</v>
      </c>
      <c r="M4495">
        <f t="shared" si="141"/>
        <v>30</v>
      </c>
      <c r="N4495" t="s">
        <v>640</v>
      </c>
    </row>
    <row r="4496" spans="1:14" x14ac:dyDescent="0.3">
      <c r="A4496" s="1" t="s">
        <v>9579</v>
      </c>
      <c r="B4496" s="1" t="s">
        <v>1451</v>
      </c>
      <c r="C4496" s="1" t="s">
        <v>9580</v>
      </c>
      <c r="D4496" s="1" t="s">
        <v>738</v>
      </c>
      <c r="E4496" s="1" t="s">
        <v>6076</v>
      </c>
      <c r="F4496" s="1" t="s">
        <v>6076</v>
      </c>
      <c r="G4496" s="1" t="s">
        <v>9578</v>
      </c>
      <c r="H4496">
        <v>1992</v>
      </c>
      <c r="I4496">
        <v>1996</v>
      </c>
      <c r="J4496">
        <f t="shared" si="140"/>
        <v>5</v>
      </c>
      <c r="K4496" s="1" t="s">
        <v>6076</v>
      </c>
      <c r="L4496" s="1" t="s">
        <v>6076</v>
      </c>
      <c r="M4496">
        <f t="shared" si="141"/>
        <v>30</v>
      </c>
      <c r="N4496" t="s">
        <v>640</v>
      </c>
    </row>
    <row r="4497" spans="1:14" x14ac:dyDescent="0.3">
      <c r="A4497" s="1" t="s">
        <v>9581</v>
      </c>
      <c r="B4497" s="1" t="s">
        <v>1451</v>
      </c>
      <c r="C4497" s="1" t="s">
        <v>9582</v>
      </c>
      <c r="D4497" s="1" t="s">
        <v>738</v>
      </c>
      <c r="E4497" s="1" t="s">
        <v>6076</v>
      </c>
      <c r="F4497" s="1" t="s">
        <v>6076</v>
      </c>
      <c r="G4497" s="1" t="s">
        <v>9578</v>
      </c>
      <c r="H4497">
        <v>1992</v>
      </c>
      <c r="I4497">
        <v>1996</v>
      </c>
      <c r="J4497">
        <f t="shared" si="140"/>
        <v>5</v>
      </c>
      <c r="K4497" s="1" t="s">
        <v>6076</v>
      </c>
      <c r="L4497" s="1" t="s">
        <v>6076</v>
      </c>
      <c r="M4497">
        <f t="shared" si="141"/>
        <v>30</v>
      </c>
      <c r="N4497" t="s">
        <v>640</v>
      </c>
    </row>
    <row r="4498" spans="1:14" x14ac:dyDescent="0.3">
      <c r="A4498" s="1" t="s">
        <v>500</v>
      </c>
      <c r="B4498" s="1" t="s">
        <v>5940</v>
      </c>
      <c r="C4498" s="1" t="s">
        <v>501</v>
      </c>
      <c r="D4498" s="1" t="s">
        <v>3850</v>
      </c>
      <c r="E4498" s="1" t="s">
        <v>6076</v>
      </c>
      <c r="F4498" s="1" t="s">
        <v>6076</v>
      </c>
      <c r="G4498" s="1" t="s">
        <v>6383</v>
      </c>
      <c r="H4498">
        <v>2022</v>
      </c>
      <c r="I4498">
        <v>2022</v>
      </c>
      <c r="J4498">
        <f t="shared" si="140"/>
        <v>1</v>
      </c>
      <c r="K4498" s="1" t="s">
        <v>6076</v>
      </c>
      <c r="L4498" s="1" t="s">
        <v>6076</v>
      </c>
      <c r="M4498">
        <f t="shared" si="141"/>
        <v>4</v>
      </c>
    </row>
    <row r="4499" spans="1:14" x14ac:dyDescent="0.3">
      <c r="A4499" s="1" t="s">
        <v>502</v>
      </c>
      <c r="B4499" s="1" t="s">
        <v>5940</v>
      </c>
      <c r="C4499" s="1" t="s">
        <v>503</v>
      </c>
      <c r="D4499" s="1" t="s">
        <v>3850</v>
      </c>
      <c r="E4499" s="1" t="s">
        <v>6076</v>
      </c>
      <c r="F4499" s="1" t="s">
        <v>6076</v>
      </c>
      <c r="G4499" s="1" t="s">
        <v>6383</v>
      </c>
      <c r="H4499">
        <v>2014</v>
      </c>
      <c r="I4499">
        <v>2022</v>
      </c>
      <c r="J4499">
        <f t="shared" si="140"/>
        <v>9</v>
      </c>
      <c r="K4499" s="1" t="s">
        <v>6076</v>
      </c>
      <c r="L4499" s="1" t="s">
        <v>6076</v>
      </c>
      <c r="M4499">
        <f t="shared" si="141"/>
        <v>4</v>
      </c>
    </row>
    <row r="4500" spans="1:14" x14ac:dyDescent="0.3">
      <c r="A4500" s="1" t="s">
        <v>504</v>
      </c>
      <c r="B4500" s="1" t="s">
        <v>5940</v>
      </c>
      <c r="C4500" s="1" t="s">
        <v>505</v>
      </c>
      <c r="D4500" s="1" t="s">
        <v>3850</v>
      </c>
      <c r="E4500" s="1" t="s">
        <v>6076</v>
      </c>
      <c r="F4500" s="1" t="s">
        <v>6076</v>
      </c>
      <c r="G4500" s="1" t="s">
        <v>6383</v>
      </c>
      <c r="H4500">
        <v>2021</v>
      </c>
      <c r="I4500">
        <v>2022</v>
      </c>
      <c r="J4500">
        <f t="shared" si="140"/>
        <v>2</v>
      </c>
      <c r="K4500" s="1" t="s">
        <v>6076</v>
      </c>
      <c r="L4500" s="1" t="s">
        <v>6076</v>
      </c>
      <c r="M4500">
        <f t="shared" si="141"/>
        <v>4</v>
      </c>
    </row>
    <row r="4501" spans="1:14" x14ac:dyDescent="0.3">
      <c r="A4501" s="1" t="s">
        <v>506</v>
      </c>
      <c r="B4501" s="1" t="s">
        <v>5940</v>
      </c>
      <c r="C4501" s="1" t="s">
        <v>507</v>
      </c>
      <c r="D4501" s="1" t="s">
        <v>3850</v>
      </c>
      <c r="E4501" s="1" t="s">
        <v>6076</v>
      </c>
      <c r="F4501" s="1" t="s">
        <v>6076</v>
      </c>
      <c r="G4501" s="1" t="s">
        <v>6383</v>
      </c>
      <c r="H4501">
        <v>2021</v>
      </c>
      <c r="I4501">
        <v>2022</v>
      </c>
      <c r="J4501">
        <f t="shared" si="140"/>
        <v>2</v>
      </c>
      <c r="K4501" s="1" t="s">
        <v>6076</v>
      </c>
      <c r="L4501" s="1" t="s">
        <v>6076</v>
      </c>
      <c r="M4501">
        <f t="shared" si="141"/>
        <v>4</v>
      </c>
    </row>
    <row r="4502" spans="1:14" x14ac:dyDescent="0.3">
      <c r="A4502" t="s">
        <v>508</v>
      </c>
      <c r="B4502" t="s">
        <v>5940</v>
      </c>
      <c r="C4502" t="s">
        <v>509</v>
      </c>
      <c r="E4502" s="1" t="s">
        <v>6076</v>
      </c>
      <c r="F4502" s="1" t="s">
        <v>6076</v>
      </c>
      <c r="G4502" s="1" t="s">
        <v>6383</v>
      </c>
      <c r="H4502">
        <v>2025</v>
      </c>
      <c r="I4502">
        <v>2026</v>
      </c>
      <c r="J4502">
        <f t="shared" si="140"/>
        <v>2</v>
      </c>
      <c r="K4502" s="1" t="s">
        <v>6076</v>
      </c>
      <c r="L4502" s="1" t="s">
        <v>6076</v>
      </c>
      <c r="M4502">
        <f t="shared" si="141"/>
        <v>0</v>
      </c>
    </row>
    <row r="4503" spans="1:14" x14ac:dyDescent="0.3">
      <c r="A4503" s="1" t="s">
        <v>510</v>
      </c>
      <c r="B4503" s="1" t="s">
        <v>5940</v>
      </c>
      <c r="C4503" s="1" t="s">
        <v>511</v>
      </c>
      <c r="D4503" s="1" t="s">
        <v>738</v>
      </c>
      <c r="E4503" s="1" t="s">
        <v>6076</v>
      </c>
      <c r="F4503" s="1" t="s">
        <v>6076</v>
      </c>
      <c r="G4503" s="1" t="s">
        <v>6383</v>
      </c>
      <c r="H4503">
        <v>2017</v>
      </c>
      <c r="I4503">
        <v>2018</v>
      </c>
      <c r="J4503">
        <f t="shared" si="140"/>
        <v>2</v>
      </c>
      <c r="K4503" s="1" t="s">
        <v>6076</v>
      </c>
      <c r="L4503" s="1" t="s">
        <v>6076</v>
      </c>
      <c r="M4503">
        <f t="shared" si="141"/>
        <v>8</v>
      </c>
    </row>
    <row r="4504" spans="1:14" x14ac:dyDescent="0.3">
      <c r="A4504" t="s">
        <v>512</v>
      </c>
      <c r="B4504" t="s">
        <v>5940</v>
      </c>
      <c r="C4504" t="s">
        <v>513</v>
      </c>
      <c r="E4504" s="1" t="s">
        <v>6076</v>
      </c>
      <c r="F4504" s="1" t="s">
        <v>6076</v>
      </c>
      <c r="G4504" s="1" t="s">
        <v>12759</v>
      </c>
      <c r="H4504">
        <v>2025</v>
      </c>
      <c r="I4504">
        <v>2026</v>
      </c>
      <c r="J4504">
        <f t="shared" si="140"/>
        <v>2</v>
      </c>
      <c r="K4504" s="1" t="s">
        <v>6076</v>
      </c>
      <c r="L4504" s="1" t="s">
        <v>6076</v>
      </c>
      <c r="M4504">
        <f t="shared" si="141"/>
        <v>0</v>
      </c>
    </row>
    <row r="4505" spans="1:14" x14ac:dyDescent="0.3">
      <c r="A4505" s="1" t="s">
        <v>514</v>
      </c>
      <c r="B4505" s="1" t="s">
        <v>5940</v>
      </c>
      <c r="C4505" s="1" t="s">
        <v>515</v>
      </c>
      <c r="D4505" s="1" t="s">
        <v>738</v>
      </c>
      <c r="E4505" s="1" t="s">
        <v>6076</v>
      </c>
      <c r="F4505" s="1" t="s">
        <v>6076</v>
      </c>
      <c r="G4505" s="1" t="s">
        <v>6383</v>
      </c>
      <c r="H4505">
        <v>2012</v>
      </c>
      <c r="I4505">
        <v>2018</v>
      </c>
      <c r="J4505">
        <f t="shared" si="140"/>
        <v>7</v>
      </c>
      <c r="K4505" s="1" t="s">
        <v>6076</v>
      </c>
      <c r="L4505" s="1" t="s">
        <v>6076</v>
      </c>
      <c r="M4505">
        <f t="shared" si="141"/>
        <v>8</v>
      </c>
    </row>
    <row r="4506" spans="1:14" x14ac:dyDescent="0.3">
      <c r="A4506" s="1" t="s">
        <v>516</v>
      </c>
      <c r="B4506" s="1" t="s">
        <v>5940</v>
      </c>
      <c r="C4506" s="1" t="s">
        <v>517</v>
      </c>
      <c r="D4506" s="1" t="s">
        <v>738</v>
      </c>
      <c r="E4506" s="1" t="s">
        <v>6076</v>
      </c>
      <c r="F4506" s="1" t="s">
        <v>6076</v>
      </c>
      <c r="G4506" s="1" t="s">
        <v>6383</v>
      </c>
      <c r="H4506">
        <v>2001</v>
      </c>
      <c r="I4506">
        <v>2001</v>
      </c>
      <c r="J4506">
        <f t="shared" si="140"/>
        <v>1</v>
      </c>
      <c r="K4506" s="1" t="s">
        <v>6076</v>
      </c>
      <c r="L4506" s="1" t="s">
        <v>6076</v>
      </c>
      <c r="M4506">
        <f t="shared" si="141"/>
        <v>25</v>
      </c>
    </row>
    <row r="4507" spans="1:14" x14ac:dyDescent="0.3">
      <c r="A4507" s="1" t="s">
        <v>518</v>
      </c>
      <c r="B4507" s="1" t="s">
        <v>5940</v>
      </c>
      <c r="C4507" s="1" t="s">
        <v>519</v>
      </c>
      <c r="D4507" s="1" t="s">
        <v>738</v>
      </c>
      <c r="E4507" s="1" t="s">
        <v>6076</v>
      </c>
      <c r="F4507" s="1" t="s">
        <v>6076</v>
      </c>
      <c r="G4507" s="1" t="s">
        <v>6383</v>
      </c>
      <c r="H4507">
        <v>2019</v>
      </c>
      <c r="I4507">
        <v>2022</v>
      </c>
      <c r="J4507">
        <f t="shared" si="140"/>
        <v>4</v>
      </c>
      <c r="K4507" s="1" t="s">
        <v>6076</v>
      </c>
      <c r="L4507" s="1" t="s">
        <v>6076</v>
      </c>
      <c r="M4507">
        <f t="shared" si="141"/>
        <v>4</v>
      </c>
    </row>
    <row r="4508" spans="1:14" x14ac:dyDescent="0.3">
      <c r="A4508" s="1" t="s">
        <v>520</v>
      </c>
      <c r="B4508" s="1" t="s">
        <v>5940</v>
      </c>
      <c r="C4508" s="1" t="s">
        <v>521</v>
      </c>
      <c r="D4508" s="1" t="s">
        <v>738</v>
      </c>
      <c r="E4508" s="1" t="s">
        <v>6076</v>
      </c>
      <c r="F4508" s="1" t="s">
        <v>6076</v>
      </c>
      <c r="G4508" s="1" t="s">
        <v>6383</v>
      </c>
      <c r="H4508">
        <v>2013</v>
      </c>
      <c r="I4508">
        <v>2015</v>
      </c>
      <c r="J4508">
        <f t="shared" si="140"/>
        <v>3</v>
      </c>
      <c r="K4508" s="1" t="s">
        <v>6076</v>
      </c>
      <c r="L4508" s="1" t="s">
        <v>6076</v>
      </c>
      <c r="M4508">
        <f t="shared" si="141"/>
        <v>11</v>
      </c>
    </row>
    <row r="4509" spans="1:14" x14ac:dyDescent="0.3">
      <c r="A4509" s="1" t="s">
        <v>522</v>
      </c>
      <c r="B4509" s="1" t="s">
        <v>5940</v>
      </c>
      <c r="C4509" s="1" t="s">
        <v>523</v>
      </c>
      <c r="D4509" s="1" t="s">
        <v>738</v>
      </c>
      <c r="E4509" s="1" t="s">
        <v>6076</v>
      </c>
      <c r="F4509" s="1" t="s">
        <v>6076</v>
      </c>
      <c r="G4509" s="1" t="s">
        <v>6383</v>
      </c>
      <c r="H4509">
        <v>2011</v>
      </c>
      <c r="I4509">
        <v>2015</v>
      </c>
      <c r="J4509">
        <f t="shared" si="140"/>
        <v>5</v>
      </c>
      <c r="K4509" s="1" t="s">
        <v>6076</v>
      </c>
      <c r="L4509" s="1" t="s">
        <v>6076</v>
      </c>
      <c r="M4509">
        <f t="shared" si="141"/>
        <v>11</v>
      </c>
    </row>
    <row r="4510" spans="1:14" x14ac:dyDescent="0.3">
      <c r="A4510" s="1" t="s">
        <v>524</v>
      </c>
      <c r="B4510" s="1" t="s">
        <v>5940</v>
      </c>
      <c r="C4510" s="1" t="s">
        <v>525</v>
      </c>
      <c r="D4510" s="1" t="s">
        <v>3850</v>
      </c>
      <c r="E4510" s="1" t="s">
        <v>6076</v>
      </c>
      <c r="F4510" s="1" t="s">
        <v>6076</v>
      </c>
      <c r="G4510" s="1" t="s">
        <v>6383</v>
      </c>
      <c r="H4510">
        <v>2019</v>
      </c>
      <c r="I4510">
        <v>2019</v>
      </c>
      <c r="J4510">
        <f t="shared" si="140"/>
        <v>1</v>
      </c>
      <c r="K4510" s="1" t="s">
        <v>6076</v>
      </c>
      <c r="L4510" s="1" t="s">
        <v>6076</v>
      </c>
      <c r="M4510">
        <f t="shared" si="141"/>
        <v>7</v>
      </c>
    </row>
    <row r="4511" spans="1:14" x14ac:dyDescent="0.3">
      <c r="A4511" t="s">
        <v>526</v>
      </c>
      <c r="B4511" t="s">
        <v>5940</v>
      </c>
      <c r="C4511" t="s">
        <v>527</v>
      </c>
      <c r="E4511" s="1" t="s">
        <v>6076</v>
      </c>
      <c r="F4511" s="1" t="s">
        <v>6076</v>
      </c>
      <c r="G4511" s="1" t="s">
        <v>12760</v>
      </c>
      <c r="H4511">
        <v>2023</v>
      </c>
      <c r="I4511">
        <v>2026</v>
      </c>
      <c r="J4511">
        <f t="shared" si="140"/>
        <v>4</v>
      </c>
      <c r="K4511" s="1" t="s">
        <v>6076</v>
      </c>
      <c r="L4511" s="1" t="s">
        <v>6076</v>
      </c>
      <c r="M4511">
        <f t="shared" si="141"/>
        <v>0</v>
      </c>
    </row>
    <row r="4512" spans="1:14" x14ac:dyDescent="0.3">
      <c r="A4512" t="s">
        <v>528</v>
      </c>
      <c r="B4512" t="s">
        <v>5940</v>
      </c>
      <c r="C4512" t="s">
        <v>529</v>
      </c>
      <c r="E4512" s="1" t="s">
        <v>6076</v>
      </c>
      <c r="F4512" s="1" t="s">
        <v>6076</v>
      </c>
      <c r="G4512" s="1" t="s">
        <v>12760</v>
      </c>
      <c r="H4512">
        <v>2023</v>
      </c>
      <c r="I4512">
        <v>2026</v>
      </c>
      <c r="J4512">
        <f t="shared" si="140"/>
        <v>4</v>
      </c>
      <c r="K4512" s="1" t="s">
        <v>6076</v>
      </c>
      <c r="L4512" s="1" t="s">
        <v>6076</v>
      </c>
      <c r="M4512">
        <f t="shared" si="141"/>
        <v>0</v>
      </c>
    </row>
    <row r="4513" spans="1:14" x14ac:dyDescent="0.3">
      <c r="A4513" s="1" t="s">
        <v>530</v>
      </c>
      <c r="B4513" s="1" t="s">
        <v>5940</v>
      </c>
      <c r="C4513" s="1" t="s">
        <v>531</v>
      </c>
      <c r="D4513" s="1" t="s">
        <v>3850</v>
      </c>
      <c r="E4513" s="1" t="s">
        <v>6076</v>
      </c>
      <c r="F4513" s="1" t="s">
        <v>6076</v>
      </c>
      <c r="G4513" s="1" t="s">
        <v>6383</v>
      </c>
      <c r="H4513">
        <v>2019</v>
      </c>
      <c r="I4513">
        <v>2022</v>
      </c>
      <c r="J4513">
        <f t="shared" si="140"/>
        <v>4</v>
      </c>
      <c r="K4513" s="1" t="s">
        <v>6076</v>
      </c>
      <c r="L4513" s="1" t="s">
        <v>6076</v>
      </c>
      <c r="M4513">
        <f t="shared" si="141"/>
        <v>4</v>
      </c>
    </row>
    <row r="4514" spans="1:14" x14ac:dyDescent="0.3">
      <c r="A4514" s="1" t="s">
        <v>532</v>
      </c>
      <c r="B4514" s="1" t="s">
        <v>5940</v>
      </c>
      <c r="C4514" s="1" t="s">
        <v>9583</v>
      </c>
      <c r="D4514" s="1" t="s">
        <v>738</v>
      </c>
      <c r="E4514" s="1" t="s">
        <v>6076</v>
      </c>
      <c r="F4514" s="1" t="s">
        <v>6076</v>
      </c>
      <c r="G4514" s="1" t="s">
        <v>6383</v>
      </c>
      <c r="H4514">
        <v>2014</v>
      </c>
      <c r="I4514">
        <v>2022</v>
      </c>
      <c r="J4514">
        <f t="shared" si="140"/>
        <v>9</v>
      </c>
      <c r="K4514" s="1" t="s">
        <v>6076</v>
      </c>
      <c r="L4514" s="1" t="s">
        <v>6076</v>
      </c>
      <c r="M4514">
        <f t="shared" si="141"/>
        <v>4</v>
      </c>
    </row>
    <row r="4515" spans="1:14" x14ac:dyDescent="0.3">
      <c r="A4515" t="s">
        <v>533</v>
      </c>
      <c r="B4515" t="s">
        <v>5940</v>
      </c>
      <c r="C4515" t="s">
        <v>534</v>
      </c>
      <c r="E4515" s="1" t="s">
        <v>6076</v>
      </c>
      <c r="F4515" s="1" t="s">
        <v>6076</v>
      </c>
      <c r="G4515" s="1" t="s">
        <v>12761</v>
      </c>
      <c r="H4515">
        <v>2024</v>
      </c>
      <c r="I4515">
        <v>2026</v>
      </c>
      <c r="J4515">
        <f t="shared" si="140"/>
        <v>3</v>
      </c>
      <c r="K4515" s="1" t="s">
        <v>6076</v>
      </c>
      <c r="L4515" s="1" t="s">
        <v>6076</v>
      </c>
      <c r="M4515">
        <f t="shared" si="141"/>
        <v>0</v>
      </c>
    </row>
    <row r="4516" spans="1:14" x14ac:dyDescent="0.3">
      <c r="A4516" s="1" t="s">
        <v>535</v>
      </c>
      <c r="B4516" s="1" t="s">
        <v>5940</v>
      </c>
      <c r="C4516" s="1" t="s">
        <v>536</v>
      </c>
      <c r="D4516" s="1" t="s">
        <v>738</v>
      </c>
      <c r="E4516" s="1" t="s">
        <v>6076</v>
      </c>
      <c r="F4516" s="1" t="s">
        <v>6076</v>
      </c>
      <c r="G4516" s="1" t="s">
        <v>6383</v>
      </c>
      <c r="H4516">
        <v>2003</v>
      </c>
      <c r="I4516">
        <v>2004</v>
      </c>
      <c r="J4516">
        <f t="shared" si="140"/>
        <v>2</v>
      </c>
      <c r="K4516" s="1" t="s">
        <v>6076</v>
      </c>
      <c r="L4516" s="1" t="s">
        <v>6076</v>
      </c>
      <c r="M4516">
        <f t="shared" si="141"/>
        <v>22</v>
      </c>
    </row>
    <row r="4517" spans="1:14" x14ac:dyDescent="0.3">
      <c r="A4517" s="1" t="s">
        <v>537</v>
      </c>
      <c r="B4517" s="1" t="s">
        <v>5940</v>
      </c>
      <c r="C4517" s="1" t="s">
        <v>538</v>
      </c>
      <c r="D4517" s="1" t="s">
        <v>738</v>
      </c>
      <c r="E4517" s="1" t="s">
        <v>6076</v>
      </c>
      <c r="F4517" s="1" t="s">
        <v>6076</v>
      </c>
      <c r="G4517" s="1" t="s">
        <v>6383</v>
      </c>
      <c r="H4517">
        <v>2003</v>
      </c>
      <c r="I4517">
        <v>2004</v>
      </c>
      <c r="J4517">
        <f t="shared" si="140"/>
        <v>2</v>
      </c>
      <c r="K4517" s="1" t="s">
        <v>6076</v>
      </c>
      <c r="L4517" s="1" t="s">
        <v>6076</v>
      </c>
      <c r="M4517">
        <f t="shared" si="141"/>
        <v>22</v>
      </c>
    </row>
    <row r="4518" spans="1:14" x14ac:dyDescent="0.3">
      <c r="A4518" s="1" t="s">
        <v>539</v>
      </c>
      <c r="B4518" s="1" t="s">
        <v>5940</v>
      </c>
      <c r="C4518" s="1" t="s">
        <v>540</v>
      </c>
      <c r="D4518" s="1" t="s">
        <v>738</v>
      </c>
      <c r="E4518" s="1" t="s">
        <v>6076</v>
      </c>
      <c r="F4518" s="1" t="s">
        <v>6076</v>
      </c>
      <c r="G4518" s="1" t="s">
        <v>6383</v>
      </c>
      <c r="H4518">
        <v>2010</v>
      </c>
      <c r="I4518">
        <v>2011</v>
      </c>
      <c r="J4518">
        <f t="shared" si="140"/>
        <v>2</v>
      </c>
      <c r="K4518" s="1" t="s">
        <v>6076</v>
      </c>
      <c r="L4518" s="1" t="s">
        <v>6076</v>
      </c>
      <c r="M4518">
        <f t="shared" si="141"/>
        <v>15</v>
      </c>
    </row>
    <row r="4519" spans="1:14" x14ac:dyDescent="0.3">
      <c r="A4519" s="1" t="s">
        <v>541</v>
      </c>
      <c r="B4519" s="1" t="s">
        <v>5940</v>
      </c>
      <c r="C4519" s="1" t="s">
        <v>542</v>
      </c>
      <c r="D4519" s="1" t="s">
        <v>738</v>
      </c>
      <c r="E4519" s="1" t="s">
        <v>6076</v>
      </c>
      <c r="F4519" s="1" t="s">
        <v>6076</v>
      </c>
      <c r="G4519" s="1" t="s">
        <v>6383</v>
      </c>
      <c r="H4519">
        <v>2010</v>
      </c>
      <c r="I4519">
        <v>2011</v>
      </c>
      <c r="J4519">
        <f t="shared" si="140"/>
        <v>2</v>
      </c>
      <c r="K4519" s="1" t="s">
        <v>6076</v>
      </c>
      <c r="L4519" s="1" t="s">
        <v>6076</v>
      </c>
      <c r="M4519">
        <f t="shared" si="141"/>
        <v>15</v>
      </c>
    </row>
    <row r="4520" spans="1:14" x14ac:dyDescent="0.3">
      <c r="A4520" s="1" t="s">
        <v>543</v>
      </c>
      <c r="B4520" s="1" t="s">
        <v>5940</v>
      </c>
      <c r="C4520" s="1" t="s">
        <v>544</v>
      </c>
      <c r="D4520" s="1" t="s">
        <v>3850</v>
      </c>
      <c r="E4520" s="1" t="s">
        <v>6076</v>
      </c>
      <c r="F4520" s="1" t="s">
        <v>6076</v>
      </c>
      <c r="G4520" s="1" t="s">
        <v>6383</v>
      </c>
      <c r="H4520">
        <v>2014</v>
      </c>
      <c r="I4520">
        <v>2022</v>
      </c>
      <c r="J4520">
        <f t="shared" si="140"/>
        <v>9</v>
      </c>
      <c r="K4520" s="1" t="s">
        <v>6076</v>
      </c>
      <c r="L4520" s="1" t="s">
        <v>6076</v>
      </c>
      <c r="M4520">
        <f t="shared" si="141"/>
        <v>4</v>
      </c>
    </row>
    <row r="4521" spans="1:14" x14ac:dyDescent="0.3">
      <c r="A4521" s="1" t="s">
        <v>545</v>
      </c>
      <c r="B4521" s="1" t="s">
        <v>5940</v>
      </c>
      <c r="C4521" s="1" t="s">
        <v>546</v>
      </c>
      <c r="D4521" s="1" t="s">
        <v>1395</v>
      </c>
      <c r="E4521" s="1" t="s">
        <v>6076</v>
      </c>
      <c r="F4521" s="1" t="s">
        <v>6076</v>
      </c>
      <c r="G4521" s="1" t="s">
        <v>9584</v>
      </c>
      <c r="H4521">
        <v>2014</v>
      </c>
      <c r="I4521">
        <v>2022</v>
      </c>
      <c r="J4521">
        <f t="shared" si="140"/>
        <v>9</v>
      </c>
      <c r="K4521" s="1" t="s">
        <v>6076</v>
      </c>
      <c r="L4521" s="1" t="s">
        <v>6076</v>
      </c>
      <c r="M4521">
        <f t="shared" si="141"/>
        <v>4</v>
      </c>
    </row>
    <row r="4522" spans="1:14" x14ac:dyDescent="0.3">
      <c r="A4522" s="1" t="s">
        <v>7402</v>
      </c>
      <c r="B4522" s="1" t="s">
        <v>795</v>
      </c>
      <c r="C4522" s="1" t="s">
        <v>7403</v>
      </c>
      <c r="D4522" s="1" t="s">
        <v>1395</v>
      </c>
      <c r="E4522" s="1" t="s">
        <v>6076</v>
      </c>
      <c r="F4522" s="1" t="s">
        <v>6076</v>
      </c>
      <c r="G4522" s="1" t="s">
        <v>4089</v>
      </c>
      <c r="H4522">
        <v>2001</v>
      </c>
      <c r="I4522">
        <v>2004</v>
      </c>
      <c r="J4522">
        <f t="shared" si="140"/>
        <v>4</v>
      </c>
      <c r="K4522" s="1" t="s">
        <v>6076</v>
      </c>
      <c r="L4522" s="1" t="s">
        <v>6076</v>
      </c>
      <c r="M4522">
        <f t="shared" si="141"/>
        <v>22</v>
      </c>
      <c r="N4522" t="s">
        <v>640</v>
      </c>
    </row>
    <row r="4523" spans="1:14" x14ac:dyDescent="0.3">
      <c r="A4523" s="1" t="s">
        <v>7406</v>
      </c>
      <c r="B4523" s="1" t="s">
        <v>795</v>
      </c>
      <c r="C4523" s="1" t="s">
        <v>7407</v>
      </c>
      <c r="D4523" s="1" t="s">
        <v>1395</v>
      </c>
      <c r="E4523" s="1" t="s">
        <v>6076</v>
      </c>
      <c r="F4523" s="1" t="s">
        <v>6076</v>
      </c>
      <c r="G4523" s="1" t="s">
        <v>4089</v>
      </c>
      <c r="H4523">
        <v>1998</v>
      </c>
      <c r="I4523">
        <v>2003</v>
      </c>
      <c r="J4523">
        <f t="shared" si="140"/>
        <v>6</v>
      </c>
      <c r="K4523" s="1" t="s">
        <v>6076</v>
      </c>
      <c r="L4523" s="1" t="s">
        <v>6076</v>
      </c>
      <c r="M4523">
        <f t="shared" si="141"/>
        <v>23</v>
      </c>
      <c r="N4523" t="s">
        <v>640</v>
      </c>
    </row>
    <row r="4524" spans="1:14" hidden="1" x14ac:dyDescent="0.3">
      <c r="A4524" s="1" t="s">
        <v>4918</v>
      </c>
      <c r="B4524" s="1" t="s">
        <v>795</v>
      </c>
      <c r="C4524" s="1" t="s">
        <v>4919</v>
      </c>
      <c r="D4524" s="1" t="s">
        <v>1395</v>
      </c>
      <c r="E4524" s="1" t="s">
        <v>3905</v>
      </c>
      <c r="F4524" s="1" t="s">
        <v>3906</v>
      </c>
      <c r="G4524" s="1" t="s">
        <v>4089</v>
      </c>
      <c r="H4524">
        <v>2005</v>
      </c>
      <c r="I4524">
        <v>2011</v>
      </c>
      <c r="J4524">
        <f t="shared" si="140"/>
        <v>7</v>
      </c>
      <c r="K4524" s="1" t="s">
        <v>4668</v>
      </c>
      <c r="L4524" s="1" t="s">
        <v>649</v>
      </c>
      <c r="M4524">
        <f t="shared" si="141"/>
        <v>15</v>
      </c>
      <c r="N4524" t="s">
        <v>650</v>
      </c>
    </row>
    <row r="4525" spans="1:14" hidden="1" x14ac:dyDescent="0.3">
      <c r="A4525" s="1" t="s">
        <v>5079</v>
      </c>
      <c r="B4525" s="1" t="s">
        <v>795</v>
      </c>
      <c r="C4525" s="1" t="s">
        <v>5080</v>
      </c>
      <c r="D4525" s="1" t="s">
        <v>1395</v>
      </c>
      <c r="E4525" s="1" t="s">
        <v>3905</v>
      </c>
      <c r="F4525" s="1" t="s">
        <v>3906</v>
      </c>
      <c r="G4525" s="1" t="s">
        <v>4089</v>
      </c>
      <c r="H4525">
        <v>2005</v>
      </c>
      <c r="I4525">
        <v>2009</v>
      </c>
      <c r="J4525">
        <f t="shared" si="140"/>
        <v>5</v>
      </c>
      <c r="K4525" s="1" t="s">
        <v>4668</v>
      </c>
      <c r="L4525" s="1" t="s">
        <v>649</v>
      </c>
      <c r="M4525">
        <f t="shared" si="141"/>
        <v>17</v>
      </c>
      <c r="N4525" t="s">
        <v>650</v>
      </c>
    </row>
    <row r="4526" spans="1:14" hidden="1" x14ac:dyDescent="0.3">
      <c r="A4526" s="1" t="s">
        <v>5075</v>
      </c>
      <c r="B4526" s="1" t="s">
        <v>795</v>
      </c>
      <c r="C4526" s="1" t="s">
        <v>5076</v>
      </c>
      <c r="D4526" s="1" t="s">
        <v>1395</v>
      </c>
      <c r="E4526" s="1" t="s">
        <v>3905</v>
      </c>
      <c r="F4526" s="1" t="s">
        <v>3906</v>
      </c>
      <c r="G4526" s="1" t="s">
        <v>4089</v>
      </c>
      <c r="H4526">
        <v>2005</v>
      </c>
      <c r="I4526">
        <v>2010</v>
      </c>
      <c r="J4526">
        <f t="shared" si="140"/>
        <v>6</v>
      </c>
      <c r="K4526" s="1" t="s">
        <v>4668</v>
      </c>
      <c r="L4526" s="1" t="s">
        <v>649</v>
      </c>
      <c r="M4526">
        <f t="shared" si="141"/>
        <v>16</v>
      </c>
      <c r="N4526" t="s">
        <v>650</v>
      </c>
    </row>
    <row r="4527" spans="1:14" x14ac:dyDescent="0.3">
      <c r="A4527" s="1" t="s">
        <v>7416</v>
      </c>
      <c r="B4527" s="1" t="s">
        <v>795</v>
      </c>
      <c r="C4527" s="1" t="s">
        <v>7417</v>
      </c>
      <c r="D4527" s="1" t="s">
        <v>1395</v>
      </c>
      <c r="E4527" s="1" t="s">
        <v>6076</v>
      </c>
      <c r="F4527" s="1" t="s">
        <v>6076</v>
      </c>
      <c r="G4527" s="1" t="s">
        <v>4089</v>
      </c>
      <c r="H4527">
        <v>1996</v>
      </c>
      <c r="I4527">
        <v>1999</v>
      </c>
      <c r="J4527">
        <f t="shared" si="140"/>
        <v>4</v>
      </c>
      <c r="K4527" s="1" t="s">
        <v>6076</v>
      </c>
      <c r="L4527" s="1" t="s">
        <v>6076</v>
      </c>
      <c r="M4527">
        <f t="shared" si="141"/>
        <v>27</v>
      </c>
      <c r="N4527" t="s">
        <v>640</v>
      </c>
    </row>
    <row r="4528" spans="1:14" x14ac:dyDescent="0.3">
      <c r="A4528" s="1" t="s">
        <v>7400</v>
      </c>
      <c r="B4528" s="1" t="s">
        <v>795</v>
      </c>
      <c r="C4528" s="1" t="s">
        <v>7401</v>
      </c>
      <c r="D4528" s="1" t="s">
        <v>1395</v>
      </c>
      <c r="E4528" s="1" t="s">
        <v>6076</v>
      </c>
      <c r="F4528" s="1" t="s">
        <v>6076</v>
      </c>
      <c r="G4528" s="1" t="s">
        <v>4089</v>
      </c>
      <c r="H4528">
        <v>2004</v>
      </c>
      <c r="I4528">
        <v>2004</v>
      </c>
      <c r="J4528">
        <f t="shared" si="140"/>
        <v>1</v>
      </c>
      <c r="K4528" s="1" t="s">
        <v>6076</v>
      </c>
      <c r="L4528" s="1" t="s">
        <v>6076</v>
      </c>
      <c r="M4528">
        <f t="shared" si="141"/>
        <v>22</v>
      </c>
      <c r="N4528" t="s">
        <v>640</v>
      </c>
    </row>
    <row r="4529" spans="1:14" x14ac:dyDescent="0.3">
      <c r="A4529" s="1" t="s">
        <v>7412</v>
      </c>
      <c r="B4529" s="1" t="s">
        <v>795</v>
      </c>
      <c r="C4529" s="1" t="s">
        <v>7413</v>
      </c>
      <c r="D4529" s="1" t="s">
        <v>1395</v>
      </c>
      <c r="E4529" s="1" t="s">
        <v>6076</v>
      </c>
      <c r="F4529" s="1" t="s">
        <v>6076</v>
      </c>
      <c r="G4529" s="1" t="s">
        <v>4089</v>
      </c>
      <c r="H4529">
        <v>1996</v>
      </c>
      <c r="I4529">
        <v>2000</v>
      </c>
      <c r="J4529">
        <f t="shared" si="140"/>
        <v>5</v>
      </c>
      <c r="K4529" s="1" t="s">
        <v>6076</v>
      </c>
      <c r="L4529" s="1" t="s">
        <v>6076</v>
      </c>
      <c r="M4529">
        <f t="shared" si="141"/>
        <v>26</v>
      </c>
      <c r="N4529" t="s">
        <v>640</v>
      </c>
    </row>
    <row r="4530" spans="1:14" x14ac:dyDescent="0.3">
      <c r="A4530" s="1" t="s">
        <v>7398</v>
      </c>
      <c r="B4530" s="1" t="s">
        <v>795</v>
      </c>
      <c r="C4530" s="1" t="s">
        <v>7399</v>
      </c>
      <c r="D4530" s="1" t="s">
        <v>1395</v>
      </c>
      <c r="E4530" s="1" t="s">
        <v>6076</v>
      </c>
      <c r="F4530" s="1" t="s">
        <v>6076</v>
      </c>
      <c r="G4530" s="1" t="s">
        <v>4089</v>
      </c>
      <c r="H4530">
        <v>2000</v>
      </c>
      <c r="I4530">
        <v>2005</v>
      </c>
      <c r="J4530">
        <f t="shared" si="140"/>
        <v>6</v>
      </c>
      <c r="K4530" s="1" t="s">
        <v>6076</v>
      </c>
      <c r="L4530" s="1" t="s">
        <v>6076</v>
      </c>
      <c r="M4530">
        <f t="shared" si="141"/>
        <v>21</v>
      </c>
      <c r="N4530" t="s">
        <v>640</v>
      </c>
    </row>
    <row r="4531" spans="1:14" x14ac:dyDescent="0.3">
      <c r="A4531" s="1" t="s">
        <v>7422</v>
      </c>
      <c r="B4531" s="1" t="s">
        <v>795</v>
      </c>
      <c r="C4531" s="1" t="s">
        <v>7423</v>
      </c>
      <c r="D4531" s="1" t="s">
        <v>1395</v>
      </c>
      <c r="E4531" s="1" t="s">
        <v>6076</v>
      </c>
      <c r="F4531" s="1" t="s">
        <v>6076</v>
      </c>
      <c r="G4531" s="1" t="s">
        <v>4089</v>
      </c>
      <c r="H4531">
        <v>1994</v>
      </c>
      <c r="I4531">
        <v>1995</v>
      </c>
      <c r="J4531">
        <f t="shared" si="140"/>
        <v>2</v>
      </c>
      <c r="K4531" s="1" t="s">
        <v>6076</v>
      </c>
      <c r="L4531" s="1" t="s">
        <v>6076</v>
      </c>
      <c r="M4531">
        <f t="shared" si="141"/>
        <v>31</v>
      </c>
      <c r="N4531" t="s">
        <v>640</v>
      </c>
    </row>
    <row r="4532" spans="1:14" x14ac:dyDescent="0.3">
      <c r="A4532" s="1" t="s">
        <v>7408</v>
      </c>
      <c r="B4532" s="1" t="s">
        <v>795</v>
      </c>
      <c r="C4532" s="1" t="s">
        <v>7409</v>
      </c>
      <c r="D4532" s="1" t="s">
        <v>1395</v>
      </c>
      <c r="E4532" s="1" t="s">
        <v>6076</v>
      </c>
      <c r="F4532" s="1" t="s">
        <v>6076</v>
      </c>
      <c r="G4532" s="1" t="s">
        <v>4089</v>
      </c>
      <c r="H4532">
        <v>2002</v>
      </c>
      <c r="I4532">
        <v>2002</v>
      </c>
      <c r="J4532">
        <f t="shared" si="140"/>
        <v>1</v>
      </c>
      <c r="K4532" s="1" t="s">
        <v>6076</v>
      </c>
      <c r="L4532" s="1" t="s">
        <v>6076</v>
      </c>
      <c r="M4532">
        <f t="shared" si="141"/>
        <v>24</v>
      </c>
      <c r="N4532" t="s">
        <v>640</v>
      </c>
    </row>
    <row r="4533" spans="1:14" hidden="1" x14ac:dyDescent="0.3">
      <c r="A4533" s="1" t="s">
        <v>5077</v>
      </c>
      <c r="B4533" s="1" t="s">
        <v>795</v>
      </c>
      <c r="C4533" s="1" t="s">
        <v>5078</v>
      </c>
      <c r="D4533" s="1" t="s">
        <v>1395</v>
      </c>
      <c r="E4533" s="1" t="s">
        <v>3905</v>
      </c>
      <c r="F4533" s="1" t="s">
        <v>3906</v>
      </c>
      <c r="G4533" s="1" t="s">
        <v>4089</v>
      </c>
      <c r="H4533">
        <v>2004</v>
      </c>
      <c r="I4533">
        <v>2010</v>
      </c>
      <c r="J4533">
        <f t="shared" si="140"/>
        <v>7</v>
      </c>
      <c r="K4533" s="1" t="s">
        <v>4668</v>
      </c>
      <c r="L4533" s="1" t="s">
        <v>649</v>
      </c>
      <c r="M4533">
        <f t="shared" si="141"/>
        <v>16</v>
      </c>
      <c r="N4533" t="s">
        <v>650</v>
      </c>
    </row>
    <row r="4534" spans="1:14" x14ac:dyDescent="0.3">
      <c r="A4534" s="1" t="s">
        <v>7404</v>
      </c>
      <c r="B4534" s="1" t="s">
        <v>795</v>
      </c>
      <c r="C4534" s="1" t="s">
        <v>7405</v>
      </c>
      <c r="D4534" s="1" t="s">
        <v>1395</v>
      </c>
      <c r="E4534" s="1" t="s">
        <v>6076</v>
      </c>
      <c r="F4534" s="1" t="s">
        <v>6076</v>
      </c>
      <c r="G4534" s="1" t="s">
        <v>4089</v>
      </c>
      <c r="H4534">
        <v>1997</v>
      </c>
      <c r="I4534">
        <v>2004</v>
      </c>
      <c r="J4534">
        <f t="shared" si="140"/>
        <v>8</v>
      </c>
      <c r="K4534" s="1" t="s">
        <v>6076</v>
      </c>
      <c r="L4534" s="1" t="s">
        <v>6076</v>
      </c>
      <c r="M4534">
        <f t="shared" si="141"/>
        <v>22</v>
      </c>
      <c r="N4534" t="s">
        <v>640</v>
      </c>
    </row>
    <row r="4535" spans="1:14" x14ac:dyDescent="0.3">
      <c r="A4535" s="1" t="s">
        <v>7414</v>
      </c>
      <c r="B4535" s="1" t="s">
        <v>795</v>
      </c>
      <c r="C4535" s="1" t="s">
        <v>7415</v>
      </c>
      <c r="D4535" s="1" t="s">
        <v>1395</v>
      </c>
      <c r="E4535" s="1" t="s">
        <v>6076</v>
      </c>
      <c r="F4535" s="1" t="s">
        <v>6076</v>
      </c>
      <c r="G4535" s="1" t="s">
        <v>4089</v>
      </c>
      <c r="H4535">
        <v>1996</v>
      </c>
      <c r="I4535">
        <v>2000</v>
      </c>
      <c r="J4535">
        <f t="shared" si="140"/>
        <v>5</v>
      </c>
      <c r="K4535" s="1" t="s">
        <v>6076</v>
      </c>
      <c r="L4535" s="1" t="s">
        <v>6076</v>
      </c>
      <c r="M4535">
        <f t="shared" si="141"/>
        <v>26</v>
      </c>
      <c r="N4535" t="s">
        <v>640</v>
      </c>
    </row>
    <row r="4536" spans="1:14" x14ac:dyDescent="0.3">
      <c r="A4536" s="1" t="s">
        <v>7410</v>
      </c>
      <c r="B4536" s="1" t="s">
        <v>795</v>
      </c>
      <c r="C4536" s="1" t="s">
        <v>7411</v>
      </c>
      <c r="D4536" s="1" t="s">
        <v>1395</v>
      </c>
      <c r="E4536" s="1" t="s">
        <v>6076</v>
      </c>
      <c r="F4536" s="1" t="s">
        <v>6076</v>
      </c>
      <c r="G4536" s="1" t="s">
        <v>4089</v>
      </c>
      <c r="H4536">
        <v>1997</v>
      </c>
      <c r="I4536">
        <v>2000</v>
      </c>
      <c r="J4536">
        <f t="shared" si="140"/>
        <v>4</v>
      </c>
      <c r="K4536" s="1" t="s">
        <v>6076</v>
      </c>
      <c r="L4536" s="1" t="s">
        <v>6076</v>
      </c>
      <c r="M4536">
        <f t="shared" si="141"/>
        <v>26</v>
      </c>
      <c r="N4536" t="s">
        <v>640</v>
      </c>
    </row>
    <row r="4537" spans="1:14" hidden="1" x14ac:dyDescent="0.3">
      <c r="A4537" s="1" t="s">
        <v>5081</v>
      </c>
      <c r="B4537" s="1" t="s">
        <v>795</v>
      </c>
      <c r="C4537" s="1" t="s">
        <v>5082</v>
      </c>
      <c r="D4537" s="1" t="s">
        <v>1395</v>
      </c>
      <c r="E4537" s="1" t="s">
        <v>3905</v>
      </c>
      <c r="F4537" s="1" t="s">
        <v>3906</v>
      </c>
      <c r="G4537" s="1" t="s">
        <v>4089</v>
      </c>
      <c r="H4537">
        <v>2005</v>
      </c>
      <c r="I4537">
        <v>2007</v>
      </c>
      <c r="J4537">
        <f t="shared" si="140"/>
        <v>3</v>
      </c>
      <c r="K4537" s="1" t="s">
        <v>4668</v>
      </c>
      <c r="L4537" s="1" t="s">
        <v>649</v>
      </c>
      <c r="M4537">
        <f t="shared" si="141"/>
        <v>19</v>
      </c>
      <c r="N4537" t="s">
        <v>650</v>
      </c>
    </row>
    <row r="4538" spans="1:14" hidden="1" x14ac:dyDescent="0.3">
      <c r="A4538" s="1" t="s">
        <v>5604</v>
      </c>
      <c r="B4538" s="1" t="s">
        <v>795</v>
      </c>
      <c r="C4538" s="1" t="s">
        <v>5605</v>
      </c>
      <c r="D4538" s="1" t="s">
        <v>1242</v>
      </c>
      <c r="E4538" s="1" t="s">
        <v>4250</v>
      </c>
      <c r="F4538" s="1" t="s">
        <v>4251</v>
      </c>
      <c r="G4538" s="1" t="s">
        <v>5606</v>
      </c>
      <c r="H4538">
        <v>2018</v>
      </c>
      <c r="I4538">
        <v>2018</v>
      </c>
      <c r="J4538">
        <f t="shared" si="140"/>
        <v>1</v>
      </c>
      <c r="K4538" s="1" t="s">
        <v>4668</v>
      </c>
      <c r="L4538" s="1" t="s">
        <v>659</v>
      </c>
      <c r="M4538">
        <f t="shared" si="141"/>
        <v>8</v>
      </c>
      <c r="N4538" t="s">
        <v>650</v>
      </c>
    </row>
    <row r="4539" spans="1:14" hidden="1" x14ac:dyDescent="0.3">
      <c r="A4539" t="s">
        <v>11095</v>
      </c>
      <c r="B4539" t="s">
        <v>795</v>
      </c>
      <c r="C4539" t="s">
        <v>11096</v>
      </c>
      <c r="E4539" s="1" t="e">
        <v>#N/A</v>
      </c>
      <c r="F4539" s="1" t="e">
        <v>#N/A</v>
      </c>
      <c r="G4539" s="1" t="s">
        <v>5606</v>
      </c>
      <c r="H4539">
        <v>2025</v>
      </c>
      <c r="I4539">
        <v>2026</v>
      </c>
      <c r="J4539">
        <f t="shared" si="140"/>
        <v>2</v>
      </c>
      <c r="K4539" s="1" t="s">
        <v>4668</v>
      </c>
      <c r="L4539" s="1" t="s">
        <v>666</v>
      </c>
      <c r="M4539">
        <f t="shared" si="141"/>
        <v>0</v>
      </c>
    </row>
    <row r="4540" spans="1:14" hidden="1" x14ac:dyDescent="0.3">
      <c r="A4540" s="1" t="s">
        <v>5607</v>
      </c>
      <c r="B4540" s="1" t="s">
        <v>795</v>
      </c>
      <c r="C4540" s="1" t="s">
        <v>5608</v>
      </c>
      <c r="D4540" s="1" t="s">
        <v>1242</v>
      </c>
      <c r="E4540" s="1" t="s">
        <v>4250</v>
      </c>
      <c r="F4540" s="1" t="s">
        <v>4251</v>
      </c>
      <c r="G4540" s="1" t="s">
        <v>5606</v>
      </c>
      <c r="H4540">
        <v>2001</v>
      </c>
      <c r="I4540">
        <v>2004</v>
      </c>
      <c r="J4540">
        <f t="shared" si="140"/>
        <v>4</v>
      </c>
      <c r="K4540" s="1" t="s">
        <v>4668</v>
      </c>
      <c r="L4540" s="1" t="s">
        <v>5182</v>
      </c>
      <c r="M4540">
        <f t="shared" si="141"/>
        <v>22</v>
      </c>
      <c r="N4540" t="s">
        <v>650</v>
      </c>
    </row>
    <row r="4541" spans="1:14" hidden="1" x14ac:dyDescent="0.3">
      <c r="A4541" s="1" t="s">
        <v>5609</v>
      </c>
      <c r="B4541" s="1" t="s">
        <v>795</v>
      </c>
      <c r="C4541" s="1" t="s">
        <v>5610</v>
      </c>
      <c r="D4541" s="1" t="s">
        <v>1242</v>
      </c>
      <c r="E4541" s="1" t="s">
        <v>4250</v>
      </c>
      <c r="F4541" s="1" t="s">
        <v>4251</v>
      </c>
      <c r="G4541" s="1" t="s">
        <v>5606</v>
      </c>
      <c r="H4541">
        <v>2001</v>
      </c>
      <c r="I4541">
        <v>2004</v>
      </c>
      <c r="J4541">
        <f t="shared" si="140"/>
        <v>4</v>
      </c>
      <c r="K4541" s="1" t="s">
        <v>4668</v>
      </c>
      <c r="L4541" s="1" t="s">
        <v>5182</v>
      </c>
      <c r="M4541">
        <f t="shared" si="141"/>
        <v>22</v>
      </c>
      <c r="N4541" t="s">
        <v>650</v>
      </c>
    </row>
    <row r="4542" spans="1:14" x14ac:dyDescent="0.3">
      <c r="A4542" s="1" t="s">
        <v>9585</v>
      </c>
      <c r="B4542" s="1" t="s">
        <v>795</v>
      </c>
      <c r="C4542" s="1" t="s">
        <v>9586</v>
      </c>
      <c r="D4542" s="1" t="s">
        <v>1242</v>
      </c>
      <c r="E4542" s="1" t="s">
        <v>6076</v>
      </c>
      <c r="F4542" s="1" t="s">
        <v>6076</v>
      </c>
      <c r="G4542" s="1" t="s">
        <v>5606</v>
      </c>
      <c r="H4542">
        <v>1997</v>
      </c>
      <c r="I4542">
        <v>2000</v>
      </c>
      <c r="J4542">
        <f t="shared" si="140"/>
        <v>4</v>
      </c>
      <c r="K4542" s="1" t="s">
        <v>6076</v>
      </c>
      <c r="L4542" s="1" t="s">
        <v>6076</v>
      </c>
      <c r="M4542">
        <f t="shared" si="141"/>
        <v>26</v>
      </c>
      <c r="N4542" t="s">
        <v>640</v>
      </c>
    </row>
    <row r="4543" spans="1:14" x14ac:dyDescent="0.3">
      <c r="A4543" s="1" t="s">
        <v>9587</v>
      </c>
      <c r="B4543" s="1" t="s">
        <v>795</v>
      </c>
      <c r="C4543" s="1" t="s">
        <v>9588</v>
      </c>
      <c r="D4543" s="1" t="s">
        <v>1242</v>
      </c>
      <c r="E4543" s="1" t="s">
        <v>6076</v>
      </c>
      <c r="F4543" s="1" t="s">
        <v>6076</v>
      </c>
      <c r="G4543" s="1" t="s">
        <v>5606</v>
      </c>
      <c r="H4543">
        <v>1997</v>
      </c>
      <c r="I4543">
        <v>2000</v>
      </c>
      <c r="J4543">
        <f t="shared" si="140"/>
        <v>4</v>
      </c>
      <c r="K4543" s="1" t="s">
        <v>6076</v>
      </c>
      <c r="L4543" s="1" t="s">
        <v>6076</v>
      </c>
      <c r="M4543">
        <f t="shared" si="141"/>
        <v>26</v>
      </c>
      <c r="N4543" t="s">
        <v>640</v>
      </c>
    </row>
    <row r="4544" spans="1:14" hidden="1" x14ac:dyDescent="0.3">
      <c r="A4544" s="1" t="s">
        <v>5611</v>
      </c>
      <c r="B4544" s="1" t="s">
        <v>795</v>
      </c>
      <c r="C4544" s="1" t="s">
        <v>5612</v>
      </c>
      <c r="D4544" s="1" t="s">
        <v>1242</v>
      </c>
      <c r="E4544" s="1" t="s">
        <v>4250</v>
      </c>
      <c r="F4544" s="1" t="s">
        <v>4251</v>
      </c>
      <c r="G4544" s="1" t="s">
        <v>5606</v>
      </c>
      <c r="H4544">
        <v>2000</v>
      </c>
      <c r="I4544">
        <v>2005</v>
      </c>
      <c r="J4544">
        <f t="shared" si="140"/>
        <v>6</v>
      </c>
      <c r="K4544" s="1" t="s">
        <v>4668</v>
      </c>
      <c r="L4544" s="1" t="s">
        <v>5182</v>
      </c>
      <c r="M4544">
        <f t="shared" si="141"/>
        <v>21</v>
      </c>
      <c r="N4544" t="s">
        <v>650</v>
      </c>
    </row>
    <row r="4545" spans="1:14" x14ac:dyDescent="0.3">
      <c r="A4545" s="1" t="s">
        <v>9589</v>
      </c>
      <c r="B4545" s="1" t="s">
        <v>795</v>
      </c>
      <c r="C4545" s="1" t="s">
        <v>9590</v>
      </c>
      <c r="D4545" s="1" t="s">
        <v>1242</v>
      </c>
      <c r="E4545" s="1" t="s">
        <v>6076</v>
      </c>
      <c r="F4545" s="1" t="s">
        <v>6076</v>
      </c>
      <c r="G4545" s="1" t="s">
        <v>5606</v>
      </c>
      <c r="H4545">
        <v>1993</v>
      </c>
      <c r="I4545">
        <v>1996</v>
      </c>
      <c r="J4545">
        <f t="shared" si="140"/>
        <v>4</v>
      </c>
      <c r="K4545" s="1" t="s">
        <v>6076</v>
      </c>
      <c r="L4545" s="1" t="s">
        <v>6076</v>
      </c>
      <c r="M4545">
        <f t="shared" si="141"/>
        <v>30</v>
      </c>
      <c r="N4545" t="s">
        <v>640</v>
      </c>
    </row>
    <row r="4546" spans="1:14" hidden="1" x14ac:dyDescent="0.3">
      <c r="A4546" s="1" t="s">
        <v>5613</v>
      </c>
      <c r="B4546" s="1" t="s">
        <v>795</v>
      </c>
      <c r="C4546" s="1" t="s">
        <v>5614</v>
      </c>
      <c r="D4546" s="1" t="s">
        <v>1242</v>
      </c>
      <c r="E4546" s="1" t="s">
        <v>4250</v>
      </c>
      <c r="F4546" s="1" t="s">
        <v>4251</v>
      </c>
      <c r="G4546" s="1" t="s">
        <v>5606</v>
      </c>
      <c r="H4546">
        <v>2017</v>
      </c>
      <c r="I4546">
        <v>2022</v>
      </c>
      <c r="J4546">
        <f t="shared" si="140"/>
        <v>6</v>
      </c>
      <c r="K4546" s="1" t="s">
        <v>4668</v>
      </c>
      <c r="L4546" s="1" t="s">
        <v>649</v>
      </c>
      <c r="M4546">
        <f t="shared" si="141"/>
        <v>4</v>
      </c>
      <c r="N4546" t="s">
        <v>650</v>
      </c>
    </row>
    <row r="4547" spans="1:14" hidden="1" x14ac:dyDescent="0.3">
      <c r="A4547" s="1" t="s">
        <v>5615</v>
      </c>
      <c r="B4547" s="1" t="s">
        <v>795</v>
      </c>
      <c r="C4547" s="1" t="s">
        <v>5616</v>
      </c>
      <c r="D4547" s="1" t="s">
        <v>1242</v>
      </c>
      <c r="E4547" s="1" t="s">
        <v>4250</v>
      </c>
      <c r="F4547" s="1" t="s">
        <v>4251</v>
      </c>
      <c r="G4547" s="1" t="s">
        <v>5606</v>
      </c>
      <c r="H4547">
        <v>2000</v>
      </c>
      <c r="I4547">
        <v>2000</v>
      </c>
      <c r="J4547">
        <f t="shared" si="140"/>
        <v>1</v>
      </c>
      <c r="K4547" s="1" t="s">
        <v>4668</v>
      </c>
      <c r="L4547" s="1" t="s">
        <v>5182</v>
      </c>
      <c r="M4547">
        <f t="shared" si="141"/>
        <v>26</v>
      </c>
      <c r="N4547" t="s">
        <v>640</v>
      </c>
    </row>
    <row r="4548" spans="1:14" x14ac:dyDescent="0.3">
      <c r="A4548" s="1" t="s">
        <v>9591</v>
      </c>
      <c r="B4548" s="1" t="s">
        <v>795</v>
      </c>
      <c r="C4548" s="1" t="s">
        <v>9592</v>
      </c>
      <c r="D4548" s="1" t="s">
        <v>1242</v>
      </c>
      <c r="E4548" s="1" t="s">
        <v>6076</v>
      </c>
      <c r="F4548" s="1" t="s">
        <v>6076</v>
      </c>
      <c r="G4548" s="1" t="s">
        <v>5606</v>
      </c>
      <c r="H4548">
        <v>1998</v>
      </c>
      <c r="I4548">
        <v>1998</v>
      </c>
      <c r="J4548">
        <f t="shared" si="140"/>
        <v>1</v>
      </c>
      <c r="K4548" s="1" t="s">
        <v>6076</v>
      </c>
      <c r="L4548" s="1" t="s">
        <v>6076</v>
      </c>
      <c r="M4548">
        <f t="shared" si="141"/>
        <v>28</v>
      </c>
      <c r="N4548" t="s">
        <v>640</v>
      </c>
    </row>
    <row r="4549" spans="1:14" hidden="1" x14ac:dyDescent="0.3">
      <c r="A4549" s="1" t="s">
        <v>5617</v>
      </c>
      <c r="B4549" s="1" t="s">
        <v>795</v>
      </c>
      <c r="C4549" s="1" t="s">
        <v>5618</v>
      </c>
      <c r="D4549" s="1" t="s">
        <v>1242</v>
      </c>
      <c r="E4549" s="1" t="s">
        <v>4250</v>
      </c>
      <c r="F4549" s="1" t="s">
        <v>4251</v>
      </c>
      <c r="G4549" s="1" t="s">
        <v>5606</v>
      </c>
      <c r="H4549">
        <v>2004</v>
      </c>
      <c r="I4549">
        <v>2004</v>
      </c>
      <c r="J4549">
        <f t="shared" si="140"/>
        <v>1</v>
      </c>
      <c r="K4549" s="1" t="s">
        <v>4668</v>
      </c>
      <c r="L4549" s="1" t="s">
        <v>5182</v>
      </c>
      <c r="M4549">
        <f t="shared" si="141"/>
        <v>22</v>
      </c>
      <c r="N4549" t="s">
        <v>650</v>
      </c>
    </row>
    <row r="4550" spans="1:14" hidden="1" x14ac:dyDescent="0.3">
      <c r="A4550" s="1" t="s">
        <v>5619</v>
      </c>
      <c r="B4550" s="1" t="s">
        <v>795</v>
      </c>
      <c r="C4550" s="1" t="s">
        <v>5620</v>
      </c>
      <c r="D4550" s="1" t="s">
        <v>1242</v>
      </c>
      <c r="E4550" s="1" t="s">
        <v>4250</v>
      </c>
      <c r="F4550" s="1" t="s">
        <v>4251</v>
      </c>
      <c r="G4550" s="1" t="s">
        <v>5606</v>
      </c>
      <c r="H4550">
        <v>2005</v>
      </c>
      <c r="I4550">
        <v>2012</v>
      </c>
      <c r="J4550">
        <f t="shared" ref="J4550:J4613" si="142">1+(I4550-H4550)</f>
        <v>8</v>
      </c>
      <c r="K4550" s="1" t="s">
        <v>4668</v>
      </c>
      <c r="L4550" s="1" t="s">
        <v>659</v>
      </c>
      <c r="M4550">
        <f t="shared" ref="M4550:M4613" si="143">IF(I4550=0,0,$B$2-I4550)</f>
        <v>14</v>
      </c>
      <c r="N4550" t="s">
        <v>650</v>
      </c>
    </row>
    <row r="4551" spans="1:14" hidden="1" x14ac:dyDescent="0.3">
      <c r="A4551" s="1" t="s">
        <v>5621</v>
      </c>
      <c r="B4551" s="1" t="s">
        <v>795</v>
      </c>
      <c r="C4551" s="1" t="s">
        <v>5622</v>
      </c>
      <c r="D4551" s="1" t="s">
        <v>1242</v>
      </c>
      <c r="E4551" s="1" t="s">
        <v>4250</v>
      </c>
      <c r="F4551" s="1" t="s">
        <v>4251</v>
      </c>
      <c r="G4551" s="1" t="s">
        <v>5606</v>
      </c>
      <c r="H4551">
        <v>2002</v>
      </c>
      <c r="I4551">
        <v>2012</v>
      </c>
      <c r="J4551">
        <f t="shared" si="142"/>
        <v>11</v>
      </c>
      <c r="K4551" s="1" t="s">
        <v>4668</v>
      </c>
      <c r="L4551" s="1" t="s">
        <v>659</v>
      </c>
      <c r="M4551">
        <f t="shared" si="143"/>
        <v>14</v>
      </c>
      <c r="N4551" t="s">
        <v>650</v>
      </c>
    </row>
    <row r="4552" spans="1:14" hidden="1" x14ac:dyDescent="0.3">
      <c r="A4552" s="1" t="s">
        <v>5623</v>
      </c>
      <c r="B4552" s="1" t="s">
        <v>795</v>
      </c>
      <c r="C4552" s="1" t="s">
        <v>5624</v>
      </c>
      <c r="D4552" s="1" t="s">
        <v>1242</v>
      </c>
      <c r="E4552" s="1" t="s">
        <v>4250</v>
      </c>
      <c r="F4552" s="1" t="s">
        <v>4251</v>
      </c>
      <c r="G4552" s="1" t="s">
        <v>5606</v>
      </c>
      <c r="H4552">
        <v>1999</v>
      </c>
      <c r="I4552">
        <v>2002</v>
      </c>
      <c r="J4552">
        <f t="shared" si="142"/>
        <v>4</v>
      </c>
      <c r="K4552" s="1" t="s">
        <v>4668</v>
      </c>
      <c r="L4552" s="1" t="s">
        <v>5182</v>
      </c>
      <c r="M4552">
        <f t="shared" si="143"/>
        <v>24</v>
      </c>
      <c r="N4552" t="s">
        <v>650</v>
      </c>
    </row>
    <row r="4553" spans="1:14" hidden="1" x14ac:dyDescent="0.3">
      <c r="A4553" s="1" t="s">
        <v>5625</v>
      </c>
      <c r="B4553" s="1" t="s">
        <v>795</v>
      </c>
      <c r="C4553" s="1" t="s">
        <v>5626</v>
      </c>
      <c r="D4553" s="1" t="s">
        <v>1242</v>
      </c>
      <c r="E4553" s="1" t="s">
        <v>4250</v>
      </c>
      <c r="F4553" s="1" t="s">
        <v>4251</v>
      </c>
      <c r="G4553" s="1" t="s">
        <v>5606</v>
      </c>
      <c r="H4553">
        <v>1999</v>
      </c>
      <c r="I4553">
        <v>2000</v>
      </c>
      <c r="J4553">
        <f t="shared" si="142"/>
        <v>2</v>
      </c>
      <c r="K4553" s="1" t="s">
        <v>4668</v>
      </c>
      <c r="L4553" s="1" t="s">
        <v>5182</v>
      </c>
      <c r="M4553">
        <f t="shared" si="143"/>
        <v>26</v>
      </c>
      <c r="N4553" t="s">
        <v>640</v>
      </c>
    </row>
    <row r="4554" spans="1:14" hidden="1" x14ac:dyDescent="0.3">
      <c r="A4554" s="1" t="s">
        <v>5627</v>
      </c>
      <c r="B4554" s="1" t="s">
        <v>795</v>
      </c>
      <c r="C4554" s="1" t="s">
        <v>5628</v>
      </c>
      <c r="D4554" s="1" t="s">
        <v>1242</v>
      </c>
      <c r="E4554" s="1" t="s">
        <v>4250</v>
      </c>
      <c r="F4554" s="1" t="s">
        <v>4251</v>
      </c>
      <c r="G4554" s="1" t="s">
        <v>5606</v>
      </c>
      <c r="H4554">
        <v>2012</v>
      </c>
      <c r="I4554">
        <v>2016</v>
      </c>
      <c r="J4554">
        <f t="shared" si="142"/>
        <v>5</v>
      </c>
      <c r="K4554" s="1" t="s">
        <v>4668</v>
      </c>
      <c r="L4554" s="1" t="s">
        <v>649</v>
      </c>
      <c r="M4554">
        <f t="shared" si="143"/>
        <v>10</v>
      </c>
      <c r="N4554" t="s">
        <v>650</v>
      </c>
    </row>
    <row r="4555" spans="1:14" hidden="1" x14ac:dyDescent="0.3">
      <c r="A4555" s="1" t="s">
        <v>5629</v>
      </c>
      <c r="B4555" s="1" t="s">
        <v>795</v>
      </c>
      <c r="C4555" s="1" t="s">
        <v>5630</v>
      </c>
      <c r="D4555" s="1" t="s">
        <v>1242</v>
      </c>
      <c r="E4555" s="1" t="s">
        <v>4250</v>
      </c>
      <c r="F4555" s="1" t="s">
        <v>4251</v>
      </c>
      <c r="G4555" s="1" t="s">
        <v>5606</v>
      </c>
      <c r="H4555">
        <v>2012</v>
      </c>
      <c r="I4555">
        <v>2016</v>
      </c>
      <c r="J4555">
        <f t="shared" si="142"/>
        <v>5</v>
      </c>
      <c r="K4555" s="1" t="s">
        <v>4668</v>
      </c>
      <c r="L4555" s="1" t="s">
        <v>659</v>
      </c>
      <c r="M4555">
        <f t="shared" si="143"/>
        <v>10</v>
      </c>
      <c r="N4555" t="s">
        <v>650</v>
      </c>
    </row>
    <row r="4556" spans="1:14" hidden="1" x14ac:dyDescent="0.3">
      <c r="A4556" s="1" t="s">
        <v>5631</v>
      </c>
      <c r="B4556" s="1" t="s">
        <v>795</v>
      </c>
      <c r="C4556" s="1" t="s">
        <v>5632</v>
      </c>
      <c r="D4556" s="1" t="s">
        <v>1242</v>
      </c>
      <c r="E4556" s="1" t="s">
        <v>4250</v>
      </c>
      <c r="F4556" s="1" t="s">
        <v>4251</v>
      </c>
      <c r="G4556" s="1" t="s">
        <v>5606</v>
      </c>
      <c r="H4556">
        <v>2013</v>
      </c>
      <c r="I4556">
        <v>2013</v>
      </c>
      <c r="J4556">
        <f t="shared" si="142"/>
        <v>1</v>
      </c>
      <c r="K4556" s="1" t="s">
        <v>4668</v>
      </c>
      <c r="L4556" s="1" t="s">
        <v>659</v>
      </c>
      <c r="M4556">
        <f t="shared" si="143"/>
        <v>13</v>
      </c>
      <c r="N4556" t="s">
        <v>650</v>
      </c>
    </row>
    <row r="4557" spans="1:14" hidden="1" x14ac:dyDescent="0.3">
      <c r="A4557" s="1" t="s">
        <v>5633</v>
      </c>
      <c r="B4557" s="1" t="s">
        <v>795</v>
      </c>
      <c r="C4557" s="1" t="s">
        <v>5634</v>
      </c>
      <c r="D4557" s="1" t="s">
        <v>1242</v>
      </c>
      <c r="E4557" s="1" t="s">
        <v>4250</v>
      </c>
      <c r="F4557" s="1" t="s">
        <v>4251</v>
      </c>
      <c r="G4557" s="1" t="s">
        <v>5606</v>
      </c>
      <c r="H4557">
        <v>2012</v>
      </c>
      <c r="I4557">
        <v>2017</v>
      </c>
      <c r="J4557">
        <f t="shared" si="142"/>
        <v>6</v>
      </c>
      <c r="K4557" s="1" t="s">
        <v>4668</v>
      </c>
      <c r="L4557" s="1" t="s">
        <v>659</v>
      </c>
      <c r="M4557">
        <f t="shared" si="143"/>
        <v>9</v>
      </c>
      <c r="N4557" t="s">
        <v>650</v>
      </c>
    </row>
    <row r="4558" spans="1:14" hidden="1" x14ac:dyDescent="0.3">
      <c r="A4558" s="1" t="s">
        <v>5635</v>
      </c>
      <c r="B4558" s="1" t="s">
        <v>795</v>
      </c>
      <c r="C4558" s="1" t="s">
        <v>5636</v>
      </c>
      <c r="D4558" s="1" t="s">
        <v>1242</v>
      </c>
      <c r="E4558" s="1" t="s">
        <v>4250</v>
      </c>
      <c r="F4558" s="1" t="s">
        <v>4251</v>
      </c>
      <c r="G4558" s="1" t="s">
        <v>5606</v>
      </c>
      <c r="H4558">
        <v>2013</v>
      </c>
      <c r="I4558">
        <v>2022</v>
      </c>
      <c r="J4558">
        <f t="shared" si="142"/>
        <v>10</v>
      </c>
      <c r="K4558" s="1" t="s">
        <v>4668</v>
      </c>
      <c r="L4558" s="1" t="s">
        <v>649</v>
      </c>
      <c r="M4558">
        <f t="shared" si="143"/>
        <v>4</v>
      </c>
      <c r="N4558" t="s">
        <v>650</v>
      </c>
    </row>
    <row r="4559" spans="1:14" hidden="1" x14ac:dyDescent="0.3">
      <c r="A4559" s="1" t="s">
        <v>5637</v>
      </c>
      <c r="B4559" s="1" t="s">
        <v>795</v>
      </c>
      <c r="C4559" s="1" t="s">
        <v>5638</v>
      </c>
      <c r="D4559" s="1" t="s">
        <v>1242</v>
      </c>
      <c r="E4559" s="1" t="s">
        <v>4250</v>
      </c>
      <c r="F4559" s="1" t="s">
        <v>4251</v>
      </c>
      <c r="G4559" s="1" t="s">
        <v>5606</v>
      </c>
      <c r="H4559">
        <v>2012</v>
      </c>
      <c r="I4559">
        <v>2022</v>
      </c>
      <c r="J4559">
        <f t="shared" si="142"/>
        <v>11</v>
      </c>
      <c r="K4559" s="1" t="s">
        <v>4668</v>
      </c>
      <c r="L4559" s="1" t="s">
        <v>649</v>
      </c>
      <c r="M4559">
        <f t="shared" si="143"/>
        <v>4</v>
      </c>
      <c r="N4559" t="s">
        <v>650</v>
      </c>
    </row>
    <row r="4560" spans="1:14" hidden="1" x14ac:dyDescent="0.3">
      <c r="A4560" s="1" t="s">
        <v>5639</v>
      </c>
      <c r="B4560" s="1" t="s">
        <v>795</v>
      </c>
      <c r="C4560" s="1" t="s">
        <v>5640</v>
      </c>
      <c r="D4560" s="1" t="s">
        <v>1242</v>
      </c>
      <c r="E4560" s="1" t="s">
        <v>4250</v>
      </c>
      <c r="F4560" s="1" t="s">
        <v>4251</v>
      </c>
      <c r="G4560" s="1" t="s">
        <v>5606</v>
      </c>
      <c r="H4560">
        <v>2012</v>
      </c>
      <c r="I4560">
        <v>2013</v>
      </c>
      <c r="J4560">
        <f t="shared" si="142"/>
        <v>2</v>
      </c>
      <c r="K4560" s="1" t="s">
        <v>4668</v>
      </c>
      <c r="L4560" s="1" t="s">
        <v>659</v>
      </c>
      <c r="M4560">
        <f t="shared" si="143"/>
        <v>13</v>
      </c>
      <c r="N4560" t="s">
        <v>650</v>
      </c>
    </row>
    <row r="4561" spans="1:14" hidden="1" x14ac:dyDescent="0.3">
      <c r="A4561" s="1" t="s">
        <v>5641</v>
      </c>
      <c r="B4561" s="1" t="s">
        <v>795</v>
      </c>
      <c r="C4561" s="1" t="s">
        <v>5642</v>
      </c>
      <c r="D4561" s="1" t="s">
        <v>1242</v>
      </c>
      <c r="E4561" s="1" t="s">
        <v>4250</v>
      </c>
      <c r="F4561" s="1" t="s">
        <v>4251</v>
      </c>
      <c r="G4561" s="1" t="s">
        <v>5606</v>
      </c>
      <c r="H4561">
        <v>2012</v>
      </c>
      <c r="I4561">
        <v>2014</v>
      </c>
      <c r="J4561">
        <f t="shared" si="142"/>
        <v>3</v>
      </c>
      <c r="K4561" s="1" t="s">
        <v>4668</v>
      </c>
      <c r="L4561" s="1" t="s">
        <v>659</v>
      </c>
      <c r="M4561">
        <f t="shared" si="143"/>
        <v>12</v>
      </c>
      <c r="N4561" t="s">
        <v>650</v>
      </c>
    </row>
    <row r="4562" spans="1:14" hidden="1" x14ac:dyDescent="0.3">
      <c r="A4562" s="1" t="s">
        <v>5643</v>
      </c>
      <c r="B4562" s="1" t="s">
        <v>795</v>
      </c>
      <c r="C4562" s="1" t="s">
        <v>5644</v>
      </c>
      <c r="D4562" s="1" t="s">
        <v>1242</v>
      </c>
      <c r="E4562" s="1" t="s">
        <v>4250</v>
      </c>
      <c r="F4562" s="1" t="s">
        <v>4251</v>
      </c>
      <c r="G4562" s="1" t="s">
        <v>5606</v>
      </c>
      <c r="H4562">
        <v>2017</v>
      </c>
      <c r="I4562">
        <v>2017</v>
      </c>
      <c r="J4562">
        <f t="shared" si="142"/>
        <v>1</v>
      </c>
      <c r="K4562" s="1" t="s">
        <v>4668</v>
      </c>
      <c r="L4562" s="1" t="s">
        <v>659</v>
      </c>
      <c r="M4562">
        <f t="shared" si="143"/>
        <v>9</v>
      </c>
      <c r="N4562" t="s">
        <v>650</v>
      </c>
    </row>
    <row r="4563" spans="1:14" hidden="1" x14ac:dyDescent="0.3">
      <c r="A4563" s="1" t="s">
        <v>5645</v>
      </c>
      <c r="B4563" s="1" t="s">
        <v>795</v>
      </c>
      <c r="C4563" s="1" t="s">
        <v>5646</v>
      </c>
      <c r="D4563" s="1" t="s">
        <v>1242</v>
      </c>
      <c r="E4563" s="1" t="s">
        <v>4250</v>
      </c>
      <c r="F4563" s="1" t="s">
        <v>4251</v>
      </c>
      <c r="G4563" s="1" t="s">
        <v>5606</v>
      </c>
      <c r="H4563">
        <v>2015</v>
      </c>
      <c r="I4563">
        <v>2017</v>
      </c>
      <c r="J4563">
        <f t="shared" si="142"/>
        <v>3</v>
      </c>
      <c r="K4563" s="1" t="s">
        <v>4668</v>
      </c>
      <c r="L4563" s="1" t="s">
        <v>659</v>
      </c>
      <c r="M4563">
        <f t="shared" si="143"/>
        <v>9</v>
      </c>
      <c r="N4563" t="s">
        <v>650</v>
      </c>
    </row>
    <row r="4564" spans="1:14" hidden="1" x14ac:dyDescent="0.3">
      <c r="A4564" s="1" t="s">
        <v>5647</v>
      </c>
      <c r="B4564" s="1" t="s">
        <v>795</v>
      </c>
      <c r="C4564" s="1" t="s">
        <v>5648</v>
      </c>
      <c r="D4564" s="1" t="s">
        <v>1242</v>
      </c>
      <c r="E4564" s="1" t="s">
        <v>4250</v>
      </c>
      <c r="F4564" s="1" t="s">
        <v>4251</v>
      </c>
      <c r="G4564" s="1" t="s">
        <v>5606</v>
      </c>
      <c r="H4564">
        <v>2015</v>
      </c>
      <c r="I4564">
        <v>2017</v>
      </c>
      <c r="J4564">
        <f t="shared" si="142"/>
        <v>3</v>
      </c>
      <c r="K4564" s="1" t="s">
        <v>4668</v>
      </c>
      <c r="L4564" s="1" t="s">
        <v>659</v>
      </c>
      <c r="M4564">
        <f t="shared" si="143"/>
        <v>9</v>
      </c>
      <c r="N4564" t="s">
        <v>650</v>
      </c>
    </row>
    <row r="4565" spans="1:14" hidden="1" x14ac:dyDescent="0.3">
      <c r="A4565" s="1" t="s">
        <v>5649</v>
      </c>
      <c r="B4565" s="1" t="s">
        <v>795</v>
      </c>
      <c r="C4565" s="1" t="s">
        <v>5650</v>
      </c>
      <c r="D4565" s="1" t="s">
        <v>1242</v>
      </c>
      <c r="E4565" s="1" t="s">
        <v>4250</v>
      </c>
      <c r="F4565" s="1" t="s">
        <v>4251</v>
      </c>
      <c r="G4565" s="1" t="s">
        <v>5606</v>
      </c>
      <c r="H4565">
        <v>2015</v>
      </c>
      <c r="I4565">
        <v>2017</v>
      </c>
      <c r="J4565">
        <f t="shared" si="142"/>
        <v>3</v>
      </c>
      <c r="K4565" s="1" t="s">
        <v>4668</v>
      </c>
      <c r="L4565" s="1" t="s">
        <v>659</v>
      </c>
      <c r="M4565">
        <f t="shared" si="143"/>
        <v>9</v>
      </c>
      <c r="N4565" t="s">
        <v>650</v>
      </c>
    </row>
    <row r="4566" spans="1:14" hidden="1" x14ac:dyDescent="0.3">
      <c r="A4566" s="1" t="s">
        <v>5651</v>
      </c>
      <c r="B4566" s="1" t="s">
        <v>795</v>
      </c>
      <c r="C4566" s="1" t="s">
        <v>5652</v>
      </c>
      <c r="D4566" s="1" t="s">
        <v>1242</v>
      </c>
      <c r="E4566" s="1" t="s">
        <v>4250</v>
      </c>
      <c r="F4566" s="1" t="s">
        <v>4251</v>
      </c>
      <c r="G4566" s="1" t="s">
        <v>5606</v>
      </c>
      <c r="H4566">
        <v>2012</v>
      </c>
      <c r="I4566">
        <v>2017</v>
      </c>
      <c r="J4566">
        <f t="shared" si="142"/>
        <v>6</v>
      </c>
      <c r="K4566" s="1" t="s">
        <v>4668</v>
      </c>
      <c r="L4566" s="1" t="s">
        <v>659</v>
      </c>
      <c r="M4566">
        <f t="shared" si="143"/>
        <v>9</v>
      </c>
      <c r="N4566" t="s">
        <v>650</v>
      </c>
    </row>
    <row r="4567" spans="1:14" hidden="1" x14ac:dyDescent="0.3">
      <c r="A4567" s="1" t="s">
        <v>5653</v>
      </c>
      <c r="B4567" s="1" t="s">
        <v>795</v>
      </c>
      <c r="C4567" s="1" t="s">
        <v>5654</v>
      </c>
      <c r="D4567" s="1" t="s">
        <v>1242</v>
      </c>
      <c r="E4567" s="1" t="s">
        <v>4250</v>
      </c>
      <c r="F4567" s="1" t="s">
        <v>4251</v>
      </c>
      <c r="G4567" s="1" t="s">
        <v>5606</v>
      </c>
      <c r="H4567">
        <v>2012</v>
      </c>
      <c r="I4567">
        <v>2017</v>
      </c>
      <c r="J4567">
        <f t="shared" si="142"/>
        <v>6</v>
      </c>
      <c r="K4567" s="1" t="s">
        <v>4668</v>
      </c>
      <c r="L4567" s="1" t="s">
        <v>659</v>
      </c>
      <c r="M4567">
        <f t="shared" si="143"/>
        <v>9</v>
      </c>
      <c r="N4567" t="s">
        <v>650</v>
      </c>
    </row>
    <row r="4568" spans="1:14" hidden="1" x14ac:dyDescent="0.3">
      <c r="A4568" s="1" t="s">
        <v>5655</v>
      </c>
      <c r="B4568" s="1" t="s">
        <v>795</v>
      </c>
      <c r="C4568" s="1" t="s">
        <v>5656</v>
      </c>
      <c r="D4568" s="1" t="s">
        <v>1242</v>
      </c>
      <c r="E4568" s="1" t="s">
        <v>4250</v>
      </c>
      <c r="F4568" s="1" t="s">
        <v>4251</v>
      </c>
      <c r="G4568" s="1" t="s">
        <v>5606</v>
      </c>
      <c r="H4568">
        <v>2012</v>
      </c>
      <c r="I4568">
        <v>2022</v>
      </c>
      <c r="J4568">
        <f t="shared" si="142"/>
        <v>11</v>
      </c>
      <c r="K4568" s="1" t="s">
        <v>4668</v>
      </c>
      <c r="L4568" s="1" t="s">
        <v>649</v>
      </c>
      <c r="M4568">
        <f t="shared" si="143"/>
        <v>4</v>
      </c>
      <c r="N4568" t="s">
        <v>650</v>
      </c>
    </row>
    <row r="4569" spans="1:14" hidden="1" x14ac:dyDescent="0.3">
      <c r="A4569" s="1" t="s">
        <v>5657</v>
      </c>
      <c r="B4569" s="1" t="s">
        <v>795</v>
      </c>
      <c r="C4569" s="1" t="s">
        <v>5658</v>
      </c>
      <c r="D4569" s="1" t="s">
        <v>1242</v>
      </c>
      <c r="E4569" s="1" t="s">
        <v>4250</v>
      </c>
      <c r="F4569" s="1" t="s">
        <v>4251</v>
      </c>
      <c r="G4569" s="1" t="s">
        <v>5606</v>
      </c>
      <c r="H4569">
        <v>2012</v>
      </c>
      <c r="I4569">
        <v>2022</v>
      </c>
      <c r="J4569">
        <f t="shared" si="142"/>
        <v>11</v>
      </c>
      <c r="K4569" s="1" t="s">
        <v>4668</v>
      </c>
      <c r="L4569" s="1" t="s">
        <v>649</v>
      </c>
      <c r="M4569">
        <f t="shared" si="143"/>
        <v>4</v>
      </c>
      <c r="N4569" t="s">
        <v>650</v>
      </c>
    </row>
    <row r="4570" spans="1:14" hidden="1" x14ac:dyDescent="0.3">
      <c r="A4570" s="1" t="s">
        <v>5659</v>
      </c>
      <c r="B4570" s="1" t="s">
        <v>795</v>
      </c>
      <c r="C4570" s="1" t="s">
        <v>5660</v>
      </c>
      <c r="D4570" s="1" t="s">
        <v>1242</v>
      </c>
      <c r="E4570" s="1" t="s">
        <v>4250</v>
      </c>
      <c r="F4570" s="1" t="s">
        <v>4251</v>
      </c>
      <c r="G4570" s="1" t="s">
        <v>5606</v>
      </c>
      <c r="H4570">
        <v>2012</v>
      </c>
      <c r="I4570">
        <v>2015</v>
      </c>
      <c r="J4570">
        <f t="shared" si="142"/>
        <v>4</v>
      </c>
      <c r="K4570" s="1" t="s">
        <v>4668</v>
      </c>
      <c r="L4570" s="1" t="s">
        <v>659</v>
      </c>
      <c r="M4570">
        <f t="shared" si="143"/>
        <v>11</v>
      </c>
      <c r="N4570" t="s">
        <v>650</v>
      </c>
    </row>
    <row r="4571" spans="1:14" hidden="1" x14ac:dyDescent="0.3">
      <c r="A4571" s="1" t="s">
        <v>5661</v>
      </c>
      <c r="B4571" s="1" t="s">
        <v>795</v>
      </c>
      <c r="C4571" s="1" t="s">
        <v>5662</v>
      </c>
      <c r="D4571" s="1" t="s">
        <v>1242</v>
      </c>
      <c r="E4571" s="1" t="s">
        <v>4250</v>
      </c>
      <c r="F4571" s="1" t="s">
        <v>4251</v>
      </c>
      <c r="G4571" s="1" t="s">
        <v>5606</v>
      </c>
      <c r="H4571">
        <v>2015</v>
      </c>
      <c r="I4571">
        <v>2017</v>
      </c>
      <c r="J4571">
        <f t="shared" si="142"/>
        <v>3</v>
      </c>
      <c r="K4571" s="1" t="s">
        <v>4668</v>
      </c>
      <c r="L4571" s="1" t="s">
        <v>659</v>
      </c>
      <c r="M4571">
        <f t="shared" si="143"/>
        <v>9</v>
      </c>
      <c r="N4571" t="s">
        <v>650</v>
      </c>
    </row>
    <row r="4572" spans="1:14" hidden="1" x14ac:dyDescent="0.3">
      <c r="A4572" s="1" t="s">
        <v>5663</v>
      </c>
      <c r="B4572" s="1" t="s">
        <v>795</v>
      </c>
      <c r="C4572" s="1" t="s">
        <v>5664</v>
      </c>
      <c r="D4572" s="1" t="s">
        <v>1242</v>
      </c>
      <c r="E4572" s="1" t="s">
        <v>4250</v>
      </c>
      <c r="F4572" s="1" t="s">
        <v>4251</v>
      </c>
      <c r="G4572" s="1" t="s">
        <v>5606</v>
      </c>
      <c r="H4572">
        <v>2018</v>
      </c>
      <c r="I4572">
        <v>2022</v>
      </c>
      <c r="J4572">
        <f t="shared" si="142"/>
        <v>5</v>
      </c>
      <c r="K4572" s="1" t="s">
        <v>4668</v>
      </c>
      <c r="L4572" s="1" t="s">
        <v>649</v>
      </c>
      <c r="M4572">
        <f t="shared" si="143"/>
        <v>4</v>
      </c>
      <c r="N4572" t="s">
        <v>650</v>
      </c>
    </row>
    <row r="4573" spans="1:14" hidden="1" x14ac:dyDescent="0.3">
      <c r="A4573" s="1" t="s">
        <v>5665</v>
      </c>
      <c r="B4573" s="1" t="s">
        <v>795</v>
      </c>
      <c r="C4573" s="1" t="s">
        <v>5666</v>
      </c>
      <c r="D4573" s="1" t="s">
        <v>1242</v>
      </c>
      <c r="E4573" s="1" t="s">
        <v>4250</v>
      </c>
      <c r="F4573" s="1" t="s">
        <v>4251</v>
      </c>
      <c r="G4573" s="1" t="s">
        <v>5606</v>
      </c>
      <c r="H4573">
        <v>2015</v>
      </c>
      <c r="I4573">
        <v>2017</v>
      </c>
      <c r="J4573">
        <f t="shared" si="142"/>
        <v>3</v>
      </c>
      <c r="K4573" s="1" t="s">
        <v>4668</v>
      </c>
      <c r="L4573" s="1" t="s">
        <v>659</v>
      </c>
      <c r="M4573">
        <f t="shared" si="143"/>
        <v>9</v>
      </c>
      <c r="N4573" t="s">
        <v>650</v>
      </c>
    </row>
    <row r="4574" spans="1:14" hidden="1" x14ac:dyDescent="0.3">
      <c r="A4574" s="1" t="s">
        <v>5667</v>
      </c>
      <c r="B4574" s="1" t="s">
        <v>795</v>
      </c>
      <c r="C4574" s="1" t="s">
        <v>5668</v>
      </c>
      <c r="D4574" s="1" t="s">
        <v>1242</v>
      </c>
      <c r="E4574" s="1" t="s">
        <v>4250</v>
      </c>
      <c r="F4574" s="1" t="s">
        <v>4251</v>
      </c>
      <c r="G4574" s="1" t="s">
        <v>5606</v>
      </c>
      <c r="H4574">
        <v>2018</v>
      </c>
      <c r="I4574">
        <v>2022</v>
      </c>
      <c r="J4574">
        <f t="shared" si="142"/>
        <v>5</v>
      </c>
      <c r="K4574" s="1" t="s">
        <v>4668</v>
      </c>
      <c r="L4574" s="1" t="s">
        <v>649</v>
      </c>
      <c r="M4574">
        <f t="shared" si="143"/>
        <v>4</v>
      </c>
      <c r="N4574" t="s">
        <v>650</v>
      </c>
    </row>
    <row r="4575" spans="1:14" hidden="1" x14ac:dyDescent="0.3">
      <c r="A4575" s="1" t="s">
        <v>5669</v>
      </c>
      <c r="B4575" s="1" t="s">
        <v>795</v>
      </c>
      <c r="C4575" s="1" t="s">
        <v>5670</v>
      </c>
      <c r="D4575" s="1" t="s">
        <v>1242</v>
      </c>
      <c r="E4575" s="1" t="s">
        <v>4250</v>
      </c>
      <c r="F4575" s="1" t="s">
        <v>4251</v>
      </c>
      <c r="G4575" s="1" t="s">
        <v>5606</v>
      </c>
      <c r="H4575">
        <v>2013</v>
      </c>
      <c r="I4575">
        <v>2014</v>
      </c>
      <c r="J4575">
        <f t="shared" si="142"/>
        <v>2</v>
      </c>
      <c r="K4575" s="1" t="s">
        <v>4668</v>
      </c>
      <c r="L4575" s="1" t="s">
        <v>659</v>
      </c>
      <c r="M4575">
        <f t="shared" si="143"/>
        <v>12</v>
      </c>
      <c r="N4575" t="s">
        <v>650</v>
      </c>
    </row>
    <row r="4576" spans="1:14" hidden="1" x14ac:dyDescent="0.3">
      <c r="A4576" s="1" t="s">
        <v>5671</v>
      </c>
      <c r="B4576" s="1" t="s">
        <v>795</v>
      </c>
      <c r="C4576" s="1" t="s">
        <v>5672</v>
      </c>
      <c r="D4576" s="1" t="s">
        <v>1242</v>
      </c>
      <c r="E4576" s="1" t="s">
        <v>4250</v>
      </c>
      <c r="F4576" s="1" t="s">
        <v>4251</v>
      </c>
      <c r="G4576" s="1" t="s">
        <v>5606</v>
      </c>
      <c r="H4576">
        <v>2012</v>
      </c>
      <c r="I4576">
        <v>2022</v>
      </c>
      <c r="J4576">
        <f t="shared" si="142"/>
        <v>11</v>
      </c>
      <c r="K4576" s="1" t="s">
        <v>4668</v>
      </c>
      <c r="L4576" s="1" t="s">
        <v>649</v>
      </c>
      <c r="M4576">
        <f t="shared" si="143"/>
        <v>4</v>
      </c>
      <c r="N4576" t="s">
        <v>650</v>
      </c>
    </row>
    <row r="4577" spans="1:14" hidden="1" x14ac:dyDescent="0.3">
      <c r="A4577" s="1" t="s">
        <v>5673</v>
      </c>
      <c r="B4577" s="1" t="s">
        <v>795</v>
      </c>
      <c r="C4577" s="1" t="s">
        <v>5674</v>
      </c>
      <c r="D4577" s="1" t="s">
        <v>1242</v>
      </c>
      <c r="E4577" s="1" t="s">
        <v>4250</v>
      </c>
      <c r="F4577" s="1" t="s">
        <v>4251</v>
      </c>
      <c r="G4577" s="1" t="s">
        <v>5606</v>
      </c>
      <c r="H4577">
        <v>2012</v>
      </c>
      <c r="I4577">
        <v>2017</v>
      </c>
      <c r="J4577">
        <f t="shared" si="142"/>
        <v>6</v>
      </c>
      <c r="K4577" s="1" t="s">
        <v>4668</v>
      </c>
      <c r="L4577" s="1" t="s">
        <v>659</v>
      </c>
      <c r="M4577">
        <f t="shared" si="143"/>
        <v>9</v>
      </c>
      <c r="N4577" t="s">
        <v>650</v>
      </c>
    </row>
    <row r="4578" spans="1:14" hidden="1" x14ac:dyDescent="0.3">
      <c r="A4578" s="1" t="s">
        <v>5675</v>
      </c>
      <c r="B4578" s="1" t="s">
        <v>795</v>
      </c>
      <c r="C4578" s="1" t="s">
        <v>5676</v>
      </c>
      <c r="D4578" s="1" t="s">
        <v>1242</v>
      </c>
      <c r="E4578" s="1" t="s">
        <v>4250</v>
      </c>
      <c r="F4578" s="1" t="s">
        <v>4251</v>
      </c>
      <c r="G4578" s="1" t="s">
        <v>5606</v>
      </c>
      <c r="H4578">
        <v>1996</v>
      </c>
      <c r="I4578">
        <v>1999</v>
      </c>
      <c r="J4578">
        <f t="shared" si="142"/>
        <v>4</v>
      </c>
      <c r="K4578" s="1" t="s">
        <v>4668</v>
      </c>
      <c r="L4578" s="1" t="s">
        <v>5182</v>
      </c>
      <c r="M4578">
        <f t="shared" si="143"/>
        <v>27</v>
      </c>
      <c r="N4578" t="s">
        <v>640</v>
      </c>
    </row>
    <row r="4579" spans="1:14" hidden="1" x14ac:dyDescent="0.3">
      <c r="A4579" s="1" t="s">
        <v>5677</v>
      </c>
      <c r="B4579" s="1" t="s">
        <v>795</v>
      </c>
      <c r="C4579" s="1" t="s">
        <v>5678</v>
      </c>
      <c r="D4579" s="1" t="s">
        <v>1242</v>
      </c>
      <c r="E4579" s="1" t="s">
        <v>4250</v>
      </c>
      <c r="F4579" s="1" t="s">
        <v>4251</v>
      </c>
      <c r="G4579" s="1" t="s">
        <v>5606</v>
      </c>
      <c r="H4579">
        <v>1995</v>
      </c>
      <c r="I4579">
        <v>2000</v>
      </c>
      <c r="J4579">
        <f t="shared" si="142"/>
        <v>6</v>
      </c>
      <c r="K4579" s="1" t="s">
        <v>4668</v>
      </c>
      <c r="L4579" s="1" t="s">
        <v>5182</v>
      </c>
      <c r="M4579">
        <f t="shared" si="143"/>
        <v>26</v>
      </c>
      <c r="N4579" t="s">
        <v>640</v>
      </c>
    </row>
    <row r="4580" spans="1:14" hidden="1" x14ac:dyDescent="0.3">
      <c r="A4580" s="1" t="s">
        <v>5679</v>
      </c>
      <c r="B4580" s="1" t="s">
        <v>795</v>
      </c>
      <c r="C4580" s="1" t="s">
        <v>5680</v>
      </c>
      <c r="D4580" s="1" t="s">
        <v>1242</v>
      </c>
      <c r="E4580" s="1" t="s">
        <v>4250</v>
      </c>
      <c r="F4580" s="1" t="s">
        <v>4251</v>
      </c>
      <c r="G4580" s="1" t="s">
        <v>5606</v>
      </c>
      <c r="H4580">
        <v>1995</v>
      </c>
      <c r="I4580">
        <v>1999</v>
      </c>
      <c r="J4580">
        <f t="shared" si="142"/>
        <v>5</v>
      </c>
      <c r="K4580" s="1" t="s">
        <v>4668</v>
      </c>
      <c r="L4580" s="1" t="s">
        <v>5182</v>
      </c>
      <c r="M4580">
        <f t="shared" si="143"/>
        <v>27</v>
      </c>
      <c r="N4580" t="s">
        <v>640</v>
      </c>
    </row>
    <row r="4581" spans="1:14" hidden="1" x14ac:dyDescent="0.3">
      <c r="A4581" s="1" t="s">
        <v>5681</v>
      </c>
      <c r="B4581" s="1" t="s">
        <v>795</v>
      </c>
      <c r="C4581" s="1" t="s">
        <v>5682</v>
      </c>
      <c r="D4581" s="1" t="s">
        <v>1242</v>
      </c>
      <c r="E4581" s="1" t="s">
        <v>4250</v>
      </c>
      <c r="F4581" s="1" t="s">
        <v>4251</v>
      </c>
      <c r="G4581" s="1" t="s">
        <v>5606</v>
      </c>
      <c r="H4581">
        <v>1997</v>
      </c>
      <c r="I4581">
        <v>1999</v>
      </c>
      <c r="J4581">
        <f t="shared" si="142"/>
        <v>3</v>
      </c>
      <c r="K4581" s="1" t="s">
        <v>4668</v>
      </c>
      <c r="L4581" s="1" t="s">
        <v>5182</v>
      </c>
      <c r="M4581">
        <f t="shared" si="143"/>
        <v>27</v>
      </c>
      <c r="N4581" t="s">
        <v>640</v>
      </c>
    </row>
    <row r="4582" spans="1:14" hidden="1" x14ac:dyDescent="0.3">
      <c r="A4582" s="1" t="s">
        <v>5683</v>
      </c>
      <c r="B4582" s="1" t="s">
        <v>795</v>
      </c>
      <c r="C4582" s="1" t="s">
        <v>5684</v>
      </c>
      <c r="D4582" s="1" t="s">
        <v>1242</v>
      </c>
      <c r="E4582" s="1" t="s">
        <v>4250</v>
      </c>
      <c r="F4582" s="1" t="s">
        <v>4251</v>
      </c>
      <c r="G4582" s="1" t="s">
        <v>5606</v>
      </c>
      <c r="H4582">
        <v>1996</v>
      </c>
      <c r="I4582">
        <v>2000</v>
      </c>
      <c r="J4582">
        <f t="shared" si="142"/>
        <v>5</v>
      </c>
      <c r="K4582" s="1" t="s">
        <v>4668</v>
      </c>
      <c r="L4582" s="1" t="s">
        <v>5182</v>
      </c>
      <c r="M4582">
        <f t="shared" si="143"/>
        <v>26</v>
      </c>
      <c r="N4582" t="s">
        <v>640</v>
      </c>
    </row>
    <row r="4583" spans="1:14" hidden="1" x14ac:dyDescent="0.3">
      <c r="A4583" s="1" t="s">
        <v>5685</v>
      </c>
      <c r="B4583" s="1" t="s">
        <v>795</v>
      </c>
      <c r="C4583" s="1" t="s">
        <v>5686</v>
      </c>
      <c r="D4583" s="1" t="s">
        <v>1242</v>
      </c>
      <c r="E4583" s="1" t="s">
        <v>4250</v>
      </c>
      <c r="F4583" s="1" t="s">
        <v>4251</v>
      </c>
      <c r="G4583" s="1" t="s">
        <v>5606</v>
      </c>
      <c r="H4583">
        <v>2000</v>
      </c>
      <c r="I4583">
        <v>2004</v>
      </c>
      <c r="J4583">
        <f t="shared" si="142"/>
        <v>5</v>
      </c>
      <c r="K4583" s="1" t="s">
        <v>4668</v>
      </c>
      <c r="L4583" s="1" t="s">
        <v>5182</v>
      </c>
      <c r="M4583">
        <f t="shared" si="143"/>
        <v>22</v>
      </c>
      <c r="N4583" t="s">
        <v>650</v>
      </c>
    </row>
    <row r="4584" spans="1:14" hidden="1" x14ac:dyDescent="0.3">
      <c r="A4584" s="1" t="s">
        <v>5687</v>
      </c>
      <c r="B4584" s="1" t="s">
        <v>795</v>
      </c>
      <c r="C4584" s="1" t="s">
        <v>5688</v>
      </c>
      <c r="D4584" s="1" t="s">
        <v>1242</v>
      </c>
      <c r="E4584" s="1" t="s">
        <v>4250</v>
      </c>
      <c r="F4584" s="1" t="s">
        <v>4251</v>
      </c>
      <c r="G4584" s="1" t="s">
        <v>5606</v>
      </c>
      <c r="H4584">
        <v>1993</v>
      </c>
      <c r="I4584">
        <v>1996</v>
      </c>
      <c r="J4584">
        <f t="shared" si="142"/>
        <v>4</v>
      </c>
      <c r="K4584" s="1" t="s">
        <v>4668</v>
      </c>
      <c r="L4584" s="1" t="s">
        <v>5182</v>
      </c>
      <c r="M4584">
        <f t="shared" si="143"/>
        <v>30</v>
      </c>
      <c r="N4584" t="s">
        <v>640</v>
      </c>
    </row>
    <row r="4585" spans="1:14" hidden="1" x14ac:dyDescent="0.3">
      <c r="A4585" s="1" t="s">
        <v>5689</v>
      </c>
      <c r="B4585" s="1" t="s">
        <v>795</v>
      </c>
      <c r="C4585" s="1" t="s">
        <v>5690</v>
      </c>
      <c r="D4585" s="1" t="s">
        <v>1242</v>
      </c>
      <c r="E4585" s="1" t="s">
        <v>4250</v>
      </c>
      <c r="F4585" s="1" t="s">
        <v>4251</v>
      </c>
      <c r="G4585" s="1" t="s">
        <v>5606</v>
      </c>
      <c r="H4585">
        <v>1997</v>
      </c>
      <c r="I4585">
        <v>2000</v>
      </c>
      <c r="J4585">
        <f t="shared" si="142"/>
        <v>4</v>
      </c>
      <c r="K4585" s="1" t="s">
        <v>4668</v>
      </c>
      <c r="L4585" s="1" t="s">
        <v>5182</v>
      </c>
      <c r="M4585">
        <f t="shared" si="143"/>
        <v>26</v>
      </c>
      <c r="N4585" t="s">
        <v>640</v>
      </c>
    </row>
    <row r="4586" spans="1:14" hidden="1" x14ac:dyDescent="0.3">
      <c r="A4586" s="1" t="s">
        <v>5691</v>
      </c>
      <c r="B4586" s="1" t="s">
        <v>795</v>
      </c>
      <c r="C4586" s="1" t="s">
        <v>5692</v>
      </c>
      <c r="D4586" s="1" t="s">
        <v>1242</v>
      </c>
      <c r="E4586" s="1" t="s">
        <v>4250</v>
      </c>
      <c r="F4586" s="1" t="s">
        <v>4251</v>
      </c>
      <c r="G4586" s="1" t="s">
        <v>5606</v>
      </c>
      <c r="H4586">
        <v>1997</v>
      </c>
      <c r="I4586">
        <v>2000</v>
      </c>
      <c r="J4586">
        <f t="shared" si="142"/>
        <v>4</v>
      </c>
      <c r="K4586" s="1" t="s">
        <v>4668</v>
      </c>
      <c r="L4586" s="1" t="s">
        <v>5182</v>
      </c>
      <c r="M4586">
        <f t="shared" si="143"/>
        <v>26</v>
      </c>
      <c r="N4586" t="s">
        <v>640</v>
      </c>
    </row>
    <row r="4587" spans="1:14" hidden="1" x14ac:dyDescent="0.3">
      <c r="A4587" s="1" t="s">
        <v>5693</v>
      </c>
      <c r="B4587" s="1" t="s">
        <v>795</v>
      </c>
      <c r="C4587" s="1" t="s">
        <v>5694</v>
      </c>
      <c r="D4587" s="1" t="s">
        <v>1242</v>
      </c>
      <c r="E4587" s="1" t="s">
        <v>4250</v>
      </c>
      <c r="F4587" s="1" t="s">
        <v>4251</v>
      </c>
      <c r="G4587" s="1" t="s">
        <v>5606</v>
      </c>
      <c r="H4587">
        <v>2019</v>
      </c>
      <c r="I4587">
        <v>2019</v>
      </c>
      <c r="J4587">
        <f t="shared" si="142"/>
        <v>1</v>
      </c>
      <c r="K4587" s="1" t="s">
        <v>4668</v>
      </c>
      <c r="L4587" s="1" t="s">
        <v>659</v>
      </c>
      <c r="M4587">
        <f t="shared" si="143"/>
        <v>7</v>
      </c>
      <c r="N4587" t="s">
        <v>650</v>
      </c>
    </row>
    <row r="4588" spans="1:14" hidden="1" x14ac:dyDescent="0.3">
      <c r="A4588" s="1" t="s">
        <v>5695</v>
      </c>
      <c r="B4588" s="1" t="s">
        <v>795</v>
      </c>
      <c r="C4588" s="1" t="s">
        <v>5696</v>
      </c>
      <c r="D4588" s="1" t="s">
        <v>1242</v>
      </c>
      <c r="E4588" s="1" t="s">
        <v>4250</v>
      </c>
      <c r="F4588" s="1" t="s">
        <v>4251</v>
      </c>
      <c r="G4588" s="1" t="s">
        <v>5606</v>
      </c>
      <c r="H4588">
        <v>2011</v>
      </c>
      <c r="I4588">
        <v>2012</v>
      </c>
      <c r="J4588">
        <f t="shared" si="142"/>
        <v>2</v>
      </c>
      <c r="K4588" s="1" t="s">
        <v>4668</v>
      </c>
      <c r="L4588" s="1" t="s">
        <v>659</v>
      </c>
      <c r="M4588">
        <f t="shared" si="143"/>
        <v>14</v>
      </c>
      <c r="N4588" t="s">
        <v>650</v>
      </c>
    </row>
    <row r="4589" spans="1:14" hidden="1" x14ac:dyDescent="0.3">
      <c r="A4589" s="1" t="s">
        <v>5697</v>
      </c>
      <c r="B4589" s="1" t="s">
        <v>795</v>
      </c>
      <c r="C4589" s="1" t="s">
        <v>5698</v>
      </c>
      <c r="D4589" s="1" t="s">
        <v>1242</v>
      </c>
      <c r="E4589" s="1" t="s">
        <v>4250</v>
      </c>
      <c r="F4589" s="1" t="s">
        <v>4251</v>
      </c>
      <c r="G4589" s="1" t="s">
        <v>5606</v>
      </c>
      <c r="H4589">
        <v>2011</v>
      </c>
      <c r="I4589">
        <v>2011</v>
      </c>
      <c r="J4589">
        <f t="shared" si="142"/>
        <v>1</v>
      </c>
      <c r="K4589" s="1" t="s">
        <v>4668</v>
      </c>
      <c r="L4589" s="1" t="s">
        <v>659</v>
      </c>
      <c r="M4589">
        <f t="shared" si="143"/>
        <v>15</v>
      </c>
      <c r="N4589" t="s">
        <v>650</v>
      </c>
    </row>
    <row r="4590" spans="1:14" hidden="1" x14ac:dyDescent="0.3">
      <c r="A4590" s="1" t="s">
        <v>5699</v>
      </c>
      <c r="B4590" s="1" t="s">
        <v>795</v>
      </c>
      <c r="C4590" s="1" t="s">
        <v>5700</v>
      </c>
      <c r="D4590" s="1" t="s">
        <v>1242</v>
      </c>
      <c r="E4590" s="1" t="s">
        <v>4250</v>
      </c>
      <c r="F4590" s="1" t="s">
        <v>4251</v>
      </c>
      <c r="G4590" s="1" t="s">
        <v>5606</v>
      </c>
      <c r="H4590">
        <v>2011</v>
      </c>
      <c r="I4590">
        <v>2011</v>
      </c>
      <c r="J4590">
        <f t="shared" si="142"/>
        <v>1</v>
      </c>
      <c r="K4590" s="1" t="s">
        <v>4668</v>
      </c>
      <c r="L4590" s="1" t="s">
        <v>659</v>
      </c>
      <c r="M4590">
        <f t="shared" si="143"/>
        <v>15</v>
      </c>
      <c r="N4590" t="s">
        <v>650</v>
      </c>
    </row>
    <row r="4591" spans="1:14" hidden="1" x14ac:dyDescent="0.3">
      <c r="A4591" s="1" t="s">
        <v>5701</v>
      </c>
      <c r="B4591" s="1" t="s">
        <v>795</v>
      </c>
      <c r="C4591" s="1" t="s">
        <v>5702</v>
      </c>
      <c r="D4591" s="1" t="s">
        <v>1242</v>
      </c>
      <c r="E4591" s="1" t="s">
        <v>4250</v>
      </c>
      <c r="F4591" s="1" t="s">
        <v>4251</v>
      </c>
      <c r="G4591" s="1" t="s">
        <v>5606</v>
      </c>
      <c r="H4591">
        <v>2000</v>
      </c>
      <c r="I4591">
        <v>2005</v>
      </c>
      <c r="J4591">
        <f t="shared" si="142"/>
        <v>6</v>
      </c>
      <c r="K4591" s="1" t="s">
        <v>4668</v>
      </c>
      <c r="L4591" s="1" t="s">
        <v>5182</v>
      </c>
      <c r="M4591">
        <f t="shared" si="143"/>
        <v>21</v>
      </c>
      <c r="N4591" t="s">
        <v>650</v>
      </c>
    </row>
    <row r="4592" spans="1:14" hidden="1" x14ac:dyDescent="0.3">
      <c r="A4592" s="1" t="s">
        <v>5703</v>
      </c>
      <c r="B4592" s="1" t="s">
        <v>795</v>
      </c>
      <c r="C4592" s="1" t="s">
        <v>5704</v>
      </c>
      <c r="D4592" s="1" t="s">
        <v>1242</v>
      </c>
      <c r="E4592" s="1" t="s">
        <v>4250</v>
      </c>
      <c r="F4592" s="1" t="s">
        <v>4251</v>
      </c>
      <c r="G4592" s="1" t="s">
        <v>5606</v>
      </c>
      <c r="H4592">
        <v>2000</v>
      </c>
      <c r="I4592">
        <v>2005</v>
      </c>
      <c r="J4592">
        <f t="shared" si="142"/>
        <v>6</v>
      </c>
      <c r="K4592" s="1" t="s">
        <v>4668</v>
      </c>
      <c r="L4592" s="1" t="s">
        <v>5182</v>
      </c>
      <c r="M4592">
        <f t="shared" si="143"/>
        <v>21</v>
      </c>
      <c r="N4592" t="s">
        <v>650</v>
      </c>
    </row>
    <row r="4593" spans="1:14" hidden="1" x14ac:dyDescent="0.3">
      <c r="A4593" s="1" t="s">
        <v>5705</v>
      </c>
      <c r="B4593" s="1" t="s">
        <v>795</v>
      </c>
      <c r="C4593" s="1" t="s">
        <v>5706</v>
      </c>
      <c r="D4593" s="1" t="s">
        <v>1242</v>
      </c>
      <c r="E4593" s="1" t="s">
        <v>4250</v>
      </c>
      <c r="F4593" s="1" t="s">
        <v>4251</v>
      </c>
      <c r="G4593" s="1" t="s">
        <v>5606</v>
      </c>
      <c r="H4593">
        <v>1995</v>
      </c>
      <c r="I4593">
        <v>2000</v>
      </c>
      <c r="J4593">
        <f t="shared" si="142"/>
        <v>6</v>
      </c>
      <c r="K4593" s="1" t="s">
        <v>4668</v>
      </c>
      <c r="L4593" s="1" t="s">
        <v>5182</v>
      </c>
      <c r="M4593">
        <f t="shared" si="143"/>
        <v>26</v>
      </c>
      <c r="N4593" t="s">
        <v>640</v>
      </c>
    </row>
    <row r="4594" spans="1:14" hidden="1" x14ac:dyDescent="0.3">
      <c r="A4594" s="1" t="s">
        <v>5707</v>
      </c>
      <c r="B4594" s="1" t="s">
        <v>795</v>
      </c>
      <c r="C4594" s="1" t="s">
        <v>5708</v>
      </c>
      <c r="D4594" s="1" t="s">
        <v>1242</v>
      </c>
      <c r="E4594" s="1" t="s">
        <v>4250</v>
      </c>
      <c r="F4594" s="1" t="s">
        <v>4251</v>
      </c>
      <c r="G4594" s="1" t="s">
        <v>5606</v>
      </c>
      <c r="H4594">
        <v>1997</v>
      </c>
      <c r="I4594">
        <v>2000</v>
      </c>
      <c r="J4594">
        <f t="shared" si="142"/>
        <v>4</v>
      </c>
      <c r="K4594" s="1" t="s">
        <v>4668</v>
      </c>
      <c r="L4594" s="1" t="s">
        <v>5182</v>
      </c>
      <c r="M4594">
        <f t="shared" si="143"/>
        <v>26</v>
      </c>
      <c r="N4594" t="s">
        <v>640</v>
      </c>
    </row>
    <row r="4595" spans="1:14" hidden="1" x14ac:dyDescent="0.3">
      <c r="A4595" s="1" t="s">
        <v>5709</v>
      </c>
      <c r="B4595" s="1" t="s">
        <v>795</v>
      </c>
      <c r="C4595" s="1" t="s">
        <v>5710</v>
      </c>
      <c r="D4595" s="1" t="s">
        <v>1242</v>
      </c>
      <c r="E4595" s="1" t="s">
        <v>4250</v>
      </c>
      <c r="F4595" s="1" t="s">
        <v>4251</v>
      </c>
      <c r="G4595" s="1" t="s">
        <v>5606</v>
      </c>
      <c r="H4595">
        <v>1996</v>
      </c>
      <c r="I4595">
        <v>2000</v>
      </c>
      <c r="J4595">
        <f t="shared" si="142"/>
        <v>5</v>
      </c>
      <c r="K4595" s="1" t="s">
        <v>4668</v>
      </c>
      <c r="L4595" s="1" t="s">
        <v>5182</v>
      </c>
      <c r="M4595">
        <f t="shared" si="143"/>
        <v>26</v>
      </c>
      <c r="N4595" t="s">
        <v>640</v>
      </c>
    </row>
    <row r="4596" spans="1:14" hidden="1" x14ac:dyDescent="0.3">
      <c r="A4596" s="1" t="s">
        <v>5711</v>
      </c>
      <c r="B4596" s="1" t="s">
        <v>795</v>
      </c>
      <c r="C4596" s="1" t="s">
        <v>5712</v>
      </c>
      <c r="D4596" s="1" t="s">
        <v>1242</v>
      </c>
      <c r="E4596" s="1" t="s">
        <v>4250</v>
      </c>
      <c r="F4596" s="1" t="s">
        <v>4251</v>
      </c>
      <c r="G4596" s="1" t="s">
        <v>5606</v>
      </c>
      <c r="H4596">
        <v>2005</v>
      </c>
      <c r="I4596">
        <v>2007</v>
      </c>
      <c r="J4596">
        <f t="shared" si="142"/>
        <v>3</v>
      </c>
      <c r="K4596" s="1" t="s">
        <v>4668</v>
      </c>
      <c r="L4596" s="1" t="s">
        <v>659</v>
      </c>
      <c r="M4596">
        <f t="shared" si="143"/>
        <v>19</v>
      </c>
      <c r="N4596" t="s">
        <v>650</v>
      </c>
    </row>
    <row r="4597" spans="1:14" hidden="1" x14ac:dyDescent="0.3">
      <c r="A4597" t="s">
        <v>11097</v>
      </c>
      <c r="B4597" t="s">
        <v>795</v>
      </c>
      <c r="C4597" t="s">
        <v>11098</v>
      </c>
      <c r="E4597" s="1" t="e">
        <v>#N/A</v>
      </c>
      <c r="F4597" s="1" t="e">
        <v>#N/A</v>
      </c>
      <c r="G4597" s="1" t="s">
        <v>5606</v>
      </c>
      <c r="H4597">
        <v>2025</v>
      </c>
      <c r="I4597">
        <v>2026</v>
      </c>
      <c r="J4597">
        <f t="shared" si="142"/>
        <v>2</v>
      </c>
      <c r="K4597" s="1" t="s">
        <v>4668</v>
      </c>
      <c r="L4597" s="1" t="s">
        <v>666</v>
      </c>
      <c r="M4597">
        <f t="shared" si="143"/>
        <v>0</v>
      </c>
    </row>
    <row r="4598" spans="1:14" hidden="1" x14ac:dyDescent="0.3">
      <c r="A4598" t="s">
        <v>11099</v>
      </c>
      <c r="B4598" t="s">
        <v>795</v>
      </c>
      <c r="C4598" t="s">
        <v>11100</v>
      </c>
      <c r="E4598" s="1" t="e">
        <v>#N/A</v>
      </c>
      <c r="F4598" s="1" t="e">
        <v>#N/A</v>
      </c>
      <c r="G4598" s="1" t="s">
        <v>5606</v>
      </c>
      <c r="H4598">
        <v>2025</v>
      </c>
      <c r="I4598">
        <v>2026</v>
      </c>
      <c r="J4598">
        <f t="shared" si="142"/>
        <v>2</v>
      </c>
      <c r="K4598" s="1" t="s">
        <v>4668</v>
      </c>
      <c r="L4598" s="1" t="s">
        <v>666</v>
      </c>
      <c r="M4598">
        <f t="shared" si="143"/>
        <v>0</v>
      </c>
    </row>
    <row r="4599" spans="1:14" hidden="1" x14ac:dyDescent="0.3">
      <c r="A4599" t="s">
        <v>11101</v>
      </c>
      <c r="B4599" t="s">
        <v>795</v>
      </c>
      <c r="C4599" t="s">
        <v>11102</v>
      </c>
      <c r="E4599" s="1" t="e">
        <v>#N/A</v>
      </c>
      <c r="F4599" s="1" t="e">
        <v>#N/A</v>
      </c>
      <c r="G4599" s="1" t="s">
        <v>5606</v>
      </c>
      <c r="H4599">
        <v>2025</v>
      </c>
      <c r="I4599">
        <v>2026</v>
      </c>
      <c r="J4599">
        <f t="shared" si="142"/>
        <v>2</v>
      </c>
      <c r="K4599" s="1" t="s">
        <v>4668</v>
      </c>
      <c r="L4599" s="1" t="s">
        <v>666</v>
      </c>
      <c r="M4599">
        <f t="shared" si="143"/>
        <v>0</v>
      </c>
    </row>
    <row r="4600" spans="1:14" hidden="1" x14ac:dyDescent="0.3">
      <c r="A4600" s="1" t="s">
        <v>5713</v>
      </c>
      <c r="B4600" s="1" t="s">
        <v>795</v>
      </c>
      <c r="C4600" s="1" t="s">
        <v>5714</v>
      </c>
      <c r="D4600" s="1" t="s">
        <v>1242</v>
      </c>
      <c r="E4600" s="1" t="s">
        <v>4250</v>
      </c>
      <c r="F4600" s="1" t="s">
        <v>4251</v>
      </c>
      <c r="G4600" s="1" t="s">
        <v>5606</v>
      </c>
      <c r="H4600">
        <v>2022</v>
      </c>
      <c r="I4600">
        <v>2022</v>
      </c>
      <c r="J4600">
        <f t="shared" si="142"/>
        <v>1</v>
      </c>
      <c r="K4600" s="1" t="s">
        <v>4668</v>
      </c>
      <c r="L4600" s="1" t="s">
        <v>649</v>
      </c>
      <c r="M4600">
        <f t="shared" si="143"/>
        <v>4</v>
      </c>
      <c r="N4600" t="s">
        <v>650</v>
      </c>
    </row>
    <row r="4601" spans="1:14" hidden="1" x14ac:dyDescent="0.3">
      <c r="A4601" s="1" t="s">
        <v>5715</v>
      </c>
      <c r="B4601" s="1" t="s">
        <v>795</v>
      </c>
      <c r="C4601" s="1" t="s">
        <v>5716</v>
      </c>
      <c r="D4601" s="1" t="s">
        <v>1242</v>
      </c>
      <c r="E4601" s="1" t="s">
        <v>4250</v>
      </c>
      <c r="F4601" s="1" t="s">
        <v>4251</v>
      </c>
      <c r="G4601" s="1" t="s">
        <v>5606</v>
      </c>
      <c r="H4601">
        <v>2000</v>
      </c>
      <c r="I4601">
        <v>2005</v>
      </c>
      <c r="J4601">
        <f t="shared" si="142"/>
        <v>6</v>
      </c>
      <c r="K4601" s="1" t="s">
        <v>4668</v>
      </c>
      <c r="L4601" s="1" t="s">
        <v>5182</v>
      </c>
      <c r="M4601">
        <f t="shared" si="143"/>
        <v>21</v>
      </c>
      <c r="N4601" t="s">
        <v>650</v>
      </c>
    </row>
    <row r="4602" spans="1:14" hidden="1" x14ac:dyDescent="0.3">
      <c r="A4602" s="1" t="s">
        <v>5717</v>
      </c>
      <c r="B4602" s="1" t="s">
        <v>795</v>
      </c>
      <c r="C4602" s="1" t="s">
        <v>5718</v>
      </c>
      <c r="D4602" s="1" t="s">
        <v>1242</v>
      </c>
      <c r="E4602" s="1" t="s">
        <v>4250</v>
      </c>
      <c r="F4602" s="1" t="s">
        <v>4251</v>
      </c>
      <c r="G4602" s="1" t="s">
        <v>5606</v>
      </c>
      <c r="H4602">
        <v>2006</v>
      </c>
      <c r="I4602">
        <v>2016</v>
      </c>
      <c r="J4602">
        <f t="shared" si="142"/>
        <v>11</v>
      </c>
      <c r="K4602" s="1" t="s">
        <v>4668</v>
      </c>
      <c r="L4602" s="1" t="s">
        <v>659</v>
      </c>
      <c r="M4602">
        <f t="shared" si="143"/>
        <v>10</v>
      </c>
      <c r="N4602" t="s">
        <v>650</v>
      </c>
    </row>
    <row r="4603" spans="1:14" hidden="1" x14ac:dyDescent="0.3">
      <c r="A4603" s="1" t="s">
        <v>5719</v>
      </c>
      <c r="B4603" s="1" t="s">
        <v>795</v>
      </c>
      <c r="C4603" s="1" t="s">
        <v>5720</v>
      </c>
      <c r="D4603" s="1" t="s">
        <v>1242</v>
      </c>
      <c r="E4603" s="1" t="s">
        <v>4250</v>
      </c>
      <c r="F4603" s="1" t="s">
        <v>4251</v>
      </c>
      <c r="G4603" s="1" t="s">
        <v>5606</v>
      </c>
      <c r="H4603">
        <v>2009</v>
      </c>
      <c r="I4603">
        <v>2012</v>
      </c>
      <c r="J4603">
        <f t="shared" si="142"/>
        <v>4</v>
      </c>
      <c r="K4603" s="1" t="s">
        <v>4668</v>
      </c>
      <c r="L4603" s="1" t="s">
        <v>659</v>
      </c>
      <c r="M4603">
        <f t="shared" si="143"/>
        <v>14</v>
      </c>
      <c r="N4603" t="s">
        <v>650</v>
      </c>
    </row>
    <row r="4604" spans="1:14" hidden="1" x14ac:dyDescent="0.3">
      <c r="A4604" s="1" t="s">
        <v>5721</v>
      </c>
      <c r="B4604" s="1" t="s">
        <v>795</v>
      </c>
      <c r="C4604" s="1" t="s">
        <v>5722</v>
      </c>
      <c r="D4604" s="1" t="s">
        <v>1242</v>
      </c>
      <c r="E4604" s="1" t="s">
        <v>4250</v>
      </c>
      <c r="F4604" s="1" t="s">
        <v>4251</v>
      </c>
      <c r="G4604" s="1" t="s">
        <v>5606</v>
      </c>
      <c r="H4604">
        <v>2005</v>
      </c>
      <c r="I4604">
        <v>2006</v>
      </c>
      <c r="J4604">
        <f t="shared" si="142"/>
        <v>2</v>
      </c>
      <c r="K4604" s="1" t="s">
        <v>4668</v>
      </c>
      <c r="L4604" s="1" t="s">
        <v>659</v>
      </c>
      <c r="M4604">
        <f t="shared" si="143"/>
        <v>20</v>
      </c>
      <c r="N4604" t="s">
        <v>650</v>
      </c>
    </row>
    <row r="4605" spans="1:14" hidden="1" x14ac:dyDescent="0.3">
      <c r="A4605" s="1" t="s">
        <v>5723</v>
      </c>
      <c r="B4605" s="1" t="s">
        <v>795</v>
      </c>
      <c r="C4605" s="1" t="s">
        <v>5724</v>
      </c>
      <c r="D4605" s="1" t="s">
        <v>1242</v>
      </c>
      <c r="E4605" s="1" t="s">
        <v>4250</v>
      </c>
      <c r="F4605" s="1" t="s">
        <v>4251</v>
      </c>
      <c r="G4605" s="1" t="s">
        <v>5606</v>
      </c>
      <c r="H4605">
        <v>2005</v>
      </c>
      <c r="I4605">
        <v>2008</v>
      </c>
      <c r="J4605">
        <f t="shared" si="142"/>
        <v>4</v>
      </c>
      <c r="K4605" s="1" t="s">
        <v>4668</v>
      </c>
      <c r="L4605" s="1" t="s">
        <v>659</v>
      </c>
      <c r="M4605">
        <f t="shared" si="143"/>
        <v>18</v>
      </c>
      <c r="N4605" t="s">
        <v>650</v>
      </c>
    </row>
    <row r="4606" spans="1:14" hidden="1" x14ac:dyDescent="0.3">
      <c r="A4606" s="1" t="s">
        <v>5725</v>
      </c>
      <c r="B4606" s="1" t="s">
        <v>795</v>
      </c>
      <c r="C4606" s="1" t="s">
        <v>5726</v>
      </c>
      <c r="D4606" s="1" t="s">
        <v>1242</v>
      </c>
      <c r="E4606" s="1" t="s">
        <v>4250</v>
      </c>
      <c r="F4606" s="1" t="s">
        <v>4251</v>
      </c>
      <c r="G4606" s="1" t="s">
        <v>5606</v>
      </c>
      <c r="H4606">
        <v>2005</v>
      </c>
      <c r="I4606">
        <v>2012</v>
      </c>
      <c r="J4606">
        <f t="shared" si="142"/>
        <v>8</v>
      </c>
      <c r="K4606" s="1" t="s">
        <v>4668</v>
      </c>
      <c r="L4606" s="1" t="s">
        <v>659</v>
      </c>
      <c r="M4606">
        <f t="shared" si="143"/>
        <v>14</v>
      </c>
      <c r="N4606" t="s">
        <v>650</v>
      </c>
    </row>
    <row r="4607" spans="1:14" hidden="1" x14ac:dyDescent="0.3">
      <c r="A4607" s="1" t="s">
        <v>5727</v>
      </c>
      <c r="B4607" s="1" t="s">
        <v>795</v>
      </c>
      <c r="C4607" s="1" t="s">
        <v>5728</v>
      </c>
      <c r="D4607" s="1" t="s">
        <v>1242</v>
      </c>
      <c r="E4607" s="1" t="s">
        <v>4250</v>
      </c>
      <c r="F4607" s="1" t="s">
        <v>4251</v>
      </c>
      <c r="G4607" s="1" t="s">
        <v>5606</v>
      </c>
      <c r="H4607">
        <v>2005</v>
      </c>
      <c r="I4607">
        <v>2012</v>
      </c>
      <c r="J4607">
        <f t="shared" si="142"/>
        <v>8</v>
      </c>
      <c r="K4607" s="1" t="s">
        <v>4668</v>
      </c>
      <c r="L4607" s="1" t="s">
        <v>659</v>
      </c>
      <c r="M4607">
        <f t="shared" si="143"/>
        <v>14</v>
      </c>
      <c r="N4607" t="s">
        <v>650</v>
      </c>
    </row>
    <row r="4608" spans="1:14" hidden="1" x14ac:dyDescent="0.3">
      <c r="A4608" s="1" t="s">
        <v>5729</v>
      </c>
      <c r="B4608" s="1" t="s">
        <v>795</v>
      </c>
      <c r="C4608" s="1" t="s">
        <v>5730</v>
      </c>
      <c r="D4608" s="1" t="s">
        <v>1242</v>
      </c>
      <c r="E4608" s="1" t="s">
        <v>4250</v>
      </c>
      <c r="F4608" s="1" t="s">
        <v>4251</v>
      </c>
      <c r="G4608" s="1" t="s">
        <v>5606</v>
      </c>
      <c r="H4608">
        <v>2009</v>
      </c>
      <c r="I4608">
        <v>2012</v>
      </c>
      <c r="J4608">
        <f t="shared" si="142"/>
        <v>4</v>
      </c>
      <c r="K4608" s="1" t="s">
        <v>4668</v>
      </c>
      <c r="L4608" s="1" t="s">
        <v>659</v>
      </c>
      <c r="M4608">
        <f t="shared" si="143"/>
        <v>14</v>
      </c>
      <c r="N4608" t="s">
        <v>650</v>
      </c>
    </row>
    <row r="4609" spans="1:14" hidden="1" x14ac:dyDescent="0.3">
      <c r="A4609" s="1" t="s">
        <v>5731</v>
      </c>
      <c r="B4609" s="1" t="s">
        <v>795</v>
      </c>
      <c r="C4609" s="1" t="s">
        <v>5732</v>
      </c>
      <c r="D4609" s="1" t="s">
        <v>1242</v>
      </c>
      <c r="E4609" s="1" t="s">
        <v>4250</v>
      </c>
      <c r="F4609" s="1" t="s">
        <v>4251</v>
      </c>
      <c r="G4609" s="1" t="s">
        <v>5606</v>
      </c>
      <c r="H4609">
        <v>2016</v>
      </c>
      <c r="I4609">
        <v>2016</v>
      </c>
      <c r="J4609">
        <f t="shared" si="142"/>
        <v>1</v>
      </c>
      <c r="K4609" s="1" t="s">
        <v>4668</v>
      </c>
      <c r="L4609" s="1" t="s">
        <v>659</v>
      </c>
      <c r="M4609">
        <f t="shared" si="143"/>
        <v>10</v>
      </c>
      <c r="N4609" t="s">
        <v>650</v>
      </c>
    </row>
    <row r="4610" spans="1:14" hidden="1" x14ac:dyDescent="0.3">
      <c r="A4610" s="1" t="s">
        <v>5733</v>
      </c>
      <c r="B4610" s="1" t="s">
        <v>795</v>
      </c>
      <c r="C4610" s="1" t="s">
        <v>5734</v>
      </c>
      <c r="D4610" s="1" t="s">
        <v>1242</v>
      </c>
      <c r="E4610" s="1" t="s">
        <v>4250</v>
      </c>
      <c r="F4610" s="1" t="s">
        <v>4251</v>
      </c>
      <c r="G4610" s="1" t="s">
        <v>5606</v>
      </c>
      <c r="H4610">
        <v>2016</v>
      </c>
      <c r="I4610">
        <v>2022</v>
      </c>
      <c r="J4610">
        <f t="shared" si="142"/>
        <v>7</v>
      </c>
      <c r="K4610" s="1" t="s">
        <v>4668</v>
      </c>
      <c r="L4610" s="1" t="s">
        <v>649</v>
      </c>
      <c r="M4610">
        <f t="shared" si="143"/>
        <v>4</v>
      </c>
      <c r="N4610" t="s">
        <v>650</v>
      </c>
    </row>
    <row r="4611" spans="1:14" hidden="1" x14ac:dyDescent="0.3">
      <c r="A4611" s="1" t="s">
        <v>5735</v>
      </c>
      <c r="B4611" s="1" t="s">
        <v>795</v>
      </c>
      <c r="C4611" s="1" t="s">
        <v>5736</v>
      </c>
      <c r="D4611" s="1" t="s">
        <v>1242</v>
      </c>
      <c r="E4611" s="1" t="s">
        <v>4250</v>
      </c>
      <c r="F4611" s="1" t="s">
        <v>4251</v>
      </c>
      <c r="G4611" s="1" t="s">
        <v>5606</v>
      </c>
      <c r="H4611">
        <v>1996</v>
      </c>
      <c r="I4611">
        <v>2000</v>
      </c>
      <c r="J4611">
        <f t="shared" si="142"/>
        <v>5</v>
      </c>
      <c r="K4611" s="1" t="s">
        <v>4668</v>
      </c>
      <c r="L4611" s="1" t="s">
        <v>5182</v>
      </c>
      <c r="M4611">
        <f t="shared" si="143"/>
        <v>26</v>
      </c>
      <c r="N4611" t="s">
        <v>640</v>
      </c>
    </row>
    <row r="4612" spans="1:14" hidden="1" x14ac:dyDescent="0.3">
      <c r="A4612" s="1" t="s">
        <v>5737</v>
      </c>
      <c r="B4612" s="1" t="s">
        <v>795</v>
      </c>
      <c r="C4612" s="1" t="s">
        <v>5738</v>
      </c>
      <c r="D4612" s="1" t="s">
        <v>1242</v>
      </c>
      <c r="E4612" s="1" t="s">
        <v>4250</v>
      </c>
      <c r="F4612" s="1" t="s">
        <v>4251</v>
      </c>
      <c r="G4612" s="1" t="s">
        <v>5606</v>
      </c>
      <c r="H4612">
        <v>2005</v>
      </c>
      <c r="I4612">
        <v>2008</v>
      </c>
      <c r="J4612">
        <f t="shared" si="142"/>
        <v>4</v>
      </c>
      <c r="K4612" s="1" t="s">
        <v>4668</v>
      </c>
      <c r="L4612" s="1" t="s">
        <v>659</v>
      </c>
      <c r="M4612">
        <f t="shared" si="143"/>
        <v>18</v>
      </c>
      <c r="N4612" t="s">
        <v>650</v>
      </c>
    </row>
    <row r="4613" spans="1:14" hidden="1" x14ac:dyDescent="0.3">
      <c r="A4613" s="1" t="s">
        <v>5739</v>
      </c>
      <c r="B4613" s="1" t="s">
        <v>795</v>
      </c>
      <c r="C4613" s="1" t="s">
        <v>5740</v>
      </c>
      <c r="D4613" s="1" t="s">
        <v>1242</v>
      </c>
      <c r="E4613" s="1" t="s">
        <v>4250</v>
      </c>
      <c r="F4613" s="1" t="s">
        <v>4251</v>
      </c>
      <c r="G4613" s="1" t="s">
        <v>5606</v>
      </c>
      <c r="H4613">
        <v>2000</v>
      </c>
      <c r="I4613">
        <v>2006</v>
      </c>
      <c r="J4613">
        <f t="shared" si="142"/>
        <v>7</v>
      </c>
      <c r="K4613" s="1" t="s">
        <v>4668</v>
      </c>
      <c r="L4613" s="1" t="s">
        <v>659</v>
      </c>
      <c r="M4613">
        <f t="shared" si="143"/>
        <v>20</v>
      </c>
      <c r="N4613" t="s">
        <v>650</v>
      </c>
    </row>
    <row r="4614" spans="1:14" hidden="1" x14ac:dyDescent="0.3">
      <c r="A4614" s="1" t="s">
        <v>5741</v>
      </c>
      <c r="B4614" s="1" t="s">
        <v>795</v>
      </c>
      <c r="C4614" s="1" t="s">
        <v>5742</v>
      </c>
      <c r="D4614" s="1" t="s">
        <v>1242</v>
      </c>
      <c r="E4614" s="1" t="s">
        <v>4250</v>
      </c>
      <c r="F4614" s="1" t="s">
        <v>4251</v>
      </c>
      <c r="G4614" s="1" t="s">
        <v>5606</v>
      </c>
      <c r="H4614">
        <v>2005</v>
      </c>
      <c r="I4614">
        <v>2011</v>
      </c>
      <c r="J4614">
        <f t="shared" ref="J4614:J4677" si="144">1+(I4614-H4614)</f>
        <v>7</v>
      </c>
      <c r="K4614" s="1" t="s">
        <v>4668</v>
      </c>
      <c r="L4614" s="1" t="s">
        <v>659</v>
      </c>
      <c r="M4614">
        <f t="shared" ref="M4614:M4677" si="145">IF(I4614=0,0,$B$2-I4614)</f>
        <v>15</v>
      </c>
      <c r="N4614" t="s">
        <v>650</v>
      </c>
    </row>
    <row r="4615" spans="1:14" x14ac:dyDescent="0.3">
      <c r="A4615" s="1" t="s">
        <v>9593</v>
      </c>
      <c r="B4615" s="1" t="s">
        <v>3790</v>
      </c>
      <c r="C4615" s="1" t="s">
        <v>9594</v>
      </c>
      <c r="D4615" s="1" t="s">
        <v>746</v>
      </c>
      <c r="E4615" s="1" t="s">
        <v>6076</v>
      </c>
      <c r="F4615" s="1" t="s">
        <v>6076</v>
      </c>
      <c r="G4615" s="1" t="s">
        <v>9595</v>
      </c>
      <c r="H4615">
        <v>2010</v>
      </c>
      <c r="I4615">
        <v>2012</v>
      </c>
      <c r="J4615">
        <f t="shared" si="144"/>
        <v>3</v>
      </c>
      <c r="K4615" s="1" t="s">
        <v>6076</v>
      </c>
      <c r="L4615" s="1" t="s">
        <v>6076</v>
      </c>
      <c r="M4615">
        <f t="shared" si="145"/>
        <v>14</v>
      </c>
      <c r="N4615" t="s">
        <v>650</v>
      </c>
    </row>
    <row r="4616" spans="1:14" x14ac:dyDescent="0.3">
      <c r="A4616" s="1" t="s">
        <v>547</v>
      </c>
      <c r="B4616" s="1" t="s">
        <v>5940</v>
      </c>
      <c r="C4616" s="1" t="s">
        <v>548</v>
      </c>
      <c r="D4616" s="1" t="s">
        <v>746</v>
      </c>
      <c r="E4616" s="1" t="s">
        <v>6076</v>
      </c>
      <c r="F4616" s="1" t="s">
        <v>6076</v>
      </c>
      <c r="G4616" s="1" t="s">
        <v>9596</v>
      </c>
      <c r="H4616">
        <v>1999</v>
      </c>
      <c r="I4616">
        <v>2003</v>
      </c>
      <c r="J4616">
        <f t="shared" si="144"/>
        <v>5</v>
      </c>
      <c r="K4616" s="1" t="s">
        <v>6076</v>
      </c>
      <c r="L4616" s="1" t="s">
        <v>6076</v>
      </c>
      <c r="M4616">
        <f t="shared" si="145"/>
        <v>23</v>
      </c>
    </row>
    <row r="4617" spans="1:14" x14ac:dyDescent="0.3">
      <c r="A4617" s="1" t="s">
        <v>549</v>
      </c>
      <c r="B4617" s="1" t="s">
        <v>5940</v>
      </c>
      <c r="C4617" s="1" t="s">
        <v>550</v>
      </c>
      <c r="D4617" s="1" t="s">
        <v>738</v>
      </c>
      <c r="E4617" s="1" t="s">
        <v>6076</v>
      </c>
      <c r="F4617" s="1" t="s">
        <v>6076</v>
      </c>
      <c r="G4617" s="1" t="s">
        <v>9596</v>
      </c>
      <c r="H4617">
        <v>2014</v>
      </c>
      <c r="I4617">
        <v>2016</v>
      </c>
      <c r="J4617">
        <f t="shared" si="144"/>
        <v>3</v>
      </c>
      <c r="K4617" s="1" t="s">
        <v>6076</v>
      </c>
      <c r="L4617" s="1" t="s">
        <v>6076</v>
      </c>
      <c r="M4617">
        <f t="shared" si="145"/>
        <v>10</v>
      </c>
    </row>
    <row r="4618" spans="1:14" x14ac:dyDescent="0.3">
      <c r="A4618" s="1" t="s">
        <v>551</v>
      </c>
      <c r="B4618" s="1" t="s">
        <v>5940</v>
      </c>
      <c r="C4618" s="1" t="s">
        <v>552</v>
      </c>
      <c r="D4618" s="1" t="s">
        <v>746</v>
      </c>
      <c r="E4618" s="1" t="s">
        <v>6076</v>
      </c>
      <c r="F4618" s="1" t="s">
        <v>6076</v>
      </c>
      <c r="G4618" s="1" t="s">
        <v>9596</v>
      </c>
      <c r="H4618">
        <v>2010</v>
      </c>
      <c r="I4618">
        <v>2016</v>
      </c>
      <c r="J4618">
        <f t="shared" si="144"/>
        <v>7</v>
      </c>
      <c r="K4618" s="1" t="s">
        <v>6076</v>
      </c>
      <c r="L4618" s="1" t="s">
        <v>6076</v>
      </c>
      <c r="M4618">
        <f t="shared" si="145"/>
        <v>10</v>
      </c>
    </row>
    <row r="4619" spans="1:14" x14ac:dyDescent="0.3">
      <c r="A4619" s="1" t="s">
        <v>9597</v>
      </c>
      <c r="B4619" s="1" t="s">
        <v>5931</v>
      </c>
      <c r="C4619" s="1" t="s">
        <v>9598</v>
      </c>
      <c r="D4619" s="1" t="s">
        <v>738</v>
      </c>
      <c r="E4619" s="1" t="s">
        <v>6076</v>
      </c>
      <c r="F4619" s="1" t="s">
        <v>6076</v>
      </c>
      <c r="G4619" s="1" t="s">
        <v>9599</v>
      </c>
      <c r="H4619">
        <v>1993</v>
      </c>
      <c r="I4619">
        <v>2001</v>
      </c>
      <c r="J4619">
        <f t="shared" si="144"/>
        <v>9</v>
      </c>
      <c r="K4619" s="1" t="s">
        <v>6076</v>
      </c>
      <c r="L4619" s="1" t="s">
        <v>6076</v>
      </c>
      <c r="M4619">
        <f t="shared" si="145"/>
        <v>25</v>
      </c>
    </row>
    <row r="4620" spans="1:14" x14ac:dyDescent="0.3">
      <c r="A4620" s="1" t="s">
        <v>553</v>
      </c>
      <c r="B4620" s="1" t="s">
        <v>5940</v>
      </c>
      <c r="C4620" s="1" t="s">
        <v>554</v>
      </c>
      <c r="D4620" s="1" t="s">
        <v>738</v>
      </c>
      <c r="E4620" s="1" t="s">
        <v>6076</v>
      </c>
      <c r="F4620" s="1" t="s">
        <v>6076</v>
      </c>
      <c r="G4620" s="1" t="s">
        <v>9600</v>
      </c>
      <c r="H4620">
        <v>2000</v>
      </c>
      <c r="I4620">
        <v>2001</v>
      </c>
      <c r="J4620">
        <f t="shared" si="144"/>
        <v>2</v>
      </c>
      <c r="K4620" s="1" t="s">
        <v>6076</v>
      </c>
      <c r="L4620" s="1" t="s">
        <v>6076</v>
      </c>
      <c r="M4620">
        <f t="shared" si="145"/>
        <v>25</v>
      </c>
    </row>
    <row r="4621" spans="1:14" x14ac:dyDescent="0.3">
      <c r="A4621" s="1" t="s">
        <v>555</v>
      </c>
      <c r="B4621" s="1" t="s">
        <v>5940</v>
      </c>
      <c r="C4621" s="1" t="s">
        <v>556</v>
      </c>
      <c r="D4621" s="1" t="s">
        <v>738</v>
      </c>
      <c r="E4621" s="1" t="s">
        <v>6076</v>
      </c>
      <c r="F4621" s="1" t="s">
        <v>6076</v>
      </c>
      <c r="G4621" s="1" t="s">
        <v>9600</v>
      </c>
      <c r="H4621">
        <v>1999</v>
      </c>
      <c r="I4621">
        <v>2001</v>
      </c>
      <c r="J4621">
        <f t="shared" si="144"/>
        <v>3</v>
      </c>
      <c r="K4621" s="1" t="s">
        <v>6076</v>
      </c>
      <c r="L4621" s="1" t="s">
        <v>6076</v>
      </c>
      <c r="M4621">
        <f t="shared" si="145"/>
        <v>25</v>
      </c>
    </row>
    <row r="4622" spans="1:14" x14ac:dyDescent="0.3">
      <c r="A4622" s="1" t="s">
        <v>557</v>
      </c>
      <c r="B4622" s="1" t="s">
        <v>5940</v>
      </c>
      <c r="C4622" s="1" t="s">
        <v>558</v>
      </c>
      <c r="D4622" s="1" t="s">
        <v>738</v>
      </c>
      <c r="E4622" s="1" t="s">
        <v>6076</v>
      </c>
      <c r="F4622" s="1" t="s">
        <v>6076</v>
      </c>
      <c r="G4622" s="1" t="s">
        <v>9600</v>
      </c>
      <c r="H4622">
        <v>2012</v>
      </c>
      <c r="I4622">
        <v>2014</v>
      </c>
      <c r="J4622">
        <f t="shared" si="144"/>
        <v>3</v>
      </c>
      <c r="K4622" s="1" t="s">
        <v>6076</v>
      </c>
      <c r="L4622" s="1" t="s">
        <v>6076</v>
      </c>
      <c r="M4622">
        <f t="shared" si="145"/>
        <v>12</v>
      </c>
    </row>
    <row r="4623" spans="1:14" x14ac:dyDescent="0.3">
      <c r="A4623" s="1" t="s">
        <v>559</v>
      </c>
      <c r="B4623" s="1" t="s">
        <v>5940</v>
      </c>
      <c r="C4623" s="1" t="s">
        <v>560</v>
      </c>
      <c r="D4623" s="1" t="s">
        <v>738</v>
      </c>
      <c r="E4623" s="1" t="s">
        <v>6076</v>
      </c>
      <c r="F4623" s="1" t="s">
        <v>6076</v>
      </c>
      <c r="G4623" s="1" t="s">
        <v>9600</v>
      </c>
      <c r="H4623">
        <v>2011</v>
      </c>
      <c r="I4623">
        <v>2014</v>
      </c>
      <c r="J4623">
        <f t="shared" si="144"/>
        <v>4</v>
      </c>
      <c r="K4623" s="1" t="s">
        <v>6076</v>
      </c>
      <c r="L4623" s="1" t="s">
        <v>6076</v>
      </c>
      <c r="M4623">
        <f t="shared" si="145"/>
        <v>12</v>
      </c>
    </row>
    <row r="4624" spans="1:14" x14ac:dyDescent="0.3">
      <c r="A4624" s="1" t="s">
        <v>561</v>
      </c>
      <c r="B4624" s="1" t="s">
        <v>5940</v>
      </c>
      <c r="C4624" s="1" t="s">
        <v>562</v>
      </c>
      <c r="D4624" s="1" t="s">
        <v>738</v>
      </c>
      <c r="E4624" s="1" t="s">
        <v>6076</v>
      </c>
      <c r="F4624" s="1" t="s">
        <v>6076</v>
      </c>
      <c r="G4624" s="1" t="s">
        <v>9600</v>
      </c>
      <c r="H4624">
        <v>2004</v>
      </c>
      <c r="I4624">
        <v>2005</v>
      </c>
      <c r="J4624">
        <f t="shared" si="144"/>
        <v>2</v>
      </c>
      <c r="K4624" s="1" t="s">
        <v>6076</v>
      </c>
      <c r="L4624" s="1" t="s">
        <v>6076</v>
      </c>
      <c r="M4624">
        <f t="shared" si="145"/>
        <v>21</v>
      </c>
    </row>
    <row r="4625" spans="1:13" x14ac:dyDescent="0.3">
      <c r="A4625" s="1" t="s">
        <v>563</v>
      </c>
      <c r="B4625" s="1" t="s">
        <v>5940</v>
      </c>
      <c r="C4625" s="1" t="s">
        <v>564</v>
      </c>
      <c r="D4625" s="1" t="s">
        <v>738</v>
      </c>
      <c r="E4625" s="1" t="s">
        <v>6076</v>
      </c>
      <c r="F4625" s="1" t="s">
        <v>6076</v>
      </c>
      <c r="G4625" s="1" t="s">
        <v>9600</v>
      </c>
      <c r="H4625">
        <v>2004</v>
      </c>
      <c r="I4625">
        <v>2005</v>
      </c>
      <c r="J4625">
        <f t="shared" si="144"/>
        <v>2</v>
      </c>
      <c r="K4625" s="1" t="s">
        <v>6076</v>
      </c>
      <c r="L4625" s="1" t="s">
        <v>6076</v>
      </c>
      <c r="M4625">
        <f t="shared" si="145"/>
        <v>21</v>
      </c>
    </row>
    <row r="4626" spans="1:13" x14ac:dyDescent="0.3">
      <c r="A4626" t="s">
        <v>12417</v>
      </c>
      <c r="B4626" t="s">
        <v>12697</v>
      </c>
      <c r="C4626" t="s">
        <v>12418</v>
      </c>
      <c r="E4626" s="1" t="s">
        <v>6076</v>
      </c>
      <c r="F4626" s="1" t="s">
        <v>6076</v>
      </c>
      <c r="G4626" s="1" t="s">
        <v>12894</v>
      </c>
      <c r="H4626">
        <v>1997</v>
      </c>
      <c r="I4626">
        <v>2000</v>
      </c>
      <c r="J4626">
        <f t="shared" si="144"/>
        <v>4</v>
      </c>
      <c r="K4626" s="1" t="s">
        <v>6076</v>
      </c>
      <c r="L4626" s="1" t="s">
        <v>6076</v>
      </c>
      <c r="M4626">
        <f t="shared" si="145"/>
        <v>26</v>
      </c>
    </row>
    <row r="4627" spans="1:13" x14ac:dyDescent="0.3">
      <c r="A4627" t="s">
        <v>12419</v>
      </c>
      <c r="B4627" t="s">
        <v>12697</v>
      </c>
      <c r="C4627" t="s">
        <v>12420</v>
      </c>
      <c r="E4627" s="1" t="s">
        <v>6076</v>
      </c>
      <c r="F4627" s="1" t="s">
        <v>6076</v>
      </c>
      <c r="G4627" s="1" t="s">
        <v>12894</v>
      </c>
      <c r="H4627">
        <v>1997</v>
      </c>
      <c r="I4627">
        <v>2000</v>
      </c>
      <c r="J4627">
        <f t="shared" si="144"/>
        <v>4</v>
      </c>
      <c r="K4627" s="1" t="s">
        <v>6076</v>
      </c>
      <c r="L4627" s="1" t="s">
        <v>6076</v>
      </c>
      <c r="M4627">
        <f t="shared" si="145"/>
        <v>26</v>
      </c>
    </row>
    <row r="4628" spans="1:13" x14ac:dyDescent="0.3">
      <c r="A4628" t="s">
        <v>12421</v>
      </c>
      <c r="B4628" t="s">
        <v>12697</v>
      </c>
      <c r="C4628" t="s">
        <v>12422</v>
      </c>
      <c r="E4628" s="1" t="s">
        <v>6076</v>
      </c>
      <c r="F4628" s="1" t="s">
        <v>6076</v>
      </c>
      <c r="G4628" s="1" t="s">
        <v>12894</v>
      </c>
      <c r="H4628">
        <v>1997</v>
      </c>
      <c r="I4628">
        <v>2003</v>
      </c>
      <c r="J4628">
        <f t="shared" si="144"/>
        <v>7</v>
      </c>
      <c r="K4628" s="1" t="s">
        <v>6076</v>
      </c>
      <c r="L4628" s="1" t="s">
        <v>6076</v>
      </c>
      <c r="M4628">
        <f t="shared" si="145"/>
        <v>23</v>
      </c>
    </row>
    <row r="4629" spans="1:13" x14ac:dyDescent="0.3">
      <c r="A4629" t="s">
        <v>12423</v>
      </c>
      <c r="B4629" t="s">
        <v>12697</v>
      </c>
      <c r="C4629" t="s">
        <v>12424</v>
      </c>
      <c r="E4629" s="1" t="s">
        <v>6076</v>
      </c>
      <c r="F4629" s="1" t="s">
        <v>6076</v>
      </c>
      <c r="G4629" s="1" t="s">
        <v>12894</v>
      </c>
      <c r="H4629">
        <v>1996</v>
      </c>
      <c r="I4629">
        <v>2001</v>
      </c>
      <c r="J4629">
        <f t="shared" si="144"/>
        <v>6</v>
      </c>
      <c r="K4629" s="1" t="s">
        <v>6076</v>
      </c>
      <c r="L4629" s="1" t="s">
        <v>6076</v>
      </c>
      <c r="M4629">
        <f t="shared" si="145"/>
        <v>25</v>
      </c>
    </row>
    <row r="4630" spans="1:13" x14ac:dyDescent="0.3">
      <c r="A4630" t="s">
        <v>12425</v>
      </c>
      <c r="B4630" t="s">
        <v>12697</v>
      </c>
      <c r="C4630" t="s">
        <v>12426</v>
      </c>
      <c r="E4630" s="1" t="s">
        <v>6076</v>
      </c>
      <c r="F4630" s="1" t="s">
        <v>6076</v>
      </c>
      <c r="G4630" s="1" t="s">
        <v>12894</v>
      </c>
      <c r="H4630">
        <v>1998</v>
      </c>
      <c r="I4630">
        <v>2001</v>
      </c>
      <c r="J4630">
        <f t="shared" si="144"/>
        <v>4</v>
      </c>
      <c r="K4630" s="1" t="s">
        <v>6076</v>
      </c>
      <c r="L4630" s="1" t="s">
        <v>6076</v>
      </c>
      <c r="M4630">
        <f t="shared" si="145"/>
        <v>25</v>
      </c>
    </row>
    <row r="4631" spans="1:13" x14ac:dyDescent="0.3">
      <c r="A4631" t="s">
        <v>12427</v>
      </c>
      <c r="B4631" t="s">
        <v>12697</v>
      </c>
      <c r="C4631" t="s">
        <v>12428</v>
      </c>
      <c r="E4631" s="1" t="s">
        <v>6076</v>
      </c>
      <c r="F4631" s="1" t="s">
        <v>6076</v>
      </c>
      <c r="G4631" s="1" t="s">
        <v>12894</v>
      </c>
      <c r="H4631">
        <v>2006</v>
      </c>
      <c r="I4631">
        <v>2010</v>
      </c>
      <c r="J4631">
        <f t="shared" si="144"/>
        <v>5</v>
      </c>
      <c r="K4631" s="1" t="s">
        <v>6076</v>
      </c>
      <c r="L4631" s="1" t="s">
        <v>6076</v>
      </c>
      <c r="M4631">
        <f t="shared" si="145"/>
        <v>16</v>
      </c>
    </row>
    <row r="4632" spans="1:13" x14ac:dyDescent="0.3">
      <c r="A4632" t="s">
        <v>12429</v>
      </c>
      <c r="B4632" t="s">
        <v>12697</v>
      </c>
      <c r="C4632" t="s">
        <v>12430</v>
      </c>
      <c r="E4632" s="1" t="s">
        <v>6076</v>
      </c>
      <c r="F4632" s="1" t="s">
        <v>6076</v>
      </c>
      <c r="G4632" s="1" t="s">
        <v>12894</v>
      </c>
      <c r="H4632">
        <v>2005</v>
      </c>
      <c r="I4632">
        <v>2009</v>
      </c>
      <c r="J4632">
        <f t="shared" si="144"/>
        <v>5</v>
      </c>
      <c r="K4632" s="1" t="s">
        <v>6076</v>
      </c>
      <c r="L4632" s="1" t="s">
        <v>6076</v>
      </c>
      <c r="M4632">
        <f t="shared" si="145"/>
        <v>17</v>
      </c>
    </row>
    <row r="4633" spans="1:13" x14ac:dyDescent="0.3">
      <c r="A4633" t="s">
        <v>12431</v>
      </c>
      <c r="B4633" t="s">
        <v>12697</v>
      </c>
      <c r="C4633" t="s">
        <v>12432</v>
      </c>
      <c r="E4633" s="1" t="s">
        <v>6076</v>
      </c>
      <c r="F4633" s="1" t="s">
        <v>6076</v>
      </c>
      <c r="G4633" s="1" t="s">
        <v>12894</v>
      </c>
      <c r="H4633">
        <v>1998</v>
      </c>
      <c r="I4633">
        <v>2004</v>
      </c>
      <c r="J4633">
        <f t="shared" si="144"/>
        <v>7</v>
      </c>
      <c r="K4633" s="1" t="s">
        <v>6076</v>
      </c>
      <c r="L4633" s="1" t="s">
        <v>6076</v>
      </c>
      <c r="M4633">
        <f t="shared" si="145"/>
        <v>22</v>
      </c>
    </row>
    <row r="4634" spans="1:13" x14ac:dyDescent="0.3">
      <c r="A4634" t="s">
        <v>12433</v>
      </c>
      <c r="B4634" t="s">
        <v>12697</v>
      </c>
      <c r="C4634" t="s">
        <v>12434</v>
      </c>
      <c r="E4634" s="1" t="s">
        <v>6076</v>
      </c>
      <c r="F4634" s="1" t="s">
        <v>6076</v>
      </c>
      <c r="G4634" s="1" t="s">
        <v>12894</v>
      </c>
      <c r="H4634">
        <v>1997</v>
      </c>
      <c r="I4634">
        <v>2003</v>
      </c>
      <c r="J4634">
        <f t="shared" si="144"/>
        <v>7</v>
      </c>
      <c r="K4634" s="1" t="s">
        <v>6076</v>
      </c>
      <c r="L4634" s="1" t="s">
        <v>6076</v>
      </c>
      <c r="M4634">
        <f t="shared" si="145"/>
        <v>23</v>
      </c>
    </row>
    <row r="4635" spans="1:13" x14ac:dyDescent="0.3">
      <c r="A4635" t="s">
        <v>12435</v>
      </c>
      <c r="B4635" t="s">
        <v>12697</v>
      </c>
      <c r="C4635" t="s">
        <v>12436</v>
      </c>
      <c r="E4635" s="1" t="s">
        <v>6076</v>
      </c>
      <c r="F4635" s="1" t="s">
        <v>6076</v>
      </c>
      <c r="G4635" s="1" t="s">
        <v>12894</v>
      </c>
      <c r="H4635">
        <v>2000</v>
      </c>
      <c r="I4635">
        <v>2001</v>
      </c>
      <c r="J4635">
        <f t="shared" si="144"/>
        <v>2</v>
      </c>
      <c r="K4635" s="1" t="s">
        <v>6076</v>
      </c>
      <c r="L4635" s="1" t="s">
        <v>6076</v>
      </c>
      <c r="M4635">
        <f t="shared" si="145"/>
        <v>25</v>
      </c>
    </row>
    <row r="4636" spans="1:13" x14ac:dyDescent="0.3">
      <c r="A4636" t="s">
        <v>12437</v>
      </c>
      <c r="B4636" t="s">
        <v>12697</v>
      </c>
      <c r="C4636" t="s">
        <v>12438</v>
      </c>
      <c r="E4636" s="1" t="s">
        <v>6076</v>
      </c>
      <c r="F4636" s="1" t="s">
        <v>6076</v>
      </c>
      <c r="G4636" s="1" t="s">
        <v>12894</v>
      </c>
      <c r="H4636">
        <v>2001</v>
      </c>
      <c r="I4636">
        <v>2001</v>
      </c>
      <c r="J4636">
        <f t="shared" si="144"/>
        <v>1</v>
      </c>
      <c r="K4636" s="1" t="s">
        <v>6076</v>
      </c>
      <c r="L4636" s="1" t="s">
        <v>6076</v>
      </c>
      <c r="M4636">
        <f t="shared" si="145"/>
        <v>25</v>
      </c>
    </row>
    <row r="4637" spans="1:13" x14ac:dyDescent="0.3">
      <c r="A4637" t="s">
        <v>12439</v>
      </c>
      <c r="B4637" t="s">
        <v>12697</v>
      </c>
      <c r="C4637" t="s">
        <v>12440</v>
      </c>
      <c r="E4637" s="1" t="s">
        <v>6076</v>
      </c>
      <c r="F4637" s="1" t="s">
        <v>6076</v>
      </c>
      <c r="G4637" s="1" t="s">
        <v>12894</v>
      </c>
      <c r="H4637">
        <v>2004</v>
      </c>
      <c r="I4637">
        <v>2010</v>
      </c>
      <c r="J4637">
        <f t="shared" si="144"/>
        <v>7</v>
      </c>
      <c r="K4637" s="1" t="s">
        <v>6076</v>
      </c>
      <c r="L4637" s="1" t="s">
        <v>6076</v>
      </c>
      <c r="M4637">
        <f t="shared" si="145"/>
        <v>16</v>
      </c>
    </row>
    <row r="4638" spans="1:13" x14ac:dyDescent="0.3">
      <c r="A4638" s="1" t="s">
        <v>9601</v>
      </c>
      <c r="B4638" s="1" t="s">
        <v>5931</v>
      </c>
      <c r="C4638" s="1" t="s">
        <v>9602</v>
      </c>
      <c r="D4638" s="1" t="s">
        <v>738</v>
      </c>
      <c r="E4638" s="1" t="s">
        <v>6076</v>
      </c>
      <c r="F4638" s="1" t="s">
        <v>6076</v>
      </c>
      <c r="G4638" s="1" t="s">
        <v>9603</v>
      </c>
      <c r="H4638">
        <v>2010</v>
      </c>
      <c r="I4638">
        <v>2011</v>
      </c>
      <c r="J4638">
        <f t="shared" si="144"/>
        <v>2</v>
      </c>
      <c r="K4638" s="1" t="s">
        <v>6076</v>
      </c>
      <c r="L4638" s="1" t="s">
        <v>6076</v>
      </c>
      <c r="M4638">
        <f t="shared" si="145"/>
        <v>15</v>
      </c>
    </row>
    <row r="4639" spans="1:13" x14ac:dyDescent="0.3">
      <c r="A4639" s="1" t="s">
        <v>9604</v>
      </c>
      <c r="B4639" s="1" t="s">
        <v>5931</v>
      </c>
      <c r="C4639" s="1" t="s">
        <v>9605</v>
      </c>
      <c r="D4639" s="1" t="s">
        <v>738</v>
      </c>
      <c r="E4639" s="1" t="s">
        <v>6076</v>
      </c>
      <c r="F4639" s="1" t="s">
        <v>6076</v>
      </c>
      <c r="G4639" s="1" t="s">
        <v>9606</v>
      </c>
      <c r="H4639">
        <v>1993</v>
      </c>
      <c r="I4639">
        <v>1994</v>
      </c>
      <c r="J4639">
        <f t="shared" si="144"/>
        <v>2</v>
      </c>
      <c r="K4639" s="1" t="s">
        <v>6076</v>
      </c>
      <c r="L4639" s="1" t="s">
        <v>6076</v>
      </c>
      <c r="M4639">
        <f t="shared" si="145"/>
        <v>32</v>
      </c>
    </row>
    <row r="4640" spans="1:13" x14ac:dyDescent="0.3">
      <c r="A4640" s="1" t="s">
        <v>565</v>
      </c>
      <c r="B4640" s="1" t="s">
        <v>5940</v>
      </c>
      <c r="C4640" s="1" t="s">
        <v>566</v>
      </c>
      <c r="D4640" s="1" t="s">
        <v>3850</v>
      </c>
      <c r="E4640" s="1" t="s">
        <v>6076</v>
      </c>
      <c r="F4640" s="1" t="s">
        <v>6076</v>
      </c>
      <c r="G4640" s="1" t="s">
        <v>9607</v>
      </c>
      <c r="H4640">
        <v>2012</v>
      </c>
      <c r="I4640">
        <v>2013</v>
      </c>
      <c r="J4640">
        <f t="shared" si="144"/>
        <v>2</v>
      </c>
      <c r="K4640" s="1" t="s">
        <v>6076</v>
      </c>
      <c r="L4640" s="1" t="s">
        <v>6076</v>
      </c>
      <c r="M4640">
        <f t="shared" si="145"/>
        <v>13</v>
      </c>
    </row>
    <row r="4641" spans="1:13" x14ac:dyDescent="0.3">
      <c r="A4641" s="1" t="s">
        <v>567</v>
      </c>
      <c r="B4641" s="1" t="s">
        <v>5940</v>
      </c>
      <c r="C4641" s="1" t="s">
        <v>568</v>
      </c>
      <c r="D4641" s="1" t="s">
        <v>3850</v>
      </c>
      <c r="E4641" s="1" t="s">
        <v>6076</v>
      </c>
      <c r="F4641" s="1" t="s">
        <v>6076</v>
      </c>
      <c r="G4641" s="1" t="s">
        <v>9607</v>
      </c>
      <c r="H4641">
        <v>2012</v>
      </c>
      <c r="I4641">
        <v>2013</v>
      </c>
      <c r="J4641">
        <f t="shared" si="144"/>
        <v>2</v>
      </c>
      <c r="K4641" s="1" t="s">
        <v>6076</v>
      </c>
      <c r="L4641" s="1" t="s">
        <v>6076</v>
      </c>
      <c r="M4641">
        <f t="shared" si="145"/>
        <v>13</v>
      </c>
    </row>
    <row r="4642" spans="1:13" x14ac:dyDescent="0.3">
      <c r="A4642" s="1" t="s">
        <v>569</v>
      </c>
      <c r="B4642" s="1" t="s">
        <v>5940</v>
      </c>
      <c r="C4642" s="1" t="s">
        <v>570</v>
      </c>
      <c r="D4642" s="1" t="s">
        <v>738</v>
      </c>
      <c r="E4642" s="1" t="s">
        <v>6076</v>
      </c>
      <c r="F4642" s="1" t="s">
        <v>6076</v>
      </c>
      <c r="G4642" s="1" t="s">
        <v>9607</v>
      </c>
      <c r="H4642">
        <v>2012</v>
      </c>
      <c r="I4642">
        <v>2015</v>
      </c>
      <c r="J4642">
        <f t="shared" si="144"/>
        <v>4</v>
      </c>
      <c r="K4642" s="1" t="s">
        <v>6076</v>
      </c>
      <c r="L4642" s="1" t="s">
        <v>6076</v>
      </c>
      <c r="M4642">
        <f t="shared" si="145"/>
        <v>11</v>
      </c>
    </row>
    <row r="4643" spans="1:13" x14ac:dyDescent="0.3">
      <c r="A4643" s="1" t="s">
        <v>9608</v>
      </c>
      <c r="B4643" s="1" t="s">
        <v>5931</v>
      </c>
      <c r="C4643" s="1" t="s">
        <v>9609</v>
      </c>
      <c r="D4643" s="1" t="s">
        <v>738</v>
      </c>
      <c r="E4643" s="1" t="s">
        <v>6076</v>
      </c>
      <c r="F4643" s="1" t="s">
        <v>6076</v>
      </c>
      <c r="G4643" s="1" t="s">
        <v>9610</v>
      </c>
      <c r="H4643">
        <v>1993</v>
      </c>
      <c r="I4643">
        <v>2011</v>
      </c>
      <c r="J4643">
        <f t="shared" si="144"/>
        <v>19</v>
      </c>
      <c r="K4643" s="1" t="s">
        <v>6076</v>
      </c>
      <c r="L4643" s="1" t="s">
        <v>6076</v>
      </c>
      <c r="M4643">
        <f t="shared" si="145"/>
        <v>15</v>
      </c>
    </row>
    <row r="4644" spans="1:13" x14ac:dyDescent="0.3">
      <c r="A4644" s="1" t="s">
        <v>9611</v>
      </c>
      <c r="B4644" s="1" t="s">
        <v>5931</v>
      </c>
      <c r="C4644" s="1" t="s">
        <v>9612</v>
      </c>
      <c r="D4644" s="1" t="s">
        <v>738</v>
      </c>
      <c r="E4644" s="1" t="s">
        <v>6076</v>
      </c>
      <c r="F4644" s="1" t="s">
        <v>6076</v>
      </c>
      <c r="G4644" s="1" t="s">
        <v>9610</v>
      </c>
      <c r="H4644">
        <v>1993</v>
      </c>
      <c r="I4644">
        <v>1995</v>
      </c>
      <c r="J4644">
        <f t="shared" si="144"/>
        <v>3</v>
      </c>
      <c r="K4644" s="1" t="s">
        <v>6076</v>
      </c>
      <c r="L4644" s="1" t="s">
        <v>6076</v>
      </c>
      <c r="M4644">
        <f t="shared" si="145"/>
        <v>31</v>
      </c>
    </row>
    <row r="4645" spans="1:13" x14ac:dyDescent="0.3">
      <c r="A4645" s="1" t="s">
        <v>9613</v>
      </c>
      <c r="B4645" s="1" t="s">
        <v>5931</v>
      </c>
      <c r="C4645" s="1" t="s">
        <v>9614</v>
      </c>
      <c r="D4645" s="1" t="s">
        <v>738</v>
      </c>
      <c r="E4645" s="1" t="s">
        <v>6076</v>
      </c>
      <c r="F4645" s="1" t="s">
        <v>6076</v>
      </c>
      <c r="G4645" s="1" t="s">
        <v>9610</v>
      </c>
      <c r="H4645">
        <v>2009</v>
      </c>
      <c r="I4645">
        <v>2011</v>
      </c>
      <c r="J4645">
        <f t="shared" si="144"/>
        <v>3</v>
      </c>
      <c r="K4645" s="1" t="s">
        <v>6076</v>
      </c>
      <c r="L4645" s="1" t="s">
        <v>6076</v>
      </c>
      <c r="M4645">
        <f t="shared" si="145"/>
        <v>15</v>
      </c>
    </row>
    <row r="4646" spans="1:13" x14ac:dyDescent="0.3">
      <c r="A4646" s="1" t="s">
        <v>9615</v>
      </c>
      <c r="B4646" s="1" t="s">
        <v>5931</v>
      </c>
      <c r="C4646" s="1" t="s">
        <v>9616</v>
      </c>
      <c r="D4646" s="1" t="s">
        <v>738</v>
      </c>
      <c r="E4646" s="1" t="s">
        <v>6076</v>
      </c>
      <c r="F4646" s="1" t="s">
        <v>6076</v>
      </c>
      <c r="G4646" s="1" t="s">
        <v>9610</v>
      </c>
      <c r="H4646">
        <v>2017</v>
      </c>
      <c r="I4646">
        <v>2017</v>
      </c>
      <c r="J4646">
        <f t="shared" si="144"/>
        <v>1</v>
      </c>
      <c r="K4646" s="1" t="s">
        <v>6076</v>
      </c>
      <c r="L4646" s="1" t="s">
        <v>6076</v>
      </c>
      <c r="M4646">
        <f t="shared" si="145"/>
        <v>9</v>
      </c>
    </row>
    <row r="4647" spans="1:13" x14ac:dyDescent="0.3">
      <c r="A4647" s="1" t="s">
        <v>9617</v>
      </c>
      <c r="B4647" s="1" t="s">
        <v>5931</v>
      </c>
      <c r="C4647" s="1" t="s">
        <v>9618</v>
      </c>
      <c r="D4647" s="1" t="s">
        <v>738</v>
      </c>
      <c r="E4647" s="1" t="s">
        <v>6076</v>
      </c>
      <c r="F4647" s="1" t="s">
        <v>6076</v>
      </c>
      <c r="G4647" s="1" t="s">
        <v>9610</v>
      </c>
      <c r="H4647">
        <v>2014</v>
      </c>
      <c r="I4647">
        <v>2017</v>
      </c>
      <c r="J4647">
        <f t="shared" si="144"/>
        <v>4</v>
      </c>
      <c r="K4647" s="1" t="s">
        <v>6076</v>
      </c>
      <c r="L4647" s="1" t="s">
        <v>6076</v>
      </c>
      <c r="M4647">
        <f t="shared" si="145"/>
        <v>9</v>
      </c>
    </row>
    <row r="4648" spans="1:13" x14ac:dyDescent="0.3">
      <c r="A4648" s="1" t="s">
        <v>9619</v>
      </c>
      <c r="B4648" s="1" t="s">
        <v>5931</v>
      </c>
      <c r="C4648" s="1" t="s">
        <v>9620</v>
      </c>
      <c r="D4648" s="1" t="s">
        <v>738</v>
      </c>
      <c r="E4648" s="1" t="s">
        <v>6076</v>
      </c>
      <c r="F4648" s="1" t="s">
        <v>6076</v>
      </c>
      <c r="G4648" s="1" t="s">
        <v>9610</v>
      </c>
      <c r="H4648">
        <v>2007</v>
      </c>
      <c r="I4648">
        <v>2007</v>
      </c>
      <c r="J4648">
        <f t="shared" si="144"/>
        <v>1</v>
      </c>
      <c r="K4648" s="1" t="s">
        <v>6076</v>
      </c>
      <c r="L4648" s="1" t="s">
        <v>6076</v>
      </c>
      <c r="M4648">
        <f t="shared" si="145"/>
        <v>19</v>
      </c>
    </row>
    <row r="4649" spans="1:13" x14ac:dyDescent="0.3">
      <c r="A4649" s="1" t="s">
        <v>9621</v>
      </c>
      <c r="B4649" s="1" t="s">
        <v>5931</v>
      </c>
      <c r="C4649" s="1" t="s">
        <v>9622</v>
      </c>
      <c r="D4649" s="1" t="s">
        <v>738</v>
      </c>
      <c r="E4649" s="1" t="s">
        <v>6076</v>
      </c>
      <c r="F4649" s="1" t="s">
        <v>6076</v>
      </c>
      <c r="G4649" s="1" t="s">
        <v>9623</v>
      </c>
      <c r="H4649">
        <v>2001</v>
      </c>
      <c r="I4649">
        <v>2005</v>
      </c>
      <c r="J4649">
        <f t="shared" si="144"/>
        <v>5</v>
      </c>
      <c r="K4649" s="1" t="s">
        <v>6076</v>
      </c>
      <c r="L4649" s="1" t="s">
        <v>6076</v>
      </c>
      <c r="M4649">
        <f t="shared" si="145"/>
        <v>21</v>
      </c>
    </row>
    <row r="4650" spans="1:13" x14ac:dyDescent="0.3">
      <c r="A4650" s="1" t="s">
        <v>9624</v>
      </c>
      <c r="B4650" s="1" t="s">
        <v>5931</v>
      </c>
      <c r="C4650" s="1" t="s">
        <v>9625</v>
      </c>
      <c r="D4650" s="1" t="s">
        <v>738</v>
      </c>
      <c r="E4650" s="1" t="s">
        <v>6076</v>
      </c>
      <c r="F4650" s="1" t="s">
        <v>6076</v>
      </c>
      <c r="G4650" s="1" t="s">
        <v>9626</v>
      </c>
      <c r="H4650">
        <v>2018</v>
      </c>
      <c r="I4650">
        <v>2018</v>
      </c>
      <c r="J4650">
        <f t="shared" si="144"/>
        <v>1</v>
      </c>
      <c r="K4650" s="1" t="s">
        <v>6076</v>
      </c>
      <c r="L4650" s="1" t="s">
        <v>6076</v>
      </c>
      <c r="M4650">
        <f t="shared" si="145"/>
        <v>8</v>
      </c>
    </row>
    <row r="4651" spans="1:13" x14ac:dyDescent="0.3">
      <c r="A4651" s="1" t="s">
        <v>571</v>
      </c>
      <c r="B4651" s="1" t="s">
        <v>5940</v>
      </c>
      <c r="C4651" s="1" t="s">
        <v>572</v>
      </c>
      <c r="D4651" s="1" t="s">
        <v>738</v>
      </c>
      <c r="E4651" s="1" t="s">
        <v>6076</v>
      </c>
      <c r="F4651" s="1" t="s">
        <v>6076</v>
      </c>
      <c r="G4651" s="1" t="s">
        <v>9627</v>
      </c>
      <c r="H4651">
        <v>1994</v>
      </c>
      <c r="I4651">
        <v>1997</v>
      </c>
      <c r="J4651">
        <f t="shared" si="144"/>
        <v>4</v>
      </c>
      <c r="K4651" s="1" t="s">
        <v>6076</v>
      </c>
      <c r="L4651" s="1" t="s">
        <v>6076</v>
      </c>
      <c r="M4651">
        <f t="shared" si="145"/>
        <v>29</v>
      </c>
    </row>
    <row r="4652" spans="1:13" x14ac:dyDescent="0.3">
      <c r="A4652" s="1" t="s">
        <v>573</v>
      </c>
      <c r="B4652" s="1" t="s">
        <v>5940</v>
      </c>
      <c r="C4652" s="1" t="s">
        <v>574</v>
      </c>
      <c r="D4652" s="1" t="s">
        <v>738</v>
      </c>
      <c r="E4652" s="1" t="s">
        <v>6076</v>
      </c>
      <c r="F4652" s="1" t="s">
        <v>6076</v>
      </c>
      <c r="G4652" s="1" t="s">
        <v>9627</v>
      </c>
      <c r="H4652">
        <v>1995</v>
      </c>
      <c r="I4652">
        <v>1997</v>
      </c>
      <c r="J4652">
        <f t="shared" si="144"/>
        <v>3</v>
      </c>
      <c r="K4652" s="1" t="s">
        <v>6076</v>
      </c>
      <c r="L4652" s="1" t="s">
        <v>6076</v>
      </c>
      <c r="M4652">
        <f t="shared" si="145"/>
        <v>29</v>
      </c>
    </row>
    <row r="4653" spans="1:13" x14ac:dyDescent="0.3">
      <c r="A4653" s="1" t="s">
        <v>575</v>
      </c>
      <c r="B4653" s="1" t="s">
        <v>5940</v>
      </c>
      <c r="C4653" s="1" t="s">
        <v>576</v>
      </c>
      <c r="D4653" s="1" t="s">
        <v>738</v>
      </c>
      <c r="E4653" s="1" t="s">
        <v>6076</v>
      </c>
      <c r="F4653" s="1" t="s">
        <v>6076</v>
      </c>
      <c r="G4653" s="1" t="s">
        <v>9627</v>
      </c>
      <c r="H4653">
        <v>2013</v>
      </c>
      <c r="I4653">
        <v>2016</v>
      </c>
      <c r="J4653">
        <f t="shared" si="144"/>
        <v>4</v>
      </c>
      <c r="K4653" s="1" t="s">
        <v>6076</v>
      </c>
      <c r="L4653" s="1" t="s">
        <v>6076</v>
      </c>
      <c r="M4653">
        <f t="shared" si="145"/>
        <v>10</v>
      </c>
    </row>
    <row r="4654" spans="1:13" x14ac:dyDescent="0.3">
      <c r="A4654" s="1" t="s">
        <v>577</v>
      </c>
      <c r="B4654" s="1" t="s">
        <v>5940</v>
      </c>
      <c r="C4654" s="1" t="s">
        <v>578</v>
      </c>
      <c r="D4654" s="1" t="s">
        <v>738</v>
      </c>
      <c r="E4654" s="1" t="s">
        <v>6076</v>
      </c>
      <c r="F4654" s="1" t="s">
        <v>6076</v>
      </c>
      <c r="G4654" s="1" t="s">
        <v>9627</v>
      </c>
      <c r="H4654">
        <v>2001</v>
      </c>
      <c r="I4654">
        <v>2001</v>
      </c>
      <c r="J4654">
        <f t="shared" si="144"/>
        <v>1</v>
      </c>
      <c r="K4654" s="1" t="s">
        <v>6076</v>
      </c>
      <c r="L4654" s="1" t="s">
        <v>6076</v>
      </c>
      <c r="M4654">
        <f t="shared" si="145"/>
        <v>25</v>
      </c>
    </row>
    <row r="4655" spans="1:13" x14ac:dyDescent="0.3">
      <c r="A4655" s="1" t="s">
        <v>579</v>
      </c>
      <c r="B4655" s="1" t="s">
        <v>5940</v>
      </c>
      <c r="C4655" s="1" t="s">
        <v>580</v>
      </c>
      <c r="D4655" s="1" t="s">
        <v>738</v>
      </c>
      <c r="E4655" s="1" t="s">
        <v>6076</v>
      </c>
      <c r="F4655" s="1" t="s">
        <v>6076</v>
      </c>
      <c r="G4655" s="1" t="s">
        <v>9627</v>
      </c>
      <c r="H4655">
        <v>2001</v>
      </c>
      <c r="I4655">
        <v>2001</v>
      </c>
      <c r="J4655">
        <f t="shared" si="144"/>
        <v>1</v>
      </c>
      <c r="K4655" s="1" t="s">
        <v>6076</v>
      </c>
      <c r="L4655" s="1" t="s">
        <v>6076</v>
      </c>
      <c r="M4655">
        <f t="shared" si="145"/>
        <v>25</v>
      </c>
    </row>
    <row r="4656" spans="1:13" x14ac:dyDescent="0.3">
      <c r="A4656" s="1" t="s">
        <v>581</v>
      </c>
      <c r="B4656" s="1" t="s">
        <v>5940</v>
      </c>
      <c r="C4656" s="1" t="s">
        <v>582</v>
      </c>
      <c r="D4656" s="1" t="s">
        <v>738</v>
      </c>
      <c r="E4656" s="1" t="s">
        <v>6076</v>
      </c>
      <c r="F4656" s="1" t="s">
        <v>6076</v>
      </c>
      <c r="G4656" s="1" t="s">
        <v>9627</v>
      </c>
      <c r="H4656">
        <v>2001</v>
      </c>
      <c r="I4656">
        <v>2001</v>
      </c>
      <c r="J4656">
        <f t="shared" si="144"/>
        <v>1</v>
      </c>
      <c r="K4656" s="1" t="s">
        <v>6076</v>
      </c>
      <c r="L4656" s="1" t="s">
        <v>6076</v>
      </c>
      <c r="M4656">
        <f t="shared" si="145"/>
        <v>25</v>
      </c>
    </row>
    <row r="4657" spans="1:13" x14ac:dyDescent="0.3">
      <c r="A4657" s="1" t="s">
        <v>583</v>
      </c>
      <c r="B4657" s="1" t="s">
        <v>5940</v>
      </c>
      <c r="C4657" s="1" t="s">
        <v>584</v>
      </c>
      <c r="D4657" s="1" t="s">
        <v>738</v>
      </c>
      <c r="E4657" s="1" t="s">
        <v>6076</v>
      </c>
      <c r="F4657" s="1" t="s">
        <v>6076</v>
      </c>
      <c r="G4657" s="1" t="s">
        <v>9627</v>
      </c>
      <c r="H4657">
        <v>2010</v>
      </c>
      <c r="I4657">
        <v>2011</v>
      </c>
      <c r="J4657">
        <f t="shared" si="144"/>
        <v>2</v>
      </c>
      <c r="K4657" s="1" t="s">
        <v>6076</v>
      </c>
      <c r="L4657" s="1" t="s">
        <v>6076</v>
      </c>
      <c r="M4657">
        <f t="shared" si="145"/>
        <v>15</v>
      </c>
    </row>
    <row r="4658" spans="1:13" x14ac:dyDescent="0.3">
      <c r="A4658" s="1" t="s">
        <v>585</v>
      </c>
      <c r="B4658" s="1" t="s">
        <v>5940</v>
      </c>
      <c r="C4658" s="1" t="s">
        <v>586</v>
      </c>
      <c r="D4658" s="1" t="s">
        <v>738</v>
      </c>
      <c r="E4658" s="1" t="s">
        <v>6076</v>
      </c>
      <c r="F4658" s="1" t="s">
        <v>6076</v>
      </c>
      <c r="G4658" s="1" t="s">
        <v>9627</v>
      </c>
      <c r="H4658">
        <v>2010</v>
      </c>
      <c r="I4658">
        <v>2011</v>
      </c>
      <c r="J4658">
        <f t="shared" si="144"/>
        <v>2</v>
      </c>
      <c r="K4658" s="1" t="s">
        <v>6076</v>
      </c>
      <c r="L4658" s="1" t="s">
        <v>6076</v>
      </c>
      <c r="M4658">
        <f t="shared" si="145"/>
        <v>15</v>
      </c>
    </row>
    <row r="4659" spans="1:13" x14ac:dyDescent="0.3">
      <c r="A4659" s="1" t="s">
        <v>587</v>
      </c>
      <c r="B4659" s="1" t="s">
        <v>5940</v>
      </c>
      <c r="C4659" s="1" t="s">
        <v>588</v>
      </c>
      <c r="D4659" s="1" t="s">
        <v>738</v>
      </c>
      <c r="E4659" s="1" t="s">
        <v>6076</v>
      </c>
      <c r="F4659" s="1" t="s">
        <v>6076</v>
      </c>
      <c r="G4659" s="1" t="s">
        <v>9627</v>
      </c>
      <c r="H4659">
        <v>1997</v>
      </c>
      <c r="I4659">
        <v>1998</v>
      </c>
      <c r="J4659">
        <f t="shared" si="144"/>
        <v>2</v>
      </c>
      <c r="K4659" s="1" t="s">
        <v>6076</v>
      </c>
      <c r="L4659" s="1" t="s">
        <v>6076</v>
      </c>
      <c r="M4659">
        <f t="shared" si="145"/>
        <v>28</v>
      </c>
    </row>
    <row r="4660" spans="1:13" x14ac:dyDescent="0.3">
      <c r="A4660" s="1" t="s">
        <v>589</v>
      </c>
      <c r="B4660" s="1" t="s">
        <v>5940</v>
      </c>
      <c r="C4660" s="1" t="s">
        <v>590</v>
      </c>
      <c r="D4660" s="1" t="s">
        <v>738</v>
      </c>
      <c r="E4660" s="1" t="s">
        <v>6076</v>
      </c>
      <c r="F4660" s="1" t="s">
        <v>6076</v>
      </c>
      <c r="G4660" s="1" t="s">
        <v>9627</v>
      </c>
      <c r="H4660">
        <v>1996</v>
      </c>
      <c r="I4660">
        <v>1998</v>
      </c>
      <c r="J4660">
        <f t="shared" si="144"/>
        <v>3</v>
      </c>
      <c r="K4660" s="1" t="s">
        <v>6076</v>
      </c>
      <c r="L4660" s="1" t="s">
        <v>6076</v>
      </c>
      <c r="M4660">
        <f t="shared" si="145"/>
        <v>28</v>
      </c>
    </row>
    <row r="4661" spans="1:13" x14ac:dyDescent="0.3">
      <c r="A4661" t="s">
        <v>12441</v>
      </c>
      <c r="B4661" t="s">
        <v>12697</v>
      </c>
      <c r="C4661" t="s">
        <v>12442</v>
      </c>
      <c r="E4661" s="1" t="s">
        <v>6076</v>
      </c>
      <c r="F4661" s="1" t="s">
        <v>6076</v>
      </c>
      <c r="G4661" s="1" t="s">
        <v>12472</v>
      </c>
      <c r="H4661">
        <v>2004</v>
      </c>
      <c r="I4661">
        <v>2007</v>
      </c>
      <c r="J4661">
        <f t="shared" si="144"/>
        <v>4</v>
      </c>
      <c r="K4661" s="1" t="s">
        <v>6076</v>
      </c>
      <c r="L4661" s="1" t="s">
        <v>6076</v>
      </c>
      <c r="M4661">
        <f t="shared" si="145"/>
        <v>19</v>
      </c>
    </row>
    <row r="4662" spans="1:13" x14ac:dyDescent="0.3">
      <c r="A4662" t="s">
        <v>12443</v>
      </c>
      <c r="B4662" t="s">
        <v>12697</v>
      </c>
      <c r="C4662" t="s">
        <v>12444</v>
      </c>
      <c r="E4662" s="1" t="s">
        <v>6076</v>
      </c>
      <c r="F4662" s="1" t="s">
        <v>6076</v>
      </c>
      <c r="G4662" s="1" t="s">
        <v>12472</v>
      </c>
      <c r="H4662">
        <v>2004</v>
      </c>
      <c r="I4662">
        <v>2007</v>
      </c>
      <c r="J4662">
        <f t="shared" si="144"/>
        <v>4</v>
      </c>
      <c r="K4662" s="1" t="s">
        <v>6076</v>
      </c>
      <c r="L4662" s="1" t="s">
        <v>6076</v>
      </c>
      <c r="M4662">
        <f t="shared" si="145"/>
        <v>19</v>
      </c>
    </row>
    <row r="4663" spans="1:13" x14ac:dyDescent="0.3">
      <c r="A4663" t="s">
        <v>12445</v>
      </c>
      <c r="B4663" t="s">
        <v>12697</v>
      </c>
      <c r="C4663" t="s">
        <v>12446</v>
      </c>
      <c r="E4663" s="1" t="s">
        <v>6076</v>
      </c>
      <c r="F4663" s="1" t="s">
        <v>6076</v>
      </c>
      <c r="G4663" s="1" t="s">
        <v>12472</v>
      </c>
      <c r="H4663">
        <v>2001</v>
      </c>
      <c r="I4663">
        <v>2009</v>
      </c>
      <c r="J4663">
        <f t="shared" si="144"/>
        <v>9</v>
      </c>
      <c r="K4663" s="1" t="s">
        <v>6076</v>
      </c>
      <c r="L4663" s="1" t="s">
        <v>6076</v>
      </c>
      <c r="M4663">
        <f t="shared" si="145"/>
        <v>17</v>
      </c>
    </row>
    <row r="4664" spans="1:13" x14ac:dyDescent="0.3">
      <c r="A4664" t="s">
        <v>12447</v>
      </c>
      <c r="B4664" t="s">
        <v>12697</v>
      </c>
      <c r="C4664" t="s">
        <v>12448</v>
      </c>
      <c r="E4664" s="1" t="s">
        <v>6076</v>
      </c>
      <c r="F4664" s="1" t="s">
        <v>6076</v>
      </c>
      <c r="G4664" s="1" t="s">
        <v>12472</v>
      </c>
      <c r="H4664">
        <v>2001</v>
      </c>
      <c r="I4664">
        <v>2007</v>
      </c>
      <c r="J4664">
        <f t="shared" si="144"/>
        <v>7</v>
      </c>
      <c r="K4664" s="1" t="s">
        <v>6076</v>
      </c>
      <c r="L4664" s="1" t="s">
        <v>6076</v>
      </c>
      <c r="M4664">
        <f t="shared" si="145"/>
        <v>19</v>
      </c>
    </row>
    <row r="4665" spans="1:13" x14ac:dyDescent="0.3">
      <c r="A4665" t="s">
        <v>12449</v>
      </c>
      <c r="B4665" t="s">
        <v>12697</v>
      </c>
      <c r="C4665" t="s">
        <v>12450</v>
      </c>
      <c r="E4665" s="1" t="s">
        <v>6076</v>
      </c>
      <c r="F4665" s="1" t="s">
        <v>6076</v>
      </c>
      <c r="G4665" s="1" t="s">
        <v>12472</v>
      </c>
      <c r="H4665">
        <v>2011</v>
      </c>
      <c r="I4665">
        <v>2013</v>
      </c>
      <c r="J4665">
        <f t="shared" si="144"/>
        <v>3</v>
      </c>
      <c r="K4665" s="1" t="s">
        <v>6076</v>
      </c>
      <c r="L4665" s="1" t="s">
        <v>6076</v>
      </c>
      <c r="M4665">
        <f t="shared" si="145"/>
        <v>13</v>
      </c>
    </row>
    <row r="4666" spans="1:13" x14ac:dyDescent="0.3">
      <c r="A4666" t="s">
        <v>12451</v>
      </c>
      <c r="B4666" t="s">
        <v>12697</v>
      </c>
      <c r="C4666" t="s">
        <v>12452</v>
      </c>
      <c r="E4666" s="1" t="s">
        <v>6076</v>
      </c>
      <c r="F4666" s="1" t="s">
        <v>6076</v>
      </c>
      <c r="G4666" s="1" t="s">
        <v>12472</v>
      </c>
      <c r="H4666">
        <v>2017</v>
      </c>
      <c r="I4666">
        <v>2018</v>
      </c>
      <c r="J4666">
        <f t="shared" si="144"/>
        <v>2</v>
      </c>
      <c r="K4666" s="1" t="s">
        <v>6076</v>
      </c>
      <c r="L4666" s="1" t="s">
        <v>6076</v>
      </c>
      <c r="M4666">
        <f t="shared" si="145"/>
        <v>8</v>
      </c>
    </row>
    <row r="4667" spans="1:13" x14ac:dyDescent="0.3">
      <c r="A4667" t="s">
        <v>12453</v>
      </c>
      <c r="B4667" t="s">
        <v>12697</v>
      </c>
      <c r="C4667" t="s">
        <v>12454</v>
      </c>
      <c r="E4667" s="1" t="s">
        <v>6076</v>
      </c>
      <c r="F4667" s="1" t="s">
        <v>6076</v>
      </c>
      <c r="G4667" s="1" t="s">
        <v>12472</v>
      </c>
      <c r="H4667">
        <v>2016</v>
      </c>
      <c r="I4667">
        <v>2021</v>
      </c>
      <c r="J4667">
        <f t="shared" si="144"/>
        <v>6</v>
      </c>
      <c r="K4667" s="1" t="s">
        <v>6076</v>
      </c>
      <c r="L4667" s="1" t="s">
        <v>6076</v>
      </c>
      <c r="M4667">
        <f t="shared" si="145"/>
        <v>5</v>
      </c>
    </row>
    <row r="4668" spans="1:13" x14ac:dyDescent="0.3">
      <c r="A4668" t="s">
        <v>12455</v>
      </c>
      <c r="B4668" t="s">
        <v>12697</v>
      </c>
      <c r="C4668" t="s">
        <v>12456</v>
      </c>
      <c r="E4668" s="1" t="s">
        <v>6076</v>
      </c>
      <c r="F4668" s="1" t="s">
        <v>6076</v>
      </c>
      <c r="G4668" s="1" t="s">
        <v>12472</v>
      </c>
      <c r="H4668">
        <v>2011</v>
      </c>
      <c r="I4668">
        <v>2013</v>
      </c>
      <c r="J4668">
        <f t="shared" si="144"/>
        <v>3</v>
      </c>
      <c r="K4668" s="1" t="s">
        <v>6076</v>
      </c>
      <c r="L4668" s="1" t="s">
        <v>6076</v>
      </c>
      <c r="M4668">
        <f t="shared" si="145"/>
        <v>13</v>
      </c>
    </row>
    <row r="4669" spans="1:13" x14ac:dyDescent="0.3">
      <c r="A4669" t="s">
        <v>12457</v>
      </c>
      <c r="B4669" t="s">
        <v>12697</v>
      </c>
      <c r="C4669" t="s">
        <v>12458</v>
      </c>
      <c r="E4669" s="1" t="s">
        <v>6076</v>
      </c>
      <c r="F4669" s="1" t="s">
        <v>6076</v>
      </c>
      <c r="G4669" s="1" t="s">
        <v>12472</v>
      </c>
      <c r="H4669">
        <v>2001</v>
      </c>
      <c r="I4669">
        <v>2003</v>
      </c>
      <c r="J4669">
        <f t="shared" si="144"/>
        <v>3</v>
      </c>
      <c r="K4669" s="1" t="s">
        <v>6076</v>
      </c>
      <c r="L4669" s="1" t="s">
        <v>6076</v>
      </c>
      <c r="M4669">
        <f t="shared" si="145"/>
        <v>23</v>
      </c>
    </row>
    <row r="4670" spans="1:13" x14ac:dyDescent="0.3">
      <c r="A4670" t="s">
        <v>12459</v>
      </c>
      <c r="B4670" t="s">
        <v>12697</v>
      </c>
      <c r="C4670" t="s">
        <v>12460</v>
      </c>
      <c r="E4670" s="1" t="s">
        <v>6076</v>
      </c>
      <c r="F4670" s="1" t="s">
        <v>6076</v>
      </c>
      <c r="G4670" s="1" t="s">
        <v>12472</v>
      </c>
      <c r="H4670">
        <v>2020</v>
      </c>
      <c r="I4670">
        <v>2021</v>
      </c>
      <c r="J4670">
        <f t="shared" si="144"/>
        <v>2</v>
      </c>
      <c r="K4670" s="1" t="s">
        <v>6076</v>
      </c>
      <c r="L4670" s="1" t="s">
        <v>6076</v>
      </c>
      <c r="M4670">
        <f t="shared" si="145"/>
        <v>5</v>
      </c>
    </row>
    <row r="4671" spans="1:13" x14ac:dyDescent="0.3">
      <c r="A4671" t="s">
        <v>12461</v>
      </c>
      <c r="B4671" t="s">
        <v>12697</v>
      </c>
      <c r="C4671" t="s">
        <v>12462</v>
      </c>
      <c r="E4671" s="1" t="s">
        <v>6076</v>
      </c>
      <c r="F4671" s="1" t="s">
        <v>6076</v>
      </c>
      <c r="G4671" s="1" t="s">
        <v>12472</v>
      </c>
      <c r="H4671">
        <v>2015</v>
      </c>
      <c r="I4671">
        <v>2016</v>
      </c>
      <c r="J4671">
        <f t="shared" si="144"/>
        <v>2</v>
      </c>
      <c r="K4671" s="1" t="s">
        <v>6076</v>
      </c>
      <c r="L4671" s="1" t="s">
        <v>6076</v>
      </c>
      <c r="M4671">
        <f t="shared" si="145"/>
        <v>10</v>
      </c>
    </row>
    <row r="4672" spans="1:13" x14ac:dyDescent="0.3">
      <c r="A4672" t="s">
        <v>12463</v>
      </c>
      <c r="B4672" t="s">
        <v>12697</v>
      </c>
      <c r="C4672" t="s">
        <v>12464</v>
      </c>
      <c r="E4672" s="1" t="s">
        <v>6076</v>
      </c>
      <c r="F4672" s="1" t="s">
        <v>6076</v>
      </c>
      <c r="G4672" s="1" t="s">
        <v>12472</v>
      </c>
      <c r="H4672">
        <v>2015</v>
      </c>
      <c r="I4672">
        <v>2016</v>
      </c>
      <c r="J4672">
        <f t="shared" si="144"/>
        <v>2</v>
      </c>
      <c r="K4672" s="1" t="s">
        <v>6076</v>
      </c>
      <c r="L4672" s="1" t="s">
        <v>6076</v>
      </c>
      <c r="M4672">
        <f t="shared" si="145"/>
        <v>10</v>
      </c>
    </row>
    <row r="4673" spans="1:13" x14ac:dyDescent="0.3">
      <c r="A4673" t="s">
        <v>12465</v>
      </c>
      <c r="B4673" t="s">
        <v>12697</v>
      </c>
      <c r="C4673" t="s">
        <v>12466</v>
      </c>
      <c r="E4673" s="1" t="s">
        <v>6076</v>
      </c>
      <c r="F4673" s="1" t="s">
        <v>6076</v>
      </c>
      <c r="G4673" s="1" t="s">
        <v>12472</v>
      </c>
      <c r="H4673">
        <v>2013</v>
      </c>
      <c r="I4673">
        <v>2015</v>
      </c>
      <c r="J4673">
        <f t="shared" si="144"/>
        <v>3</v>
      </c>
      <c r="K4673" s="1" t="s">
        <v>6076</v>
      </c>
      <c r="L4673" s="1" t="s">
        <v>6076</v>
      </c>
      <c r="M4673">
        <f t="shared" si="145"/>
        <v>11</v>
      </c>
    </row>
    <row r="4674" spans="1:13" x14ac:dyDescent="0.3">
      <c r="A4674" t="s">
        <v>12467</v>
      </c>
      <c r="B4674" t="s">
        <v>12697</v>
      </c>
      <c r="C4674" t="s">
        <v>12468</v>
      </c>
      <c r="E4674" s="1" t="s">
        <v>6076</v>
      </c>
      <c r="F4674" s="1" t="s">
        <v>6076</v>
      </c>
      <c r="G4674" s="1" t="s">
        <v>12472</v>
      </c>
      <c r="H4674">
        <v>2011</v>
      </c>
      <c r="I4674">
        <v>2011</v>
      </c>
      <c r="J4674">
        <f t="shared" si="144"/>
        <v>1</v>
      </c>
      <c r="K4674" s="1" t="s">
        <v>6076</v>
      </c>
      <c r="L4674" s="1" t="s">
        <v>6076</v>
      </c>
      <c r="M4674">
        <f t="shared" si="145"/>
        <v>15</v>
      </c>
    </row>
    <row r="4675" spans="1:13" x14ac:dyDescent="0.3">
      <c r="A4675" t="s">
        <v>12473</v>
      </c>
      <c r="B4675" t="s">
        <v>12697</v>
      </c>
      <c r="C4675" t="s">
        <v>12474</v>
      </c>
      <c r="E4675" s="1" t="s">
        <v>6076</v>
      </c>
      <c r="F4675" s="1" t="s">
        <v>6076</v>
      </c>
      <c r="G4675" s="1" t="s">
        <v>12472</v>
      </c>
      <c r="H4675">
        <v>2015</v>
      </c>
      <c r="I4675">
        <v>2018</v>
      </c>
      <c r="J4675">
        <f t="shared" si="144"/>
        <v>4</v>
      </c>
      <c r="K4675" s="1" t="s">
        <v>6076</v>
      </c>
      <c r="L4675" s="1" t="s">
        <v>6076</v>
      </c>
      <c r="M4675">
        <f t="shared" si="145"/>
        <v>8</v>
      </c>
    </row>
    <row r="4676" spans="1:13" x14ac:dyDescent="0.3">
      <c r="A4676" t="s">
        <v>12475</v>
      </c>
      <c r="B4676" t="s">
        <v>12697</v>
      </c>
      <c r="C4676" t="s">
        <v>12476</v>
      </c>
      <c r="E4676" s="1" t="s">
        <v>6076</v>
      </c>
      <c r="F4676" s="1" t="s">
        <v>6076</v>
      </c>
      <c r="G4676" s="1" t="s">
        <v>12472</v>
      </c>
      <c r="H4676">
        <v>2012</v>
      </c>
      <c r="I4676">
        <v>2015</v>
      </c>
      <c r="J4676">
        <f t="shared" si="144"/>
        <v>4</v>
      </c>
      <c r="K4676" s="1" t="s">
        <v>6076</v>
      </c>
      <c r="L4676" s="1" t="s">
        <v>6076</v>
      </c>
      <c r="M4676">
        <f t="shared" si="145"/>
        <v>11</v>
      </c>
    </row>
    <row r="4677" spans="1:13" x14ac:dyDescent="0.3">
      <c r="A4677" t="s">
        <v>12479</v>
      </c>
      <c r="B4677" t="s">
        <v>12697</v>
      </c>
      <c r="C4677" t="s">
        <v>12480</v>
      </c>
      <c r="E4677" s="1" t="s">
        <v>6076</v>
      </c>
      <c r="F4677" s="1" t="s">
        <v>6076</v>
      </c>
      <c r="G4677" s="1" t="s">
        <v>12472</v>
      </c>
      <c r="H4677">
        <v>2020</v>
      </c>
      <c r="I4677">
        <v>2022</v>
      </c>
      <c r="J4677">
        <f t="shared" si="144"/>
        <v>3</v>
      </c>
      <c r="K4677" s="1" t="s">
        <v>6076</v>
      </c>
      <c r="L4677" s="1" t="s">
        <v>6076</v>
      </c>
      <c r="M4677">
        <f t="shared" si="145"/>
        <v>4</v>
      </c>
    </row>
    <row r="4678" spans="1:13" x14ac:dyDescent="0.3">
      <c r="A4678" t="s">
        <v>12477</v>
      </c>
      <c r="B4678" t="s">
        <v>12697</v>
      </c>
      <c r="C4678" t="s">
        <v>12478</v>
      </c>
      <c r="E4678" s="1" t="s">
        <v>6076</v>
      </c>
      <c r="F4678" s="1" t="s">
        <v>6076</v>
      </c>
      <c r="G4678" s="1" t="s">
        <v>12472</v>
      </c>
      <c r="H4678">
        <v>2020</v>
      </c>
      <c r="I4678">
        <v>2022</v>
      </c>
      <c r="J4678">
        <f t="shared" ref="J4678:J4741" si="146">1+(I4678-H4678)</f>
        <v>3</v>
      </c>
      <c r="K4678" s="1" t="s">
        <v>6076</v>
      </c>
      <c r="L4678" s="1" t="s">
        <v>6076</v>
      </c>
      <c r="M4678">
        <f t="shared" ref="M4678:M4741" si="147">IF(I4678=0,0,$B$2-I4678)</f>
        <v>4</v>
      </c>
    </row>
    <row r="4679" spans="1:13" x14ac:dyDescent="0.3">
      <c r="A4679" s="1" t="s">
        <v>9628</v>
      </c>
      <c r="B4679" s="1" t="s">
        <v>5931</v>
      </c>
      <c r="C4679" s="1" t="s">
        <v>9629</v>
      </c>
      <c r="D4679" s="1" t="s">
        <v>738</v>
      </c>
      <c r="E4679" s="1" t="s">
        <v>6076</v>
      </c>
      <c r="F4679" s="1" t="s">
        <v>6076</v>
      </c>
      <c r="G4679" s="1" t="s">
        <v>9630</v>
      </c>
      <c r="H4679">
        <v>1992</v>
      </c>
      <c r="I4679">
        <v>2012</v>
      </c>
      <c r="J4679">
        <f t="shared" si="146"/>
        <v>21</v>
      </c>
      <c r="K4679" s="1" t="s">
        <v>6076</v>
      </c>
      <c r="L4679" s="1" t="s">
        <v>6076</v>
      </c>
      <c r="M4679">
        <f t="shared" si="147"/>
        <v>14</v>
      </c>
    </row>
    <row r="4680" spans="1:13" x14ac:dyDescent="0.3">
      <c r="A4680" s="1" t="s">
        <v>9631</v>
      </c>
      <c r="B4680" s="1" t="s">
        <v>5931</v>
      </c>
      <c r="C4680" s="1" t="s">
        <v>9632</v>
      </c>
      <c r="D4680" s="1" t="s">
        <v>738</v>
      </c>
      <c r="E4680" s="1" t="s">
        <v>6076</v>
      </c>
      <c r="F4680" s="1" t="s">
        <v>6076</v>
      </c>
      <c r="G4680" s="1" t="s">
        <v>9630</v>
      </c>
      <c r="H4680">
        <v>1996</v>
      </c>
      <c r="I4680">
        <v>2001</v>
      </c>
      <c r="J4680">
        <f t="shared" si="146"/>
        <v>6</v>
      </c>
      <c r="K4680" s="1" t="s">
        <v>6076</v>
      </c>
      <c r="L4680" s="1" t="s">
        <v>6076</v>
      </c>
      <c r="M4680">
        <f t="shared" si="147"/>
        <v>25</v>
      </c>
    </row>
    <row r="4681" spans="1:13" x14ac:dyDescent="0.3">
      <c r="A4681" s="1" t="s">
        <v>9633</v>
      </c>
      <c r="B4681" s="1" t="s">
        <v>5931</v>
      </c>
      <c r="C4681" s="1" t="s">
        <v>9634</v>
      </c>
      <c r="D4681" s="1" t="s">
        <v>738</v>
      </c>
      <c r="E4681" s="1" t="s">
        <v>6076</v>
      </c>
      <c r="F4681" s="1" t="s">
        <v>6076</v>
      </c>
      <c r="G4681" s="1" t="s">
        <v>9635</v>
      </c>
      <c r="H4681">
        <v>2011</v>
      </c>
      <c r="I4681">
        <v>2013</v>
      </c>
      <c r="J4681">
        <f t="shared" si="146"/>
        <v>3</v>
      </c>
      <c r="K4681" s="1" t="s">
        <v>6076</v>
      </c>
      <c r="L4681" s="1" t="s">
        <v>6076</v>
      </c>
      <c r="M4681">
        <f t="shared" si="147"/>
        <v>13</v>
      </c>
    </row>
    <row r="4682" spans="1:13" x14ac:dyDescent="0.3">
      <c r="A4682" s="1" t="s">
        <v>9636</v>
      </c>
      <c r="B4682" s="1" t="s">
        <v>5931</v>
      </c>
      <c r="C4682" s="1" t="s">
        <v>9637</v>
      </c>
      <c r="D4682" s="1" t="s">
        <v>738</v>
      </c>
      <c r="E4682" s="1" t="s">
        <v>6076</v>
      </c>
      <c r="F4682" s="1" t="s">
        <v>6076</v>
      </c>
      <c r="G4682" s="1" t="s">
        <v>9635</v>
      </c>
      <c r="H4682">
        <v>2007</v>
      </c>
      <c r="I4682">
        <v>2011</v>
      </c>
      <c r="J4682">
        <f t="shared" si="146"/>
        <v>5</v>
      </c>
      <c r="K4682" s="1" t="s">
        <v>6076</v>
      </c>
      <c r="L4682" s="1" t="s">
        <v>6076</v>
      </c>
      <c r="M4682">
        <f t="shared" si="147"/>
        <v>15</v>
      </c>
    </row>
    <row r="4683" spans="1:13" x14ac:dyDescent="0.3">
      <c r="A4683" t="s">
        <v>11859</v>
      </c>
      <c r="B4683" t="s">
        <v>5931</v>
      </c>
      <c r="C4683" t="s">
        <v>11860</v>
      </c>
      <c r="E4683" s="1" t="s">
        <v>6076</v>
      </c>
      <c r="F4683" s="1" t="s">
        <v>6076</v>
      </c>
      <c r="G4683" s="1" t="s">
        <v>12861</v>
      </c>
      <c r="H4683">
        <v>2024</v>
      </c>
      <c r="I4683">
        <v>2026</v>
      </c>
      <c r="J4683">
        <f t="shared" si="146"/>
        <v>3</v>
      </c>
      <c r="K4683" s="1" t="s">
        <v>6076</v>
      </c>
      <c r="L4683" s="1" t="s">
        <v>6076</v>
      </c>
      <c r="M4683">
        <f t="shared" si="147"/>
        <v>0</v>
      </c>
    </row>
    <row r="4684" spans="1:13" x14ac:dyDescent="0.3">
      <c r="A4684" s="1" t="s">
        <v>9638</v>
      </c>
      <c r="B4684" s="1" t="s">
        <v>5931</v>
      </c>
      <c r="C4684" s="1" t="s">
        <v>9639</v>
      </c>
      <c r="D4684" s="1" t="s">
        <v>3850</v>
      </c>
      <c r="E4684" s="1" t="s">
        <v>6076</v>
      </c>
      <c r="F4684" s="1" t="s">
        <v>6076</v>
      </c>
      <c r="G4684" s="1" t="s">
        <v>9635</v>
      </c>
      <c r="H4684">
        <v>2017</v>
      </c>
      <c r="I4684">
        <v>2017</v>
      </c>
      <c r="J4684">
        <f t="shared" si="146"/>
        <v>1</v>
      </c>
      <c r="K4684" s="1" t="s">
        <v>6076</v>
      </c>
      <c r="L4684" s="1" t="s">
        <v>6076</v>
      </c>
      <c r="M4684">
        <f t="shared" si="147"/>
        <v>9</v>
      </c>
    </row>
    <row r="4685" spans="1:13" x14ac:dyDescent="0.3">
      <c r="A4685" s="1" t="s">
        <v>9640</v>
      </c>
      <c r="B4685" s="1" t="s">
        <v>5931</v>
      </c>
      <c r="C4685" s="1" t="s">
        <v>9641</v>
      </c>
      <c r="D4685" s="1" t="s">
        <v>3850</v>
      </c>
      <c r="E4685" s="1" t="s">
        <v>6076</v>
      </c>
      <c r="F4685" s="1" t="s">
        <v>6076</v>
      </c>
      <c r="G4685" s="1" t="s">
        <v>9635</v>
      </c>
      <c r="H4685">
        <v>2019</v>
      </c>
      <c r="I4685">
        <v>2019</v>
      </c>
      <c r="J4685">
        <f t="shared" si="146"/>
        <v>1</v>
      </c>
      <c r="K4685" s="1" t="s">
        <v>6076</v>
      </c>
      <c r="L4685" s="1" t="s">
        <v>6076</v>
      </c>
      <c r="M4685">
        <f t="shared" si="147"/>
        <v>7</v>
      </c>
    </row>
    <row r="4686" spans="1:13" x14ac:dyDescent="0.3">
      <c r="A4686" s="1" t="s">
        <v>9642</v>
      </c>
      <c r="B4686" s="1" t="s">
        <v>5931</v>
      </c>
      <c r="C4686" s="1" t="s">
        <v>9643</v>
      </c>
      <c r="D4686" s="1" t="s">
        <v>3850</v>
      </c>
      <c r="E4686" s="1" t="s">
        <v>6076</v>
      </c>
      <c r="F4686" s="1" t="s">
        <v>6076</v>
      </c>
      <c r="G4686" s="1" t="s">
        <v>9635</v>
      </c>
      <c r="H4686">
        <v>2011</v>
      </c>
      <c r="I4686">
        <v>2013</v>
      </c>
      <c r="J4686">
        <f t="shared" si="146"/>
        <v>3</v>
      </c>
      <c r="K4686" s="1" t="s">
        <v>6076</v>
      </c>
      <c r="L4686" s="1" t="s">
        <v>6076</v>
      </c>
      <c r="M4686">
        <f t="shared" si="147"/>
        <v>13</v>
      </c>
    </row>
    <row r="4687" spans="1:13" x14ac:dyDescent="0.3">
      <c r="A4687" s="1" t="s">
        <v>9644</v>
      </c>
      <c r="B4687" s="1" t="s">
        <v>5931</v>
      </c>
      <c r="C4687" s="1" t="s">
        <v>9645</v>
      </c>
      <c r="D4687" s="1" t="s">
        <v>738</v>
      </c>
      <c r="E4687" s="1" t="s">
        <v>6076</v>
      </c>
      <c r="F4687" s="1" t="s">
        <v>6076</v>
      </c>
      <c r="G4687" s="1" t="s">
        <v>9635</v>
      </c>
      <c r="H4687">
        <v>2008</v>
      </c>
      <c r="I4687">
        <v>2020</v>
      </c>
      <c r="J4687">
        <f t="shared" si="146"/>
        <v>13</v>
      </c>
      <c r="K4687" s="1" t="s">
        <v>6076</v>
      </c>
      <c r="L4687" s="1" t="s">
        <v>6076</v>
      </c>
      <c r="M4687">
        <f t="shared" si="147"/>
        <v>6</v>
      </c>
    </row>
    <row r="4688" spans="1:13" x14ac:dyDescent="0.3">
      <c r="A4688" s="1" t="s">
        <v>9646</v>
      </c>
      <c r="B4688" s="1" t="s">
        <v>5931</v>
      </c>
      <c r="C4688" s="1" t="s">
        <v>9647</v>
      </c>
      <c r="D4688" s="1" t="s">
        <v>3850</v>
      </c>
      <c r="E4688" s="1" t="s">
        <v>6076</v>
      </c>
      <c r="F4688" s="1" t="s">
        <v>6076</v>
      </c>
      <c r="G4688" s="1" t="s">
        <v>9648</v>
      </c>
      <c r="H4688">
        <v>2007</v>
      </c>
      <c r="I4688">
        <v>2011</v>
      </c>
      <c r="J4688">
        <f t="shared" si="146"/>
        <v>5</v>
      </c>
      <c r="K4688" s="1" t="s">
        <v>6076</v>
      </c>
      <c r="L4688" s="1" t="s">
        <v>6076</v>
      </c>
      <c r="M4688">
        <f t="shared" si="147"/>
        <v>15</v>
      </c>
    </row>
    <row r="4689" spans="1:13" x14ac:dyDescent="0.3">
      <c r="A4689" s="1" t="s">
        <v>9649</v>
      </c>
      <c r="B4689" s="1" t="s">
        <v>5931</v>
      </c>
      <c r="C4689" s="1" t="s">
        <v>9650</v>
      </c>
      <c r="D4689" s="1" t="s">
        <v>3850</v>
      </c>
      <c r="E4689" s="1" t="s">
        <v>6076</v>
      </c>
      <c r="F4689" s="1" t="s">
        <v>6076</v>
      </c>
      <c r="G4689" s="1" t="s">
        <v>9648</v>
      </c>
      <c r="H4689">
        <v>2019</v>
      </c>
      <c r="I4689">
        <v>2019</v>
      </c>
      <c r="J4689">
        <f t="shared" si="146"/>
        <v>1</v>
      </c>
      <c r="K4689" s="1" t="s">
        <v>6076</v>
      </c>
      <c r="L4689" s="1" t="s">
        <v>6076</v>
      </c>
      <c r="M4689">
        <f t="shared" si="147"/>
        <v>7</v>
      </c>
    </row>
    <row r="4690" spans="1:13" x14ac:dyDescent="0.3">
      <c r="A4690" s="1" t="s">
        <v>9651</v>
      </c>
      <c r="B4690" s="1" t="s">
        <v>5931</v>
      </c>
      <c r="C4690" s="1" t="s">
        <v>9652</v>
      </c>
      <c r="D4690" s="1" t="s">
        <v>3850</v>
      </c>
      <c r="E4690" s="1" t="s">
        <v>6076</v>
      </c>
      <c r="F4690" s="1" t="s">
        <v>6076</v>
      </c>
      <c r="G4690" s="1" t="s">
        <v>9648</v>
      </c>
      <c r="H4690">
        <v>2016</v>
      </c>
      <c r="I4690">
        <v>2019</v>
      </c>
      <c r="J4690">
        <f t="shared" si="146"/>
        <v>4</v>
      </c>
      <c r="K4690" s="1" t="s">
        <v>6076</v>
      </c>
      <c r="L4690" s="1" t="s">
        <v>6076</v>
      </c>
      <c r="M4690">
        <f t="shared" si="147"/>
        <v>7</v>
      </c>
    </row>
    <row r="4691" spans="1:13" x14ac:dyDescent="0.3">
      <c r="A4691" s="1" t="s">
        <v>591</v>
      </c>
      <c r="B4691" s="1" t="s">
        <v>5940</v>
      </c>
      <c r="C4691" s="1" t="s">
        <v>592</v>
      </c>
      <c r="D4691" s="1" t="s">
        <v>3850</v>
      </c>
      <c r="E4691" s="1" t="s">
        <v>6076</v>
      </c>
      <c r="F4691" s="1" t="s">
        <v>6076</v>
      </c>
      <c r="G4691" s="1" t="s">
        <v>9653</v>
      </c>
      <c r="H4691">
        <v>2013</v>
      </c>
      <c r="I4691">
        <v>2016</v>
      </c>
      <c r="J4691">
        <f t="shared" si="146"/>
        <v>4</v>
      </c>
      <c r="K4691" s="1" t="s">
        <v>6076</v>
      </c>
      <c r="L4691" s="1" t="s">
        <v>6076</v>
      </c>
      <c r="M4691">
        <f t="shared" si="147"/>
        <v>10</v>
      </c>
    </row>
    <row r="4692" spans="1:13" x14ac:dyDescent="0.3">
      <c r="A4692" t="s">
        <v>12481</v>
      </c>
      <c r="B4692" t="s">
        <v>12697</v>
      </c>
      <c r="C4692" t="s">
        <v>12482</v>
      </c>
      <c r="E4692" s="1" t="s">
        <v>6076</v>
      </c>
      <c r="F4692" s="1" t="s">
        <v>6076</v>
      </c>
      <c r="G4692" s="1" t="s">
        <v>12895</v>
      </c>
      <c r="H4692">
        <v>1997</v>
      </c>
      <c r="I4692">
        <v>1999</v>
      </c>
      <c r="J4692">
        <f t="shared" si="146"/>
        <v>3</v>
      </c>
      <c r="K4692" s="1" t="s">
        <v>6076</v>
      </c>
      <c r="L4692" s="1" t="s">
        <v>6076</v>
      </c>
      <c r="M4692">
        <f t="shared" si="147"/>
        <v>27</v>
      </c>
    </row>
    <row r="4693" spans="1:13" x14ac:dyDescent="0.3">
      <c r="A4693" t="s">
        <v>12483</v>
      </c>
      <c r="B4693" t="s">
        <v>12697</v>
      </c>
      <c r="C4693" t="s">
        <v>12484</v>
      </c>
      <c r="E4693" s="1" t="s">
        <v>6076</v>
      </c>
      <c r="F4693" s="1" t="s">
        <v>6076</v>
      </c>
      <c r="G4693" s="1" t="s">
        <v>12895</v>
      </c>
      <c r="H4693">
        <v>1997</v>
      </c>
      <c r="I4693">
        <v>2000</v>
      </c>
      <c r="J4693">
        <f t="shared" si="146"/>
        <v>4</v>
      </c>
      <c r="K4693" s="1" t="s">
        <v>6076</v>
      </c>
      <c r="L4693" s="1" t="s">
        <v>6076</v>
      </c>
      <c r="M4693">
        <f t="shared" si="147"/>
        <v>26</v>
      </c>
    </row>
    <row r="4694" spans="1:13" x14ac:dyDescent="0.3">
      <c r="A4694" t="s">
        <v>12485</v>
      </c>
      <c r="B4694" t="s">
        <v>12697</v>
      </c>
      <c r="C4694" t="s">
        <v>12486</v>
      </c>
      <c r="E4694" s="1" t="s">
        <v>6076</v>
      </c>
      <c r="F4694" s="1" t="s">
        <v>6076</v>
      </c>
      <c r="G4694" s="1" t="s">
        <v>12895</v>
      </c>
      <c r="H4694">
        <v>1998</v>
      </c>
      <c r="I4694">
        <v>1999</v>
      </c>
      <c r="J4694">
        <f t="shared" si="146"/>
        <v>2</v>
      </c>
      <c r="K4694" s="1" t="s">
        <v>6076</v>
      </c>
      <c r="L4694" s="1" t="s">
        <v>6076</v>
      </c>
      <c r="M4694">
        <f t="shared" si="147"/>
        <v>27</v>
      </c>
    </row>
    <row r="4695" spans="1:13" x14ac:dyDescent="0.3">
      <c r="A4695" t="s">
        <v>12487</v>
      </c>
      <c r="B4695" t="s">
        <v>12697</v>
      </c>
      <c r="C4695" t="s">
        <v>12488</v>
      </c>
      <c r="E4695" s="1" t="s">
        <v>6076</v>
      </c>
      <c r="F4695" s="1" t="s">
        <v>6076</v>
      </c>
      <c r="G4695" s="1" t="s">
        <v>12895</v>
      </c>
      <c r="H4695">
        <v>1998</v>
      </c>
      <c r="I4695">
        <v>2000</v>
      </c>
      <c r="J4695">
        <f t="shared" si="146"/>
        <v>3</v>
      </c>
      <c r="K4695" s="1" t="s">
        <v>6076</v>
      </c>
      <c r="L4695" s="1" t="s">
        <v>6076</v>
      </c>
      <c r="M4695">
        <f t="shared" si="147"/>
        <v>26</v>
      </c>
    </row>
    <row r="4696" spans="1:13" x14ac:dyDescent="0.3">
      <c r="A4696" t="s">
        <v>12489</v>
      </c>
      <c r="B4696" t="s">
        <v>12697</v>
      </c>
      <c r="C4696" t="s">
        <v>12490</v>
      </c>
      <c r="E4696" s="1" t="s">
        <v>6076</v>
      </c>
      <c r="F4696" s="1" t="s">
        <v>6076</v>
      </c>
      <c r="G4696" s="1" t="s">
        <v>12895</v>
      </c>
      <c r="H4696">
        <v>1997</v>
      </c>
      <c r="I4696">
        <v>1999</v>
      </c>
      <c r="J4696">
        <f t="shared" si="146"/>
        <v>3</v>
      </c>
      <c r="K4696" s="1" t="s">
        <v>6076</v>
      </c>
      <c r="L4696" s="1" t="s">
        <v>6076</v>
      </c>
      <c r="M4696">
        <f t="shared" si="147"/>
        <v>27</v>
      </c>
    </row>
    <row r="4697" spans="1:13" x14ac:dyDescent="0.3">
      <c r="A4697" s="1" t="s">
        <v>593</v>
      </c>
      <c r="B4697" s="1" t="s">
        <v>5940</v>
      </c>
      <c r="C4697" s="1" t="s">
        <v>594</v>
      </c>
      <c r="D4697" s="1" t="s">
        <v>738</v>
      </c>
      <c r="E4697" s="1" t="s">
        <v>6076</v>
      </c>
      <c r="F4697" s="1" t="s">
        <v>6076</v>
      </c>
      <c r="G4697" s="1" t="s">
        <v>9654</v>
      </c>
      <c r="H4697">
        <v>2013</v>
      </c>
      <c r="I4697">
        <v>2017</v>
      </c>
      <c r="J4697">
        <f t="shared" si="146"/>
        <v>5</v>
      </c>
      <c r="K4697" s="1" t="s">
        <v>6076</v>
      </c>
      <c r="L4697" s="1" t="s">
        <v>6076</v>
      </c>
      <c r="M4697">
        <f t="shared" si="147"/>
        <v>9</v>
      </c>
    </row>
    <row r="4698" spans="1:13" x14ac:dyDescent="0.3">
      <c r="A4698" s="1" t="s">
        <v>595</v>
      </c>
      <c r="B4698" s="1" t="s">
        <v>5940</v>
      </c>
      <c r="C4698" s="1" t="s">
        <v>596</v>
      </c>
      <c r="D4698" s="1" t="s">
        <v>738</v>
      </c>
      <c r="E4698" s="1" t="s">
        <v>6076</v>
      </c>
      <c r="F4698" s="1" t="s">
        <v>6076</v>
      </c>
      <c r="G4698" s="1" t="s">
        <v>9654</v>
      </c>
      <c r="H4698">
        <v>1996</v>
      </c>
      <c r="I4698">
        <v>1998</v>
      </c>
      <c r="J4698">
        <f t="shared" si="146"/>
        <v>3</v>
      </c>
      <c r="K4698" s="1" t="s">
        <v>6076</v>
      </c>
      <c r="L4698" s="1" t="s">
        <v>6076</v>
      </c>
      <c r="M4698">
        <f t="shared" si="147"/>
        <v>28</v>
      </c>
    </row>
    <row r="4699" spans="1:13" x14ac:dyDescent="0.3">
      <c r="A4699" s="1" t="s">
        <v>597</v>
      </c>
      <c r="B4699" s="1" t="s">
        <v>5940</v>
      </c>
      <c r="C4699" s="1" t="s">
        <v>598</v>
      </c>
      <c r="D4699" s="1" t="s">
        <v>738</v>
      </c>
      <c r="E4699" s="1" t="s">
        <v>6076</v>
      </c>
      <c r="F4699" s="1" t="s">
        <v>6076</v>
      </c>
      <c r="G4699" s="1" t="s">
        <v>9654</v>
      </c>
      <c r="H4699">
        <v>2000</v>
      </c>
      <c r="I4699">
        <v>2000</v>
      </c>
      <c r="J4699">
        <f t="shared" si="146"/>
        <v>1</v>
      </c>
      <c r="K4699" s="1" t="s">
        <v>6076</v>
      </c>
      <c r="L4699" s="1" t="s">
        <v>6076</v>
      </c>
      <c r="M4699">
        <f t="shared" si="147"/>
        <v>26</v>
      </c>
    </row>
    <row r="4700" spans="1:13" x14ac:dyDescent="0.3">
      <c r="A4700" s="1" t="s">
        <v>599</v>
      </c>
      <c r="B4700" s="1" t="s">
        <v>5940</v>
      </c>
      <c r="C4700" s="1" t="s">
        <v>600</v>
      </c>
      <c r="D4700" s="1" t="s">
        <v>738</v>
      </c>
      <c r="E4700" s="1" t="s">
        <v>6076</v>
      </c>
      <c r="F4700" s="1" t="s">
        <v>6076</v>
      </c>
      <c r="G4700" s="1" t="s">
        <v>9654</v>
      </c>
      <c r="H4700">
        <v>2000</v>
      </c>
      <c r="I4700">
        <v>2000</v>
      </c>
      <c r="J4700">
        <f t="shared" si="146"/>
        <v>1</v>
      </c>
      <c r="K4700" s="1" t="s">
        <v>6076</v>
      </c>
      <c r="L4700" s="1" t="s">
        <v>6076</v>
      </c>
      <c r="M4700">
        <f t="shared" si="147"/>
        <v>26</v>
      </c>
    </row>
    <row r="4701" spans="1:13" x14ac:dyDescent="0.3">
      <c r="A4701" s="1" t="s">
        <v>601</v>
      </c>
      <c r="B4701" s="1" t="s">
        <v>5940</v>
      </c>
      <c r="C4701" s="1" t="s">
        <v>602</v>
      </c>
      <c r="D4701" s="1" t="s">
        <v>738</v>
      </c>
      <c r="E4701" s="1" t="s">
        <v>6076</v>
      </c>
      <c r="F4701" s="1" t="s">
        <v>6076</v>
      </c>
      <c r="G4701" s="1" t="s">
        <v>9654</v>
      </c>
      <c r="H4701">
        <v>1998</v>
      </c>
      <c r="I4701">
        <v>2001</v>
      </c>
      <c r="J4701">
        <f t="shared" si="146"/>
        <v>4</v>
      </c>
      <c r="K4701" s="1" t="s">
        <v>6076</v>
      </c>
      <c r="L4701" s="1" t="s">
        <v>6076</v>
      </c>
      <c r="M4701">
        <f t="shared" si="147"/>
        <v>25</v>
      </c>
    </row>
    <row r="4702" spans="1:13" x14ac:dyDescent="0.3">
      <c r="A4702" t="s">
        <v>12491</v>
      </c>
      <c r="B4702" t="s">
        <v>12697</v>
      </c>
      <c r="C4702" t="s">
        <v>12492</v>
      </c>
      <c r="E4702" s="1" t="s">
        <v>6076</v>
      </c>
      <c r="F4702" s="1" t="s">
        <v>6076</v>
      </c>
      <c r="G4702" s="1" t="s">
        <v>12471</v>
      </c>
      <c r="H4702">
        <v>1998</v>
      </c>
      <c r="I4702">
        <v>2005</v>
      </c>
      <c r="J4702">
        <f t="shared" si="146"/>
        <v>8</v>
      </c>
      <c r="K4702" s="1" t="s">
        <v>6076</v>
      </c>
      <c r="L4702" s="1" t="s">
        <v>6076</v>
      </c>
      <c r="M4702">
        <f t="shared" si="147"/>
        <v>21</v>
      </c>
    </row>
    <row r="4703" spans="1:13" x14ac:dyDescent="0.3">
      <c r="A4703" t="s">
        <v>12493</v>
      </c>
      <c r="B4703" t="s">
        <v>12697</v>
      </c>
      <c r="C4703" t="s">
        <v>12494</v>
      </c>
      <c r="E4703" s="1" t="s">
        <v>6076</v>
      </c>
      <c r="F4703" s="1" t="s">
        <v>6076</v>
      </c>
      <c r="G4703" s="1" t="s">
        <v>12471</v>
      </c>
      <c r="H4703">
        <v>2000</v>
      </c>
      <c r="I4703">
        <v>2001</v>
      </c>
      <c r="J4703">
        <f t="shared" si="146"/>
        <v>2</v>
      </c>
      <c r="K4703" s="1" t="s">
        <v>6076</v>
      </c>
      <c r="L4703" s="1" t="s">
        <v>6076</v>
      </c>
      <c r="M4703">
        <f t="shared" si="147"/>
        <v>25</v>
      </c>
    </row>
    <row r="4704" spans="1:13" x14ac:dyDescent="0.3">
      <c r="A4704" t="s">
        <v>12495</v>
      </c>
      <c r="B4704" t="s">
        <v>12697</v>
      </c>
      <c r="C4704" t="s">
        <v>12496</v>
      </c>
      <c r="E4704" s="1" t="s">
        <v>6076</v>
      </c>
      <c r="F4704" s="1" t="s">
        <v>6076</v>
      </c>
      <c r="G4704" s="1" t="s">
        <v>12471</v>
      </c>
      <c r="H4704">
        <v>2007</v>
      </c>
      <c r="I4704">
        <v>2009</v>
      </c>
      <c r="J4704">
        <f t="shared" si="146"/>
        <v>3</v>
      </c>
      <c r="K4704" s="1" t="s">
        <v>6076</v>
      </c>
      <c r="L4704" s="1" t="s">
        <v>6076</v>
      </c>
      <c r="M4704">
        <f t="shared" si="147"/>
        <v>17</v>
      </c>
    </row>
    <row r="4705" spans="1:14" x14ac:dyDescent="0.3">
      <c r="A4705" t="s">
        <v>12497</v>
      </c>
      <c r="B4705" t="s">
        <v>12697</v>
      </c>
      <c r="C4705" t="s">
        <v>12498</v>
      </c>
      <c r="E4705" s="1" t="s">
        <v>6076</v>
      </c>
      <c r="F4705" s="1" t="s">
        <v>6076</v>
      </c>
      <c r="G4705" s="1" t="s">
        <v>12471</v>
      </c>
      <c r="H4705">
        <v>2007</v>
      </c>
      <c r="I4705">
        <v>2010</v>
      </c>
      <c r="J4705">
        <f t="shared" si="146"/>
        <v>4</v>
      </c>
      <c r="K4705" s="1" t="s">
        <v>6076</v>
      </c>
      <c r="L4705" s="1" t="s">
        <v>6076</v>
      </c>
      <c r="M4705">
        <f t="shared" si="147"/>
        <v>16</v>
      </c>
    </row>
    <row r="4706" spans="1:14" x14ac:dyDescent="0.3">
      <c r="A4706" t="s">
        <v>12503</v>
      </c>
      <c r="B4706" t="s">
        <v>12697</v>
      </c>
      <c r="C4706" t="s">
        <v>12504</v>
      </c>
      <c r="E4706" s="1" t="s">
        <v>6076</v>
      </c>
      <c r="F4706" s="1" t="s">
        <v>6076</v>
      </c>
      <c r="G4706" s="1" t="s">
        <v>12471</v>
      </c>
      <c r="H4706">
        <v>1998</v>
      </c>
      <c r="I4706">
        <v>2006</v>
      </c>
      <c r="J4706">
        <f t="shared" si="146"/>
        <v>9</v>
      </c>
      <c r="K4706" s="1" t="s">
        <v>6076</v>
      </c>
      <c r="L4706" s="1" t="s">
        <v>6076</v>
      </c>
      <c r="M4706">
        <f t="shared" si="147"/>
        <v>20</v>
      </c>
    </row>
    <row r="4707" spans="1:14" x14ac:dyDescent="0.3">
      <c r="A4707" t="s">
        <v>12505</v>
      </c>
      <c r="B4707" t="s">
        <v>12697</v>
      </c>
      <c r="C4707" t="s">
        <v>12506</v>
      </c>
      <c r="E4707" s="1" t="s">
        <v>6076</v>
      </c>
      <c r="F4707" s="1" t="s">
        <v>6076</v>
      </c>
      <c r="G4707" s="1" t="s">
        <v>12471</v>
      </c>
      <c r="H4707">
        <v>2000</v>
      </c>
      <c r="I4707">
        <v>2001</v>
      </c>
      <c r="J4707">
        <f t="shared" si="146"/>
        <v>2</v>
      </c>
      <c r="K4707" s="1" t="s">
        <v>6076</v>
      </c>
      <c r="L4707" s="1" t="s">
        <v>6076</v>
      </c>
      <c r="M4707">
        <f t="shared" si="147"/>
        <v>25</v>
      </c>
    </row>
    <row r="4708" spans="1:14" x14ac:dyDescent="0.3">
      <c r="A4708" t="s">
        <v>12499</v>
      </c>
      <c r="B4708" t="s">
        <v>12697</v>
      </c>
      <c r="C4708" t="s">
        <v>12500</v>
      </c>
      <c r="E4708" s="1" t="s">
        <v>6076</v>
      </c>
      <c r="F4708" s="1" t="s">
        <v>6076</v>
      </c>
      <c r="G4708" s="1" t="s">
        <v>12471</v>
      </c>
      <c r="H4708">
        <v>2001</v>
      </c>
      <c r="I4708">
        <v>2001</v>
      </c>
      <c r="J4708">
        <f t="shared" si="146"/>
        <v>1</v>
      </c>
      <c r="K4708" s="1" t="s">
        <v>6076</v>
      </c>
      <c r="L4708" s="1" t="s">
        <v>6076</v>
      </c>
      <c r="M4708">
        <f t="shared" si="147"/>
        <v>25</v>
      </c>
    </row>
    <row r="4709" spans="1:14" x14ac:dyDescent="0.3">
      <c r="A4709" t="s">
        <v>12501</v>
      </c>
      <c r="B4709" t="s">
        <v>12697</v>
      </c>
      <c r="C4709" t="s">
        <v>12502</v>
      </c>
      <c r="E4709" s="1" t="s">
        <v>6076</v>
      </c>
      <c r="F4709" s="1" t="s">
        <v>6076</v>
      </c>
      <c r="G4709" s="1" t="s">
        <v>12471</v>
      </c>
      <c r="H4709">
        <v>2001</v>
      </c>
      <c r="I4709">
        <v>2001</v>
      </c>
      <c r="J4709">
        <f t="shared" si="146"/>
        <v>1</v>
      </c>
      <c r="K4709" s="1" t="s">
        <v>6076</v>
      </c>
      <c r="L4709" s="1" t="s">
        <v>6076</v>
      </c>
      <c r="M4709">
        <f t="shared" si="147"/>
        <v>25</v>
      </c>
    </row>
    <row r="4710" spans="1:14" x14ac:dyDescent="0.3">
      <c r="A4710" t="s">
        <v>12507</v>
      </c>
      <c r="B4710" t="s">
        <v>12697</v>
      </c>
      <c r="C4710" t="s">
        <v>12508</v>
      </c>
      <c r="E4710" s="1" t="s">
        <v>6076</v>
      </c>
      <c r="F4710" s="1" t="s">
        <v>6076</v>
      </c>
      <c r="G4710" s="1" t="s">
        <v>12896</v>
      </c>
      <c r="H4710">
        <v>2019</v>
      </c>
      <c r="I4710">
        <v>2022</v>
      </c>
      <c r="J4710">
        <f t="shared" si="146"/>
        <v>4</v>
      </c>
      <c r="K4710" s="1" t="s">
        <v>6076</v>
      </c>
      <c r="L4710" s="1" t="s">
        <v>6076</v>
      </c>
      <c r="M4710">
        <f t="shared" si="147"/>
        <v>4</v>
      </c>
    </row>
    <row r="4711" spans="1:14" x14ac:dyDescent="0.3">
      <c r="A4711" s="1" t="s">
        <v>9655</v>
      </c>
      <c r="B4711" s="1" t="s">
        <v>12756</v>
      </c>
      <c r="C4711" s="1" t="s">
        <v>9656</v>
      </c>
      <c r="D4711" s="1" t="s">
        <v>738</v>
      </c>
      <c r="E4711" s="1" t="s">
        <v>6076</v>
      </c>
      <c r="F4711" s="1" t="s">
        <v>6076</v>
      </c>
      <c r="G4711" s="1" t="s">
        <v>9657</v>
      </c>
      <c r="H4711">
        <v>1993</v>
      </c>
      <c r="I4711">
        <v>1995</v>
      </c>
      <c r="J4711">
        <f t="shared" si="146"/>
        <v>3</v>
      </c>
      <c r="K4711" s="1" t="s">
        <v>6076</v>
      </c>
      <c r="L4711" s="1" t="s">
        <v>6076</v>
      </c>
      <c r="M4711">
        <f t="shared" si="147"/>
        <v>31</v>
      </c>
      <c r="N4711" t="s">
        <v>640</v>
      </c>
    </row>
    <row r="4712" spans="1:14" x14ac:dyDescent="0.3">
      <c r="A4712" s="1" t="s">
        <v>9658</v>
      </c>
      <c r="B4712" s="1" t="s">
        <v>4665</v>
      </c>
      <c r="C4712" s="1" t="s">
        <v>9659</v>
      </c>
      <c r="D4712" s="1" t="s">
        <v>1242</v>
      </c>
      <c r="E4712" s="1" t="s">
        <v>6076</v>
      </c>
      <c r="F4712" s="1" t="s">
        <v>6076</v>
      </c>
      <c r="G4712" s="1" t="s">
        <v>9660</v>
      </c>
      <c r="H4712">
        <v>1991</v>
      </c>
      <c r="I4712">
        <v>1999</v>
      </c>
      <c r="J4712">
        <f t="shared" si="146"/>
        <v>9</v>
      </c>
      <c r="K4712" s="1" t="s">
        <v>6076</v>
      </c>
      <c r="L4712" s="1" t="s">
        <v>6076</v>
      </c>
      <c r="M4712">
        <f t="shared" si="147"/>
        <v>27</v>
      </c>
      <c r="N4712" t="s">
        <v>640</v>
      </c>
    </row>
    <row r="4713" spans="1:14" x14ac:dyDescent="0.3">
      <c r="A4713" s="1" t="s">
        <v>9661</v>
      </c>
      <c r="B4713" s="1" t="s">
        <v>4665</v>
      </c>
      <c r="C4713" s="1" t="s">
        <v>9662</v>
      </c>
      <c r="D4713" s="1" t="s">
        <v>1242</v>
      </c>
      <c r="E4713" s="1" t="s">
        <v>6076</v>
      </c>
      <c r="F4713" s="1" t="s">
        <v>6076</v>
      </c>
      <c r="G4713" s="1" t="s">
        <v>9660</v>
      </c>
      <c r="H4713">
        <v>1991</v>
      </c>
      <c r="I4713">
        <v>1999</v>
      </c>
      <c r="J4713">
        <f t="shared" si="146"/>
        <v>9</v>
      </c>
      <c r="K4713" s="1" t="s">
        <v>6076</v>
      </c>
      <c r="L4713" s="1" t="s">
        <v>6076</v>
      </c>
      <c r="M4713">
        <f t="shared" si="147"/>
        <v>27</v>
      </c>
      <c r="N4713" t="s">
        <v>640</v>
      </c>
    </row>
    <row r="4714" spans="1:14" hidden="1" x14ac:dyDescent="0.3">
      <c r="A4714" s="1" t="s">
        <v>2832</v>
      </c>
      <c r="B4714" s="1" t="s">
        <v>12756</v>
      </c>
      <c r="C4714" s="1" t="s">
        <v>2833</v>
      </c>
      <c r="D4714" s="1" t="s">
        <v>746</v>
      </c>
      <c r="E4714" s="1" t="s">
        <v>747</v>
      </c>
      <c r="F4714" s="1" t="s">
        <v>748</v>
      </c>
      <c r="G4714" s="1" t="s">
        <v>2834</v>
      </c>
      <c r="H4714">
        <v>2016</v>
      </c>
      <c r="I4714">
        <v>2016</v>
      </c>
      <c r="J4714">
        <f t="shared" si="146"/>
        <v>1</v>
      </c>
      <c r="K4714" s="1" t="s">
        <v>741</v>
      </c>
      <c r="L4714" s="1" t="s">
        <v>798</v>
      </c>
      <c r="M4714">
        <f t="shared" si="147"/>
        <v>10</v>
      </c>
      <c r="N4714" t="s">
        <v>650</v>
      </c>
    </row>
    <row r="4715" spans="1:14" hidden="1" x14ac:dyDescent="0.3">
      <c r="A4715" s="1" t="s">
        <v>2835</v>
      </c>
      <c r="B4715" s="1" t="s">
        <v>12756</v>
      </c>
      <c r="C4715" s="1" t="s">
        <v>2836</v>
      </c>
      <c r="D4715" s="1" t="s">
        <v>746</v>
      </c>
      <c r="E4715" s="1" t="s">
        <v>747</v>
      </c>
      <c r="F4715" s="1" t="s">
        <v>748</v>
      </c>
      <c r="G4715" s="1" t="s">
        <v>2834</v>
      </c>
      <c r="H4715">
        <v>2017</v>
      </c>
      <c r="I4715">
        <v>2020</v>
      </c>
      <c r="J4715">
        <f t="shared" si="146"/>
        <v>4</v>
      </c>
      <c r="K4715" s="1" t="s">
        <v>741</v>
      </c>
      <c r="L4715" s="1" t="s">
        <v>798</v>
      </c>
      <c r="M4715">
        <f t="shared" si="147"/>
        <v>6</v>
      </c>
      <c r="N4715" t="s">
        <v>650</v>
      </c>
    </row>
    <row r="4716" spans="1:14" hidden="1" x14ac:dyDescent="0.3">
      <c r="A4716" s="1" t="s">
        <v>2837</v>
      </c>
      <c r="B4716" s="1" t="s">
        <v>12756</v>
      </c>
      <c r="C4716" s="1" t="s">
        <v>2838</v>
      </c>
      <c r="D4716" s="1" t="s">
        <v>746</v>
      </c>
      <c r="E4716" s="1" t="s">
        <v>747</v>
      </c>
      <c r="F4716" s="1" t="s">
        <v>748</v>
      </c>
      <c r="G4716" s="1" t="s">
        <v>2834</v>
      </c>
      <c r="H4716">
        <v>2008</v>
      </c>
      <c r="I4716">
        <v>2014</v>
      </c>
      <c r="J4716">
        <f t="shared" si="146"/>
        <v>7</v>
      </c>
      <c r="K4716" s="1" t="s">
        <v>741</v>
      </c>
      <c r="L4716" s="1" t="s">
        <v>798</v>
      </c>
      <c r="M4716">
        <f t="shared" si="147"/>
        <v>12</v>
      </c>
      <c r="N4716" t="s">
        <v>650</v>
      </c>
    </row>
    <row r="4717" spans="1:14" hidden="1" x14ac:dyDescent="0.3">
      <c r="A4717" s="1" t="s">
        <v>2839</v>
      </c>
      <c r="B4717" s="1" t="s">
        <v>12756</v>
      </c>
      <c r="C4717" s="1" t="s">
        <v>2840</v>
      </c>
      <c r="D4717" s="1" t="s">
        <v>746</v>
      </c>
      <c r="E4717" s="1" t="s">
        <v>747</v>
      </c>
      <c r="F4717" s="1" t="s">
        <v>748</v>
      </c>
      <c r="G4717" s="1" t="s">
        <v>2834</v>
      </c>
      <c r="H4717">
        <v>2008</v>
      </c>
      <c r="I4717">
        <v>2010</v>
      </c>
      <c r="J4717">
        <f t="shared" si="146"/>
        <v>3</v>
      </c>
      <c r="K4717" s="1" t="s">
        <v>741</v>
      </c>
      <c r="L4717" s="1" t="s">
        <v>798</v>
      </c>
      <c r="M4717">
        <f t="shared" si="147"/>
        <v>16</v>
      </c>
      <c r="N4717" t="s">
        <v>650</v>
      </c>
    </row>
    <row r="4718" spans="1:14" hidden="1" x14ac:dyDescent="0.3">
      <c r="A4718" s="1" t="s">
        <v>2841</v>
      </c>
      <c r="B4718" s="1" t="s">
        <v>12756</v>
      </c>
      <c r="C4718" s="1" t="s">
        <v>2842</v>
      </c>
      <c r="D4718" s="1" t="s">
        <v>746</v>
      </c>
      <c r="E4718" s="1" t="s">
        <v>747</v>
      </c>
      <c r="F4718" s="1" t="s">
        <v>748</v>
      </c>
      <c r="G4718" s="1" t="s">
        <v>2834</v>
      </c>
      <c r="H4718">
        <v>2015</v>
      </c>
      <c r="I4718">
        <v>2017</v>
      </c>
      <c r="J4718">
        <f t="shared" si="146"/>
        <v>3</v>
      </c>
      <c r="K4718" s="1" t="s">
        <v>741</v>
      </c>
      <c r="L4718" s="1" t="s">
        <v>798</v>
      </c>
      <c r="M4718">
        <f t="shared" si="147"/>
        <v>9</v>
      </c>
      <c r="N4718" t="s">
        <v>650</v>
      </c>
    </row>
    <row r="4719" spans="1:14" hidden="1" x14ac:dyDescent="0.3">
      <c r="A4719" s="1" t="s">
        <v>2843</v>
      </c>
      <c r="B4719" s="1" t="s">
        <v>12756</v>
      </c>
      <c r="C4719" s="1" t="s">
        <v>2844</v>
      </c>
      <c r="D4719" s="1" t="s">
        <v>746</v>
      </c>
      <c r="E4719" s="1" t="s">
        <v>747</v>
      </c>
      <c r="F4719" s="1" t="s">
        <v>748</v>
      </c>
      <c r="G4719" s="1" t="s">
        <v>2834</v>
      </c>
      <c r="H4719">
        <v>2015</v>
      </c>
      <c r="I4719">
        <v>2017</v>
      </c>
      <c r="J4719">
        <f t="shared" si="146"/>
        <v>3</v>
      </c>
      <c r="K4719" s="1" t="s">
        <v>741</v>
      </c>
      <c r="L4719" s="1" t="s">
        <v>798</v>
      </c>
      <c r="M4719">
        <f t="shared" si="147"/>
        <v>9</v>
      </c>
      <c r="N4719" t="s">
        <v>650</v>
      </c>
    </row>
    <row r="4720" spans="1:14" hidden="1" x14ac:dyDescent="0.3">
      <c r="A4720" s="1" t="s">
        <v>2845</v>
      </c>
      <c r="B4720" s="1" t="s">
        <v>12756</v>
      </c>
      <c r="C4720" s="1" t="s">
        <v>2846</v>
      </c>
      <c r="D4720" s="1" t="s">
        <v>746</v>
      </c>
      <c r="E4720" s="1" t="s">
        <v>747</v>
      </c>
      <c r="F4720" s="1" t="s">
        <v>748</v>
      </c>
      <c r="G4720" s="1" t="s">
        <v>2834</v>
      </c>
      <c r="H4720">
        <v>2017</v>
      </c>
      <c r="I4720">
        <v>2018</v>
      </c>
      <c r="J4720">
        <f t="shared" si="146"/>
        <v>2</v>
      </c>
      <c r="K4720" s="1" t="s">
        <v>741</v>
      </c>
      <c r="L4720" s="1" t="s">
        <v>798</v>
      </c>
      <c r="M4720">
        <f t="shared" si="147"/>
        <v>8</v>
      </c>
      <c r="N4720" t="s">
        <v>650</v>
      </c>
    </row>
    <row r="4721" spans="1:14" hidden="1" x14ac:dyDescent="0.3">
      <c r="A4721" s="1" t="s">
        <v>2847</v>
      </c>
      <c r="B4721" s="1" t="s">
        <v>12756</v>
      </c>
      <c r="C4721" s="1" t="s">
        <v>2848</v>
      </c>
      <c r="D4721" s="1" t="s">
        <v>746</v>
      </c>
      <c r="E4721" s="1" t="s">
        <v>747</v>
      </c>
      <c r="F4721" s="1" t="s">
        <v>748</v>
      </c>
      <c r="G4721" s="1" t="s">
        <v>2834</v>
      </c>
      <c r="H4721">
        <v>2017</v>
      </c>
      <c r="I4721">
        <v>2018</v>
      </c>
      <c r="J4721">
        <f t="shared" si="146"/>
        <v>2</v>
      </c>
      <c r="K4721" s="1" t="s">
        <v>741</v>
      </c>
      <c r="L4721" s="1" t="s">
        <v>798</v>
      </c>
      <c r="M4721">
        <f t="shared" si="147"/>
        <v>8</v>
      </c>
      <c r="N4721" t="s">
        <v>650</v>
      </c>
    </row>
    <row r="4722" spans="1:14" hidden="1" x14ac:dyDescent="0.3">
      <c r="A4722" s="1" t="s">
        <v>2849</v>
      </c>
      <c r="B4722" s="1" t="s">
        <v>12756</v>
      </c>
      <c r="C4722" s="1" t="s">
        <v>2850</v>
      </c>
      <c r="D4722" s="1" t="s">
        <v>746</v>
      </c>
      <c r="E4722" s="1" t="s">
        <v>747</v>
      </c>
      <c r="F4722" s="1" t="s">
        <v>748</v>
      </c>
      <c r="G4722" s="1" t="s">
        <v>2834</v>
      </c>
      <c r="H4722">
        <v>2015</v>
      </c>
      <c r="I4722">
        <v>2017</v>
      </c>
      <c r="J4722">
        <f t="shared" si="146"/>
        <v>3</v>
      </c>
      <c r="K4722" s="1" t="s">
        <v>741</v>
      </c>
      <c r="L4722" s="1" t="s">
        <v>798</v>
      </c>
      <c r="M4722">
        <f t="shared" si="147"/>
        <v>9</v>
      </c>
      <c r="N4722" t="s">
        <v>650</v>
      </c>
    </row>
    <row r="4723" spans="1:14" hidden="1" x14ac:dyDescent="0.3">
      <c r="A4723" s="1" t="s">
        <v>2851</v>
      </c>
      <c r="B4723" s="1" t="s">
        <v>12756</v>
      </c>
      <c r="C4723" s="1" t="s">
        <v>2852</v>
      </c>
      <c r="D4723" s="1" t="s">
        <v>746</v>
      </c>
      <c r="E4723" s="1" t="s">
        <v>747</v>
      </c>
      <c r="F4723" s="1" t="s">
        <v>748</v>
      </c>
      <c r="G4723" s="1" t="s">
        <v>2834</v>
      </c>
      <c r="H4723">
        <v>2015</v>
      </c>
      <c r="I4723">
        <v>2017</v>
      </c>
      <c r="J4723">
        <f t="shared" si="146"/>
        <v>3</v>
      </c>
      <c r="K4723" s="1" t="s">
        <v>741</v>
      </c>
      <c r="L4723" s="1" t="s">
        <v>798</v>
      </c>
      <c r="M4723">
        <f t="shared" si="147"/>
        <v>9</v>
      </c>
      <c r="N4723" t="s">
        <v>650</v>
      </c>
    </row>
    <row r="4724" spans="1:14" hidden="1" x14ac:dyDescent="0.3">
      <c r="A4724" s="1" t="s">
        <v>2853</v>
      </c>
      <c r="B4724" s="1" t="s">
        <v>12756</v>
      </c>
      <c r="C4724" s="1" t="s">
        <v>2854</v>
      </c>
      <c r="D4724" s="1" t="s">
        <v>746</v>
      </c>
      <c r="E4724" s="1" t="s">
        <v>747</v>
      </c>
      <c r="F4724" s="1" t="s">
        <v>748</v>
      </c>
      <c r="G4724" s="1" t="s">
        <v>2834</v>
      </c>
      <c r="H4724">
        <v>2017</v>
      </c>
      <c r="I4724">
        <v>2017</v>
      </c>
      <c r="J4724">
        <f t="shared" si="146"/>
        <v>1</v>
      </c>
      <c r="K4724" s="1" t="s">
        <v>741</v>
      </c>
      <c r="L4724" s="1" t="s">
        <v>798</v>
      </c>
      <c r="M4724">
        <f t="shared" si="147"/>
        <v>9</v>
      </c>
      <c r="N4724" t="s">
        <v>650</v>
      </c>
    </row>
    <row r="4725" spans="1:14" hidden="1" x14ac:dyDescent="0.3">
      <c r="A4725" s="1" t="s">
        <v>2855</v>
      </c>
      <c r="B4725" s="1" t="s">
        <v>12756</v>
      </c>
      <c r="C4725" s="1" t="s">
        <v>2856</v>
      </c>
      <c r="D4725" s="1" t="s">
        <v>746</v>
      </c>
      <c r="E4725" s="1" t="s">
        <v>747</v>
      </c>
      <c r="F4725" s="1" t="s">
        <v>748</v>
      </c>
      <c r="G4725" s="1" t="s">
        <v>2834</v>
      </c>
      <c r="H4725">
        <v>2017</v>
      </c>
      <c r="I4725">
        <v>2018</v>
      </c>
      <c r="J4725">
        <f t="shared" si="146"/>
        <v>2</v>
      </c>
      <c r="K4725" s="1" t="s">
        <v>741</v>
      </c>
      <c r="L4725" s="1" t="s">
        <v>798</v>
      </c>
      <c r="M4725">
        <f t="shared" si="147"/>
        <v>8</v>
      </c>
      <c r="N4725" t="s">
        <v>650</v>
      </c>
    </row>
    <row r="4726" spans="1:14" hidden="1" x14ac:dyDescent="0.3">
      <c r="A4726" s="1" t="s">
        <v>2857</v>
      </c>
      <c r="B4726" s="1" t="s">
        <v>12756</v>
      </c>
      <c r="C4726" s="1" t="s">
        <v>2858</v>
      </c>
      <c r="D4726" s="1" t="s">
        <v>746</v>
      </c>
      <c r="E4726" s="1" t="s">
        <v>747</v>
      </c>
      <c r="F4726" s="1" t="s">
        <v>748</v>
      </c>
      <c r="G4726" s="1" t="s">
        <v>2834</v>
      </c>
      <c r="H4726">
        <v>2017</v>
      </c>
      <c r="I4726">
        <v>2020</v>
      </c>
      <c r="J4726">
        <f t="shared" si="146"/>
        <v>4</v>
      </c>
      <c r="K4726" s="1" t="s">
        <v>741</v>
      </c>
      <c r="L4726" s="1" t="s">
        <v>798</v>
      </c>
      <c r="M4726">
        <f t="shared" si="147"/>
        <v>6</v>
      </c>
      <c r="N4726" t="s">
        <v>650</v>
      </c>
    </row>
    <row r="4727" spans="1:14" hidden="1" x14ac:dyDescent="0.3">
      <c r="A4727" s="1" t="s">
        <v>2859</v>
      </c>
      <c r="B4727" s="1" t="s">
        <v>12756</v>
      </c>
      <c r="C4727" s="1" t="s">
        <v>2860</v>
      </c>
      <c r="D4727" s="1" t="s">
        <v>746</v>
      </c>
      <c r="E4727" s="1" t="s">
        <v>747</v>
      </c>
      <c r="F4727" s="1" t="s">
        <v>748</v>
      </c>
      <c r="G4727" s="1" t="s">
        <v>2834</v>
      </c>
      <c r="H4727">
        <v>2017</v>
      </c>
      <c r="I4727">
        <v>2020</v>
      </c>
      <c r="J4727">
        <f t="shared" si="146"/>
        <v>4</v>
      </c>
      <c r="K4727" s="1" t="s">
        <v>741</v>
      </c>
      <c r="L4727" s="1" t="s">
        <v>798</v>
      </c>
      <c r="M4727">
        <f t="shared" si="147"/>
        <v>6</v>
      </c>
      <c r="N4727" t="s">
        <v>650</v>
      </c>
    </row>
    <row r="4728" spans="1:14" hidden="1" x14ac:dyDescent="0.3">
      <c r="A4728" s="1" t="s">
        <v>2861</v>
      </c>
      <c r="B4728" s="1" t="s">
        <v>12756</v>
      </c>
      <c r="C4728" s="1" t="s">
        <v>2862</v>
      </c>
      <c r="D4728" s="1" t="s">
        <v>746</v>
      </c>
      <c r="E4728" s="1" t="s">
        <v>747</v>
      </c>
      <c r="F4728" s="1" t="s">
        <v>748</v>
      </c>
      <c r="G4728" s="1" t="s">
        <v>2834</v>
      </c>
      <c r="H4728">
        <v>2008</v>
      </c>
      <c r="I4728">
        <v>2014</v>
      </c>
      <c r="J4728">
        <f t="shared" si="146"/>
        <v>7</v>
      </c>
      <c r="K4728" s="1" t="s">
        <v>741</v>
      </c>
      <c r="L4728" s="1" t="s">
        <v>798</v>
      </c>
      <c r="M4728">
        <f t="shared" si="147"/>
        <v>12</v>
      </c>
      <c r="N4728" t="s">
        <v>650</v>
      </c>
    </row>
    <row r="4729" spans="1:14" hidden="1" x14ac:dyDescent="0.3">
      <c r="A4729" s="1" t="s">
        <v>2863</v>
      </c>
      <c r="B4729" s="1" t="s">
        <v>12756</v>
      </c>
      <c r="C4729" s="1" t="s">
        <v>2864</v>
      </c>
      <c r="D4729" s="1" t="s">
        <v>746</v>
      </c>
      <c r="E4729" s="1" t="s">
        <v>747</v>
      </c>
      <c r="F4729" s="1" t="s">
        <v>748</v>
      </c>
      <c r="G4729" s="1" t="s">
        <v>2834</v>
      </c>
      <c r="H4729">
        <v>2008</v>
      </c>
      <c r="I4729">
        <v>2014</v>
      </c>
      <c r="J4729">
        <f t="shared" si="146"/>
        <v>7</v>
      </c>
      <c r="K4729" s="1" t="s">
        <v>741</v>
      </c>
      <c r="L4729" s="1" t="s">
        <v>798</v>
      </c>
      <c r="M4729">
        <f t="shared" si="147"/>
        <v>12</v>
      </c>
      <c r="N4729" t="s">
        <v>650</v>
      </c>
    </row>
    <row r="4730" spans="1:14" hidden="1" x14ac:dyDescent="0.3">
      <c r="A4730" s="1" t="s">
        <v>2865</v>
      </c>
      <c r="B4730" s="1" t="s">
        <v>12756</v>
      </c>
      <c r="C4730" s="1" t="s">
        <v>2866</v>
      </c>
      <c r="D4730" s="1" t="s">
        <v>746</v>
      </c>
      <c r="E4730" s="1" t="s">
        <v>747</v>
      </c>
      <c r="F4730" s="1" t="s">
        <v>748</v>
      </c>
      <c r="G4730" s="1" t="s">
        <v>2834</v>
      </c>
      <c r="H4730">
        <v>2015</v>
      </c>
      <c r="I4730">
        <v>2017</v>
      </c>
      <c r="J4730">
        <f t="shared" si="146"/>
        <v>3</v>
      </c>
      <c r="K4730" s="1" t="s">
        <v>741</v>
      </c>
      <c r="L4730" s="1" t="s">
        <v>798</v>
      </c>
      <c r="M4730">
        <f t="shared" si="147"/>
        <v>9</v>
      </c>
      <c r="N4730" t="s">
        <v>650</v>
      </c>
    </row>
    <row r="4731" spans="1:14" hidden="1" x14ac:dyDescent="0.3">
      <c r="A4731" s="1" t="s">
        <v>2867</v>
      </c>
      <c r="B4731" s="1" t="s">
        <v>12756</v>
      </c>
      <c r="C4731" s="1" t="s">
        <v>2868</v>
      </c>
      <c r="D4731" s="1" t="s">
        <v>746</v>
      </c>
      <c r="E4731" s="1" t="s">
        <v>747</v>
      </c>
      <c r="F4731" s="1" t="s">
        <v>748</v>
      </c>
      <c r="G4731" s="1" t="s">
        <v>2834</v>
      </c>
      <c r="H4731">
        <v>2006</v>
      </c>
      <c r="I4731">
        <v>2009</v>
      </c>
      <c r="J4731">
        <f t="shared" si="146"/>
        <v>4</v>
      </c>
      <c r="K4731" s="1" t="s">
        <v>741</v>
      </c>
      <c r="L4731" s="1" t="s">
        <v>798</v>
      </c>
      <c r="M4731">
        <f t="shared" si="147"/>
        <v>17</v>
      </c>
      <c r="N4731" t="s">
        <v>650</v>
      </c>
    </row>
    <row r="4732" spans="1:14" hidden="1" x14ac:dyDescent="0.3">
      <c r="A4732" s="1" t="s">
        <v>2869</v>
      </c>
      <c r="B4732" s="1" t="s">
        <v>12756</v>
      </c>
      <c r="C4732" s="1" t="s">
        <v>2870</v>
      </c>
      <c r="D4732" s="1" t="s">
        <v>746</v>
      </c>
      <c r="E4732" s="1" t="s">
        <v>747</v>
      </c>
      <c r="F4732" s="1" t="s">
        <v>748</v>
      </c>
      <c r="G4732" s="1" t="s">
        <v>2834</v>
      </c>
      <c r="H4732">
        <v>2020</v>
      </c>
      <c r="I4732">
        <v>2022</v>
      </c>
      <c r="J4732">
        <f t="shared" si="146"/>
        <v>3</v>
      </c>
      <c r="K4732" s="1" t="s">
        <v>741</v>
      </c>
      <c r="L4732" s="1" t="s">
        <v>798</v>
      </c>
      <c r="M4732">
        <f t="shared" si="147"/>
        <v>4</v>
      </c>
      <c r="N4732" t="s">
        <v>650</v>
      </c>
    </row>
    <row r="4733" spans="1:14" hidden="1" x14ac:dyDescent="0.3">
      <c r="A4733" s="1" t="s">
        <v>2871</v>
      </c>
      <c r="B4733" s="1" t="s">
        <v>12756</v>
      </c>
      <c r="C4733" s="1" t="s">
        <v>2872</v>
      </c>
      <c r="D4733" s="1" t="s">
        <v>746</v>
      </c>
      <c r="E4733" s="1" t="s">
        <v>747</v>
      </c>
      <c r="F4733" s="1" t="s">
        <v>748</v>
      </c>
      <c r="G4733" s="1" t="s">
        <v>2834</v>
      </c>
      <c r="H4733">
        <v>2011</v>
      </c>
      <c r="I4733">
        <v>2011</v>
      </c>
      <c r="J4733">
        <f t="shared" si="146"/>
        <v>1</v>
      </c>
      <c r="K4733" s="1" t="s">
        <v>741</v>
      </c>
      <c r="L4733" s="1" t="s">
        <v>798</v>
      </c>
      <c r="M4733">
        <f t="shared" si="147"/>
        <v>15</v>
      </c>
      <c r="N4733" t="s">
        <v>650</v>
      </c>
    </row>
    <row r="4734" spans="1:14" hidden="1" x14ac:dyDescent="0.3">
      <c r="A4734" s="1" t="s">
        <v>2873</v>
      </c>
      <c r="B4734" s="1" t="s">
        <v>12756</v>
      </c>
      <c r="C4734" s="1" t="s">
        <v>2874</v>
      </c>
      <c r="D4734" s="1" t="s">
        <v>746</v>
      </c>
      <c r="E4734" s="1" t="s">
        <v>747</v>
      </c>
      <c r="F4734" s="1" t="s">
        <v>748</v>
      </c>
      <c r="G4734" s="1" t="s">
        <v>2834</v>
      </c>
      <c r="H4734">
        <v>2012</v>
      </c>
      <c r="I4734">
        <v>2014</v>
      </c>
      <c r="J4734">
        <f t="shared" si="146"/>
        <v>3</v>
      </c>
      <c r="K4734" s="1" t="s">
        <v>741</v>
      </c>
      <c r="L4734" s="1" t="s">
        <v>798</v>
      </c>
      <c r="M4734">
        <f t="shared" si="147"/>
        <v>12</v>
      </c>
      <c r="N4734" t="s">
        <v>650</v>
      </c>
    </row>
    <row r="4735" spans="1:14" hidden="1" x14ac:dyDescent="0.3">
      <c r="A4735" s="1" t="s">
        <v>2875</v>
      </c>
      <c r="B4735" s="1" t="s">
        <v>12756</v>
      </c>
      <c r="C4735" s="1" t="s">
        <v>2876</v>
      </c>
      <c r="D4735" s="1" t="s">
        <v>746</v>
      </c>
      <c r="E4735" s="1" t="s">
        <v>747</v>
      </c>
      <c r="F4735" s="1" t="s">
        <v>748</v>
      </c>
      <c r="G4735" s="1" t="s">
        <v>2834</v>
      </c>
      <c r="H4735">
        <v>2016</v>
      </c>
      <c r="I4735">
        <v>2017</v>
      </c>
      <c r="J4735">
        <f t="shared" si="146"/>
        <v>2</v>
      </c>
      <c r="K4735" s="1" t="s">
        <v>741</v>
      </c>
      <c r="L4735" s="1" t="s">
        <v>798</v>
      </c>
      <c r="M4735">
        <f t="shared" si="147"/>
        <v>9</v>
      </c>
      <c r="N4735" t="s">
        <v>650</v>
      </c>
    </row>
    <row r="4736" spans="1:14" hidden="1" x14ac:dyDescent="0.3">
      <c r="A4736" s="1" t="s">
        <v>2877</v>
      </c>
      <c r="B4736" s="1" t="s">
        <v>12756</v>
      </c>
      <c r="C4736" s="1" t="s">
        <v>2878</v>
      </c>
      <c r="D4736" s="1" t="s">
        <v>746</v>
      </c>
      <c r="E4736" s="1" t="s">
        <v>747</v>
      </c>
      <c r="F4736" s="1" t="s">
        <v>748</v>
      </c>
      <c r="G4736" s="1" t="s">
        <v>2834</v>
      </c>
      <c r="H4736">
        <v>2019</v>
      </c>
      <c r="I4736">
        <v>2022</v>
      </c>
      <c r="J4736">
        <f t="shared" si="146"/>
        <v>4</v>
      </c>
      <c r="K4736" s="1" t="s">
        <v>741</v>
      </c>
      <c r="L4736" s="1" t="s">
        <v>798</v>
      </c>
      <c r="M4736">
        <f t="shared" si="147"/>
        <v>4</v>
      </c>
      <c r="N4736" t="s">
        <v>650</v>
      </c>
    </row>
    <row r="4737" spans="1:14" hidden="1" x14ac:dyDescent="0.3">
      <c r="A4737" s="1" t="s">
        <v>2879</v>
      </c>
      <c r="B4737" s="1" t="s">
        <v>12756</v>
      </c>
      <c r="C4737" s="1" t="s">
        <v>2880</v>
      </c>
      <c r="D4737" s="1" t="s">
        <v>746</v>
      </c>
      <c r="E4737" s="1" t="s">
        <v>747</v>
      </c>
      <c r="F4737" s="1" t="s">
        <v>748</v>
      </c>
      <c r="G4737" s="1" t="s">
        <v>2834</v>
      </c>
      <c r="H4737">
        <v>2017</v>
      </c>
      <c r="I4737">
        <v>2022</v>
      </c>
      <c r="J4737">
        <f t="shared" si="146"/>
        <v>6</v>
      </c>
      <c r="K4737" s="1" t="s">
        <v>741</v>
      </c>
      <c r="L4737" s="1" t="s">
        <v>798</v>
      </c>
      <c r="M4737">
        <f t="shared" si="147"/>
        <v>4</v>
      </c>
      <c r="N4737" t="s">
        <v>650</v>
      </c>
    </row>
    <row r="4738" spans="1:14" hidden="1" x14ac:dyDescent="0.3">
      <c r="A4738" s="1" t="s">
        <v>2881</v>
      </c>
      <c r="B4738" s="1" t="s">
        <v>12756</v>
      </c>
      <c r="C4738" s="1" t="s">
        <v>2882</v>
      </c>
      <c r="D4738" s="1" t="s">
        <v>746</v>
      </c>
      <c r="E4738" s="1" t="s">
        <v>747</v>
      </c>
      <c r="F4738" s="1" t="s">
        <v>748</v>
      </c>
      <c r="G4738" s="1" t="s">
        <v>2834</v>
      </c>
      <c r="H4738">
        <v>2020</v>
      </c>
      <c r="I4738">
        <v>2022</v>
      </c>
      <c r="J4738">
        <f t="shared" si="146"/>
        <v>3</v>
      </c>
      <c r="K4738" s="1" t="s">
        <v>741</v>
      </c>
      <c r="L4738" s="1" t="s">
        <v>798</v>
      </c>
      <c r="M4738">
        <f t="shared" si="147"/>
        <v>4</v>
      </c>
      <c r="N4738" t="s">
        <v>650</v>
      </c>
    </row>
    <row r="4739" spans="1:14" hidden="1" x14ac:dyDescent="0.3">
      <c r="A4739" s="1" t="s">
        <v>2883</v>
      </c>
      <c r="B4739" s="1" t="s">
        <v>12756</v>
      </c>
      <c r="C4739" s="1" t="s">
        <v>2884</v>
      </c>
      <c r="D4739" s="1" t="s">
        <v>746</v>
      </c>
      <c r="E4739" s="1" t="s">
        <v>747</v>
      </c>
      <c r="F4739" s="1" t="s">
        <v>748</v>
      </c>
      <c r="G4739" s="1" t="s">
        <v>2834</v>
      </c>
      <c r="H4739">
        <v>2020</v>
      </c>
      <c r="I4739">
        <v>2022</v>
      </c>
      <c r="J4739">
        <f t="shared" si="146"/>
        <v>3</v>
      </c>
      <c r="K4739" s="1" t="s">
        <v>741</v>
      </c>
      <c r="L4739" s="1" t="s">
        <v>798</v>
      </c>
      <c r="M4739">
        <f t="shared" si="147"/>
        <v>4</v>
      </c>
      <c r="N4739" t="s">
        <v>650</v>
      </c>
    </row>
    <row r="4740" spans="1:14" hidden="1" x14ac:dyDescent="0.3">
      <c r="A4740" s="1" t="s">
        <v>2885</v>
      </c>
      <c r="B4740" s="1" t="s">
        <v>12756</v>
      </c>
      <c r="C4740" s="1" t="s">
        <v>2886</v>
      </c>
      <c r="D4740" s="1" t="s">
        <v>746</v>
      </c>
      <c r="E4740" s="1" t="s">
        <v>747</v>
      </c>
      <c r="F4740" s="1" t="s">
        <v>748</v>
      </c>
      <c r="G4740" s="1" t="s">
        <v>2834</v>
      </c>
      <c r="H4740">
        <v>2009</v>
      </c>
      <c r="I4740">
        <v>2009</v>
      </c>
      <c r="J4740">
        <f t="shared" si="146"/>
        <v>1</v>
      </c>
      <c r="K4740" s="1" t="s">
        <v>741</v>
      </c>
      <c r="L4740" s="1" t="s">
        <v>798</v>
      </c>
      <c r="M4740">
        <f t="shared" si="147"/>
        <v>17</v>
      </c>
      <c r="N4740" t="s">
        <v>650</v>
      </c>
    </row>
    <row r="4741" spans="1:14" hidden="1" x14ac:dyDescent="0.3">
      <c r="A4741" s="1" t="s">
        <v>2887</v>
      </c>
      <c r="B4741" s="1" t="s">
        <v>12756</v>
      </c>
      <c r="C4741" s="1" t="s">
        <v>2888</v>
      </c>
      <c r="D4741" s="1" t="s">
        <v>746</v>
      </c>
      <c r="E4741" s="1" t="s">
        <v>747</v>
      </c>
      <c r="F4741" s="1" t="s">
        <v>748</v>
      </c>
      <c r="G4741" s="1" t="s">
        <v>2834</v>
      </c>
      <c r="H4741">
        <v>2012</v>
      </c>
      <c r="I4741">
        <v>2014</v>
      </c>
      <c r="J4741">
        <f t="shared" si="146"/>
        <v>3</v>
      </c>
      <c r="K4741" s="1" t="s">
        <v>741</v>
      </c>
      <c r="L4741" s="1" t="s">
        <v>798</v>
      </c>
      <c r="M4741">
        <f t="shared" si="147"/>
        <v>12</v>
      </c>
      <c r="N4741" t="s">
        <v>650</v>
      </c>
    </row>
    <row r="4742" spans="1:14" hidden="1" x14ac:dyDescent="0.3">
      <c r="A4742" s="1" t="s">
        <v>2889</v>
      </c>
      <c r="B4742" s="1" t="s">
        <v>12756</v>
      </c>
      <c r="C4742" s="1" t="s">
        <v>2890</v>
      </c>
      <c r="D4742" s="1" t="s">
        <v>746</v>
      </c>
      <c r="E4742" s="1" t="s">
        <v>747</v>
      </c>
      <c r="F4742" s="1" t="s">
        <v>748</v>
      </c>
      <c r="G4742" s="1" t="s">
        <v>2834</v>
      </c>
      <c r="H4742">
        <v>2008</v>
      </c>
      <c r="I4742">
        <v>2014</v>
      </c>
      <c r="J4742">
        <f t="shared" ref="J4742:J4805" si="148">1+(I4742-H4742)</f>
        <v>7</v>
      </c>
      <c r="K4742" s="1" t="s">
        <v>741</v>
      </c>
      <c r="L4742" s="1" t="s">
        <v>798</v>
      </c>
      <c r="M4742">
        <f t="shared" ref="M4742:M4805" si="149">IF(I4742=0,0,$B$2-I4742)</f>
        <v>12</v>
      </c>
      <c r="N4742" t="s">
        <v>650</v>
      </c>
    </row>
    <row r="4743" spans="1:14" hidden="1" x14ac:dyDescent="0.3">
      <c r="A4743" s="1" t="s">
        <v>2891</v>
      </c>
      <c r="B4743" s="1" t="s">
        <v>12756</v>
      </c>
      <c r="C4743" s="1" t="s">
        <v>2892</v>
      </c>
      <c r="D4743" s="1" t="s">
        <v>746</v>
      </c>
      <c r="E4743" s="1" t="s">
        <v>747</v>
      </c>
      <c r="F4743" s="1" t="s">
        <v>748</v>
      </c>
      <c r="G4743" s="1" t="s">
        <v>2834</v>
      </c>
      <c r="H4743">
        <v>2008</v>
      </c>
      <c r="I4743">
        <v>2014</v>
      </c>
      <c r="J4743">
        <f t="shared" si="148"/>
        <v>7</v>
      </c>
      <c r="K4743" s="1" t="s">
        <v>741</v>
      </c>
      <c r="L4743" s="1" t="s">
        <v>798</v>
      </c>
      <c r="M4743">
        <f t="shared" si="149"/>
        <v>12</v>
      </c>
      <c r="N4743" t="s">
        <v>650</v>
      </c>
    </row>
    <row r="4744" spans="1:14" hidden="1" x14ac:dyDescent="0.3">
      <c r="A4744" s="1" t="s">
        <v>2893</v>
      </c>
      <c r="B4744" s="1" t="s">
        <v>12756</v>
      </c>
      <c r="C4744" s="1" t="s">
        <v>2894</v>
      </c>
      <c r="D4744" s="1" t="s">
        <v>746</v>
      </c>
      <c r="E4744" s="1" t="s">
        <v>747</v>
      </c>
      <c r="F4744" s="1" t="s">
        <v>748</v>
      </c>
      <c r="G4744" s="1" t="s">
        <v>2834</v>
      </c>
      <c r="H4744">
        <v>2018</v>
      </c>
      <c r="I4744">
        <v>2019</v>
      </c>
      <c r="J4744">
        <f t="shared" si="148"/>
        <v>2</v>
      </c>
      <c r="K4744" s="1" t="s">
        <v>741</v>
      </c>
      <c r="L4744" s="1" t="s">
        <v>798</v>
      </c>
      <c r="M4744">
        <f t="shared" si="149"/>
        <v>7</v>
      </c>
      <c r="N4744" t="s">
        <v>650</v>
      </c>
    </row>
    <row r="4745" spans="1:14" hidden="1" x14ac:dyDescent="0.3">
      <c r="A4745" s="1" t="s">
        <v>2895</v>
      </c>
      <c r="B4745" s="1" t="s">
        <v>12756</v>
      </c>
      <c r="C4745" s="1" t="s">
        <v>2896</v>
      </c>
      <c r="D4745" s="1" t="s">
        <v>746</v>
      </c>
      <c r="E4745" s="1" t="s">
        <v>747</v>
      </c>
      <c r="F4745" s="1" t="s">
        <v>748</v>
      </c>
      <c r="G4745" s="1" t="s">
        <v>2834</v>
      </c>
      <c r="H4745">
        <v>2022</v>
      </c>
      <c r="I4745">
        <v>2022</v>
      </c>
      <c r="J4745">
        <f t="shared" si="148"/>
        <v>1</v>
      </c>
      <c r="K4745" s="1" t="s">
        <v>741</v>
      </c>
      <c r="L4745" s="1" t="s">
        <v>798</v>
      </c>
      <c r="M4745">
        <f t="shared" si="149"/>
        <v>4</v>
      </c>
      <c r="N4745" t="s">
        <v>650</v>
      </c>
    </row>
    <row r="4746" spans="1:14" hidden="1" x14ac:dyDescent="0.3">
      <c r="A4746" s="1" t="s">
        <v>2897</v>
      </c>
      <c r="B4746" s="1" t="s">
        <v>12756</v>
      </c>
      <c r="C4746" s="1" t="s">
        <v>2898</v>
      </c>
      <c r="D4746" s="1" t="s">
        <v>746</v>
      </c>
      <c r="E4746" s="1" t="s">
        <v>747</v>
      </c>
      <c r="F4746" s="1" t="s">
        <v>748</v>
      </c>
      <c r="G4746" s="1" t="s">
        <v>2834</v>
      </c>
      <c r="H4746">
        <v>2015</v>
      </c>
      <c r="I4746">
        <v>2022</v>
      </c>
      <c r="J4746">
        <f t="shared" si="148"/>
        <v>8</v>
      </c>
      <c r="K4746" s="1" t="s">
        <v>741</v>
      </c>
      <c r="L4746" s="1" t="s">
        <v>798</v>
      </c>
      <c r="M4746">
        <f t="shared" si="149"/>
        <v>4</v>
      </c>
      <c r="N4746" t="s">
        <v>650</v>
      </c>
    </row>
    <row r="4747" spans="1:14" hidden="1" x14ac:dyDescent="0.3">
      <c r="A4747" s="1" t="s">
        <v>2899</v>
      </c>
      <c r="B4747" s="1" t="s">
        <v>12756</v>
      </c>
      <c r="C4747" s="1" t="s">
        <v>2900</v>
      </c>
      <c r="D4747" s="1" t="s">
        <v>746</v>
      </c>
      <c r="E4747" s="1" t="s">
        <v>747</v>
      </c>
      <c r="F4747" s="1" t="s">
        <v>748</v>
      </c>
      <c r="G4747" s="1" t="s">
        <v>2834</v>
      </c>
      <c r="H4747">
        <v>2018</v>
      </c>
      <c r="I4747">
        <v>2020</v>
      </c>
      <c r="J4747">
        <f t="shared" si="148"/>
        <v>3</v>
      </c>
      <c r="K4747" s="1" t="s">
        <v>741</v>
      </c>
      <c r="L4747" s="1" t="s">
        <v>798</v>
      </c>
      <c r="M4747">
        <f t="shared" si="149"/>
        <v>6</v>
      </c>
      <c r="N4747" t="s">
        <v>650</v>
      </c>
    </row>
    <row r="4748" spans="1:14" hidden="1" x14ac:dyDescent="0.3">
      <c r="A4748" s="1" t="s">
        <v>2901</v>
      </c>
      <c r="B4748" s="1" t="s">
        <v>12756</v>
      </c>
      <c r="C4748" s="1" t="s">
        <v>2902</v>
      </c>
      <c r="D4748" s="1" t="s">
        <v>746</v>
      </c>
      <c r="E4748" s="1" t="s">
        <v>747</v>
      </c>
      <c r="F4748" s="1" t="s">
        <v>748</v>
      </c>
      <c r="G4748" s="1" t="s">
        <v>2834</v>
      </c>
      <c r="H4748">
        <v>2015</v>
      </c>
      <c r="I4748">
        <v>2017</v>
      </c>
      <c r="J4748">
        <f t="shared" si="148"/>
        <v>3</v>
      </c>
      <c r="K4748" s="1" t="s">
        <v>741</v>
      </c>
      <c r="L4748" s="1" t="s">
        <v>798</v>
      </c>
      <c r="M4748">
        <f t="shared" si="149"/>
        <v>9</v>
      </c>
      <c r="N4748" t="s">
        <v>650</v>
      </c>
    </row>
    <row r="4749" spans="1:14" hidden="1" x14ac:dyDescent="0.3">
      <c r="A4749" s="1" t="s">
        <v>2903</v>
      </c>
      <c r="B4749" s="1" t="s">
        <v>12756</v>
      </c>
      <c r="C4749" s="1" t="s">
        <v>2904</v>
      </c>
      <c r="D4749" s="1" t="s">
        <v>746</v>
      </c>
      <c r="E4749" s="1" t="s">
        <v>747</v>
      </c>
      <c r="F4749" s="1" t="s">
        <v>748</v>
      </c>
      <c r="G4749" s="1" t="s">
        <v>2834</v>
      </c>
      <c r="H4749">
        <v>2016</v>
      </c>
      <c r="I4749">
        <v>2017</v>
      </c>
      <c r="J4749">
        <f t="shared" si="148"/>
        <v>2</v>
      </c>
      <c r="K4749" s="1" t="s">
        <v>741</v>
      </c>
      <c r="L4749" s="1" t="s">
        <v>798</v>
      </c>
      <c r="M4749">
        <f t="shared" si="149"/>
        <v>9</v>
      </c>
      <c r="N4749" t="s">
        <v>650</v>
      </c>
    </row>
    <row r="4750" spans="1:14" hidden="1" x14ac:dyDescent="0.3">
      <c r="A4750" s="1" t="s">
        <v>2905</v>
      </c>
      <c r="B4750" s="1" t="s">
        <v>12756</v>
      </c>
      <c r="C4750" s="1" t="s">
        <v>2906</v>
      </c>
      <c r="D4750" s="1" t="s">
        <v>746</v>
      </c>
      <c r="E4750" s="1" t="s">
        <v>747</v>
      </c>
      <c r="F4750" s="1" t="s">
        <v>748</v>
      </c>
      <c r="G4750" s="1" t="s">
        <v>2834</v>
      </c>
      <c r="H4750">
        <v>2016</v>
      </c>
      <c r="I4750">
        <v>2017</v>
      </c>
      <c r="J4750">
        <f t="shared" si="148"/>
        <v>2</v>
      </c>
      <c r="K4750" s="1" t="s">
        <v>741</v>
      </c>
      <c r="L4750" s="1" t="s">
        <v>798</v>
      </c>
      <c r="M4750">
        <f t="shared" si="149"/>
        <v>9</v>
      </c>
      <c r="N4750" t="s">
        <v>650</v>
      </c>
    </row>
    <row r="4751" spans="1:14" hidden="1" x14ac:dyDescent="0.3">
      <c r="A4751" s="1" t="s">
        <v>2907</v>
      </c>
      <c r="B4751" s="1" t="s">
        <v>12756</v>
      </c>
      <c r="C4751" s="1" t="s">
        <v>2908</v>
      </c>
      <c r="D4751" s="1" t="s">
        <v>746</v>
      </c>
      <c r="E4751" s="1" t="s">
        <v>747</v>
      </c>
      <c r="F4751" s="1" t="s">
        <v>1348</v>
      </c>
      <c r="G4751" s="1" t="s">
        <v>2834</v>
      </c>
      <c r="H4751">
        <v>2018</v>
      </c>
      <c r="I4751">
        <v>2020</v>
      </c>
      <c r="J4751">
        <f t="shared" si="148"/>
        <v>3</v>
      </c>
      <c r="K4751" s="1" t="s">
        <v>741</v>
      </c>
      <c r="L4751" s="1" t="s">
        <v>798</v>
      </c>
      <c r="M4751">
        <f t="shared" si="149"/>
        <v>6</v>
      </c>
      <c r="N4751" t="s">
        <v>650</v>
      </c>
    </row>
    <row r="4752" spans="1:14" hidden="1" x14ac:dyDescent="0.3">
      <c r="A4752" s="1" t="s">
        <v>2909</v>
      </c>
      <c r="B4752" s="1" t="s">
        <v>12756</v>
      </c>
      <c r="C4752" s="1" t="s">
        <v>2910</v>
      </c>
      <c r="D4752" s="1" t="s">
        <v>746</v>
      </c>
      <c r="E4752" s="1" t="s">
        <v>747</v>
      </c>
      <c r="F4752" s="1" t="s">
        <v>1348</v>
      </c>
      <c r="G4752" s="1" t="s">
        <v>2834</v>
      </c>
      <c r="H4752">
        <v>2017</v>
      </c>
      <c r="I4752">
        <v>2020</v>
      </c>
      <c r="J4752">
        <f t="shared" si="148"/>
        <v>4</v>
      </c>
      <c r="K4752" s="1" t="s">
        <v>741</v>
      </c>
      <c r="L4752" s="1" t="s">
        <v>798</v>
      </c>
      <c r="M4752">
        <f t="shared" si="149"/>
        <v>6</v>
      </c>
      <c r="N4752" t="s">
        <v>650</v>
      </c>
    </row>
    <row r="4753" spans="1:14" hidden="1" x14ac:dyDescent="0.3">
      <c r="A4753" s="1" t="s">
        <v>2911</v>
      </c>
      <c r="B4753" s="1" t="s">
        <v>12756</v>
      </c>
      <c r="C4753" s="1" t="s">
        <v>2912</v>
      </c>
      <c r="D4753" s="1" t="s">
        <v>746</v>
      </c>
      <c r="E4753" s="1" t="s">
        <v>747</v>
      </c>
      <c r="F4753" s="1" t="s">
        <v>1348</v>
      </c>
      <c r="G4753" s="1" t="s">
        <v>2834</v>
      </c>
      <c r="H4753">
        <v>2018</v>
      </c>
      <c r="I4753">
        <v>2019</v>
      </c>
      <c r="J4753">
        <f t="shared" si="148"/>
        <v>2</v>
      </c>
      <c r="K4753" s="1" t="s">
        <v>741</v>
      </c>
      <c r="L4753" s="1" t="s">
        <v>798</v>
      </c>
      <c r="M4753">
        <f t="shared" si="149"/>
        <v>7</v>
      </c>
      <c r="N4753" t="s">
        <v>650</v>
      </c>
    </row>
    <row r="4754" spans="1:14" hidden="1" x14ac:dyDescent="0.3">
      <c r="A4754" s="1" t="s">
        <v>2913</v>
      </c>
      <c r="B4754" s="1" t="s">
        <v>12756</v>
      </c>
      <c r="C4754" s="1" t="s">
        <v>2914</v>
      </c>
      <c r="D4754" s="1" t="s">
        <v>746</v>
      </c>
      <c r="E4754" s="1" t="s">
        <v>747</v>
      </c>
      <c r="F4754" s="1" t="s">
        <v>1348</v>
      </c>
      <c r="G4754" s="1" t="s">
        <v>2834</v>
      </c>
      <c r="H4754">
        <v>2017</v>
      </c>
      <c r="I4754">
        <v>2020</v>
      </c>
      <c r="J4754">
        <f t="shared" si="148"/>
        <v>4</v>
      </c>
      <c r="K4754" s="1" t="s">
        <v>741</v>
      </c>
      <c r="L4754" s="1" t="s">
        <v>798</v>
      </c>
      <c r="M4754">
        <f t="shared" si="149"/>
        <v>6</v>
      </c>
      <c r="N4754" t="s">
        <v>650</v>
      </c>
    </row>
    <row r="4755" spans="1:14" hidden="1" x14ac:dyDescent="0.3">
      <c r="A4755" s="1" t="s">
        <v>2915</v>
      </c>
      <c r="B4755" s="1" t="s">
        <v>12756</v>
      </c>
      <c r="C4755" s="1" t="s">
        <v>2916</v>
      </c>
      <c r="D4755" s="1" t="s">
        <v>746</v>
      </c>
      <c r="E4755" s="1" t="s">
        <v>747</v>
      </c>
      <c r="F4755" s="1" t="s">
        <v>1348</v>
      </c>
      <c r="G4755" s="1" t="s">
        <v>2834</v>
      </c>
      <c r="H4755">
        <v>2017</v>
      </c>
      <c r="I4755">
        <v>2020</v>
      </c>
      <c r="J4755">
        <f t="shared" si="148"/>
        <v>4</v>
      </c>
      <c r="K4755" s="1" t="s">
        <v>741</v>
      </c>
      <c r="L4755" s="1" t="s">
        <v>798</v>
      </c>
      <c r="M4755">
        <f t="shared" si="149"/>
        <v>6</v>
      </c>
      <c r="N4755" t="s">
        <v>650</v>
      </c>
    </row>
    <row r="4756" spans="1:14" hidden="1" x14ac:dyDescent="0.3">
      <c r="A4756" s="1" t="s">
        <v>2917</v>
      </c>
      <c r="B4756" s="1" t="s">
        <v>12756</v>
      </c>
      <c r="C4756" s="1" t="s">
        <v>2918</v>
      </c>
      <c r="D4756" s="1" t="s">
        <v>746</v>
      </c>
      <c r="E4756" s="1" t="s">
        <v>747</v>
      </c>
      <c r="F4756" s="1" t="s">
        <v>1348</v>
      </c>
      <c r="G4756" s="1" t="s">
        <v>2834</v>
      </c>
      <c r="H4756">
        <v>2009</v>
      </c>
      <c r="I4756">
        <v>2013</v>
      </c>
      <c r="J4756">
        <f t="shared" si="148"/>
        <v>5</v>
      </c>
      <c r="K4756" s="1" t="s">
        <v>741</v>
      </c>
      <c r="L4756" s="1" t="s">
        <v>798</v>
      </c>
      <c r="M4756">
        <f t="shared" si="149"/>
        <v>13</v>
      </c>
      <c r="N4756" t="s">
        <v>650</v>
      </c>
    </row>
    <row r="4757" spans="1:14" hidden="1" x14ac:dyDescent="0.3">
      <c r="A4757" s="1" t="s">
        <v>2919</v>
      </c>
      <c r="B4757" s="1" t="s">
        <v>12756</v>
      </c>
      <c r="C4757" s="1" t="s">
        <v>2920</v>
      </c>
      <c r="D4757" s="1" t="s">
        <v>746</v>
      </c>
      <c r="E4757" s="1" t="s">
        <v>747</v>
      </c>
      <c r="F4757" s="1" t="s">
        <v>1348</v>
      </c>
      <c r="G4757" s="1" t="s">
        <v>2834</v>
      </c>
      <c r="H4757">
        <v>2009</v>
      </c>
      <c r="I4757">
        <v>2013</v>
      </c>
      <c r="J4757">
        <f t="shared" si="148"/>
        <v>5</v>
      </c>
      <c r="K4757" s="1" t="s">
        <v>741</v>
      </c>
      <c r="L4757" s="1" t="s">
        <v>798</v>
      </c>
      <c r="M4757">
        <f t="shared" si="149"/>
        <v>13</v>
      </c>
      <c r="N4757" t="s">
        <v>650</v>
      </c>
    </row>
    <row r="4758" spans="1:14" hidden="1" x14ac:dyDescent="0.3">
      <c r="A4758" s="1" t="s">
        <v>2921</v>
      </c>
      <c r="B4758" s="1" t="s">
        <v>12756</v>
      </c>
      <c r="C4758" s="1" t="s">
        <v>2922</v>
      </c>
      <c r="D4758" s="1" t="s">
        <v>746</v>
      </c>
      <c r="E4758" s="1" t="s">
        <v>747</v>
      </c>
      <c r="F4758" s="1" t="s">
        <v>1348</v>
      </c>
      <c r="G4758" s="1" t="s">
        <v>2834</v>
      </c>
      <c r="H4758">
        <v>2013</v>
      </c>
      <c r="I4758">
        <v>2017</v>
      </c>
      <c r="J4758">
        <f t="shared" si="148"/>
        <v>5</v>
      </c>
      <c r="K4758" s="1" t="s">
        <v>741</v>
      </c>
      <c r="L4758" s="1" t="s">
        <v>798</v>
      </c>
      <c r="M4758">
        <f t="shared" si="149"/>
        <v>9</v>
      </c>
      <c r="N4758" t="s">
        <v>650</v>
      </c>
    </row>
    <row r="4759" spans="1:14" hidden="1" x14ac:dyDescent="0.3">
      <c r="A4759" s="1" t="s">
        <v>2923</v>
      </c>
      <c r="B4759" s="1" t="s">
        <v>12756</v>
      </c>
      <c r="C4759" s="1" t="s">
        <v>2924</v>
      </c>
      <c r="D4759" s="1" t="s">
        <v>746</v>
      </c>
      <c r="E4759" s="1" t="s">
        <v>747</v>
      </c>
      <c r="F4759" s="1" t="s">
        <v>1348</v>
      </c>
      <c r="G4759" s="1" t="s">
        <v>2834</v>
      </c>
      <c r="H4759">
        <v>2014</v>
      </c>
      <c r="I4759">
        <v>2014</v>
      </c>
      <c r="J4759">
        <f t="shared" si="148"/>
        <v>1</v>
      </c>
      <c r="K4759" s="1" t="s">
        <v>741</v>
      </c>
      <c r="L4759" s="1" t="s">
        <v>798</v>
      </c>
      <c r="M4759">
        <f t="shared" si="149"/>
        <v>12</v>
      </c>
      <c r="N4759" t="s">
        <v>650</v>
      </c>
    </row>
    <row r="4760" spans="1:14" hidden="1" x14ac:dyDescent="0.3">
      <c r="A4760" s="1" t="s">
        <v>2925</v>
      </c>
      <c r="B4760" s="1" t="s">
        <v>12756</v>
      </c>
      <c r="C4760" s="1" t="s">
        <v>2926</v>
      </c>
      <c r="D4760" s="1" t="s">
        <v>746</v>
      </c>
      <c r="E4760" s="1" t="s">
        <v>747</v>
      </c>
      <c r="F4760" s="1" t="s">
        <v>1348</v>
      </c>
      <c r="G4760" s="1" t="s">
        <v>2834</v>
      </c>
      <c r="H4760">
        <v>2014</v>
      </c>
      <c r="I4760">
        <v>2014</v>
      </c>
      <c r="J4760">
        <f t="shared" si="148"/>
        <v>1</v>
      </c>
      <c r="K4760" s="1" t="s">
        <v>741</v>
      </c>
      <c r="L4760" s="1" t="s">
        <v>798</v>
      </c>
      <c r="M4760">
        <f t="shared" si="149"/>
        <v>12</v>
      </c>
      <c r="N4760" t="s">
        <v>650</v>
      </c>
    </row>
    <row r="4761" spans="1:14" hidden="1" x14ac:dyDescent="0.3">
      <c r="A4761" s="1" t="s">
        <v>2927</v>
      </c>
      <c r="B4761" s="1" t="s">
        <v>12756</v>
      </c>
      <c r="C4761" s="1" t="s">
        <v>2928</v>
      </c>
      <c r="D4761" s="1" t="s">
        <v>746</v>
      </c>
      <c r="E4761" s="1" t="s">
        <v>747</v>
      </c>
      <c r="F4761" s="1" t="s">
        <v>748</v>
      </c>
      <c r="G4761" s="1" t="s">
        <v>2834</v>
      </c>
      <c r="H4761">
        <v>2014</v>
      </c>
      <c r="I4761">
        <v>2014</v>
      </c>
      <c r="J4761">
        <f t="shared" si="148"/>
        <v>1</v>
      </c>
      <c r="K4761" s="1" t="s">
        <v>741</v>
      </c>
      <c r="L4761" s="1" t="s">
        <v>798</v>
      </c>
      <c r="M4761">
        <f t="shared" si="149"/>
        <v>12</v>
      </c>
      <c r="N4761" t="s">
        <v>650</v>
      </c>
    </row>
    <row r="4762" spans="1:14" hidden="1" x14ac:dyDescent="0.3">
      <c r="A4762" s="1" t="s">
        <v>2929</v>
      </c>
      <c r="B4762" s="1" t="s">
        <v>12756</v>
      </c>
      <c r="C4762" s="1" t="s">
        <v>2930</v>
      </c>
      <c r="D4762" s="1" t="s">
        <v>746</v>
      </c>
      <c r="E4762" s="1" t="s">
        <v>747</v>
      </c>
      <c r="F4762" s="1" t="s">
        <v>748</v>
      </c>
      <c r="G4762" s="1" t="s">
        <v>2834</v>
      </c>
      <c r="H4762">
        <v>2017</v>
      </c>
      <c r="I4762">
        <v>2019</v>
      </c>
      <c r="J4762">
        <f t="shared" si="148"/>
        <v>3</v>
      </c>
      <c r="K4762" s="1" t="s">
        <v>741</v>
      </c>
      <c r="L4762" s="1" t="s">
        <v>798</v>
      </c>
      <c r="M4762">
        <f t="shared" si="149"/>
        <v>7</v>
      </c>
      <c r="N4762" t="s">
        <v>650</v>
      </c>
    </row>
    <row r="4763" spans="1:14" hidden="1" x14ac:dyDescent="0.3">
      <c r="A4763" s="1" t="s">
        <v>2931</v>
      </c>
      <c r="B4763" s="1" t="s">
        <v>12756</v>
      </c>
      <c r="C4763" s="1" t="s">
        <v>2932</v>
      </c>
      <c r="D4763" s="1" t="s">
        <v>746</v>
      </c>
      <c r="E4763" s="1" t="s">
        <v>747</v>
      </c>
      <c r="F4763" s="1" t="s">
        <v>748</v>
      </c>
      <c r="G4763" s="1" t="s">
        <v>2834</v>
      </c>
      <c r="H4763">
        <v>2010</v>
      </c>
      <c r="I4763">
        <v>2010</v>
      </c>
      <c r="J4763">
        <f t="shared" si="148"/>
        <v>1</v>
      </c>
      <c r="K4763" s="1" t="s">
        <v>741</v>
      </c>
      <c r="L4763" s="1" t="s">
        <v>798</v>
      </c>
      <c r="M4763">
        <f t="shared" si="149"/>
        <v>16</v>
      </c>
      <c r="N4763" t="s">
        <v>650</v>
      </c>
    </row>
    <row r="4764" spans="1:14" hidden="1" x14ac:dyDescent="0.3">
      <c r="A4764" s="1" t="s">
        <v>2933</v>
      </c>
      <c r="B4764" s="1" t="s">
        <v>12756</v>
      </c>
      <c r="C4764" s="1" t="s">
        <v>2934</v>
      </c>
      <c r="D4764" s="1" t="s">
        <v>746</v>
      </c>
      <c r="E4764" s="1" t="s">
        <v>747</v>
      </c>
      <c r="F4764" s="1" t="s">
        <v>748</v>
      </c>
      <c r="G4764" s="1" t="s">
        <v>2834</v>
      </c>
      <c r="H4764">
        <v>2020</v>
      </c>
      <c r="I4764">
        <v>2022</v>
      </c>
      <c r="J4764">
        <f t="shared" si="148"/>
        <v>3</v>
      </c>
      <c r="K4764" s="1" t="s">
        <v>741</v>
      </c>
      <c r="L4764" s="1" t="s">
        <v>798</v>
      </c>
      <c r="M4764">
        <f t="shared" si="149"/>
        <v>4</v>
      </c>
      <c r="N4764" t="s">
        <v>650</v>
      </c>
    </row>
    <row r="4765" spans="1:14" hidden="1" x14ac:dyDescent="0.3">
      <c r="A4765" s="1" t="s">
        <v>2935</v>
      </c>
      <c r="B4765" s="1" t="s">
        <v>12756</v>
      </c>
      <c r="C4765" s="1" t="s">
        <v>2936</v>
      </c>
      <c r="D4765" s="1" t="s">
        <v>746</v>
      </c>
      <c r="E4765" s="1" t="s">
        <v>747</v>
      </c>
      <c r="F4765" s="1" t="s">
        <v>748</v>
      </c>
      <c r="G4765" s="1" t="s">
        <v>2834</v>
      </c>
      <c r="H4765">
        <v>2020</v>
      </c>
      <c r="I4765">
        <v>2022</v>
      </c>
      <c r="J4765">
        <f t="shared" si="148"/>
        <v>3</v>
      </c>
      <c r="K4765" s="1" t="s">
        <v>741</v>
      </c>
      <c r="L4765" s="1" t="s">
        <v>798</v>
      </c>
      <c r="M4765">
        <f t="shared" si="149"/>
        <v>4</v>
      </c>
      <c r="N4765" t="s">
        <v>650</v>
      </c>
    </row>
    <row r="4766" spans="1:14" hidden="1" x14ac:dyDescent="0.3">
      <c r="A4766" s="1" t="s">
        <v>2937</v>
      </c>
      <c r="B4766" s="1" t="s">
        <v>12756</v>
      </c>
      <c r="C4766" s="1" t="s">
        <v>2938</v>
      </c>
      <c r="D4766" s="1" t="s">
        <v>746</v>
      </c>
      <c r="E4766" s="1" t="s">
        <v>747</v>
      </c>
      <c r="F4766" s="1" t="s">
        <v>748</v>
      </c>
      <c r="G4766" s="1" t="s">
        <v>2834</v>
      </c>
      <c r="H4766">
        <v>2020</v>
      </c>
      <c r="I4766">
        <v>2022</v>
      </c>
      <c r="J4766">
        <f t="shared" si="148"/>
        <v>3</v>
      </c>
      <c r="K4766" s="1" t="s">
        <v>741</v>
      </c>
      <c r="L4766" s="1" t="s">
        <v>798</v>
      </c>
      <c r="M4766">
        <f t="shared" si="149"/>
        <v>4</v>
      </c>
      <c r="N4766" t="s">
        <v>650</v>
      </c>
    </row>
    <row r="4767" spans="1:14" x14ac:dyDescent="0.3">
      <c r="A4767" s="1" t="s">
        <v>9663</v>
      </c>
      <c r="B4767" s="1" t="s">
        <v>1849</v>
      </c>
      <c r="C4767" s="1" t="s">
        <v>9664</v>
      </c>
      <c r="D4767" s="1" t="s">
        <v>1395</v>
      </c>
      <c r="E4767" s="1" t="s">
        <v>6076</v>
      </c>
      <c r="F4767" s="1" t="s">
        <v>6076</v>
      </c>
      <c r="G4767" s="1" t="s">
        <v>5745</v>
      </c>
      <c r="H4767">
        <v>2020</v>
      </c>
      <c r="I4767">
        <v>2022</v>
      </c>
      <c r="J4767">
        <f t="shared" si="148"/>
        <v>3</v>
      </c>
      <c r="K4767" s="1" t="s">
        <v>6076</v>
      </c>
      <c r="L4767" s="1" t="s">
        <v>6076</v>
      </c>
      <c r="M4767">
        <f t="shared" si="149"/>
        <v>4</v>
      </c>
      <c r="N4767" t="s">
        <v>650</v>
      </c>
    </row>
    <row r="4768" spans="1:14" hidden="1" x14ac:dyDescent="0.3">
      <c r="A4768" s="1" t="s">
        <v>5743</v>
      </c>
      <c r="B4768" s="1" t="s">
        <v>1849</v>
      </c>
      <c r="C4768" s="1" t="s">
        <v>5744</v>
      </c>
      <c r="D4768" s="1" t="s">
        <v>1395</v>
      </c>
      <c r="E4768" s="1" t="s">
        <v>3905</v>
      </c>
      <c r="F4768" s="1" t="s">
        <v>3906</v>
      </c>
      <c r="G4768" s="1" t="s">
        <v>5745</v>
      </c>
      <c r="H4768">
        <v>2012</v>
      </c>
      <c r="I4768">
        <v>2012</v>
      </c>
      <c r="J4768">
        <f t="shared" si="148"/>
        <v>1</v>
      </c>
      <c r="K4768" s="1" t="s">
        <v>4668</v>
      </c>
      <c r="L4768" s="1" t="s">
        <v>649</v>
      </c>
      <c r="M4768">
        <f t="shared" si="149"/>
        <v>14</v>
      </c>
      <c r="N4768" t="s">
        <v>650</v>
      </c>
    </row>
    <row r="4769" spans="1:14" hidden="1" x14ac:dyDescent="0.3">
      <c r="A4769" s="1" t="s">
        <v>5746</v>
      </c>
      <c r="B4769" s="1" t="s">
        <v>1849</v>
      </c>
      <c r="C4769" s="1" t="s">
        <v>5747</v>
      </c>
      <c r="D4769" s="1" t="s">
        <v>1395</v>
      </c>
      <c r="E4769" s="1" t="s">
        <v>3905</v>
      </c>
      <c r="F4769" s="1" t="s">
        <v>3906</v>
      </c>
      <c r="G4769" s="1" t="s">
        <v>5745</v>
      </c>
      <c r="H4769">
        <v>2001</v>
      </c>
      <c r="I4769">
        <v>2011</v>
      </c>
      <c r="J4769">
        <f t="shared" si="148"/>
        <v>11</v>
      </c>
      <c r="K4769" s="1" t="s">
        <v>4668</v>
      </c>
      <c r="L4769" s="1" t="s">
        <v>649</v>
      </c>
      <c r="M4769">
        <f t="shared" si="149"/>
        <v>15</v>
      </c>
      <c r="N4769" t="s">
        <v>650</v>
      </c>
    </row>
    <row r="4770" spans="1:14" hidden="1" x14ac:dyDescent="0.3">
      <c r="A4770" s="1" t="s">
        <v>5748</v>
      </c>
      <c r="B4770" s="1" t="s">
        <v>1849</v>
      </c>
      <c r="C4770" s="1" t="s">
        <v>5749</v>
      </c>
      <c r="D4770" s="1" t="s">
        <v>1395</v>
      </c>
      <c r="E4770" s="1" t="s">
        <v>3905</v>
      </c>
      <c r="F4770" s="1" t="s">
        <v>3906</v>
      </c>
      <c r="G4770" s="1" t="s">
        <v>5745</v>
      </c>
      <c r="H4770">
        <v>2010</v>
      </c>
      <c r="I4770">
        <v>2013</v>
      </c>
      <c r="J4770">
        <f t="shared" si="148"/>
        <v>4</v>
      </c>
      <c r="K4770" s="1" t="s">
        <v>4668</v>
      </c>
      <c r="L4770" s="1" t="s">
        <v>649</v>
      </c>
      <c r="M4770">
        <f t="shared" si="149"/>
        <v>13</v>
      </c>
      <c r="N4770" t="s">
        <v>650</v>
      </c>
    </row>
    <row r="4771" spans="1:14" x14ac:dyDescent="0.3">
      <c r="A4771" s="1" t="s">
        <v>9665</v>
      </c>
      <c r="B4771" s="1" t="s">
        <v>1849</v>
      </c>
      <c r="C4771" s="1" t="s">
        <v>9666</v>
      </c>
      <c r="D4771" s="1" t="s">
        <v>1395</v>
      </c>
      <c r="E4771" s="1" t="s">
        <v>6076</v>
      </c>
      <c r="F4771" s="1" t="s">
        <v>6076</v>
      </c>
      <c r="G4771" s="1" t="s">
        <v>5745</v>
      </c>
      <c r="H4771">
        <v>2012</v>
      </c>
      <c r="I4771">
        <v>2019</v>
      </c>
      <c r="J4771">
        <f t="shared" si="148"/>
        <v>8</v>
      </c>
      <c r="K4771" s="1" t="s">
        <v>6076</v>
      </c>
      <c r="L4771" s="1" t="s">
        <v>6076</v>
      </c>
      <c r="M4771">
        <f t="shared" si="149"/>
        <v>7</v>
      </c>
      <c r="N4771" t="s">
        <v>650</v>
      </c>
    </row>
    <row r="4772" spans="1:14" x14ac:dyDescent="0.3">
      <c r="A4772" s="1" t="s">
        <v>9667</v>
      </c>
      <c r="B4772" s="1" t="s">
        <v>810</v>
      </c>
      <c r="C4772" s="1" t="s">
        <v>9668</v>
      </c>
      <c r="D4772" s="1" t="s">
        <v>738</v>
      </c>
      <c r="E4772" s="1" t="s">
        <v>6076</v>
      </c>
      <c r="F4772" s="1" t="s">
        <v>6076</v>
      </c>
      <c r="G4772" s="1" t="s">
        <v>9468</v>
      </c>
      <c r="H4772">
        <v>1996</v>
      </c>
      <c r="I4772">
        <v>2006</v>
      </c>
      <c r="J4772">
        <f t="shared" si="148"/>
        <v>11</v>
      </c>
      <c r="K4772" s="1" t="s">
        <v>6076</v>
      </c>
      <c r="L4772" s="1" t="s">
        <v>6076</v>
      </c>
      <c r="M4772">
        <f t="shared" si="149"/>
        <v>20</v>
      </c>
      <c r="N4772" t="s">
        <v>640</v>
      </c>
    </row>
    <row r="4773" spans="1:14" x14ac:dyDescent="0.3">
      <c r="A4773" s="1" t="s">
        <v>9669</v>
      </c>
      <c r="B4773" s="1" t="s">
        <v>810</v>
      </c>
      <c r="C4773" s="1" t="s">
        <v>9670</v>
      </c>
      <c r="D4773" s="1" t="s">
        <v>738</v>
      </c>
      <c r="E4773" s="1" t="s">
        <v>6076</v>
      </c>
      <c r="F4773" s="1" t="s">
        <v>6076</v>
      </c>
      <c r="G4773" s="1" t="s">
        <v>9468</v>
      </c>
      <c r="H4773">
        <v>1994</v>
      </c>
      <c r="I4773">
        <v>2006</v>
      </c>
      <c r="J4773">
        <f t="shared" si="148"/>
        <v>13</v>
      </c>
      <c r="K4773" s="1" t="s">
        <v>6076</v>
      </c>
      <c r="L4773" s="1" t="s">
        <v>6076</v>
      </c>
      <c r="M4773">
        <f t="shared" si="149"/>
        <v>20</v>
      </c>
      <c r="N4773" t="s">
        <v>640</v>
      </c>
    </row>
    <row r="4774" spans="1:14" x14ac:dyDescent="0.3">
      <c r="A4774" s="1" t="s">
        <v>9671</v>
      </c>
      <c r="B4774" s="1" t="s">
        <v>810</v>
      </c>
      <c r="C4774" s="1" t="s">
        <v>9672</v>
      </c>
      <c r="D4774" s="1" t="s">
        <v>738</v>
      </c>
      <c r="E4774" s="1" t="s">
        <v>6076</v>
      </c>
      <c r="F4774" s="1" t="s">
        <v>6076</v>
      </c>
      <c r="G4774" s="1" t="s">
        <v>9468</v>
      </c>
      <c r="H4774">
        <v>1985</v>
      </c>
      <c r="I4774">
        <v>1997</v>
      </c>
      <c r="J4774">
        <f t="shared" si="148"/>
        <v>13</v>
      </c>
      <c r="K4774" s="1" t="s">
        <v>6076</v>
      </c>
      <c r="L4774" s="1" t="s">
        <v>6076</v>
      </c>
      <c r="M4774">
        <f t="shared" si="149"/>
        <v>29</v>
      </c>
      <c r="N4774" t="s">
        <v>640</v>
      </c>
    </row>
    <row r="4775" spans="1:14" x14ac:dyDescent="0.3">
      <c r="A4775" s="1" t="s">
        <v>9673</v>
      </c>
      <c r="B4775" s="1" t="s">
        <v>810</v>
      </c>
      <c r="C4775" s="1" t="s">
        <v>9674</v>
      </c>
      <c r="D4775" s="1" t="s">
        <v>738</v>
      </c>
      <c r="E4775" s="1" t="s">
        <v>6076</v>
      </c>
      <c r="F4775" s="1" t="s">
        <v>6076</v>
      </c>
      <c r="G4775" s="1" t="s">
        <v>9468</v>
      </c>
      <c r="H4775">
        <v>2006</v>
      </c>
      <c r="I4775">
        <v>2006</v>
      </c>
      <c r="J4775">
        <f t="shared" si="148"/>
        <v>1</v>
      </c>
      <c r="K4775" s="1" t="s">
        <v>6076</v>
      </c>
      <c r="L4775" s="1" t="s">
        <v>6076</v>
      </c>
      <c r="M4775">
        <f t="shared" si="149"/>
        <v>20</v>
      </c>
      <c r="N4775" t="s">
        <v>640</v>
      </c>
    </row>
    <row r="4776" spans="1:14" x14ac:dyDescent="0.3">
      <c r="A4776" s="1" t="s">
        <v>9675</v>
      </c>
      <c r="B4776" s="1" t="s">
        <v>810</v>
      </c>
      <c r="C4776" s="1" t="s">
        <v>9676</v>
      </c>
      <c r="D4776" s="1" t="s">
        <v>738</v>
      </c>
      <c r="E4776" s="1" t="s">
        <v>6076</v>
      </c>
      <c r="F4776" s="1" t="s">
        <v>6076</v>
      </c>
      <c r="G4776" s="1" t="s">
        <v>9468</v>
      </c>
      <c r="H4776">
        <v>1985</v>
      </c>
      <c r="I4776">
        <v>1986</v>
      </c>
      <c r="J4776">
        <f t="shared" si="148"/>
        <v>2</v>
      </c>
      <c r="K4776" s="1" t="s">
        <v>6076</v>
      </c>
      <c r="L4776" s="1" t="s">
        <v>6076</v>
      </c>
      <c r="M4776">
        <f t="shared" si="149"/>
        <v>40</v>
      </c>
      <c r="N4776" t="s">
        <v>640</v>
      </c>
    </row>
    <row r="4777" spans="1:14" x14ac:dyDescent="0.3">
      <c r="A4777" s="1" t="s">
        <v>9677</v>
      </c>
      <c r="B4777" s="1" t="s">
        <v>810</v>
      </c>
      <c r="C4777" s="1" t="s">
        <v>9678</v>
      </c>
      <c r="D4777" s="1" t="s">
        <v>738</v>
      </c>
      <c r="E4777" s="1" t="s">
        <v>6076</v>
      </c>
      <c r="F4777" s="1" t="s">
        <v>6076</v>
      </c>
      <c r="G4777" s="1" t="s">
        <v>9468</v>
      </c>
      <c r="H4777">
        <v>1989</v>
      </c>
      <c r="I4777">
        <v>1999</v>
      </c>
      <c r="J4777">
        <f t="shared" si="148"/>
        <v>11</v>
      </c>
      <c r="K4777" s="1" t="s">
        <v>6076</v>
      </c>
      <c r="L4777" s="1" t="s">
        <v>6076</v>
      </c>
      <c r="M4777">
        <f t="shared" si="149"/>
        <v>27</v>
      </c>
      <c r="N4777" t="s">
        <v>640</v>
      </c>
    </row>
    <row r="4778" spans="1:14" x14ac:dyDescent="0.3">
      <c r="A4778" s="1" t="s">
        <v>9679</v>
      </c>
      <c r="B4778" s="1" t="s">
        <v>810</v>
      </c>
      <c r="C4778" s="1" t="s">
        <v>9680</v>
      </c>
      <c r="D4778" s="1" t="s">
        <v>738</v>
      </c>
      <c r="E4778" s="1" t="s">
        <v>6076</v>
      </c>
      <c r="F4778" s="1" t="s">
        <v>6076</v>
      </c>
      <c r="G4778" s="1" t="s">
        <v>9468</v>
      </c>
      <c r="H4778">
        <v>1990</v>
      </c>
      <c r="I4778">
        <v>1999</v>
      </c>
      <c r="J4778">
        <f t="shared" si="148"/>
        <v>10</v>
      </c>
      <c r="K4778" s="1" t="s">
        <v>6076</v>
      </c>
      <c r="L4778" s="1" t="s">
        <v>6076</v>
      </c>
      <c r="M4778">
        <f t="shared" si="149"/>
        <v>27</v>
      </c>
      <c r="N4778" t="s">
        <v>640</v>
      </c>
    </row>
    <row r="4779" spans="1:14" x14ac:dyDescent="0.3">
      <c r="A4779" s="1" t="s">
        <v>9681</v>
      </c>
      <c r="B4779" s="1" t="s">
        <v>810</v>
      </c>
      <c r="C4779" s="1" t="s">
        <v>9682</v>
      </c>
      <c r="D4779" s="1" t="s">
        <v>738</v>
      </c>
      <c r="E4779" s="1" t="s">
        <v>6076</v>
      </c>
      <c r="F4779" s="1" t="s">
        <v>6076</v>
      </c>
      <c r="G4779" s="1" t="s">
        <v>9468</v>
      </c>
      <c r="H4779">
        <v>1987</v>
      </c>
      <c r="I4779">
        <v>1997</v>
      </c>
      <c r="J4779">
        <f t="shared" si="148"/>
        <v>11</v>
      </c>
      <c r="K4779" s="1" t="s">
        <v>6076</v>
      </c>
      <c r="L4779" s="1" t="s">
        <v>6076</v>
      </c>
      <c r="M4779">
        <f t="shared" si="149"/>
        <v>29</v>
      </c>
      <c r="N4779" t="s">
        <v>640</v>
      </c>
    </row>
    <row r="4780" spans="1:14" x14ac:dyDescent="0.3">
      <c r="A4780" s="1" t="s">
        <v>9683</v>
      </c>
      <c r="B4780" s="1" t="s">
        <v>810</v>
      </c>
      <c r="C4780" s="1" t="s">
        <v>9684</v>
      </c>
      <c r="D4780" s="1" t="s">
        <v>738</v>
      </c>
      <c r="E4780" s="1" t="s">
        <v>6076</v>
      </c>
      <c r="F4780" s="1" t="s">
        <v>6076</v>
      </c>
      <c r="G4780" s="1" t="s">
        <v>9468</v>
      </c>
      <c r="H4780">
        <v>1987</v>
      </c>
      <c r="I4780">
        <v>1996</v>
      </c>
      <c r="J4780">
        <f t="shared" si="148"/>
        <v>10</v>
      </c>
      <c r="K4780" s="1" t="s">
        <v>6076</v>
      </c>
      <c r="L4780" s="1" t="s">
        <v>6076</v>
      </c>
      <c r="M4780">
        <f t="shared" si="149"/>
        <v>30</v>
      </c>
      <c r="N4780" t="s">
        <v>640</v>
      </c>
    </row>
    <row r="4781" spans="1:14" x14ac:dyDescent="0.3">
      <c r="A4781" s="1" t="s">
        <v>9685</v>
      </c>
      <c r="B4781" s="1" t="s">
        <v>795</v>
      </c>
      <c r="C4781" s="1" t="s">
        <v>9686</v>
      </c>
      <c r="D4781" s="1" t="s">
        <v>738</v>
      </c>
      <c r="E4781" s="1" t="s">
        <v>6076</v>
      </c>
      <c r="F4781" s="1" t="s">
        <v>6076</v>
      </c>
      <c r="G4781" s="1" t="s">
        <v>9687</v>
      </c>
      <c r="H4781">
        <v>1991</v>
      </c>
      <c r="I4781">
        <v>1995</v>
      </c>
      <c r="J4781">
        <f t="shared" si="148"/>
        <v>5</v>
      </c>
      <c r="K4781" s="1" t="s">
        <v>6076</v>
      </c>
      <c r="L4781" s="1" t="s">
        <v>6076</v>
      </c>
      <c r="M4781">
        <f t="shared" si="149"/>
        <v>31</v>
      </c>
      <c r="N4781" t="s">
        <v>640</v>
      </c>
    </row>
    <row r="4782" spans="1:14" hidden="1" x14ac:dyDescent="0.3">
      <c r="A4782" s="1" t="s">
        <v>2939</v>
      </c>
      <c r="B4782" s="1" t="s">
        <v>810</v>
      </c>
      <c r="C4782" s="1" t="s">
        <v>2940</v>
      </c>
      <c r="D4782" s="1" t="s">
        <v>1242</v>
      </c>
      <c r="E4782" s="1" t="s">
        <v>1243</v>
      </c>
      <c r="F4782" s="1" t="s">
        <v>1244</v>
      </c>
      <c r="G4782" s="1" t="s">
        <v>1824</v>
      </c>
      <c r="H4782">
        <v>2010</v>
      </c>
      <c r="I4782">
        <v>2014</v>
      </c>
      <c r="J4782">
        <f t="shared" si="148"/>
        <v>5</v>
      </c>
      <c r="K4782" s="1" t="s">
        <v>741</v>
      </c>
      <c r="L4782" s="1" t="s">
        <v>798</v>
      </c>
      <c r="M4782">
        <f t="shared" si="149"/>
        <v>12</v>
      </c>
      <c r="N4782" t="s">
        <v>650</v>
      </c>
    </row>
    <row r="4783" spans="1:14" hidden="1" x14ac:dyDescent="0.3">
      <c r="A4783" s="1" t="s">
        <v>2941</v>
      </c>
      <c r="B4783" s="1" t="s">
        <v>810</v>
      </c>
      <c r="C4783" s="1" t="s">
        <v>2942</v>
      </c>
      <c r="D4783" s="1" t="s">
        <v>1242</v>
      </c>
      <c r="E4783" s="1" t="s">
        <v>1243</v>
      </c>
      <c r="F4783" s="1" t="s">
        <v>1244</v>
      </c>
      <c r="G4783" s="1" t="s">
        <v>1824</v>
      </c>
      <c r="H4783">
        <v>2000</v>
      </c>
      <c r="I4783">
        <v>2015</v>
      </c>
      <c r="J4783">
        <f t="shared" si="148"/>
        <v>16</v>
      </c>
      <c r="K4783" s="1" t="s">
        <v>741</v>
      </c>
      <c r="L4783" s="1" t="s">
        <v>798</v>
      </c>
      <c r="M4783">
        <f t="shared" si="149"/>
        <v>11</v>
      </c>
      <c r="N4783" t="s">
        <v>650</v>
      </c>
    </row>
    <row r="4784" spans="1:14" hidden="1" x14ac:dyDescent="0.3">
      <c r="A4784" s="1" t="s">
        <v>2943</v>
      </c>
      <c r="B4784" s="1" t="s">
        <v>810</v>
      </c>
      <c r="C4784" s="1" t="s">
        <v>2944</v>
      </c>
      <c r="D4784" s="1" t="s">
        <v>1242</v>
      </c>
      <c r="E4784" s="1" t="s">
        <v>1243</v>
      </c>
      <c r="F4784" s="1" t="s">
        <v>1244</v>
      </c>
      <c r="G4784" s="1" t="s">
        <v>1824</v>
      </c>
      <c r="H4784">
        <v>2003</v>
      </c>
      <c r="I4784">
        <v>2010</v>
      </c>
      <c r="J4784">
        <f t="shared" si="148"/>
        <v>8</v>
      </c>
      <c r="K4784" s="1" t="s">
        <v>741</v>
      </c>
      <c r="L4784" s="1" t="s">
        <v>798</v>
      </c>
      <c r="M4784">
        <f t="shared" si="149"/>
        <v>16</v>
      </c>
      <c r="N4784" t="s">
        <v>650</v>
      </c>
    </row>
    <row r="4785" spans="1:14" hidden="1" x14ac:dyDescent="0.3">
      <c r="A4785" s="1" t="s">
        <v>2945</v>
      </c>
      <c r="B4785" s="1" t="s">
        <v>810</v>
      </c>
      <c r="C4785" s="1" t="s">
        <v>2946</v>
      </c>
      <c r="D4785" s="1" t="s">
        <v>1242</v>
      </c>
      <c r="E4785" s="1" t="s">
        <v>1243</v>
      </c>
      <c r="F4785" s="1" t="s">
        <v>1244</v>
      </c>
      <c r="G4785" s="1" t="s">
        <v>1824</v>
      </c>
      <c r="H4785">
        <v>2000</v>
      </c>
      <c r="I4785">
        <v>2005</v>
      </c>
      <c r="J4785">
        <f t="shared" si="148"/>
        <v>6</v>
      </c>
      <c r="K4785" s="1" t="s">
        <v>741</v>
      </c>
      <c r="L4785" s="1" t="s">
        <v>666</v>
      </c>
      <c r="M4785">
        <f t="shared" si="149"/>
        <v>21</v>
      </c>
      <c r="N4785" t="s">
        <v>650</v>
      </c>
    </row>
    <row r="4786" spans="1:14" hidden="1" x14ac:dyDescent="0.3">
      <c r="A4786" s="1" t="s">
        <v>2947</v>
      </c>
      <c r="B4786" s="1" t="s">
        <v>810</v>
      </c>
      <c r="C4786" s="1" t="s">
        <v>2948</v>
      </c>
      <c r="D4786" s="1" t="s">
        <v>1242</v>
      </c>
      <c r="E4786" s="1" t="s">
        <v>1243</v>
      </c>
      <c r="F4786" s="1" t="s">
        <v>1244</v>
      </c>
      <c r="G4786" s="1" t="s">
        <v>1824</v>
      </c>
      <c r="H4786">
        <v>2000</v>
      </c>
      <c r="I4786">
        <v>2004</v>
      </c>
      <c r="J4786">
        <f t="shared" si="148"/>
        <v>5</v>
      </c>
      <c r="K4786" s="1" t="s">
        <v>741</v>
      </c>
      <c r="L4786" s="1" t="s">
        <v>666</v>
      </c>
      <c r="M4786">
        <f t="shared" si="149"/>
        <v>22</v>
      </c>
      <c r="N4786" t="s">
        <v>650</v>
      </c>
    </row>
    <row r="4787" spans="1:14" hidden="1" x14ac:dyDescent="0.3">
      <c r="A4787" s="1" t="s">
        <v>2949</v>
      </c>
      <c r="B4787" s="1" t="s">
        <v>810</v>
      </c>
      <c r="C4787" s="1" t="s">
        <v>2950</v>
      </c>
      <c r="D4787" s="1" t="s">
        <v>1242</v>
      </c>
      <c r="E4787" s="1" t="s">
        <v>1243</v>
      </c>
      <c r="F4787" s="1" t="s">
        <v>1244</v>
      </c>
      <c r="G4787" s="1" t="s">
        <v>1824</v>
      </c>
      <c r="H4787">
        <v>2005</v>
      </c>
      <c r="I4787">
        <v>2009</v>
      </c>
      <c r="J4787">
        <f t="shared" si="148"/>
        <v>5</v>
      </c>
      <c r="K4787" s="1" t="s">
        <v>741</v>
      </c>
      <c r="L4787" s="1" t="s">
        <v>798</v>
      </c>
      <c r="M4787">
        <f t="shared" si="149"/>
        <v>17</v>
      </c>
      <c r="N4787" t="s">
        <v>650</v>
      </c>
    </row>
    <row r="4788" spans="1:14" hidden="1" x14ac:dyDescent="0.3">
      <c r="A4788" s="1" t="s">
        <v>2951</v>
      </c>
      <c r="B4788" s="1" t="s">
        <v>810</v>
      </c>
      <c r="C4788" s="1" t="s">
        <v>2952</v>
      </c>
      <c r="D4788" s="1" t="s">
        <v>1242</v>
      </c>
      <c r="E4788" s="1" t="s">
        <v>1243</v>
      </c>
      <c r="F4788" s="1" t="s">
        <v>1244</v>
      </c>
      <c r="G4788" s="1" t="s">
        <v>1824</v>
      </c>
      <c r="H4788">
        <v>1987</v>
      </c>
      <c r="I4788">
        <v>2000</v>
      </c>
      <c r="J4788">
        <f t="shared" si="148"/>
        <v>14</v>
      </c>
      <c r="K4788" s="1" t="s">
        <v>741</v>
      </c>
      <c r="L4788" s="1" t="s">
        <v>666</v>
      </c>
      <c r="M4788">
        <f t="shared" si="149"/>
        <v>26</v>
      </c>
      <c r="N4788" t="s">
        <v>640</v>
      </c>
    </row>
    <row r="4789" spans="1:14" x14ac:dyDescent="0.3">
      <c r="A4789" s="1" t="s">
        <v>9688</v>
      </c>
      <c r="B4789" s="1" t="s">
        <v>810</v>
      </c>
      <c r="C4789" s="1" t="s">
        <v>9689</v>
      </c>
      <c r="D4789" s="1" t="s">
        <v>1242</v>
      </c>
      <c r="E4789" s="1" t="s">
        <v>6076</v>
      </c>
      <c r="F4789" s="1" t="s">
        <v>6076</v>
      </c>
      <c r="G4789" s="1" t="s">
        <v>1824</v>
      </c>
      <c r="H4789">
        <v>1990</v>
      </c>
      <c r="I4789">
        <v>2002</v>
      </c>
      <c r="J4789">
        <f t="shared" si="148"/>
        <v>13</v>
      </c>
      <c r="K4789" s="1" t="s">
        <v>6076</v>
      </c>
      <c r="L4789" s="1" t="s">
        <v>6076</v>
      </c>
      <c r="M4789">
        <f t="shared" si="149"/>
        <v>24</v>
      </c>
      <c r="N4789" t="s">
        <v>650</v>
      </c>
    </row>
    <row r="4790" spans="1:14" hidden="1" x14ac:dyDescent="0.3">
      <c r="A4790" s="1" t="s">
        <v>2953</v>
      </c>
      <c r="B4790" s="1" t="s">
        <v>810</v>
      </c>
      <c r="C4790" s="1" t="s">
        <v>2954</v>
      </c>
      <c r="D4790" s="1" t="s">
        <v>1242</v>
      </c>
      <c r="E4790" s="1" t="s">
        <v>1243</v>
      </c>
      <c r="F4790" s="1" t="s">
        <v>1244</v>
      </c>
      <c r="G4790" s="1" t="s">
        <v>1824</v>
      </c>
      <c r="H4790">
        <v>2010</v>
      </c>
      <c r="I4790">
        <v>2014</v>
      </c>
      <c r="J4790">
        <f t="shared" si="148"/>
        <v>5</v>
      </c>
      <c r="K4790" s="1" t="s">
        <v>741</v>
      </c>
      <c r="L4790" s="1" t="s">
        <v>798</v>
      </c>
      <c r="M4790">
        <f t="shared" si="149"/>
        <v>12</v>
      </c>
      <c r="N4790" t="s">
        <v>650</v>
      </c>
    </row>
    <row r="4791" spans="1:14" hidden="1" x14ac:dyDescent="0.3">
      <c r="A4791" s="1" t="s">
        <v>2955</v>
      </c>
      <c r="B4791" s="1" t="s">
        <v>810</v>
      </c>
      <c r="C4791" s="1" t="s">
        <v>2956</v>
      </c>
      <c r="D4791" s="1" t="s">
        <v>1242</v>
      </c>
      <c r="E4791" s="1" t="s">
        <v>1243</v>
      </c>
      <c r="F4791" s="1" t="s">
        <v>1244</v>
      </c>
      <c r="G4791" s="1" t="s">
        <v>1824</v>
      </c>
      <c r="H4791">
        <v>2015</v>
      </c>
      <c r="I4791">
        <v>2018</v>
      </c>
      <c r="J4791">
        <f t="shared" si="148"/>
        <v>4</v>
      </c>
      <c r="K4791" s="1" t="s">
        <v>741</v>
      </c>
      <c r="L4791" s="1" t="s">
        <v>798</v>
      </c>
      <c r="M4791">
        <f t="shared" si="149"/>
        <v>8</v>
      </c>
      <c r="N4791" t="s">
        <v>650</v>
      </c>
    </row>
    <row r="4792" spans="1:14" hidden="1" x14ac:dyDescent="0.3">
      <c r="A4792" s="1" t="s">
        <v>2957</v>
      </c>
      <c r="B4792" s="1" t="s">
        <v>810</v>
      </c>
      <c r="C4792" s="1" t="s">
        <v>2958</v>
      </c>
      <c r="D4792" s="1" t="s">
        <v>1242</v>
      </c>
      <c r="E4792" s="1" t="s">
        <v>1243</v>
      </c>
      <c r="F4792" s="1" t="s">
        <v>1244</v>
      </c>
      <c r="G4792" s="1" t="s">
        <v>1824</v>
      </c>
      <c r="H4792">
        <v>2015</v>
      </c>
      <c r="I4792">
        <v>2022</v>
      </c>
      <c r="J4792">
        <f t="shared" si="148"/>
        <v>8</v>
      </c>
      <c r="K4792" s="1" t="s">
        <v>741</v>
      </c>
      <c r="L4792" s="1" t="s">
        <v>798</v>
      </c>
      <c r="M4792">
        <f t="shared" si="149"/>
        <v>4</v>
      </c>
      <c r="N4792" t="s">
        <v>650</v>
      </c>
    </row>
    <row r="4793" spans="1:14" hidden="1" x14ac:dyDescent="0.3">
      <c r="A4793" s="1" t="s">
        <v>2959</v>
      </c>
      <c r="B4793" s="1" t="s">
        <v>810</v>
      </c>
      <c r="C4793" s="1" t="s">
        <v>2960</v>
      </c>
      <c r="D4793" s="1" t="s">
        <v>1242</v>
      </c>
      <c r="E4793" s="1" t="s">
        <v>1243</v>
      </c>
      <c r="F4793" s="1" t="s">
        <v>1244</v>
      </c>
      <c r="G4793" s="1" t="s">
        <v>1824</v>
      </c>
      <c r="H4793">
        <v>2006</v>
      </c>
      <c r="I4793">
        <v>2007</v>
      </c>
      <c r="J4793">
        <f t="shared" si="148"/>
        <v>2</v>
      </c>
      <c r="K4793" s="1" t="s">
        <v>741</v>
      </c>
      <c r="L4793" s="1" t="s">
        <v>798</v>
      </c>
      <c r="M4793">
        <f t="shared" si="149"/>
        <v>19</v>
      </c>
      <c r="N4793" t="s">
        <v>650</v>
      </c>
    </row>
    <row r="4794" spans="1:14" hidden="1" x14ac:dyDescent="0.3">
      <c r="A4794" s="1" t="s">
        <v>2961</v>
      </c>
      <c r="B4794" s="1" t="s">
        <v>810</v>
      </c>
      <c r="C4794" s="1" t="s">
        <v>2962</v>
      </c>
      <c r="D4794" s="1" t="s">
        <v>1242</v>
      </c>
      <c r="E4794" s="1" t="s">
        <v>1243</v>
      </c>
      <c r="F4794" s="1" t="s">
        <v>1244</v>
      </c>
      <c r="G4794" s="1" t="s">
        <v>1824</v>
      </c>
      <c r="H4794">
        <v>2005</v>
      </c>
      <c r="I4794">
        <v>2005</v>
      </c>
      <c r="J4794">
        <f t="shared" si="148"/>
        <v>1</v>
      </c>
      <c r="K4794" s="1" t="s">
        <v>741</v>
      </c>
      <c r="L4794" s="1" t="s">
        <v>666</v>
      </c>
      <c r="M4794">
        <f t="shared" si="149"/>
        <v>21</v>
      </c>
      <c r="N4794" t="s">
        <v>650</v>
      </c>
    </row>
    <row r="4795" spans="1:14" hidden="1" x14ac:dyDescent="0.3">
      <c r="A4795" s="1" t="s">
        <v>2963</v>
      </c>
      <c r="B4795" s="1" t="s">
        <v>810</v>
      </c>
      <c r="C4795" s="1" t="s">
        <v>2964</v>
      </c>
      <c r="D4795" s="1" t="s">
        <v>1242</v>
      </c>
      <c r="E4795" s="1" t="s">
        <v>1243</v>
      </c>
      <c r="F4795" s="1" t="s">
        <v>1244</v>
      </c>
      <c r="G4795" s="1" t="s">
        <v>1824</v>
      </c>
      <c r="H4795">
        <v>2005</v>
      </c>
      <c r="I4795">
        <v>2007</v>
      </c>
      <c r="J4795">
        <f t="shared" si="148"/>
        <v>3</v>
      </c>
      <c r="K4795" s="1" t="s">
        <v>741</v>
      </c>
      <c r="L4795" s="1" t="s">
        <v>798</v>
      </c>
      <c r="M4795">
        <f t="shared" si="149"/>
        <v>19</v>
      </c>
      <c r="N4795" t="s">
        <v>650</v>
      </c>
    </row>
    <row r="4796" spans="1:14" x14ac:dyDescent="0.3">
      <c r="A4796" s="1" t="s">
        <v>9690</v>
      </c>
      <c r="B4796" s="1" t="s">
        <v>810</v>
      </c>
      <c r="C4796" s="1" t="s">
        <v>9691</v>
      </c>
      <c r="D4796" s="1" t="s">
        <v>1242</v>
      </c>
      <c r="E4796" s="1" t="s">
        <v>6076</v>
      </c>
      <c r="F4796" s="1" t="s">
        <v>6076</v>
      </c>
      <c r="G4796" s="1" t="s">
        <v>1824</v>
      </c>
      <c r="H4796">
        <v>1986</v>
      </c>
      <c r="I4796">
        <v>1989</v>
      </c>
      <c r="J4796">
        <f t="shared" si="148"/>
        <v>4</v>
      </c>
      <c r="K4796" s="1" t="s">
        <v>6076</v>
      </c>
      <c r="L4796" s="1" t="s">
        <v>6076</v>
      </c>
      <c r="M4796">
        <f t="shared" si="149"/>
        <v>37</v>
      </c>
      <c r="N4796" t="s">
        <v>640</v>
      </c>
    </row>
    <row r="4797" spans="1:14" hidden="1" x14ac:dyDescent="0.3">
      <c r="A4797" t="s">
        <v>12728</v>
      </c>
      <c r="B4797" t="s">
        <v>810</v>
      </c>
      <c r="C4797" t="s">
        <v>12729</v>
      </c>
      <c r="E4797" s="1" t="e">
        <v>#N/A</v>
      </c>
      <c r="F4797" s="1" t="e">
        <v>#N/A</v>
      </c>
      <c r="G4797" s="1" t="s">
        <v>12887</v>
      </c>
      <c r="H4797">
        <v>2024</v>
      </c>
      <c r="I4797">
        <v>2026</v>
      </c>
      <c r="J4797">
        <f t="shared" si="148"/>
        <v>3</v>
      </c>
      <c r="K4797" s="1" t="s">
        <v>741</v>
      </c>
      <c r="L4797" s="1" t="s">
        <v>798</v>
      </c>
      <c r="M4797">
        <f t="shared" si="149"/>
        <v>0</v>
      </c>
    </row>
    <row r="4798" spans="1:14" hidden="1" x14ac:dyDescent="0.3">
      <c r="A4798" s="1" t="s">
        <v>2965</v>
      </c>
      <c r="B4798" s="1" t="s">
        <v>810</v>
      </c>
      <c r="C4798" s="1" t="s">
        <v>2966</v>
      </c>
      <c r="D4798" s="1" t="s">
        <v>1242</v>
      </c>
      <c r="E4798" s="1" t="s">
        <v>1243</v>
      </c>
      <c r="F4798" s="1" t="s">
        <v>1244</v>
      </c>
      <c r="G4798" s="1" t="s">
        <v>1824</v>
      </c>
      <c r="H4798">
        <v>2001</v>
      </c>
      <c r="I4798">
        <v>2004</v>
      </c>
      <c r="J4798">
        <f t="shared" si="148"/>
        <v>4</v>
      </c>
      <c r="K4798" s="1" t="s">
        <v>741</v>
      </c>
      <c r="L4798" s="1" t="s">
        <v>666</v>
      </c>
      <c r="M4798">
        <f t="shared" si="149"/>
        <v>22</v>
      </c>
      <c r="N4798" t="s">
        <v>650</v>
      </c>
    </row>
    <row r="4799" spans="1:14" x14ac:dyDescent="0.3">
      <c r="A4799" s="1" t="s">
        <v>9692</v>
      </c>
      <c r="B4799" s="1" t="s">
        <v>810</v>
      </c>
      <c r="C4799" s="1" t="s">
        <v>9693</v>
      </c>
      <c r="D4799" s="1" t="s">
        <v>1242</v>
      </c>
      <c r="E4799" s="1" t="s">
        <v>6076</v>
      </c>
      <c r="F4799" s="1" t="s">
        <v>6076</v>
      </c>
      <c r="G4799" s="1" t="s">
        <v>1824</v>
      </c>
      <c r="H4799">
        <v>1985</v>
      </c>
      <c r="I4799">
        <v>1999</v>
      </c>
      <c r="J4799">
        <f t="shared" si="148"/>
        <v>15</v>
      </c>
      <c r="K4799" s="1" t="s">
        <v>6076</v>
      </c>
      <c r="L4799" s="1" t="s">
        <v>6076</v>
      </c>
      <c r="M4799">
        <f t="shared" si="149"/>
        <v>27</v>
      </c>
      <c r="N4799" t="s">
        <v>640</v>
      </c>
    </row>
    <row r="4800" spans="1:14" hidden="1" x14ac:dyDescent="0.3">
      <c r="A4800" s="1" t="s">
        <v>2967</v>
      </c>
      <c r="B4800" s="1" t="s">
        <v>810</v>
      </c>
      <c r="C4800" s="1" t="s">
        <v>2968</v>
      </c>
      <c r="D4800" s="1" t="s">
        <v>1242</v>
      </c>
      <c r="E4800" s="1" t="s">
        <v>1243</v>
      </c>
      <c r="F4800" s="1" t="s">
        <v>1244</v>
      </c>
      <c r="G4800" s="1" t="s">
        <v>1824</v>
      </c>
      <c r="H4800">
        <v>2015</v>
      </c>
      <c r="I4800">
        <v>2018</v>
      </c>
      <c r="J4800">
        <f t="shared" si="148"/>
        <v>4</v>
      </c>
      <c r="K4800" s="1" t="s">
        <v>741</v>
      </c>
      <c r="L4800" s="1" t="s">
        <v>798</v>
      </c>
      <c r="M4800">
        <f t="shared" si="149"/>
        <v>8</v>
      </c>
      <c r="N4800" t="s">
        <v>650</v>
      </c>
    </row>
    <row r="4801" spans="1:14" hidden="1" x14ac:dyDescent="0.3">
      <c r="A4801" s="1" t="s">
        <v>2969</v>
      </c>
      <c r="B4801" s="1" t="s">
        <v>810</v>
      </c>
      <c r="C4801" s="1" t="s">
        <v>2970</v>
      </c>
      <c r="D4801" s="1" t="s">
        <v>1242</v>
      </c>
      <c r="E4801" s="1" t="s">
        <v>1243</v>
      </c>
      <c r="F4801" s="1" t="s">
        <v>1244</v>
      </c>
      <c r="G4801" s="1" t="s">
        <v>1824</v>
      </c>
      <c r="H4801">
        <v>2018</v>
      </c>
      <c r="I4801">
        <v>2019</v>
      </c>
      <c r="J4801">
        <f t="shared" si="148"/>
        <v>2</v>
      </c>
      <c r="K4801" s="1" t="s">
        <v>741</v>
      </c>
      <c r="L4801" s="1" t="s">
        <v>798</v>
      </c>
      <c r="M4801">
        <f t="shared" si="149"/>
        <v>7</v>
      </c>
      <c r="N4801" t="s">
        <v>650</v>
      </c>
    </row>
    <row r="4802" spans="1:14" hidden="1" x14ac:dyDescent="0.3">
      <c r="A4802" s="1" t="s">
        <v>2971</v>
      </c>
      <c r="B4802" s="1" t="s">
        <v>810</v>
      </c>
      <c r="C4802" s="1" t="s">
        <v>2972</v>
      </c>
      <c r="D4802" s="1" t="s">
        <v>1242</v>
      </c>
      <c r="E4802" s="1" t="s">
        <v>1243</v>
      </c>
      <c r="F4802" s="1" t="s">
        <v>1244</v>
      </c>
      <c r="G4802" s="1" t="s">
        <v>1824</v>
      </c>
      <c r="H4802">
        <v>2018</v>
      </c>
      <c r="I4802">
        <v>2019</v>
      </c>
      <c r="J4802">
        <f t="shared" si="148"/>
        <v>2</v>
      </c>
      <c r="K4802" s="1" t="s">
        <v>741</v>
      </c>
      <c r="L4802" s="1" t="s">
        <v>798</v>
      </c>
      <c r="M4802">
        <f t="shared" si="149"/>
        <v>7</v>
      </c>
      <c r="N4802" t="s">
        <v>650</v>
      </c>
    </row>
    <row r="4803" spans="1:14" hidden="1" x14ac:dyDescent="0.3">
      <c r="A4803" t="s">
        <v>12730</v>
      </c>
      <c r="B4803" t="s">
        <v>810</v>
      </c>
      <c r="C4803" t="s">
        <v>12731</v>
      </c>
      <c r="E4803" s="1" t="e">
        <v>#N/A</v>
      </c>
      <c r="F4803" s="1" t="e">
        <v>#N/A</v>
      </c>
      <c r="G4803" s="1" t="s">
        <v>12887</v>
      </c>
      <c r="H4803">
        <v>2023</v>
      </c>
      <c r="I4803">
        <v>2026</v>
      </c>
      <c r="J4803">
        <f t="shared" si="148"/>
        <v>4</v>
      </c>
      <c r="K4803" s="1" t="s">
        <v>741</v>
      </c>
      <c r="L4803" s="1" t="s">
        <v>798</v>
      </c>
      <c r="M4803">
        <f t="shared" si="149"/>
        <v>0</v>
      </c>
    </row>
    <row r="4804" spans="1:14" hidden="1" x14ac:dyDescent="0.3">
      <c r="A4804" t="s">
        <v>12732</v>
      </c>
      <c r="B4804" t="s">
        <v>810</v>
      </c>
      <c r="C4804" t="s">
        <v>12733</v>
      </c>
      <c r="E4804" s="1" t="e">
        <v>#N/A</v>
      </c>
      <c r="F4804" s="1" t="e">
        <v>#N/A</v>
      </c>
      <c r="G4804" s="1" t="s">
        <v>12887</v>
      </c>
      <c r="H4804">
        <v>2023</v>
      </c>
      <c r="I4804">
        <v>2026</v>
      </c>
      <c r="J4804">
        <f t="shared" si="148"/>
        <v>4</v>
      </c>
      <c r="K4804" s="1" t="s">
        <v>741</v>
      </c>
      <c r="L4804" s="1" t="s">
        <v>798</v>
      </c>
      <c r="M4804">
        <f t="shared" si="149"/>
        <v>0</v>
      </c>
    </row>
    <row r="4805" spans="1:14" hidden="1" x14ac:dyDescent="0.3">
      <c r="A4805" s="1" t="s">
        <v>2973</v>
      </c>
      <c r="B4805" s="1" t="s">
        <v>810</v>
      </c>
      <c r="C4805" s="1" t="s">
        <v>2974</v>
      </c>
      <c r="D4805" s="1" t="s">
        <v>1242</v>
      </c>
      <c r="E4805" s="1" t="s">
        <v>1243</v>
      </c>
      <c r="F4805" s="1" t="s">
        <v>1244</v>
      </c>
      <c r="G4805" s="1" t="s">
        <v>1824</v>
      </c>
      <c r="H4805">
        <v>2017</v>
      </c>
      <c r="I4805">
        <v>2022</v>
      </c>
      <c r="J4805">
        <f t="shared" si="148"/>
        <v>6</v>
      </c>
      <c r="K4805" s="1" t="s">
        <v>741</v>
      </c>
      <c r="L4805" s="1" t="s">
        <v>798</v>
      </c>
      <c r="M4805">
        <f t="shared" si="149"/>
        <v>4</v>
      </c>
      <c r="N4805" t="s">
        <v>650</v>
      </c>
    </row>
    <row r="4806" spans="1:14" x14ac:dyDescent="0.3">
      <c r="A4806" s="1" t="s">
        <v>9694</v>
      </c>
      <c r="B4806" s="1" t="s">
        <v>810</v>
      </c>
      <c r="C4806" s="1" t="s">
        <v>9695</v>
      </c>
      <c r="D4806" s="1" t="s">
        <v>1242</v>
      </c>
      <c r="E4806" s="1" t="s">
        <v>6076</v>
      </c>
      <c r="F4806" s="1" t="s">
        <v>6076</v>
      </c>
      <c r="G4806" s="1" t="s">
        <v>1824</v>
      </c>
      <c r="H4806">
        <v>2018</v>
      </c>
      <c r="I4806">
        <v>2022</v>
      </c>
      <c r="J4806">
        <f t="shared" ref="J4806:J4869" si="150">1+(I4806-H4806)</f>
        <v>5</v>
      </c>
      <c r="K4806" s="1" t="s">
        <v>6076</v>
      </c>
      <c r="L4806" s="1" t="s">
        <v>6076</v>
      </c>
      <c r="M4806">
        <f t="shared" ref="M4806:M4869" si="151">IF(I4806=0,0,$B$2-I4806)</f>
        <v>4</v>
      </c>
      <c r="N4806" t="s">
        <v>650</v>
      </c>
    </row>
    <row r="4807" spans="1:14" hidden="1" x14ac:dyDescent="0.3">
      <c r="A4807" s="1" t="s">
        <v>2975</v>
      </c>
      <c r="B4807" s="1" t="s">
        <v>810</v>
      </c>
      <c r="C4807" s="1" t="s">
        <v>2976</v>
      </c>
      <c r="D4807" s="1" t="s">
        <v>1242</v>
      </c>
      <c r="E4807" s="1" t="s">
        <v>1243</v>
      </c>
      <c r="F4807" s="1" t="s">
        <v>1244</v>
      </c>
      <c r="G4807" s="1" t="s">
        <v>1824</v>
      </c>
      <c r="H4807">
        <v>2016</v>
      </c>
      <c r="I4807">
        <v>2016</v>
      </c>
      <c r="J4807">
        <f t="shared" si="150"/>
        <v>1</v>
      </c>
      <c r="K4807" s="1" t="s">
        <v>741</v>
      </c>
      <c r="L4807" s="1" t="s">
        <v>798</v>
      </c>
      <c r="M4807">
        <f t="shared" si="151"/>
        <v>10</v>
      </c>
      <c r="N4807" t="s">
        <v>650</v>
      </c>
    </row>
    <row r="4808" spans="1:14" hidden="1" x14ac:dyDescent="0.3">
      <c r="A4808" s="1" t="s">
        <v>2977</v>
      </c>
      <c r="B4808" s="1" t="s">
        <v>810</v>
      </c>
      <c r="C4808" s="1" t="s">
        <v>2978</v>
      </c>
      <c r="D4808" s="1" t="s">
        <v>1242</v>
      </c>
      <c r="E4808" s="1" t="s">
        <v>1243</v>
      </c>
      <c r="F4808" s="1" t="s">
        <v>1244</v>
      </c>
      <c r="G4808" s="1" t="s">
        <v>1824</v>
      </c>
      <c r="H4808">
        <v>2006</v>
      </c>
      <c r="I4808">
        <v>2006</v>
      </c>
      <c r="J4808">
        <f t="shared" si="150"/>
        <v>1</v>
      </c>
      <c r="K4808" s="1" t="s">
        <v>741</v>
      </c>
      <c r="L4808" s="1" t="s">
        <v>798</v>
      </c>
      <c r="M4808">
        <f t="shared" si="151"/>
        <v>20</v>
      </c>
      <c r="N4808" t="s">
        <v>650</v>
      </c>
    </row>
    <row r="4809" spans="1:14" hidden="1" x14ac:dyDescent="0.3">
      <c r="A4809" s="1" t="s">
        <v>2979</v>
      </c>
      <c r="B4809" s="1" t="s">
        <v>810</v>
      </c>
      <c r="C4809" s="1" t="s">
        <v>2980</v>
      </c>
      <c r="D4809" s="1" t="s">
        <v>1242</v>
      </c>
      <c r="E4809" s="1" t="s">
        <v>1243</v>
      </c>
      <c r="F4809" s="1" t="s">
        <v>1244</v>
      </c>
      <c r="G4809" s="1" t="s">
        <v>1824</v>
      </c>
      <c r="H4809">
        <v>2006</v>
      </c>
      <c r="I4809">
        <v>2006</v>
      </c>
      <c r="J4809">
        <f t="shared" si="150"/>
        <v>1</v>
      </c>
      <c r="K4809" s="1" t="s">
        <v>741</v>
      </c>
      <c r="L4809" s="1" t="s">
        <v>798</v>
      </c>
      <c r="M4809">
        <f t="shared" si="151"/>
        <v>20</v>
      </c>
      <c r="N4809" t="s">
        <v>650</v>
      </c>
    </row>
    <row r="4810" spans="1:14" hidden="1" x14ac:dyDescent="0.3">
      <c r="A4810" s="1" t="s">
        <v>2981</v>
      </c>
      <c r="B4810" s="1" t="s">
        <v>810</v>
      </c>
      <c r="C4810" s="1" t="s">
        <v>2982</v>
      </c>
      <c r="D4810" s="1" t="s">
        <v>1242</v>
      </c>
      <c r="E4810" s="1" t="s">
        <v>1243</v>
      </c>
      <c r="F4810" s="1" t="s">
        <v>1244</v>
      </c>
      <c r="G4810" s="1" t="s">
        <v>1824</v>
      </c>
      <c r="H4810">
        <v>2015</v>
      </c>
      <c r="I4810">
        <v>2016</v>
      </c>
      <c r="J4810">
        <f t="shared" si="150"/>
        <v>2</v>
      </c>
      <c r="K4810" s="1" t="s">
        <v>741</v>
      </c>
      <c r="L4810" s="1" t="s">
        <v>798</v>
      </c>
      <c r="M4810">
        <f t="shared" si="151"/>
        <v>10</v>
      </c>
      <c r="N4810" t="s">
        <v>650</v>
      </c>
    </row>
    <row r="4811" spans="1:14" hidden="1" x14ac:dyDescent="0.3">
      <c r="A4811" s="1" t="s">
        <v>2983</v>
      </c>
      <c r="B4811" s="1" t="s">
        <v>810</v>
      </c>
      <c r="C4811" s="1" t="s">
        <v>2984</v>
      </c>
      <c r="D4811" s="1" t="s">
        <v>1242</v>
      </c>
      <c r="E4811" s="1" t="s">
        <v>1243</v>
      </c>
      <c r="F4811" s="1" t="s">
        <v>1244</v>
      </c>
      <c r="G4811" s="1" t="s">
        <v>1824</v>
      </c>
      <c r="H4811">
        <v>2003</v>
      </c>
      <c r="I4811">
        <v>2008</v>
      </c>
      <c r="J4811">
        <f t="shared" si="150"/>
        <v>6</v>
      </c>
      <c r="K4811" s="1" t="s">
        <v>741</v>
      </c>
      <c r="L4811" s="1" t="s">
        <v>798</v>
      </c>
      <c r="M4811">
        <f t="shared" si="151"/>
        <v>18</v>
      </c>
      <c r="N4811" t="s">
        <v>650</v>
      </c>
    </row>
    <row r="4812" spans="1:14" hidden="1" x14ac:dyDescent="0.3">
      <c r="A4812" s="1" t="s">
        <v>2985</v>
      </c>
      <c r="B4812" s="1" t="s">
        <v>810</v>
      </c>
      <c r="C4812" s="1" t="s">
        <v>2986</v>
      </c>
      <c r="D4812" s="1" t="s">
        <v>1242</v>
      </c>
      <c r="E4812" s="1" t="s">
        <v>1243</v>
      </c>
      <c r="F4812" s="1" t="s">
        <v>1244</v>
      </c>
      <c r="G4812" s="1" t="s">
        <v>1824</v>
      </c>
      <c r="H4812">
        <v>2004</v>
      </c>
      <c r="I4812">
        <v>2005</v>
      </c>
      <c r="J4812">
        <f t="shared" si="150"/>
        <v>2</v>
      </c>
      <c r="K4812" s="1" t="s">
        <v>741</v>
      </c>
      <c r="L4812" s="1" t="s">
        <v>666</v>
      </c>
      <c r="M4812">
        <f t="shared" si="151"/>
        <v>21</v>
      </c>
      <c r="N4812" t="s">
        <v>650</v>
      </c>
    </row>
    <row r="4813" spans="1:14" hidden="1" x14ac:dyDescent="0.3">
      <c r="A4813" s="1" t="s">
        <v>2987</v>
      </c>
      <c r="B4813" s="1" t="s">
        <v>810</v>
      </c>
      <c r="C4813" s="1" t="s">
        <v>2988</v>
      </c>
      <c r="D4813" s="1" t="s">
        <v>1242</v>
      </c>
      <c r="E4813" s="1" t="s">
        <v>1243</v>
      </c>
      <c r="F4813" s="1" t="s">
        <v>1244</v>
      </c>
      <c r="G4813" s="1" t="s">
        <v>1824</v>
      </c>
      <c r="H4813">
        <v>2005</v>
      </c>
      <c r="I4813">
        <v>2008</v>
      </c>
      <c r="J4813">
        <f t="shared" si="150"/>
        <v>4</v>
      </c>
      <c r="K4813" s="1" t="s">
        <v>741</v>
      </c>
      <c r="L4813" s="1" t="s">
        <v>798</v>
      </c>
      <c r="M4813">
        <f t="shared" si="151"/>
        <v>18</v>
      </c>
      <c r="N4813" t="s">
        <v>650</v>
      </c>
    </row>
    <row r="4814" spans="1:14" hidden="1" x14ac:dyDescent="0.3">
      <c r="A4814" s="1" t="s">
        <v>2989</v>
      </c>
      <c r="B4814" s="1" t="s">
        <v>810</v>
      </c>
      <c r="C4814" s="1" t="s">
        <v>2990</v>
      </c>
      <c r="D4814" s="1" t="s">
        <v>1242</v>
      </c>
      <c r="E4814" s="1" t="s">
        <v>1243</v>
      </c>
      <c r="F4814" s="1" t="s">
        <v>1244</v>
      </c>
      <c r="G4814" s="1" t="s">
        <v>1824</v>
      </c>
      <c r="H4814">
        <v>2008</v>
      </c>
      <c r="I4814">
        <v>2016</v>
      </c>
      <c r="J4814">
        <f t="shared" si="150"/>
        <v>9</v>
      </c>
      <c r="K4814" s="1" t="s">
        <v>741</v>
      </c>
      <c r="L4814" s="1" t="s">
        <v>798</v>
      </c>
      <c r="M4814">
        <f t="shared" si="151"/>
        <v>10</v>
      </c>
      <c r="N4814" t="s">
        <v>650</v>
      </c>
    </row>
    <row r="4815" spans="1:14" hidden="1" x14ac:dyDescent="0.3">
      <c r="A4815" s="1" t="s">
        <v>2991</v>
      </c>
      <c r="B4815" s="1" t="s">
        <v>810</v>
      </c>
      <c r="C4815" s="1" t="s">
        <v>2992</v>
      </c>
      <c r="D4815" s="1" t="s">
        <v>1242</v>
      </c>
      <c r="E4815" s="1" t="s">
        <v>1243</v>
      </c>
      <c r="F4815" s="1" t="s">
        <v>1244</v>
      </c>
      <c r="G4815" s="1" t="s">
        <v>1824</v>
      </c>
      <c r="H4815">
        <v>2008</v>
      </c>
      <c r="I4815">
        <v>2009</v>
      </c>
      <c r="J4815">
        <f t="shared" si="150"/>
        <v>2</v>
      </c>
      <c r="K4815" s="1" t="s">
        <v>741</v>
      </c>
      <c r="L4815" s="1" t="s">
        <v>798</v>
      </c>
      <c r="M4815">
        <f t="shared" si="151"/>
        <v>17</v>
      </c>
      <c r="N4815" t="s">
        <v>650</v>
      </c>
    </row>
    <row r="4816" spans="1:14" hidden="1" x14ac:dyDescent="0.3">
      <c r="A4816" s="1" t="s">
        <v>2993</v>
      </c>
      <c r="B4816" s="1" t="s">
        <v>810</v>
      </c>
      <c r="C4816" s="1" t="s">
        <v>2994</v>
      </c>
      <c r="D4816" s="1" t="s">
        <v>1242</v>
      </c>
      <c r="E4816" s="1" t="s">
        <v>1243</v>
      </c>
      <c r="F4816" s="1" t="s">
        <v>1244</v>
      </c>
      <c r="G4816" s="1" t="s">
        <v>1824</v>
      </c>
      <c r="H4816">
        <v>2008</v>
      </c>
      <c r="I4816">
        <v>2010</v>
      </c>
      <c r="J4816">
        <f t="shared" si="150"/>
        <v>3</v>
      </c>
      <c r="K4816" s="1" t="s">
        <v>741</v>
      </c>
      <c r="L4816" s="1" t="s">
        <v>798</v>
      </c>
      <c r="M4816">
        <f t="shared" si="151"/>
        <v>16</v>
      </c>
      <c r="N4816" t="s">
        <v>650</v>
      </c>
    </row>
    <row r="4817" spans="1:14" hidden="1" x14ac:dyDescent="0.3">
      <c r="A4817" s="1" t="s">
        <v>2995</v>
      </c>
      <c r="B4817" s="1" t="s">
        <v>810</v>
      </c>
      <c r="C4817" s="1" t="s">
        <v>2996</v>
      </c>
      <c r="D4817" s="1" t="s">
        <v>1242</v>
      </c>
      <c r="E4817" s="1" t="s">
        <v>1243</v>
      </c>
      <c r="F4817" s="1" t="s">
        <v>1244</v>
      </c>
      <c r="G4817" s="1" t="s">
        <v>1824</v>
      </c>
      <c r="H4817">
        <v>2015</v>
      </c>
      <c r="I4817">
        <v>2022</v>
      </c>
      <c r="J4817">
        <f t="shared" si="150"/>
        <v>8</v>
      </c>
      <c r="K4817" s="1" t="s">
        <v>741</v>
      </c>
      <c r="L4817" s="1" t="s">
        <v>798</v>
      </c>
      <c r="M4817">
        <f t="shared" si="151"/>
        <v>4</v>
      </c>
      <c r="N4817" t="s">
        <v>650</v>
      </c>
    </row>
    <row r="4818" spans="1:14" hidden="1" x14ac:dyDescent="0.3">
      <c r="A4818" s="1" t="s">
        <v>2997</v>
      </c>
      <c r="B4818" s="1" t="s">
        <v>810</v>
      </c>
      <c r="C4818" s="1" t="s">
        <v>2998</v>
      </c>
      <c r="D4818" s="1" t="s">
        <v>1242</v>
      </c>
      <c r="E4818" s="1" t="s">
        <v>1243</v>
      </c>
      <c r="F4818" s="1" t="s">
        <v>1244</v>
      </c>
      <c r="G4818" s="1" t="s">
        <v>1824</v>
      </c>
      <c r="H4818">
        <v>2015</v>
      </c>
      <c r="I4818">
        <v>2018</v>
      </c>
      <c r="J4818">
        <f t="shared" si="150"/>
        <v>4</v>
      </c>
      <c r="K4818" s="1" t="s">
        <v>741</v>
      </c>
      <c r="L4818" s="1" t="s">
        <v>798</v>
      </c>
      <c r="M4818">
        <f t="shared" si="151"/>
        <v>8</v>
      </c>
      <c r="N4818" t="s">
        <v>650</v>
      </c>
    </row>
    <row r="4819" spans="1:14" hidden="1" x14ac:dyDescent="0.3">
      <c r="A4819" s="1" t="s">
        <v>2999</v>
      </c>
      <c r="B4819" s="1" t="s">
        <v>810</v>
      </c>
      <c r="C4819" s="1" t="s">
        <v>3000</v>
      </c>
      <c r="D4819" s="1" t="s">
        <v>1242</v>
      </c>
      <c r="E4819" s="1" t="s">
        <v>1243</v>
      </c>
      <c r="F4819" s="1" t="s">
        <v>1244</v>
      </c>
      <c r="G4819" s="1" t="s">
        <v>1824</v>
      </c>
      <c r="H4819">
        <v>2015</v>
      </c>
      <c r="I4819">
        <v>2018</v>
      </c>
      <c r="J4819">
        <f t="shared" si="150"/>
        <v>4</v>
      </c>
      <c r="K4819" s="1" t="s">
        <v>741</v>
      </c>
      <c r="L4819" s="1" t="s">
        <v>798</v>
      </c>
      <c r="M4819">
        <f t="shared" si="151"/>
        <v>8</v>
      </c>
      <c r="N4819" t="s">
        <v>650</v>
      </c>
    </row>
    <row r="4820" spans="1:14" hidden="1" x14ac:dyDescent="0.3">
      <c r="A4820" t="s">
        <v>12734</v>
      </c>
      <c r="B4820" t="s">
        <v>810</v>
      </c>
      <c r="C4820" t="s">
        <v>12735</v>
      </c>
      <c r="E4820" s="1" t="e">
        <v>#N/A</v>
      </c>
      <c r="F4820" s="1" t="e">
        <v>#N/A</v>
      </c>
      <c r="G4820" s="1" t="s">
        <v>12887</v>
      </c>
      <c r="H4820">
        <v>2023</v>
      </c>
      <c r="I4820">
        <v>2026</v>
      </c>
      <c r="J4820">
        <f t="shared" si="150"/>
        <v>4</v>
      </c>
      <c r="K4820" s="1" t="s">
        <v>741</v>
      </c>
      <c r="L4820" s="1" t="s">
        <v>798</v>
      </c>
      <c r="M4820">
        <f t="shared" si="151"/>
        <v>0</v>
      </c>
    </row>
    <row r="4821" spans="1:14" hidden="1" x14ac:dyDescent="0.3">
      <c r="A4821" s="1" t="s">
        <v>3001</v>
      </c>
      <c r="B4821" s="1" t="s">
        <v>810</v>
      </c>
      <c r="C4821" s="1" t="s">
        <v>3002</v>
      </c>
      <c r="D4821" s="1" t="s">
        <v>1242</v>
      </c>
      <c r="E4821" s="1" t="s">
        <v>1243</v>
      </c>
      <c r="F4821" s="1" t="s">
        <v>1244</v>
      </c>
      <c r="G4821" s="1" t="s">
        <v>1824</v>
      </c>
      <c r="H4821">
        <v>2010</v>
      </c>
      <c r="I4821">
        <v>2013</v>
      </c>
      <c r="J4821">
        <f t="shared" si="150"/>
        <v>4</v>
      </c>
      <c r="K4821" s="1" t="s">
        <v>741</v>
      </c>
      <c r="L4821" s="1" t="s">
        <v>798</v>
      </c>
      <c r="M4821">
        <f t="shared" si="151"/>
        <v>13</v>
      </c>
      <c r="N4821" t="s">
        <v>650</v>
      </c>
    </row>
    <row r="4822" spans="1:14" hidden="1" x14ac:dyDescent="0.3">
      <c r="A4822" s="1" t="s">
        <v>3003</v>
      </c>
      <c r="B4822" s="1" t="s">
        <v>810</v>
      </c>
      <c r="C4822" s="1" t="s">
        <v>3004</v>
      </c>
      <c r="D4822" s="1" t="s">
        <v>1242</v>
      </c>
      <c r="E4822" s="1" t="s">
        <v>1243</v>
      </c>
      <c r="F4822" s="1" t="s">
        <v>1244</v>
      </c>
      <c r="G4822" s="1" t="s">
        <v>1824</v>
      </c>
      <c r="H4822">
        <v>2010</v>
      </c>
      <c r="I4822">
        <v>2014</v>
      </c>
      <c r="J4822">
        <f t="shared" si="150"/>
        <v>5</v>
      </c>
      <c r="K4822" s="1" t="s">
        <v>741</v>
      </c>
      <c r="L4822" s="1" t="s">
        <v>798</v>
      </c>
      <c r="M4822">
        <f t="shared" si="151"/>
        <v>12</v>
      </c>
      <c r="N4822" t="s">
        <v>650</v>
      </c>
    </row>
    <row r="4823" spans="1:14" x14ac:dyDescent="0.3">
      <c r="A4823" s="1" t="s">
        <v>9696</v>
      </c>
      <c r="B4823" s="1" t="s">
        <v>810</v>
      </c>
      <c r="C4823" s="1" t="s">
        <v>9697</v>
      </c>
      <c r="D4823" s="1" t="s">
        <v>1242</v>
      </c>
      <c r="E4823" s="1" t="s">
        <v>6076</v>
      </c>
      <c r="F4823" s="1" t="s">
        <v>6076</v>
      </c>
      <c r="G4823" s="1" t="s">
        <v>1824</v>
      </c>
      <c r="H4823">
        <v>1998</v>
      </c>
      <c r="I4823">
        <v>1999</v>
      </c>
      <c r="J4823">
        <f t="shared" si="150"/>
        <v>2</v>
      </c>
      <c r="K4823" s="1" t="s">
        <v>6076</v>
      </c>
      <c r="L4823" s="1" t="s">
        <v>6076</v>
      </c>
      <c r="M4823">
        <f t="shared" si="151"/>
        <v>27</v>
      </c>
      <c r="N4823" t="s">
        <v>640</v>
      </c>
    </row>
    <row r="4824" spans="1:14" x14ac:dyDescent="0.3">
      <c r="A4824" s="1" t="s">
        <v>9698</v>
      </c>
      <c r="B4824" s="1" t="s">
        <v>12756</v>
      </c>
      <c r="C4824" s="1" t="s">
        <v>9699</v>
      </c>
      <c r="D4824" s="1" t="s">
        <v>738</v>
      </c>
      <c r="E4824" s="1" t="s">
        <v>6076</v>
      </c>
      <c r="F4824" s="1" t="s">
        <v>6076</v>
      </c>
      <c r="G4824" s="1" t="s">
        <v>9700</v>
      </c>
      <c r="H4824">
        <v>2001</v>
      </c>
      <c r="I4824">
        <v>2005</v>
      </c>
      <c r="J4824">
        <f t="shared" si="150"/>
        <v>5</v>
      </c>
      <c r="K4824" s="1" t="s">
        <v>6076</v>
      </c>
      <c r="L4824" s="1" t="s">
        <v>6076</v>
      </c>
      <c r="M4824">
        <f t="shared" si="151"/>
        <v>21</v>
      </c>
      <c r="N4824" t="s">
        <v>640</v>
      </c>
    </row>
    <row r="4825" spans="1:14" x14ac:dyDescent="0.3">
      <c r="A4825" s="1" t="s">
        <v>9701</v>
      </c>
      <c r="B4825" s="1" t="s">
        <v>12756</v>
      </c>
      <c r="C4825" s="1" t="s">
        <v>9702</v>
      </c>
      <c r="D4825" s="1" t="s">
        <v>738</v>
      </c>
      <c r="E4825" s="1" t="s">
        <v>6076</v>
      </c>
      <c r="F4825" s="1" t="s">
        <v>6076</v>
      </c>
      <c r="G4825" s="1" t="s">
        <v>9700</v>
      </c>
      <c r="H4825">
        <v>2003</v>
      </c>
      <c r="I4825">
        <v>2006</v>
      </c>
      <c r="J4825">
        <f t="shared" si="150"/>
        <v>4</v>
      </c>
      <c r="K4825" s="1" t="s">
        <v>6076</v>
      </c>
      <c r="L4825" s="1" t="s">
        <v>6076</v>
      </c>
      <c r="M4825">
        <f t="shared" si="151"/>
        <v>20</v>
      </c>
      <c r="N4825" t="s">
        <v>640</v>
      </c>
    </row>
    <row r="4826" spans="1:14" x14ac:dyDescent="0.3">
      <c r="A4826" s="1" t="s">
        <v>9703</v>
      </c>
      <c r="B4826" s="1" t="s">
        <v>12756</v>
      </c>
      <c r="C4826" s="1" t="s">
        <v>9704</v>
      </c>
      <c r="D4826" s="1" t="s">
        <v>738</v>
      </c>
      <c r="E4826" s="1" t="s">
        <v>6076</v>
      </c>
      <c r="F4826" s="1" t="s">
        <v>6076</v>
      </c>
      <c r="G4826" s="1" t="s">
        <v>9700</v>
      </c>
      <c r="H4826">
        <v>2004</v>
      </c>
      <c r="I4826">
        <v>2010</v>
      </c>
      <c r="J4826">
        <f t="shared" si="150"/>
        <v>7</v>
      </c>
      <c r="K4826" s="1" t="s">
        <v>6076</v>
      </c>
      <c r="L4826" s="1" t="s">
        <v>6076</v>
      </c>
      <c r="M4826">
        <f t="shared" si="151"/>
        <v>16</v>
      </c>
      <c r="N4826" t="s">
        <v>650</v>
      </c>
    </row>
    <row r="4827" spans="1:14" x14ac:dyDescent="0.3">
      <c r="A4827" s="1" t="s">
        <v>9705</v>
      </c>
      <c r="B4827" s="1" t="s">
        <v>12756</v>
      </c>
      <c r="C4827" s="1" t="s">
        <v>9706</v>
      </c>
      <c r="D4827" s="1" t="s">
        <v>738</v>
      </c>
      <c r="E4827" s="1" t="s">
        <v>6076</v>
      </c>
      <c r="F4827" s="1" t="s">
        <v>6076</v>
      </c>
      <c r="G4827" s="1" t="s">
        <v>9700</v>
      </c>
      <c r="H4827">
        <v>2008</v>
      </c>
      <c r="I4827">
        <v>2009</v>
      </c>
      <c r="J4827">
        <f t="shared" si="150"/>
        <v>2</v>
      </c>
      <c r="K4827" s="1" t="s">
        <v>6076</v>
      </c>
      <c r="L4827" s="1" t="s">
        <v>6076</v>
      </c>
      <c r="M4827">
        <f t="shared" si="151"/>
        <v>17</v>
      </c>
      <c r="N4827" t="s">
        <v>640</v>
      </c>
    </row>
    <row r="4828" spans="1:14" x14ac:dyDescent="0.3">
      <c r="A4828" s="1" t="s">
        <v>9707</v>
      </c>
      <c r="B4828" s="1" t="s">
        <v>12756</v>
      </c>
      <c r="C4828" s="1" t="s">
        <v>9708</v>
      </c>
      <c r="D4828" s="1" t="s">
        <v>738</v>
      </c>
      <c r="E4828" s="1" t="s">
        <v>6076</v>
      </c>
      <c r="F4828" s="1" t="s">
        <v>6076</v>
      </c>
      <c r="G4828" s="1" t="s">
        <v>9700</v>
      </c>
      <c r="H4828">
        <v>2005</v>
      </c>
      <c r="I4828">
        <v>2010</v>
      </c>
      <c r="J4828">
        <f t="shared" si="150"/>
        <v>6</v>
      </c>
      <c r="K4828" s="1" t="s">
        <v>6076</v>
      </c>
      <c r="L4828" s="1" t="s">
        <v>6076</v>
      </c>
      <c r="M4828">
        <f t="shared" si="151"/>
        <v>16</v>
      </c>
      <c r="N4828" t="s">
        <v>650</v>
      </c>
    </row>
    <row r="4829" spans="1:14" x14ac:dyDescent="0.3">
      <c r="A4829" s="1" t="s">
        <v>9709</v>
      </c>
      <c r="B4829" s="1" t="s">
        <v>12756</v>
      </c>
      <c r="C4829" s="1" t="s">
        <v>9710</v>
      </c>
      <c r="D4829" s="1" t="s">
        <v>738</v>
      </c>
      <c r="E4829" s="1" t="s">
        <v>6076</v>
      </c>
      <c r="F4829" s="1" t="s">
        <v>6076</v>
      </c>
      <c r="G4829" s="1" t="s">
        <v>9700</v>
      </c>
      <c r="H4829">
        <v>2005</v>
      </c>
      <c r="I4829">
        <v>2011</v>
      </c>
      <c r="J4829">
        <f t="shared" si="150"/>
        <v>7</v>
      </c>
      <c r="K4829" s="1" t="s">
        <v>6076</v>
      </c>
      <c r="L4829" s="1" t="s">
        <v>6076</v>
      </c>
      <c r="M4829">
        <f t="shared" si="151"/>
        <v>15</v>
      </c>
      <c r="N4829" t="s">
        <v>650</v>
      </c>
    </row>
    <row r="4830" spans="1:14" x14ac:dyDescent="0.3">
      <c r="A4830" s="1" t="s">
        <v>9711</v>
      </c>
      <c r="B4830" s="1" t="s">
        <v>12756</v>
      </c>
      <c r="C4830" s="1" t="s">
        <v>9712</v>
      </c>
      <c r="D4830" s="1" t="s">
        <v>738</v>
      </c>
      <c r="E4830" s="1" t="s">
        <v>6076</v>
      </c>
      <c r="F4830" s="1" t="s">
        <v>6076</v>
      </c>
      <c r="G4830" s="1" t="s">
        <v>9700</v>
      </c>
      <c r="H4830">
        <v>2004</v>
      </c>
      <c r="I4830">
        <v>2006</v>
      </c>
      <c r="J4830">
        <f t="shared" si="150"/>
        <v>3</v>
      </c>
      <c r="K4830" s="1" t="s">
        <v>6076</v>
      </c>
      <c r="L4830" s="1" t="s">
        <v>6076</v>
      </c>
      <c r="M4830">
        <f t="shared" si="151"/>
        <v>20</v>
      </c>
      <c r="N4830" t="s">
        <v>640</v>
      </c>
    </row>
    <row r="4831" spans="1:14" x14ac:dyDescent="0.3">
      <c r="A4831" s="1" t="s">
        <v>9713</v>
      </c>
      <c r="B4831" s="1" t="s">
        <v>12756</v>
      </c>
      <c r="C4831" s="1" t="s">
        <v>9714</v>
      </c>
      <c r="D4831" s="1" t="s">
        <v>738</v>
      </c>
      <c r="E4831" s="1" t="s">
        <v>6076</v>
      </c>
      <c r="F4831" s="1" t="s">
        <v>6076</v>
      </c>
      <c r="G4831" s="1" t="s">
        <v>9700</v>
      </c>
      <c r="H4831">
        <v>2004</v>
      </c>
      <c r="I4831">
        <v>2008</v>
      </c>
      <c r="J4831">
        <f t="shared" si="150"/>
        <v>5</v>
      </c>
      <c r="K4831" s="1" t="s">
        <v>6076</v>
      </c>
      <c r="L4831" s="1" t="s">
        <v>6076</v>
      </c>
      <c r="M4831">
        <f t="shared" si="151"/>
        <v>18</v>
      </c>
      <c r="N4831" t="s">
        <v>640</v>
      </c>
    </row>
    <row r="4832" spans="1:14" x14ac:dyDescent="0.3">
      <c r="A4832" s="1" t="s">
        <v>9715</v>
      </c>
      <c r="B4832" s="1" t="s">
        <v>12756</v>
      </c>
      <c r="C4832" s="1" t="s">
        <v>9716</v>
      </c>
      <c r="D4832" s="1" t="s">
        <v>738</v>
      </c>
      <c r="E4832" s="1" t="s">
        <v>6076</v>
      </c>
      <c r="F4832" s="1" t="s">
        <v>6076</v>
      </c>
      <c r="G4832" s="1" t="s">
        <v>9700</v>
      </c>
      <c r="H4832">
        <v>1999</v>
      </c>
      <c r="I4832">
        <v>2000</v>
      </c>
      <c r="J4832">
        <f t="shared" si="150"/>
        <v>2</v>
      </c>
      <c r="K4832" s="1" t="s">
        <v>6076</v>
      </c>
      <c r="L4832" s="1" t="s">
        <v>6076</v>
      </c>
      <c r="M4832">
        <f t="shared" si="151"/>
        <v>26</v>
      </c>
      <c r="N4832" t="s">
        <v>640</v>
      </c>
    </row>
    <row r="4833" spans="1:14" x14ac:dyDescent="0.3">
      <c r="A4833" s="1" t="s">
        <v>9717</v>
      </c>
      <c r="B4833" s="1" t="s">
        <v>12756</v>
      </c>
      <c r="C4833" s="1" t="s">
        <v>9718</v>
      </c>
      <c r="D4833" s="1" t="s">
        <v>738</v>
      </c>
      <c r="E4833" s="1" t="s">
        <v>6076</v>
      </c>
      <c r="F4833" s="1" t="s">
        <v>6076</v>
      </c>
      <c r="G4833" s="1" t="s">
        <v>9700</v>
      </c>
      <c r="H4833">
        <v>2001</v>
      </c>
      <c r="I4833">
        <v>2003</v>
      </c>
      <c r="J4833">
        <f t="shared" si="150"/>
        <v>3</v>
      </c>
      <c r="K4833" s="1" t="s">
        <v>6076</v>
      </c>
      <c r="L4833" s="1" t="s">
        <v>6076</v>
      </c>
      <c r="M4833">
        <f t="shared" si="151"/>
        <v>23</v>
      </c>
      <c r="N4833" t="s">
        <v>640</v>
      </c>
    </row>
    <row r="4834" spans="1:14" x14ac:dyDescent="0.3">
      <c r="A4834" s="1" t="s">
        <v>9719</v>
      </c>
      <c r="B4834" s="1" t="s">
        <v>12756</v>
      </c>
      <c r="C4834" s="1" t="s">
        <v>9720</v>
      </c>
      <c r="D4834" s="1" t="s">
        <v>738</v>
      </c>
      <c r="E4834" s="1" t="s">
        <v>6076</v>
      </c>
      <c r="F4834" s="1" t="s">
        <v>6076</v>
      </c>
      <c r="G4834" s="1" t="s">
        <v>9700</v>
      </c>
      <c r="H4834">
        <v>2001</v>
      </c>
      <c r="I4834">
        <v>2003</v>
      </c>
      <c r="J4834">
        <f t="shared" si="150"/>
        <v>3</v>
      </c>
      <c r="K4834" s="1" t="s">
        <v>6076</v>
      </c>
      <c r="L4834" s="1" t="s">
        <v>6076</v>
      </c>
      <c r="M4834">
        <f t="shared" si="151"/>
        <v>23</v>
      </c>
      <c r="N4834" t="s">
        <v>640</v>
      </c>
    </row>
    <row r="4835" spans="1:14" x14ac:dyDescent="0.3">
      <c r="A4835" s="1" t="s">
        <v>9721</v>
      </c>
      <c r="B4835" s="1" t="s">
        <v>12756</v>
      </c>
      <c r="C4835" s="1" t="s">
        <v>9722</v>
      </c>
      <c r="D4835" s="1" t="s">
        <v>738</v>
      </c>
      <c r="E4835" s="1" t="s">
        <v>6076</v>
      </c>
      <c r="F4835" s="1" t="s">
        <v>6076</v>
      </c>
      <c r="G4835" s="1" t="s">
        <v>9700</v>
      </c>
      <c r="H4835">
        <v>1999</v>
      </c>
      <c r="I4835">
        <v>2000</v>
      </c>
      <c r="J4835">
        <f t="shared" si="150"/>
        <v>2</v>
      </c>
      <c r="K4835" s="1" t="s">
        <v>6076</v>
      </c>
      <c r="L4835" s="1" t="s">
        <v>6076</v>
      </c>
      <c r="M4835">
        <f t="shared" si="151"/>
        <v>26</v>
      </c>
      <c r="N4835" t="s">
        <v>640</v>
      </c>
    </row>
    <row r="4836" spans="1:14" x14ac:dyDescent="0.3">
      <c r="A4836" s="1" t="s">
        <v>9723</v>
      </c>
      <c r="B4836" s="1" t="s">
        <v>12756</v>
      </c>
      <c r="C4836" s="1" t="s">
        <v>9724</v>
      </c>
      <c r="D4836" s="1" t="s">
        <v>738</v>
      </c>
      <c r="E4836" s="1" t="s">
        <v>6076</v>
      </c>
      <c r="F4836" s="1" t="s">
        <v>6076</v>
      </c>
      <c r="G4836" s="1" t="s">
        <v>9700</v>
      </c>
      <c r="H4836">
        <v>1999</v>
      </c>
      <c r="I4836">
        <v>2001</v>
      </c>
      <c r="J4836">
        <f t="shared" si="150"/>
        <v>3</v>
      </c>
      <c r="K4836" s="1" t="s">
        <v>6076</v>
      </c>
      <c r="L4836" s="1" t="s">
        <v>6076</v>
      </c>
      <c r="M4836">
        <f t="shared" si="151"/>
        <v>25</v>
      </c>
      <c r="N4836" t="s">
        <v>640</v>
      </c>
    </row>
    <row r="4837" spans="1:14" x14ac:dyDescent="0.3">
      <c r="A4837" s="1" t="s">
        <v>9725</v>
      </c>
      <c r="B4837" s="1" t="s">
        <v>12756</v>
      </c>
      <c r="C4837" s="1" t="s">
        <v>9726</v>
      </c>
      <c r="D4837" s="1" t="s">
        <v>738</v>
      </c>
      <c r="E4837" s="1" t="s">
        <v>6076</v>
      </c>
      <c r="F4837" s="1" t="s">
        <v>6076</v>
      </c>
      <c r="G4837" s="1" t="s">
        <v>9700</v>
      </c>
      <c r="H4837">
        <v>2000</v>
      </c>
      <c r="I4837">
        <v>2001</v>
      </c>
      <c r="J4837">
        <f t="shared" si="150"/>
        <v>2</v>
      </c>
      <c r="K4837" s="1" t="s">
        <v>6076</v>
      </c>
      <c r="L4837" s="1" t="s">
        <v>6076</v>
      </c>
      <c r="M4837">
        <f t="shared" si="151"/>
        <v>25</v>
      </c>
      <c r="N4837" t="s">
        <v>640</v>
      </c>
    </row>
    <row r="4838" spans="1:14" x14ac:dyDescent="0.3">
      <c r="A4838" s="1" t="s">
        <v>9727</v>
      </c>
      <c r="B4838" s="1" t="s">
        <v>12756</v>
      </c>
      <c r="C4838" s="1" t="s">
        <v>9728</v>
      </c>
      <c r="D4838" s="1" t="s">
        <v>738</v>
      </c>
      <c r="E4838" s="1" t="s">
        <v>6076</v>
      </c>
      <c r="F4838" s="1" t="s">
        <v>6076</v>
      </c>
      <c r="G4838" s="1" t="s">
        <v>9700</v>
      </c>
      <c r="H4838">
        <v>2001</v>
      </c>
      <c r="I4838">
        <v>2005</v>
      </c>
      <c r="J4838">
        <f t="shared" si="150"/>
        <v>5</v>
      </c>
      <c r="K4838" s="1" t="s">
        <v>6076</v>
      </c>
      <c r="L4838" s="1" t="s">
        <v>6076</v>
      </c>
      <c r="M4838">
        <f t="shared" si="151"/>
        <v>21</v>
      </c>
      <c r="N4838" t="s">
        <v>640</v>
      </c>
    </row>
    <row r="4839" spans="1:14" x14ac:dyDescent="0.3">
      <c r="A4839" s="1" t="s">
        <v>9729</v>
      </c>
      <c r="B4839" s="1" t="s">
        <v>12756</v>
      </c>
      <c r="C4839" s="1" t="s">
        <v>9730</v>
      </c>
      <c r="D4839" s="1" t="s">
        <v>738</v>
      </c>
      <c r="E4839" s="1" t="s">
        <v>6076</v>
      </c>
      <c r="F4839" s="1" t="s">
        <v>6076</v>
      </c>
      <c r="G4839" s="1" t="s">
        <v>9700</v>
      </c>
      <c r="H4839">
        <v>2001</v>
      </c>
      <c r="I4839">
        <v>2009</v>
      </c>
      <c r="J4839">
        <f t="shared" si="150"/>
        <v>9</v>
      </c>
      <c r="K4839" s="1" t="s">
        <v>6076</v>
      </c>
      <c r="L4839" s="1" t="s">
        <v>6076</v>
      </c>
      <c r="M4839">
        <f t="shared" si="151"/>
        <v>17</v>
      </c>
      <c r="N4839" t="s">
        <v>640</v>
      </c>
    </row>
    <row r="4840" spans="1:14" x14ac:dyDescent="0.3">
      <c r="A4840" s="1" t="s">
        <v>9731</v>
      </c>
      <c r="B4840" s="1" t="s">
        <v>12756</v>
      </c>
      <c r="C4840" s="1" t="s">
        <v>9732</v>
      </c>
      <c r="D4840" s="1" t="s">
        <v>738</v>
      </c>
      <c r="E4840" s="1" t="s">
        <v>6076</v>
      </c>
      <c r="F4840" s="1" t="s">
        <v>6076</v>
      </c>
      <c r="G4840" s="1" t="s">
        <v>9700</v>
      </c>
      <c r="H4840">
        <v>2001</v>
      </c>
      <c r="I4840">
        <v>2009</v>
      </c>
      <c r="J4840">
        <f t="shared" si="150"/>
        <v>9</v>
      </c>
      <c r="K4840" s="1" t="s">
        <v>6076</v>
      </c>
      <c r="L4840" s="1" t="s">
        <v>6076</v>
      </c>
      <c r="M4840">
        <f t="shared" si="151"/>
        <v>17</v>
      </c>
      <c r="N4840" t="s">
        <v>640</v>
      </c>
    </row>
    <row r="4841" spans="1:14" x14ac:dyDescent="0.3">
      <c r="A4841" s="1" t="s">
        <v>9733</v>
      </c>
      <c r="B4841" s="1" t="s">
        <v>12756</v>
      </c>
      <c r="C4841" s="1" t="s">
        <v>9734</v>
      </c>
      <c r="D4841" s="1" t="s">
        <v>738</v>
      </c>
      <c r="E4841" s="1" t="s">
        <v>6076</v>
      </c>
      <c r="F4841" s="1" t="s">
        <v>6076</v>
      </c>
      <c r="G4841" s="1" t="s">
        <v>9700</v>
      </c>
      <c r="H4841">
        <v>2006</v>
      </c>
      <c r="I4841">
        <v>2010</v>
      </c>
      <c r="J4841">
        <f t="shared" si="150"/>
        <v>5</v>
      </c>
      <c r="K4841" s="1" t="s">
        <v>6076</v>
      </c>
      <c r="L4841" s="1" t="s">
        <v>6076</v>
      </c>
      <c r="M4841">
        <f t="shared" si="151"/>
        <v>16</v>
      </c>
      <c r="N4841" t="s">
        <v>650</v>
      </c>
    </row>
    <row r="4842" spans="1:14" x14ac:dyDescent="0.3">
      <c r="A4842" s="1" t="s">
        <v>9735</v>
      </c>
      <c r="B4842" s="1" t="s">
        <v>1849</v>
      </c>
      <c r="C4842" s="1" t="s">
        <v>9736</v>
      </c>
      <c r="D4842" s="1" t="s">
        <v>738</v>
      </c>
      <c r="E4842" s="1" t="s">
        <v>6076</v>
      </c>
      <c r="F4842" s="1" t="s">
        <v>6076</v>
      </c>
      <c r="G4842" s="1" t="s">
        <v>9737</v>
      </c>
      <c r="H4842">
        <v>1992</v>
      </c>
      <c r="I4842">
        <v>1995</v>
      </c>
      <c r="J4842">
        <f t="shared" si="150"/>
        <v>4</v>
      </c>
      <c r="K4842" s="1" t="s">
        <v>6076</v>
      </c>
      <c r="L4842" s="1" t="s">
        <v>6076</v>
      </c>
      <c r="M4842">
        <f t="shared" si="151"/>
        <v>31</v>
      </c>
      <c r="N4842" t="s">
        <v>640</v>
      </c>
    </row>
    <row r="4843" spans="1:14" x14ac:dyDescent="0.3">
      <c r="A4843" s="1" t="s">
        <v>9738</v>
      </c>
      <c r="B4843" s="1" t="s">
        <v>4665</v>
      </c>
      <c r="C4843" s="1" t="s">
        <v>9739</v>
      </c>
      <c r="D4843" s="1" t="s">
        <v>1395</v>
      </c>
      <c r="E4843" s="1" t="s">
        <v>6076</v>
      </c>
      <c r="F4843" s="1" t="s">
        <v>6076</v>
      </c>
      <c r="G4843" s="1" t="s">
        <v>9740</v>
      </c>
      <c r="H4843">
        <v>2017</v>
      </c>
      <c r="I4843">
        <v>2020</v>
      </c>
      <c r="J4843">
        <f t="shared" si="150"/>
        <v>4</v>
      </c>
      <c r="K4843" s="1" t="s">
        <v>6076</v>
      </c>
      <c r="L4843" s="1" t="s">
        <v>6076</v>
      </c>
      <c r="M4843">
        <f t="shared" si="151"/>
        <v>6</v>
      </c>
      <c r="N4843" t="s">
        <v>650</v>
      </c>
    </row>
    <row r="4844" spans="1:14" x14ac:dyDescent="0.3">
      <c r="A4844" s="1" t="s">
        <v>9741</v>
      </c>
      <c r="B4844" s="1" t="s">
        <v>4665</v>
      </c>
      <c r="C4844" s="1" t="s">
        <v>9742</v>
      </c>
      <c r="D4844" s="1" t="s">
        <v>1395</v>
      </c>
      <c r="E4844" s="1" t="s">
        <v>6076</v>
      </c>
      <c r="F4844" s="1" t="s">
        <v>6076</v>
      </c>
      <c r="G4844" s="1" t="s">
        <v>9740</v>
      </c>
      <c r="H4844">
        <v>2017</v>
      </c>
      <c r="I4844">
        <v>2020</v>
      </c>
      <c r="J4844">
        <f t="shared" si="150"/>
        <v>4</v>
      </c>
      <c r="K4844" s="1" t="s">
        <v>6076</v>
      </c>
      <c r="L4844" s="1" t="s">
        <v>6076</v>
      </c>
      <c r="M4844">
        <f t="shared" si="151"/>
        <v>6</v>
      </c>
      <c r="N4844" t="s">
        <v>650</v>
      </c>
    </row>
    <row r="4845" spans="1:14" x14ac:dyDescent="0.3">
      <c r="A4845" s="1" t="s">
        <v>9743</v>
      </c>
      <c r="B4845" s="1" t="s">
        <v>4665</v>
      </c>
      <c r="C4845" s="1" t="s">
        <v>9744</v>
      </c>
      <c r="D4845" s="1" t="s">
        <v>1395</v>
      </c>
      <c r="E4845" s="1" t="s">
        <v>6076</v>
      </c>
      <c r="F4845" s="1" t="s">
        <v>6076</v>
      </c>
      <c r="G4845" s="1" t="s">
        <v>9740</v>
      </c>
      <c r="H4845">
        <v>2019</v>
      </c>
      <c r="I4845">
        <v>2022</v>
      </c>
      <c r="J4845">
        <f t="shared" si="150"/>
        <v>4</v>
      </c>
      <c r="K4845" s="1" t="s">
        <v>6076</v>
      </c>
      <c r="L4845" s="1" t="s">
        <v>6076</v>
      </c>
      <c r="M4845">
        <f t="shared" si="151"/>
        <v>4</v>
      </c>
      <c r="N4845" t="s">
        <v>650</v>
      </c>
    </row>
    <row r="4846" spans="1:14" x14ac:dyDescent="0.3">
      <c r="A4846" s="1" t="s">
        <v>9745</v>
      </c>
      <c r="B4846" s="1" t="s">
        <v>4665</v>
      </c>
      <c r="C4846" s="1" t="s">
        <v>9746</v>
      </c>
      <c r="D4846" s="1" t="s">
        <v>1395</v>
      </c>
      <c r="E4846" s="1" t="s">
        <v>6076</v>
      </c>
      <c r="F4846" s="1" t="s">
        <v>6076</v>
      </c>
      <c r="G4846" s="1" t="s">
        <v>9740</v>
      </c>
      <c r="H4846">
        <v>2017</v>
      </c>
      <c r="I4846">
        <v>2019</v>
      </c>
      <c r="J4846">
        <f t="shared" si="150"/>
        <v>3</v>
      </c>
      <c r="K4846" s="1" t="s">
        <v>6076</v>
      </c>
      <c r="L4846" s="1" t="s">
        <v>6076</v>
      </c>
      <c r="M4846">
        <f t="shared" si="151"/>
        <v>7</v>
      </c>
      <c r="N4846" t="s">
        <v>650</v>
      </c>
    </row>
    <row r="4847" spans="1:14" hidden="1" x14ac:dyDescent="0.3">
      <c r="A4847" t="s">
        <v>11383</v>
      </c>
      <c r="B4847" t="s">
        <v>802</v>
      </c>
      <c r="C4847" t="s">
        <v>11384</v>
      </c>
      <c r="E4847" s="1" t="e">
        <v>#N/A</v>
      </c>
      <c r="F4847" s="1" t="e">
        <v>#N/A</v>
      </c>
      <c r="G4847" s="1" t="s">
        <v>12812</v>
      </c>
      <c r="H4847">
        <v>2022</v>
      </c>
      <c r="I4847">
        <v>2026</v>
      </c>
      <c r="J4847">
        <f t="shared" si="150"/>
        <v>5</v>
      </c>
      <c r="K4847" s="1" t="s">
        <v>648</v>
      </c>
      <c r="L4847" s="1" t="s">
        <v>659</v>
      </c>
      <c r="M4847">
        <f t="shared" si="151"/>
        <v>0</v>
      </c>
    </row>
    <row r="4848" spans="1:14" hidden="1" x14ac:dyDescent="0.3">
      <c r="A4848" t="s">
        <v>11385</v>
      </c>
      <c r="B4848" t="s">
        <v>802</v>
      </c>
      <c r="C4848" t="s">
        <v>11386</v>
      </c>
      <c r="E4848" s="1" t="e">
        <v>#N/A</v>
      </c>
      <c r="F4848" s="1" t="e">
        <v>#N/A</v>
      </c>
      <c r="G4848" s="1" t="s">
        <v>12812</v>
      </c>
      <c r="H4848">
        <v>2025</v>
      </c>
      <c r="I4848">
        <v>2026</v>
      </c>
      <c r="J4848">
        <f t="shared" si="150"/>
        <v>2</v>
      </c>
      <c r="K4848" s="1" t="s">
        <v>648</v>
      </c>
      <c r="L4848" s="1" t="s">
        <v>659</v>
      </c>
      <c r="M4848">
        <f t="shared" si="151"/>
        <v>0</v>
      </c>
    </row>
    <row r="4849" spans="1:14" hidden="1" x14ac:dyDescent="0.3">
      <c r="A4849" t="s">
        <v>11387</v>
      </c>
      <c r="B4849" t="s">
        <v>802</v>
      </c>
      <c r="C4849" t="s">
        <v>11388</v>
      </c>
      <c r="E4849" s="1" t="e">
        <v>#N/A</v>
      </c>
      <c r="F4849" s="1" t="e">
        <v>#N/A</v>
      </c>
      <c r="G4849" s="1" t="s">
        <v>12812</v>
      </c>
      <c r="H4849">
        <v>2023</v>
      </c>
      <c r="I4849">
        <v>2026</v>
      </c>
      <c r="J4849">
        <f t="shared" si="150"/>
        <v>4</v>
      </c>
      <c r="K4849" s="1" t="s">
        <v>648</v>
      </c>
      <c r="L4849" s="1" t="s">
        <v>659</v>
      </c>
      <c r="M4849">
        <f t="shared" si="151"/>
        <v>0</v>
      </c>
    </row>
    <row r="4850" spans="1:14" hidden="1" x14ac:dyDescent="0.3">
      <c r="A4850" t="s">
        <v>11389</v>
      </c>
      <c r="B4850" t="s">
        <v>802</v>
      </c>
      <c r="C4850" t="s">
        <v>11390</v>
      </c>
      <c r="E4850" s="1" t="e">
        <v>#N/A</v>
      </c>
      <c r="F4850" s="1" t="e">
        <v>#N/A</v>
      </c>
      <c r="G4850" s="1" t="s">
        <v>12812</v>
      </c>
      <c r="H4850">
        <v>2025</v>
      </c>
      <c r="I4850">
        <v>2026</v>
      </c>
      <c r="J4850">
        <f t="shared" si="150"/>
        <v>2</v>
      </c>
      <c r="K4850" s="1" t="s">
        <v>648</v>
      </c>
      <c r="L4850" s="1" t="s">
        <v>659</v>
      </c>
      <c r="M4850">
        <f t="shared" si="151"/>
        <v>0</v>
      </c>
    </row>
    <row r="4851" spans="1:14" x14ac:dyDescent="0.3">
      <c r="A4851" s="1" t="s">
        <v>9747</v>
      </c>
      <c r="B4851" s="1" t="s">
        <v>5931</v>
      </c>
      <c r="C4851" s="1" t="s">
        <v>9748</v>
      </c>
      <c r="D4851" s="1" t="s">
        <v>738</v>
      </c>
      <c r="E4851" s="1" t="s">
        <v>6076</v>
      </c>
      <c r="F4851" s="1" t="s">
        <v>6076</v>
      </c>
      <c r="G4851" s="1" t="s">
        <v>9748</v>
      </c>
      <c r="H4851">
        <v>1986</v>
      </c>
      <c r="I4851">
        <v>1993</v>
      </c>
      <c r="J4851">
        <f t="shared" si="150"/>
        <v>8</v>
      </c>
      <c r="K4851" s="1" t="s">
        <v>6076</v>
      </c>
      <c r="L4851" s="1" t="s">
        <v>6076</v>
      </c>
      <c r="M4851">
        <f t="shared" si="151"/>
        <v>33</v>
      </c>
    </row>
    <row r="4852" spans="1:14" x14ac:dyDescent="0.3">
      <c r="A4852" t="s">
        <v>11017</v>
      </c>
      <c r="B4852" t="s">
        <v>10996</v>
      </c>
      <c r="C4852" t="s">
        <v>11018</v>
      </c>
      <c r="E4852" s="1" t="s">
        <v>6076</v>
      </c>
      <c r="F4852" s="1" t="s">
        <v>6076</v>
      </c>
      <c r="G4852" s="1" t="s">
        <v>12778</v>
      </c>
      <c r="H4852">
        <v>2024</v>
      </c>
      <c r="I4852">
        <v>2026</v>
      </c>
      <c r="J4852">
        <f t="shared" si="150"/>
        <v>3</v>
      </c>
      <c r="K4852" s="1" t="s">
        <v>6076</v>
      </c>
      <c r="L4852" s="1" t="s">
        <v>6076</v>
      </c>
      <c r="M4852">
        <f t="shared" si="151"/>
        <v>0</v>
      </c>
    </row>
    <row r="4853" spans="1:14" x14ac:dyDescent="0.3">
      <c r="A4853" t="s">
        <v>11165</v>
      </c>
      <c r="B4853" t="s">
        <v>10997</v>
      </c>
      <c r="C4853" t="s">
        <v>11166</v>
      </c>
      <c r="E4853" s="1" t="s">
        <v>6076</v>
      </c>
      <c r="F4853" s="1" t="s">
        <v>6076</v>
      </c>
      <c r="G4853" s="1" t="s">
        <v>12795</v>
      </c>
      <c r="H4853">
        <v>2001</v>
      </c>
      <c r="I4853">
        <v>2003</v>
      </c>
      <c r="J4853">
        <f t="shared" si="150"/>
        <v>3</v>
      </c>
      <c r="K4853" s="1" t="s">
        <v>6076</v>
      </c>
      <c r="L4853" s="1" t="s">
        <v>6076</v>
      </c>
      <c r="M4853">
        <f t="shared" si="151"/>
        <v>23</v>
      </c>
    </row>
    <row r="4854" spans="1:14" hidden="1" x14ac:dyDescent="0.3">
      <c r="A4854" s="1" t="s">
        <v>3005</v>
      </c>
      <c r="B4854" s="1" t="s">
        <v>2154</v>
      </c>
      <c r="C4854" s="1" t="s">
        <v>3006</v>
      </c>
      <c r="D4854" s="1" t="s">
        <v>738</v>
      </c>
      <c r="E4854" s="1" t="s">
        <v>739</v>
      </c>
      <c r="F4854" s="1" t="s">
        <v>781</v>
      </c>
      <c r="G4854" s="1" t="s">
        <v>3007</v>
      </c>
      <c r="H4854">
        <v>2012</v>
      </c>
      <c r="I4854">
        <v>2012</v>
      </c>
      <c r="J4854">
        <f t="shared" si="150"/>
        <v>1</v>
      </c>
      <c r="K4854" s="1" t="s">
        <v>741</v>
      </c>
      <c r="L4854" s="1" t="s">
        <v>666</v>
      </c>
      <c r="M4854">
        <f t="shared" si="151"/>
        <v>14</v>
      </c>
      <c r="N4854" t="s">
        <v>650</v>
      </c>
    </row>
    <row r="4855" spans="1:14" hidden="1" x14ac:dyDescent="0.3">
      <c r="A4855" s="1" t="s">
        <v>3008</v>
      </c>
      <c r="B4855" s="1" t="s">
        <v>2154</v>
      </c>
      <c r="C4855" s="1" t="s">
        <v>3009</v>
      </c>
      <c r="D4855" s="1" t="s">
        <v>738</v>
      </c>
      <c r="E4855" s="1" t="s">
        <v>739</v>
      </c>
      <c r="F4855" s="1" t="s">
        <v>781</v>
      </c>
      <c r="G4855" s="1" t="s">
        <v>3007</v>
      </c>
      <c r="H4855">
        <v>2008</v>
      </c>
      <c r="I4855">
        <v>2013</v>
      </c>
      <c r="J4855">
        <f t="shared" si="150"/>
        <v>6</v>
      </c>
      <c r="K4855" s="1" t="s">
        <v>741</v>
      </c>
      <c r="L4855" s="1" t="s">
        <v>666</v>
      </c>
      <c r="M4855">
        <f t="shared" si="151"/>
        <v>13</v>
      </c>
      <c r="N4855" t="s">
        <v>650</v>
      </c>
    </row>
    <row r="4856" spans="1:14" hidden="1" x14ac:dyDescent="0.3">
      <c r="A4856" t="s">
        <v>12124</v>
      </c>
      <c r="B4856" t="s">
        <v>2154</v>
      </c>
      <c r="C4856" t="s">
        <v>12125</v>
      </c>
      <c r="E4856" s="1" t="e">
        <v>#N/A</v>
      </c>
      <c r="F4856" s="1" t="e">
        <v>#N/A</v>
      </c>
      <c r="G4856" s="1" t="s">
        <v>12871</v>
      </c>
      <c r="H4856">
        <v>2023</v>
      </c>
      <c r="I4856">
        <v>2026</v>
      </c>
      <c r="J4856">
        <f t="shared" si="150"/>
        <v>4</v>
      </c>
      <c r="K4856" s="1" t="s">
        <v>3665</v>
      </c>
      <c r="L4856" s="1" t="s">
        <v>649</v>
      </c>
      <c r="M4856">
        <f t="shared" si="151"/>
        <v>0</v>
      </c>
    </row>
    <row r="4857" spans="1:14" hidden="1" x14ac:dyDescent="0.3">
      <c r="A4857" t="s">
        <v>12126</v>
      </c>
      <c r="B4857" t="s">
        <v>2154</v>
      </c>
      <c r="C4857" t="s">
        <v>12127</v>
      </c>
      <c r="E4857" s="1" t="e">
        <v>#N/A</v>
      </c>
      <c r="F4857" s="1" t="e">
        <v>#N/A</v>
      </c>
      <c r="G4857" s="1" t="s">
        <v>12871</v>
      </c>
      <c r="H4857">
        <v>2023</v>
      </c>
      <c r="I4857">
        <v>2026</v>
      </c>
      <c r="J4857">
        <f t="shared" si="150"/>
        <v>4</v>
      </c>
      <c r="K4857" s="1" t="s">
        <v>3665</v>
      </c>
      <c r="L4857" s="1" t="s">
        <v>649</v>
      </c>
      <c r="M4857">
        <f t="shared" si="151"/>
        <v>0</v>
      </c>
    </row>
    <row r="4858" spans="1:14" hidden="1" x14ac:dyDescent="0.3">
      <c r="A4858" t="s">
        <v>12128</v>
      </c>
      <c r="B4858" t="s">
        <v>2154</v>
      </c>
      <c r="C4858" t="s">
        <v>12129</v>
      </c>
      <c r="E4858" s="1" t="e">
        <v>#N/A</v>
      </c>
      <c r="F4858" s="1" t="e">
        <v>#N/A</v>
      </c>
      <c r="G4858" s="1" t="s">
        <v>12871</v>
      </c>
      <c r="H4858">
        <v>2023</v>
      </c>
      <c r="I4858">
        <v>2026</v>
      </c>
      <c r="J4858">
        <f t="shared" si="150"/>
        <v>4</v>
      </c>
      <c r="K4858" s="1" t="s">
        <v>3665</v>
      </c>
      <c r="L4858" s="1" t="s">
        <v>649</v>
      </c>
      <c r="M4858">
        <f t="shared" si="151"/>
        <v>0</v>
      </c>
    </row>
    <row r="4859" spans="1:14" x14ac:dyDescent="0.3">
      <c r="A4859" s="1" t="s">
        <v>9749</v>
      </c>
      <c r="B4859" s="1" t="s">
        <v>2154</v>
      </c>
      <c r="C4859" s="1" t="s">
        <v>9750</v>
      </c>
      <c r="D4859" s="1" t="s">
        <v>738</v>
      </c>
      <c r="E4859" s="1" t="s">
        <v>6076</v>
      </c>
      <c r="F4859" s="1" t="s">
        <v>6076</v>
      </c>
      <c r="G4859" s="1" t="s">
        <v>3007</v>
      </c>
      <c r="H4859">
        <v>1995</v>
      </c>
      <c r="I4859">
        <v>1995</v>
      </c>
      <c r="J4859">
        <f t="shared" si="150"/>
        <v>1</v>
      </c>
      <c r="K4859" s="1" t="s">
        <v>6076</v>
      </c>
      <c r="L4859" s="1" t="s">
        <v>6076</v>
      </c>
      <c r="M4859">
        <f t="shared" si="151"/>
        <v>31</v>
      </c>
      <c r="N4859" t="s">
        <v>640</v>
      </c>
    </row>
    <row r="4860" spans="1:14" x14ac:dyDescent="0.3">
      <c r="A4860" s="1" t="s">
        <v>9751</v>
      </c>
      <c r="B4860" s="1" t="s">
        <v>2154</v>
      </c>
      <c r="C4860" s="1" t="s">
        <v>9752</v>
      </c>
      <c r="D4860" s="1" t="s">
        <v>738</v>
      </c>
      <c r="E4860" s="1" t="s">
        <v>6076</v>
      </c>
      <c r="F4860" s="1" t="s">
        <v>6076</v>
      </c>
      <c r="G4860" s="1" t="s">
        <v>3007</v>
      </c>
      <c r="H4860">
        <v>1991</v>
      </c>
      <c r="I4860">
        <v>1996</v>
      </c>
      <c r="J4860">
        <f t="shared" si="150"/>
        <v>6</v>
      </c>
      <c r="K4860" s="1" t="s">
        <v>6076</v>
      </c>
      <c r="L4860" s="1" t="s">
        <v>6076</v>
      </c>
      <c r="M4860">
        <f t="shared" si="151"/>
        <v>30</v>
      </c>
      <c r="N4860" t="s">
        <v>640</v>
      </c>
    </row>
    <row r="4861" spans="1:14" x14ac:dyDescent="0.3">
      <c r="A4861" s="1" t="s">
        <v>9753</v>
      </c>
      <c r="B4861" s="1" t="s">
        <v>2154</v>
      </c>
      <c r="C4861" s="1" t="s">
        <v>9754</v>
      </c>
      <c r="D4861" s="1" t="s">
        <v>738</v>
      </c>
      <c r="E4861" s="1" t="s">
        <v>6076</v>
      </c>
      <c r="F4861" s="1" t="s">
        <v>6076</v>
      </c>
      <c r="G4861" s="1" t="s">
        <v>3007</v>
      </c>
      <c r="H4861">
        <v>1991</v>
      </c>
      <c r="I4861">
        <v>2007</v>
      </c>
      <c r="J4861">
        <f t="shared" si="150"/>
        <v>17</v>
      </c>
      <c r="K4861" s="1" t="s">
        <v>6076</v>
      </c>
      <c r="L4861" s="1" t="s">
        <v>6076</v>
      </c>
      <c r="M4861">
        <f t="shared" si="151"/>
        <v>19</v>
      </c>
      <c r="N4861" t="s">
        <v>650</v>
      </c>
    </row>
    <row r="4862" spans="1:14" hidden="1" x14ac:dyDescent="0.3">
      <c r="A4862" s="1" t="s">
        <v>3010</v>
      </c>
      <c r="B4862" s="1" t="s">
        <v>2154</v>
      </c>
      <c r="C4862" s="1" t="s">
        <v>3011</v>
      </c>
      <c r="D4862" s="1" t="s">
        <v>738</v>
      </c>
      <c r="E4862" s="1" t="s">
        <v>739</v>
      </c>
      <c r="F4862" s="1" t="s">
        <v>781</v>
      </c>
      <c r="G4862" s="1" t="s">
        <v>3007</v>
      </c>
      <c r="H4862">
        <v>2017</v>
      </c>
      <c r="I4862">
        <v>2022</v>
      </c>
      <c r="J4862">
        <f t="shared" si="150"/>
        <v>6</v>
      </c>
      <c r="K4862" s="1" t="s">
        <v>741</v>
      </c>
      <c r="L4862" s="1" t="s">
        <v>666</v>
      </c>
      <c r="M4862">
        <f t="shared" si="151"/>
        <v>4</v>
      </c>
      <c r="N4862" t="s">
        <v>650</v>
      </c>
    </row>
    <row r="4863" spans="1:14" hidden="1" x14ac:dyDescent="0.3">
      <c r="A4863" s="1" t="s">
        <v>3012</v>
      </c>
      <c r="B4863" s="1" t="s">
        <v>2154</v>
      </c>
      <c r="C4863" s="1" t="s">
        <v>3013</v>
      </c>
      <c r="D4863" s="1" t="s">
        <v>738</v>
      </c>
      <c r="E4863" s="1" t="s">
        <v>739</v>
      </c>
      <c r="F4863" s="1" t="s">
        <v>781</v>
      </c>
      <c r="G4863" s="1" t="s">
        <v>3007</v>
      </c>
      <c r="H4863">
        <v>2007</v>
      </c>
      <c r="I4863">
        <v>2013</v>
      </c>
      <c r="J4863">
        <f t="shared" si="150"/>
        <v>7</v>
      </c>
      <c r="K4863" s="1" t="s">
        <v>741</v>
      </c>
      <c r="L4863" s="1" t="s">
        <v>666</v>
      </c>
      <c r="M4863">
        <f t="shared" si="151"/>
        <v>13</v>
      </c>
      <c r="N4863" t="s">
        <v>650</v>
      </c>
    </row>
    <row r="4864" spans="1:14" hidden="1" x14ac:dyDescent="0.3">
      <c r="A4864" s="1" t="s">
        <v>3014</v>
      </c>
      <c r="B4864" s="1" t="s">
        <v>2154</v>
      </c>
      <c r="C4864" s="1" t="s">
        <v>3015</v>
      </c>
      <c r="D4864" s="1" t="s">
        <v>738</v>
      </c>
      <c r="E4864" s="1" t="s">
        <v>739</v>
      </c>
      <c r="F4864" s="1" t="s">
        <v>781</v>
      </c>
      <c r="G4864" s="1" t="s">
        <v>3007</v>
      </c>
      <c r="H4864">
        <v>2007</v>
      </c>
      <c r="I4864">
        <v>2016</v>
      </c>
      <c r="J4864">
        <f t="shared" si="150"/>
        <v>10</v>
      </c>
      <c r="K4864" s="1" t="s">
        <v>741</v>
      </c>
      <c r="L4864" s="1" t="s">
        <v>666</v>
      </c>
      <c r="M4864">
        <f t="shared" si="151"/>
        <v>10</v>
      </c>
      <c r="N4864" t="s">
        <v>650</v>
      </c>
    </row>
    <row r="4865" spans="1:14" hidden="1" x14ac:dyDescent="0.3">
      <c r="A4865" s="1" t="s">
        <v>3016</v>
      </c>
      <c r="B4865" s="1" t="s">
        <v>2154</v>
      </c>
      <c r="C4865" s="1" t="s">
        <v>3017</v>
      </c>
      <c r="D4865" s="1" t="s">
        <v>738</v>
      </c>
      <c r="E4865" s="1" t="s">
        <v>739</v>
      </c>
      <c r="F4865" s="1" t="s">
        <v>781</v>
      </c>
      <c r="G4865" s="1" t="s">
        <v>3007</v>
      </c>
      <c r="H4865">
        <v>2013</v>
      </c>
      <c r="I4865">
        <v>2013</v>
      </c>
      <c r="J4865">
        <f t="shared" si="150"/>
        <v>1</v>
      </c>
      <c r="K4865" s="1" t="s">
        <v>741</v>
      </c>
      <c r="L4865" s="1" t="s">
        <v>666</v>
      </c>
      <c r="M4865">
        <f t="shared" si="151"/>
        <v>13</v>
      </c>
      <c r="N4865" t="s">
        <v>650</v>
      </c>
    </row>
    <row r="4866" spans="1:14" hidden="1" x14ac:dyDescent="0.3">
      <c r="A4866" s="1" t="s">
        <v>3018</v>
      </c>
      <c r="B4866" s="1" t="s">
        <v>2154</v>
      </c>
      <c r="C4866" s="1" t="s">
        <v>3019</v>
      </c>
      <c r="D4866" s="1" t="s">
        <v>738</v>
      </c>
      <c r="E4866" s="1" t="s">
        <v>739</v>
      </c>
      <c r="F4866" s="1" t="s">
        <v>781</v>
      </c>
      <c r="G4866" s="1" t="s">
        <v>3007</v>
      </c>
      <c r="H4866">
        <v>2017</v>
      </c>
      <c r="I4866">
        <v>2022</v>
      </c>
      <c r="J4866">
        <f t="shared" si="150"/>
        <v>6</v>
      </c>
      <c r="K4866" s="1" t="s">
        <v>741</v>
      </c>
      <c r="L4866" s="1" t="s">
        <v>666</v>
      </c>
      <c r="M4866">
        <f t="shared" si="151"/>
        <v>4</v>
      </c>
      <c r="N4866" t="s">
        <v>650</v>
      </c>
    </row>
    <row r="4867" spans="1:14" hidden="1" x14ac:dyDescent="0.3">
      <c r="A4867" s="1" t="s">
        <v>3020</v>
      </c>
      <c r="B4867" s="1" t="s">
        <v>2154</v>
      </c>
      <c r="C4867" s="1" t="s">
        <v>3021</v>
      </c>
      <c r="D4867" s="1" t="s">
        <v>738</v>
      </c>
      <c r="E4867" s="1" t="s">
        <v>739</v>
      </c>
      <c r="F4867" s="1" t="s">
        <v>781</v>
      </c>
      <c r="G4867" s="1" t="s">
        <v>3007</v>
      </c>
      <c r="H4867">
        <v>2008</v>
      </c>
      <c r="I4867">
        <v>2013</v>
      </c>
      <c r="J4867">
        <f t="shared" si="150"/>
        <v>6</v>
      </c>
      <c r="K4867" s="1" t="s">
        <v>741</v>
      </c>
      <c r="L4867" s="1" t="s">
        <v>666</v>
      </c>
      <c r="M4867">
        <f t="shared" si="151"/>
        <v>13</v>
      </c>
      <c r="N4867" t="s">
        <v>650</v>
      </c>
    </row>
    <row r="4868" spans="1:14" hidden="1" x14ac:dyDescent="0.3">
      <c r="A4868" s="1" t="s">
        <v>3022</v>
      </c>
      <c r="B4868" s="1" t="s">
        <v>2154</v>
      </c>
      <c r="C4868" s="1" t="s">
        <v>3023</v>
      </c>
      <c r="D4868" s="1" t="s">
        <v>738</v>
      </c>
      <c r="E4868" s="1" t="s">
        <v>739</v>
      </c>
      <c r="F4868" s="1" t="s">
        <v>781</v>
      </c>
      <c r="G4868" s="1" t="s">
        <v>3007</v>
      </c>
      <c r="H4868">
        <v>2012</v>
      </c>
      <c r="I4868">
        <v>2012</v>
      </c>
      <c r="J4868">
        <f t="shared" si="150"/>
        <v>1</v>
      </c>
      <c r="K4868" s="1" t="s">
        <v>741</v>
      </c>
      <c r="L4868" s="1" t="s">
        <v>666</v>
      </c>
      <c r="M4868">
        <f t="shared" si="151"/>
        <v>14</v>
      </c>
      <c r="N4868" t="s">
        <v>650</v>
      </c>
    </row>
    <row r="4869" spans="1:14" hidden="1" x14ac:dyDescent="0.3">
      <c r="A4869" s="1" t="s">
        <v>3024</v>
      </c>
      <c r="B4869" s="1" t="s">
        <v>2154</v>
      </c>
      <c r="C4869" s="1" t="s">
        <v>3025</v>
      </c>
      <c r="D4869" s="1" t="s">
        <v>738</v>
      </c>
      <c r="E4869" s="1" t="s">
        <v>739</v>
      </c>
      <c r="F4869" s="1" t="s">
        <v>781</v>
      </c>
      <c r="G4869" s="1" t="s">
        <v>3007</v>
      </c>
      <c r="H4869">
        <v>2012</v>
      </c>
      <c r="I4869">
        <v>2012</v>
      </c>
      <c r="J4869">
        <f t="shared" si="150"/>
        <v>1</v>
      </c>
      <c r="K4869" s="1" t="s">
        <v>741</v>
      </c>
      <c r="L4869" s="1" t="s">
        <v>666</v>
      </c>
      <c r="M4869">
        <f t="shared" si="151"/>
        <v>14</v>
      </c>
      <c r="N4869" t="s">
        <v>650</v>
      </c>
    </row>
    <row r="4870" spans="1:14" hidden="1" x14ac:dyDescent="0.3">
      <c r="A4870" s="1" t="s">
        <v>3026</v>
      </c>
      <c r="B4870" s="1" t="s">
        <v>2154</v>
      </c>
      <c r="C4870" s="1" t="s">
        <v>3027</v>
      </c>
      <c r="D4870" s="1" t="s">
        <v>738</v>
      </c>
      <c r="E4870" s="1" t="s">
        <v>739</v>
      </c>
      <c r="F4870" s="1" t="s">
        <v>781</v>
      </c>
      <c r="G4870" s="1" t="s">
        <v>3007</v>
      </c>
      <c r="H4870">
        <v>2014</v>
      </c>
      <c r="I4870">
        <v>2022</v>
      </c>
      <c r="J4870">
        <f t="shared" ref="J4870:J4933" si="152">1+(I4870-H4870)</f>
        <v>9</v>
      </c>
      <c r="K4870" s="1" t="s">
        <v>741</v>
      </c>
      <c r="L4870" s="1" t="s">
        <v>666</v>
      </c>
      <c r="M4870">
        <f t="shared" ref="M4870:M4933" si="153">IF(I4870=0,0,$B$2-I4870)</f>
        <v>4</v>
      </c>
      <c r="N4870" t="s">
        <v>650</v>
      </c>
    </row>
    <row r="4871" spans="1:14" hidden="1" x14ac:dyDescent="0.3">
      <c r="A4871" s="1" t="s">
        <v>3028</v>
      </c>
      <c r="B4871" s="1" t="s">
        <v>2154</v>
      </c>
      <c r="C4871" s="1" t="s">
        <v>3029</v>
      </c>
      <c r="D4871" s="1" t="s">
        <v>738</v>
      </c>
      <c r="E4871" s="1" t="s">
        <v>739</v>
      </c>
      <c r="F4871" s="1" t="s">
        <v>781</v>
      </c>
      <c r="G4871" s="1" t="s">
        <v>3007</v>
      </c>
      <c r="H4871">
        <v>2012</v>
      </c>
      <c r="I4871">
        <v>2016</v>
      </c>
      <c r="J4871">
        <f t="shared" si="152"/>
        <v>5</v>
      </c>
      <c r="K4871" s="1" t="s">
        <v>741</v>
      </c>
      <c r="L4871" s="1" t="s">
        <v>666</v>
      </c>
      <c r="M4871">
        <f t="shared" si="153"/>
        <v>10</v>
      </c>
      <c r="N4871" t="s">
        <v>650</v>
      </c>
    </row>
    <row r="4872" spans="1:14" x14ac:dyDescent="0.3">
      <c r="A4872" s="1" t="s">
        <v>9755</v>
      </c>
      <c r="B4872" s="1" t="s">
        <v>2667</v>
      </c>
      <c r="C4872" s="1" t="s">
        <v>9756</v>
      </c>
      <c r="D4872" s="1" t="s">
        <v>738</v>
      </c>
      <c r="E4872" s="1" t="s">
        <v>6076</v>
      </c>
      <c r="F4872" s="1" t="s">
        <v>6076</v>
      </c>
      <c r="G4872" s="1" t="s">
        <v>9757</v>
      </c>
      <c r="H4872">
        <v>1993</v>
      </c>
      <c r="I4872">
        <v>1998</v>
      </c>
      <c r="J4872">
        <f t="shared" si="152"/>
        <v>6</v>
      </c>
      <c r="K4872" s="1" t="s">
        <v>6076</v>
      </c>
      <c r="L4872" s="1" t="s">
        <v>6076</v>
      </c>
      <c r="M4872">
        <f t="shared" si="153"/>
        <v>28</v>
      </c>
      <c r="N4872" t="s">
        <v>640</v>
      </c>
    </row>
    <row r="4873" spans="1:14" x14ac:dyDescent="0.3">
      <c r="A4873" s="1" t="s">
        <v>9758</v>
      </c>
      <c r="B4873" s="1" t="s">
        <v>2667</v>
      </c>
      <c r="C4873" s="1" t="s">
        <v>9759</v>
      </c>
      <c r="D4873" s="1" t="s">
        <v>738</v>
      </c>
      <c r="E4873" s="1" t="s">
        <v>6076</v>
      </c>
      <c r="F4873" s="1" t="s">
        <v>6076</v>
      </c>
      <c r="G4873" s="1" t="s">
        <v>9757</v>
      </c>
      <c r="H4873">
        <v>1995</v>
      </c>
      <c r="I4873">
        <v>1995</v>
      </c>
      <c r="J4873">
        <f t="shared" si="152"/>
        <v>1</v>
      </c>
      <c r="K4873" s="1" t="s">
        <v>6076</v>
      </c>
      <c r="L4873" s="1" t="s">
        <v>6076</v>
      </c>
      <c r="M4873">
        <f t="shared" si="153"/>
        <v>31</v>
      </c>
      <c r="N4873" t="s">
        <v>640</v>
      </c>
    </row>
    <row r="4874" spans="1:14" x14ac:dyDescent="0.3">
      <c r="A4874" s="1" t="s">
        <v>9760</v>
      </c>
      <c r="B4874" s="1" t="s">
        <v>2667</v>
      </c>
      <c r="C4874" s="1" t="s">
        <v>9761</v>
      </c>
      <c r="D4874" s="1" t="s">
        <v>738</v>
      </c>
      <c r="E4874" s="1" t="s">
        <v>6076</v>
      </c>
      <c r="F4874" s="1" t="s">
        <v>6076</v>
      </c>
      <c r="G4874" s="1" t="s">
        <v>9757</v>
      </c>
      <c r="H4874">
        <v>1993</v>
      </c>
      <c r="I4874">
        <v>1998</v>
      </c>
      <c r="J4874">
        <f t="shared" si="152"/>
        <v>6</v>
      </c>
      <c r="K4874" s="1" t="s">
        <v>6076</v>
      </c>
      <c r="L4874" s="1" t="s">
        <v>6076</v>
      </c>
      <c r="M4874">
        <f t="shared" si="153"/>
        <v>28</v>
      </c>
      <c r="N4874" t="s">
        <v>640</v>
      </c>
    </row>
    <row r="4875" spans="1:14" x14ac:dyDescent="0.3">
      <c r="A4875" s="1" t="s">
        <v>9762</v>
      </c>
      <c r="B4875" s="1" t="s">
        <v>2667</v>
      </c>
      <c r="C4875" s="1" t="s">
        <v>9763</v>
      </c>
      <c r="D4875" s="1" t="s">
        <v>738</v>
      </c>
      <c r="E4875" s="1" t="s">
        <v>6076</v>
      </c>
      <c r="F4875" s="1" t="s">
        <v>6076</v>
      </c>
      <c r="G4875" s="1" t="s">
        <v>9757</v>
      </c>
      <c r="H4875">
        <v>1998</v>
      </c>
      <c r="I4875">
        <v>2000</v>
      </c>
      <c r="J4875">
        <f t="shared" si="152"/>
        <v>3</v>
      </c>
      <c r="K4875" s="1" t="s">
        <v>6076</v>
      </c>
      <c r="L4875" s="1" t="s">
        <v>6076</v>
      </c>
      <c r="M4875">
        <f t="shared" si="153"/>
        <v>26</v>
      </c>
      <c r="N4875" t="s">
        <v>640</v>
      </c>
    </row>
    <row r="4876" spans="1:14" x14ac:dyDescent="0.3">
      <c r="A4876" s="1" t="s">
        <v>9764</v>
      </c>
      <c r="B4876" s="1" t="s">
        <v>2667</v>
      </c>
      <c r="C4876" s="1" t="s">
        <v>9765</v>
      </c>
      <c r="D4876" s="1" t="s">
        <v>738</v>
      </c>
      <c r="E4876" s="1" t="s">
        <v>6076</v>
      </c>
      <c r="F4876" s="1" t="s">
        <v>6076</v>
      </c>
      <c r="G4876" s="1" t="s">
        <v>9757</v>
      </c>
      <c r="H4876">
        <v>1993</v>
      </c>
      <c r="I4876">
        <v>1995</v>
      </c>
      <c r="J4876">
        <f t="shared" si="152"/>
        <v>3</v>
      </c>
      <c r="K4876" s="1" t="s">
        <v>6076</v>
      </c>
      <c r="L4876" s="1" t="s">
        <v>6076</v>
      </c>
      <c r="M4876">
        <f t="shared" si="153"/>
        <v>31</v>
      </c>
      <c r="N4876" t="s">
        <v>640</v>
      </c>
    </row>
    <row r="4877" spans="1:14" x14ac:dyDescent="0.3">
      <c r="A4877" t="s">
        <v>11019</v>
      </c>
      <c r="B4877" t="s">
        <v>10996</v>
      </c>
      <c r="C4877" t="s">
        <v>11020</v>
      </c>
      <c r="E4877" s="1" t="s">
        <v>6076</v>
      </c>
      <c r="F4877" s="1" t="s">
        <v>6076</v>
      </c>
      <c r="G4877" s="1" t="s">
        <v>12779</v>
      </c>
      <c r="H4877">
        <v>2025</v>
      </c>
      <c r="I4877">
        <v>2026</v>
      </c>
      <c r="J4877">
        <f t="shared" si="152"/>
        <v>2</v>
      </c>
      <c r="K4877" s="1" t="s">
        <v>6076</v>
      </c>
      <c r="L4877" s="1" t="s">
        <v>6076</v>
      </c>
      <c r="M4877">
        <f t="shared" si="153"/>
        <v>0</v>
      </c>
    </row>
    <row r="4878" spans="1:14" x14ac:dyDescent="0.3">
      <c r="A4878" s="1" t="s">
        <v>9766</v>
      </c>
      <c r="B4878" s="1" t="s">
        <v>2667</v>
      </c>
      <c r="C4878" s="1" t="s">
        <v>9767</v>
      </c>
      <c r="D4878" s="1" t="s">
        <v>738</v>
      </c>
      <c r="E4878" s="1" t="s">
        <v>6076</v>
      </c>
      <c r="F4878" s="1" t="s">
        <v>6076</v>
      </c>
      <c r="G4878" s="1" t="s">
        <v>9768</v>
      </c>
      <c r="H4878">
        <v>1999</v>
      </c>
      <c r="I4878">
        <v>2000</v>
      </c>
      <c r="J4878">
        <f t="shared" si="152"/>
        <v>2</v>
      </c>
      <c r="K4878" s="1" t="s">
        <v>6076</v>
      </c>
      <c r="L4878" s="1" t="s">
        <v>6076</v>
      </c>
      <c r="M4878">
        <f t="shared" si="153"/>
        <v>26</v>
      </c>
      <c r="N4878" t="s">
        <v>640</v>
      </c>
    </row>
    <row r="4879" spans="1:14" x14ac:dyDescent="0.3">
      <c r="A4879" s="1" t="s">
        <v>9769</v>
      </c>
      <c r="B4879" s="1" t="s">
        <v>2667</v>
      </c>
      <c r="C4879" s="1" t="s">
        <v>9770</v>
      </c>
      <c r="D4879" s="1" t="s">
        <v>738</v>
      </c>
      <c r="E4879" s="1" t="s">
        <v>6076</v>
      </c>
      <c r="F4879" s="1" t="s">
        <v>6076</v>
      </c>
      <c r="G4879" s="1" t="s">
        <v>9768</v>
      </c>
      <c r="H4879">
        <v>1998</v>
      </c>
      <c r="I4879">
        <v>2000</v>
      </c>
      <c r="J4879">
        <f t="shared" si="152"/>
        <v>3</v>
      </c>
      <c r="K4879" s="1" t="s">
        <v>6076</v>
      </c>
      <c r="L4879" s="1" t="s">
        <v>6076</v>
      </c>
      <c r="M4879">
        <f t="shared" si="153"/>
        <v>26</v>
      </c>
      <c r="N4879" t="s">
        <v>640</v>
      </c>
    </row>
    <row r="4880" spans="1:14" x14ac:dyDescent="0.3">
      <c r="A4880" s="1" t="s">
        <v>9771</v>
      </c>
      <c r="B4880" s="1" t="s">
        <v>4665</v>
      </c>
      <c r="C4880" s="1" t="s">
        <v>9772</v>
      </c>
      <c r="D4880" s="1" t="s">
        <v>1242</v>
      </c>
      <c r="E4880" s="1" t="s">
        <v>6076</v>
      </c>
      <c r="F4880" s="1" t="s">
        <v>6076</v>
      </c>
      <c r="G4880" s="1" t="s">
        <v>9773</v>
      </c>
      <c r="H4880">
        <v>1995</v>
      </c>
      <c r="I4880">
        <v>1996</v>
      </c>
      <c r="J4880">
        <f t="shared" si="152"/>
        <v>2</v>
      </c>
      <c r="K4880" s="1" t="s">
        <v>6076</v>
      </c>
      <c r="L4880" s="1" t="s">
        <v>6076</v>
      </c>
      <c r="M4880">
        <f t="shared" si="153"/>
        <v>30</v>
      </c>
      <c r="N4880" t="s">
        <v>640</v>
      </c>
    </row>
    <row r="4881" spans="1:14" x14ac:dyDescent="0.3">
      <c r="A4881" s="1" t="s">
        <v>9774</v>
      </c>
      <c r="B4881" s="1" t="s">
        <v>4665</v>
      </c>
      <c r="C4881" s="1" t="s">
        <v>9775</v>
      </c>
      <c r="D4881" s="1" t="s">
        <v>1242</v>
      </c>
      <c r="E4881" s="1" t="s">
        <v>6076</v>
      </c>
      <c r="F4881" s="1" t="s">
        <v>6076</v>
      </c>
      <c r="G4881" s="1" t="s">
        <v>9773</v>
      </c>
      <c r="H4881">
        <v>1991</v>
      </c>
      <c r="I4881">
        <v>1995</v>
      </c>
      <c r="J4881">
        <f t="shared" si="152"/>
        <v>5</v>
      </c>
      <c r="K4881" s="1" t="s">
        <v>6076</v>
      </c>
      <c r="L4881" s="1" t="s">
        <v>6076</v>
      </c>
      <c r="M4881">
        <f t="shared" si="153"/>
        <v>31</v>
      </c>
      <c r="N4881" t="s">
        <v>640</v>
      </c>
    </row>
    <row r="4882" spans="1:14" hidden="1" x14ac:dyDescent="0.3">
      <c r="A4882" s="1" t="s">
        <v>3030</v>
      </c>
      <c r="B4882" s="1" t="s">
        <v>802</v>
      </c>
      <c r="C4882" s="1" t="s">
        <v>3031</v>
      </c>
      <c r="D4882" s="1" t="s">
        <v>738</v>
      </c>
      <c r="E4882" s="1" t="s">
        <v>739</v>
      </c>
      <c r="F4882" s="1" t="s">
        <v>781</v>
      </c>
      <c r="G4882" s="1" t="s">
        <v>1827</v>
      </c>
      <c r="H4882">
        <v>1999</v>
      </c>
      <c r="I4882">
        <v>1999</v>
      </c>
      <c r="J4882">
        <f t="shared" si="152"/>
        <v>1</v>
      </c>
      <c r="K4882" s="1" t="s">
        <v>741</v>
      </c>
      <c r="L4882" s="1" t="s">
        <v>666</v>
      </c>
      <c r="M4882">
        <f t="shared" si="153"/>
        <v>27</v>
      </c>
      <c r="N4882" t="s">
        <v>640</v>
      </c>
    </row>
    <row r="4883" spans="1:14" hidden="1" x14ac:dyDescent="0.3">
      <c r="A4883" s="1" t="s">
        <v>3032</v>
      </c>
      <c r="B4883" s="1" t="s">
        <v>802</v>
      </c>
      <c r="C4883" s="1" t="s">
        <v>3033</v>
      </c>
      <c r="D4883" s="1" t="s">
        <v>738</v>
      </c>
      <c r="E4883" s="1" t="s">
        <v>739</v>
      </c>
      <c r="F4883" s="1" t="s">
        <v>781</v>
      </c>
      <c r="G4883" s="1" t="s">
        <v>1827</v>
      </c>
      <c r="H4883">
        <v>2001</v>
      </c>
      <c r="I4883">
        <v>2001</v>
      </c>
      <c r="J4883">
        <f t="shared" si="152"/>
        <v>1</v>
      </c>
      <c r="K4883" s="1" t="s">
        <v>741</v>
      </c>
      <c r="L4883" s="1" t="s">
        <v>666</v>
      </c>
      <c r="M4883">
        <f t="shared" si="153"/>
        <v>25</v>
      </c>
      <c r="N4883" t="s">
        <v>640</v>
      </c>
    </row>
    <row r="4884" spans="1:14" hidden="1" x14ac:dyDescent="0.3">
      <c r="A4884" s="1" t="s">
        <v>3034</v>
      </c>
      <c r="B4884" s="1" t="s">
        <v>802</v>
      </c>
      <c r="C4884" s="1" t="s">
        <v>3035</v>
      </c>
      <c r="D4884" s="1" t="s">
        <v>738</v>
      </c>
      <c r="E4884" s="1" t="s">
        <v>739</v>
      </c>
      <c r="F4884" s="1" t="s">
        <v>781</v>
      </c>
      <c r="G4884" s="1" t="s">
        <v>1827</v>
      </c>
      <c r="H4884">
        <v>2003</v>
      </c>
      <c r="I4884">
        <v>2003</v>
      </c>
      <c r="J4884">
        <f t="shared" si="152"/>
        <v>1</v>
      </c>
      <c r="K4884" s="1" t="s">
        <v>741</v>
      </c>
      <c r="L4884" s="1" t="s">
        <v>666</v>
      </c>
      <c r="M4884">
        <f t="shared" si="153"/>
        <v>23</v>
      </c>
      <c r="N4884" t="s">
        <v>650</v>
      </c>
    </row>
    <row r="4885" spans="1:14" hidden="1" x14ac:dyDescent="0.3">
      <c r="A4885" s="1" t="s">
        <v>3036</v>
      </c>
      <c r="B4885" s="1" t="s">
        <v>802</v>
      </c>
      <c r="C4885" s="1" t="s">
        <v>3037</v>
      </c>
      <c r="D4885" s="1" t="s">
        <v>738</v>
      </c>
      <c r="E4885" s="1" t="s">
        <v>739</v>
      </c>
      <c r="F4885" s="1" t="s">
        <v>781</v>
      </c>
      <c r="G4885" s="1" t="s">
        <v>1827</v>
      </c>
      <c r="H4885">
        <v>2011</v>
      </c>
      <c r="I4885">
        <v>2011</v>
      </c>
      <c r="J4885">
        <f t="shared" si="152"/>
        <v>1</v>
      </c>
      <c r="K4885" s="1" t="s">
        <v>741</v>
      </c>
      <c r="L4885" s="1" t="s">
        <v>666</v>
      </c>
      <c r="M4885">
        <f t="shared" si="153"/>
        <v>15</v>
      </c>
      <c r="N4885" t="s">
        <v>650</v>
      </c>
    </row>
    <row r="4886" spans="1:14" hidden="1" x14ac:dyDescent="0.3">
      <c r="A4886" s="1" t="s">
        <v>3038</v>
      </c>
      <c r="B4886" s="1" t="s">
        <v>802</v>
      </c>
      <c r="C4886" s="1" t="s">
        <v>3039</v>
      </c>
      <c r="D4886" s="1" t="s">
        <v>738</v>
      </c>
      <c r="E4886" s="1" t="s">
        <v>739</v>
      </c>
      <c r="F4886" s="1" t="s">
        <v>781</v>
      </c>
      <c r="G4886" s="1" t="s">
        <v>1827</v>
      </c>
      <c r="H4886">
        <v>2011</v>
      </c>
      <c r="I4886">
        <v>2011</v>
      </c>
      <c r="J4886">
        <f t="shared" si="152"/>
        <v>1</v>
      </c>
      <c r="K4886" s="1" t="s">
        <v>741</v>
      </c>
      <c r="L4886" s="1" t="s">
        <v>666</v>
      </c>
      <c r="M4886">
        <f t="shared" si="153"/>
        <v>15</v>
      </c>
      <c r="N4886" t="s">
        <v>650</v>
      </c>
    </row>
    <row r="4887" spans="1:14" hidden="1" x14ac:dyDescent="0.3">
      <c r="A4887" s="1" t="s">
        <v>3040</v>
      </c>
      <c r="B4887" s="1" t="s">
        <v>802</v>
      </c>
      <c r="C4887" s="1" t="s">
        <v>3041</v>
      </c>
      <c r="D4887" s="1" t="s">
        <v>738</v>
      </c>
      <c r="E4887" s="1" t="s">
        <v>739</v>
      </c>
      <c r="F4887" s="1" t="s">
        <v>781</v>
      </c>
      <c r="G4887" s="1" t="s">
        <v>1827</v>
      </c>
      <c r="H4887">
        <v>2007</v>
      </c>
      <c r="I4887">
        <v>2007</v>
      </c>
      <c r="J4887">
        <f t="shared" si="152"/>
        <v>1</v>
      </c>
      <c r="K4887" s="1" t="s">
        <v>741</v>
      </c>
      <c r="L4887" s="1" t="s">
        <v>666</v>
      </c>
      <c r="M4887">
        <f t="shared" si="153"/>
        <v>19</v>
      </c>
      <c r="N4887" t="s">
        <v>650</v>
      </c>
    </row>
    <row r="4888" spans="1:14" hidden="1" x14ac:dyDescent="0.3">
      <c r="A4888" s="1" t="s">
        <v>3042</v>
      </c>
      <c r="B4888" s="1" t="s">
        <v>802</v>
      </c>
      <c r="C4888" s="1" t="s">
        <v>3043</v>
      </c>
      <c r="D4888" s="1" t="s">
        <v>738</v>
      </c>
      <c r="E4888" s="1" t="s">
        <v>739</v>
      </c>
      <c r="F4888" s="1" t="s">
        <v>781</v>
      </c>
      <c r="G4888" s="1" t="s">
        <v>1827</v>
      </c>
      <c r="H4888">
        <v>1999</v>
      </c>
      <c r="I4888">
        <v>1999</v>
      </c>
      <c r="J4888">
        <f t="shared" si="152"/>
        <v>1</v>
      </c>
      <c r="K4888" s="1" t="s">
        <v>741</v>
      </c>
      <c r="L4888" s="1" t="s">
        <v>666</v>
      </c>
      <c r="M4888">
        <f t="shared" si="153"/>
        <v>27</v>
      </c>
      <c r="N4888" t="s">
        <v>640</v>
      </c>
    </row>
    <row r="4889" spans="1:14" hidden="1" x14ac:dyDescent="0.3">
      <c r="A4889" s="1" t="s">
        <v>3044</v>
      </c>
      <c r="B4889" s="1" t="s">
        <v>802</v>
      </c>
      <c r="C4889" s="1" t="s">
        <v>3045</v>
      </c>
      <c r="D4889" s="1" t="s">
        <v>738</v>
      </c>
      <c r="E4889" s="1" t="s">
        <v>739</v>
      </c>
      <c r="F4889" s="1" t="s">
        <v>781</v>
      </c>
      <c r="G4889" s="1" t="s">
        <v>1827</v>
      </c>
      <c r="H4889">
        <v>2010</v>
      </c>
      <c r="I4889">
        <v>2010</v>
      </c>
      <c r="J4889">
        <f t="shared" si="152"/>
        <v>1</v>
      </c>
      <c r="K4889" s="1" t="s">
        <v>741</v>
      </c>
      <c r="L4889" s="1" t="s">
        <v>666</v>
      </c>
      <c r="M4889">
        <f t="shared" si="153"/>
        <v>16</v>
      </c>
      <c r="N4889" t="s">
        <v>650</v>
      </c>
    </row>
    <row r="4890" spans="1:14" hidden="1" x14ac:dyDescent="0.3">
      <c r="A4890" s="1" t="s">
        <v>3046</v>
      </c>
      <c r="B4890" s="1" t="s">
        <v>802</v>
      </c>
      <c r="C4890" s="1" t="s">
        <v>3047</v>
      </c>
      <c r="D4890" s="1" t="s">
        <v>738</v>
      </c>
      <c r="E4890" s="1" t="s">
        <v>739</v>
      </c>
      <c r="F4890" s="1" t="s">
        <v>781</v>
      </c>
      <c r="G4890" s="1" t="s">
        <v>1827</v>
      </c>
      <c r="H4890">
        <v>2011</v>
      </c>
      <c r="I4890">
        <v>2011</v>
      </c>
      <c r="J4890">
        <f t="shared" si="152"/>
        <v>1</v>
      </c>
      <c r="K4890" s="1" t="s">
        <v>741</v>
      </c>
      <c r="L4890" s="1" t="s">
        <v>666</v>
      </c>
      <c r="M4890">
        <f t="shared" si="153"/>
        <v>15</v>
      </c>
      <c r="N4890" t="s">
        <v>650</v>
      </c>
    </row>
    <row r="4891" spans="1:14" hidden="1" x14ac:dyDescent="0.3">
      <c r="A4891" s="1" t="s">
        <v>3048</v>
      </c>
      <c r="B4891" s="1" t="s">
        <v>802</v>
      </c>
      <c r="C4891" s="1" t="s">
        <v>3049</v>
      </c>
      <c r="D4891" s="1" t="s">
        <v>738</v>
      </c>
      <c r="E4891" s="1" t="s">
        <v>739</v>
      </c>
      <c r="F4891" s="1" t="s">
        <v>781</v>
      </c>
      <c r="G4891" s="1" t="s">
        <v>1827</v>
      </c>
      <c r="H4891">
        <v>1997</v>
      </c>
      <c r="I4891">
        <v>1997</v>
      </c>
      <c r="J4891">
        <f t="shared" si="152"/>
        <v>1</v>
      </c>
      <c r="K4891" s="1" t="s">
        <v>741</v>
      </c>
      <c r="L4891" s="1" t="s">
        <v>666</v>
      </c>
      <c r="M4891">
        <f t="shared" si="153"/>
        <v>29</v>
      </c>
      <c r="N4891" t="s">
        <v>640</v>
      </c>
    </row>
    <row r="4892" spans="1:14" hidden="1" x14ac:dyDescent="0.3">
      <c r="A4892" s="1" t="s">
        <v>3050</v>
      </c>
      <c r="B4892" s="1" t="s">
        <v>802</v>
      </c>
      <c r="C4892" s="1" t="s">
        <v>3051</v>
      </c>
      <c r="D4892" s="1" t="s">
        <v>738</v>
      </c>
      <c r="E4892" s="1" t="s">
        <v>739</v>
      </c>
      <c r="F4892" s="1" t="s">
        <v>781</v>
      </c>
      <c r="G4892" s="1" t="s">
        <v>1827</v>
      </c>
      <c r="H4892">
        <v>1998</v>
      </c>
      <c r="I4892">
        <v>1998</v>
      </c>
      <c r="J4892">
        <f t="shared" si="152"/>
        <v>1</v>
      </c>
      <c r="K4892" s="1" t="s">
        <v>741</v>
      </c>
      <c r="L4892" s="1" t="s">
        <v>666</v>
      </c>
      <c r="M4892">
        <f t="shared" si="153"/>
        <v>28</v>
      </c>
      <c r="N4892" t="s">
        <v>640</v>
      </c>
    </row>
    <row r="4893" spans="1:14" hidden="1" x14ac:dyDescent="0.3">
      <c r="A4893" s="1" t="s">
        <v>3052</v>
      </c>
      <c r="B4893" s="1" t="s">
        <v>802</v>
      </c>
      <c r="C4893" s="1" t="s">
        <v>3053</v>
      </c>
      <c r="D4893" s="1" t="s">
        <v>738</v>
      </c>
      <c r="E4893" s="1" t="s">
        <v>739</v>
      </c>
      <c r="F4893" s="1" t="s">
        <v>781</v>
      </c>
      <c r="G4893" s="1" t="s">
        <v>1827</v>
      </c>
      <c r="H4893">
        <v>2010</v>
      </c>
      <c r="I4893">
        <v>2010</v>
      </c>
      <c r="J4893">
        <f t="shared" si="152"/>
        <v>1</v>
      </c>
      <c r="K4893" s="1" t="s">
        <v>741</v>
      </c>
      <c r="L4893" s="1" t="s">
        <v>666</v>
      </c>
      <c r="M4893">
        <f t="shared" si="153"/>
        <v>16</v>
      </c>
      <c r="N4893" t="s">
        <v>650</v>
      </c>
    </row>
    <row r="4894" spans="1:14" hidden="1" x14ac:dyDescent="0.3">
      <c r="A4894" s="1" t="s">
        <v>3054</v>
      </c>
      <c r="B4894" s="1" t="s">
        <v>802</v>
      </c>
      <c r="C4894" s="1" t="s">
        <v>3055</v>
      </c>
      <c r="D4894" s="1" t="s">
        <v>738</v>
      </c>
      <c r="E4894" s="1" t="s">
        <v>739</v>
      </c>
      <c r="F4894" s="1" t="s">
        <v>781</v>
      </c>
      <c r="G4894" s="1" t="s">
        <v>1827</v>
      </c>
      <c r="H4894">
        <v>2011</v>
      </c>
      <c r="I4894">
        <v>2011</v>
      </c>
      <c r="J4894">
        <f t="shared" si="152"/>
        <v>1</v>
      </c>
      <c r="K4894" s="1" t="s">
        <v>741</v>
      </c>
      <c r="L4894" s="1" t="s">
        <v>666</v>
      </c>
      <c r="M4894">
        <f t="shared" si="153"/>
        <v>15</v>
      </c>
      <c r="N4894" t="s">
        <v>650</v>
      </c>
    </row>
    <row r="4895" spans="1:14" hidden="1" x14ac:dyDescent="0.3">
      <c r="A4895" s="1" t="s">
        <v>3056</v>
      </c>
      <c r="B4895" s="1" t="s">
        <v>802</v>
      </c>
      <c r="C4895" s="1" t="s">
        <v>3057</v>
      </c>
      <c r="D4895" s="1" t="s">
        <v>738</v>
      </c>
      <c r="E4895" s="1" t="s">
        <v>739</v>
      </c>
      <c r="F4895" s="1" t="s">
        <v>781</v>
      </c>
      <c r="G4895" s="1" t="s">
        <v>1827</v>
      </c>
      <c r="H4895">
        <v>2001</v>
      </c>
      <c r="I4895">
        <v>2001</v>
      </c>
      <c r="J4895">
        <f t="shared" si="152"/>
        <v>1</v>
      </c>
      <c r="K4895" s="1" t="s">
        <v>741</v>
      </c>
      <c r="L4895" s="1" t="s">
        <v>666</v>
      </c>
      <c r="M4895">
        <f t="shared" si="153"/>
        <v>25</v>
      </c>
      <c r="N4895" t="s">
        <v>640</v>
      </c>
    </row>
    <row r="4896" spans="1:14" hidden="1" x14ac:dyDescent="0.3">
      <c r="A4896" s="1" t="s">
        <v>3058</v>
      </c>
      <c r="B4896" s="1" t="s">
        <v>802</v>
      </c>
      <c r="C4896" s="1" t="s">
        <v>3059</v>
      </c>
      <c r="D4896" s="1" t="s">
        <v>738</v>
      </c>
      <c r="E4896" s="1" t="s">
        <v>739</v>
      </c>
      <c r="F4896" s="1" t="s">
        <v>781</v>
      </c>
      <c r="G4896" s="1" t="s">
        <v>1827</v>
      </c>
      <c r="H4896">
        <v>2003</v>
      </c>
      <c r="I4896">
        <v>2003</v>
      </c>
      <c r="J4896">
        <f t="shared" si="152"/>
        <v>1</v>
      </c>
      <c r="K4896" s="1" t="s">
        <v>741</v>
      </c>
      <c r="L4896" s="1" t="s">
        <v>666</v>
      </c>
      <c r="M4896">
        <f t="shared" si="153"/>
        <v>23</v>
      </c>
      <c r="N4896" t="s">
        <v>650</v>
      </c>
    </row>
    <row r="4897" spans="1:14" hidden="1" x14ac:dyDescent="0.3">
      <c r="A4897" s="1" t="s">
        <v>3060</v>
      </c>
      <c r="B4897" s="1" t="s">
        <v>802</v>
      </c>
      <c r="C4897" s="1" t="s">
        <v>3061</v>
      </c>
      <c r="D4897" s="1" t="s">
        <v>738</v>
      </c>
      <c r="E4897" s="1" t="s">
        <v>739</v>
      </c>
      <c r="F4897" s="1" t="s">
        <v>781</v>
      </c>
      <c r="G4897" s="1" t="s">
        <v>1827</v>
      </c>
      <c r="H4897">
        <v>2000</v>
      </c>
      <c r="I4897">
        <v>2000</v>
      </c>
      <c r="J4897">
        <f t="shared" si="152"/>
        <v>1</v>
      </c>
      <c r="K4897" s="1" t="s">
        <v>741</v>
      </c>
      <c r="L4897" s="1" t="s">
        <v>666</v>
      </c>
      <c r="M4897">
        <f t="shared" si="153"/>
        <v>26</v>
      </c>
      <c r="N4897" t="s">
        <v>640</v>
      </c>
    </row>
    <row r="4898" spans="1:14" hidden="1" x14ac:dyDescent="0.3">
      <c r="A4898" s="1" t="s">
        <v>3062</v>
      </c>
      <c r="B4898" s="1" t="s">
        <v>802</v>
      </c>
      <c r="C4898" s="1" t="s">
        <v>3063</v>
      </c>
      <c r="D4898" s="1" t="s">
        <v>738</v>
      </c>
      <c r="E4898" s="1" t="s">
        <v>739</v>
      </c>
      <c r="F4898" s="1" t="s">
        <v>781</v>
      </c>
      <c r="G4898" s="1" t="s">
        <v>1827</v>
      </c>
      <c r="H4898">
        <v>2004</v>
      </c>
      <c r="I4898">
        <v>2004</v>
      </c>
      <c r="J4898">
        <f t="shared" si="152"/>
        <v>1</v>
      </c>
      <c r="K4898" s="1" t="s">
        <v>741</v>
      </c>
      <c r="L4898" s="1" t="s">
        <v>666</v>
      </c>
      <c r="M4898">
        <f t="shared" si="153"/>
        <v>22</v>
      </c>
      <c r="N4898" t="s">
        <v>650</v>
      </c>
    </row>
    <row r="4899" spans="1:14" hidden="1" x14ac:dyDescent="0.3">
      <c r="A4899" s="1" t="s">
        <v>3064</v>
      </c>
      <c r="B4899" s="1" t="s">
        <v>802</v>
      </c>
      <c r="C4899" s="1" t="s">
        <v>3065</v>
      </c>
      <c r="D4899" s="1" t="s">
        <v>738</v>
      </c>
      <c r="E4899" s="1" t="s">
        <v>739</v>
      </c>
      <c r="F4899" s="1" t="s">
        <v>781</v>
      </c>
      <c r="G4899" s="1" t="s">
        <v>1827</v>
      </c>
      <c r="H4899">
        <v>2006</v>
      </c>
      <c r="I4899">
        <v>2006</v>
      </c>
      <c r="J4899">
        <f t="shared" si="152"/>
        <v>1</v>
      </c>
      <c r="K4899" s="1" t="s">
        <v>741</v>
      </c>
      <c r="L4899" s="1" t="s">
        <v>666</v>
      </c>
      <c r="M4899">
        <f t="shared" si="153"/>
        <v>20</v>
      </c>
      <c r="N4899" t="s">
        <v>650</v>
      </c>
    </row>
    <row r="4900" spans="1:14" hidden="1" x14ac:dyDescent="0.3">
      <c r="A4900" s="1" t="s">
        <v>3066</v>
      </c>
      <c r="B4900" s="1" t="s">
        <v>802</v>
      </c>
      <c r="C4900" s="1" t="s">
        <v>3067</v>
      </c>
      <c r="D4900" s="1" t="s">
        <v>738</v>
      </c>
      <c r="E4900" s="1" t="s">
        <v>739</v>
      </c>
      <c r="F4900" s="1" t="s">
        <v>781</v>
      </c>
      <c r="G4900" s="1" t="s">
        <v>1827</v>
      </c>
      <c r="H4900">
        <v>2000</v>
      </c>
      <c r="I4900">
        <v>2000</v>
      </c>
      <c r="J4900">
        <f t="shared" si="152"/>
        <v>1</v>
      </c>
      <c r="K4900" s="1" t="s">
        <v>741</v>
      </c>
      <c r="L4900" s="1" t="s">
        <v>666</v>
      </c>
      <c r="M4900">
        <f t="shared" si="153"/>
        <v>26</v>
      </c>
      <c r="N4900" t="s">
        <v>640</v>
      </c>
    </row>
    <row r="4901" spans="1:14" hidden="1" x14ac:dyDescent="0.3">
      <c r="A4901" s="1" t="s">
        <v>3068</v>
      </c>
      <c r="B4901" s="1" t="s">
        <v>802</v>
      </c>
      <c r="C4901" s="1" t="s">
        <v>3069</v>
      </c>
      <c r="D4901" s="1" t="s">
        <v>738</v>
      </c>
      <c r="E4901" s="1" t="s">
        <v>739</v>
      </c>
      <c r="F4901" s="1" t="s">
        <v>781</v>
      </c>
      <c r="G4901" s="1" t="s">
        <v>1827</v>
      </c>
      <c r="H4901">
        <v>1998</v>
      </c>
      <c r="I4901">
        <v>1998</v>
      </c>
      <c r="J4901">
        <f t="shared" si="152"/>
        <v>1</v>
      </c>
      <c r="K4901" s="1" t="s">
        <v>741</v>
      </c>
      <c r="L4901" s="1" t="s">
        <v>666</v>
      </c>
      <c r="M4901">
        <f t="shared" si="153"/>
        <v>28</v>
      </c>
      <c r="N4901" t="s">
        <v>640</v>
      </c>
    </row>
    <row r="4902" spans="1:14" hidden="1" x14ac:dyDescent="0.3">
      <c r="A4902" s="1" t="s">
        <v>3070</v>
      </c>
      <c r="B4902" s="1" t="s">
        <v>802</v>
      </c>
      <c r="C4902" s="1" t="s">
        <v>3071</v>
      </c>
      <c r="D4902" s="1" t="s">
        <v>738</v>
      </c>
      <c r="E4902" s="1" t="s">
        <v>739</v>
      </c>
      <c r="F4902" s="1" t="s">
        <v>781</v>
      </c>
      <c r="G4902" s="1" t="s">
        <v>1827</v>
      </c>
      <c r="H4902">
        <v>2003</v>
      </c>
      <c r="I4902">
        <v>2003</v>
      </c>
      <c r="J4902">
        <f t="shared" si="152"/>
        <v>1</v>
      </c>
      <c r="K4902" s="1" t="s">
        <v>741</v>
      </c>
      <c r="L4902" s="1" t="s">
        <v>666</v>
      </c>
      <c r="M4902">
        <f t="shared" si="153"/>
        <v>23</v>
      </c>
      <c r="N4902" t="s">
        <v>650</v>
      </c>
    </row>
    <row r="4903" spans="1:14" hidden="1" x14ac:dyDescent="0.3">
      <c r="A4903" s="1" t="s">
        <v>3072</v>
      </c>
      <c r="B4903" s="1" t="s">
        <v>802</v>
      </c>
      <c r="C4903" s="1" t="s">
        <v>3073</v>
      </c>
      <c r="D4903" s="1" t="s">
        <v>738</v>
      </c>
      <c r="E4903" s="1" t="s">
        <v>739</v>
      </c>
      <c r="F4903" s="1" t="s">
        <v>781</v>
      </c>
      <c r="G4903" s="1" t="s">
        <v>1827</v>
      </c>
      <c r="H4903">
        <v>2011</v>
      </c>
      <c r="I4903">
        <v>2011</v>
      </c>
      <c r="J4903">
        <f t="shared" si="152"/>
        <v>1</v>
      </c>
      <c r="K4903" s="1" t="s">
        <v>741</v>
      </c>
      <c r="L4903" s="1" t="s">
        <v>666</v>
      </c>
      <c r="M4903">
        <f t="shared" si="153"/>
        <v>15</v>
      </c>
      <c r="N4903" t="s">
        <v>650</v>
      </c>
    </row>
    <row r="4904" spans="1:14" hidden="1" x14ac:dyDescent="0.3">
      <c r="A4904" s="1" t="s">
        <v>3074</v>
      </c>
      <c r="B4904" s="1" t="s">
        <v>802</v>
      </c>
      <c r="C4904" s="1" t="s">
        <v>3075</v>
      </c>
      <c r="D4904" s="1" t="s">
        <v>738</v>
      </c>
      <c r="E4904" s="1" t="s">
        <v>739</v>
      </c>
      <c r="F4904" s="1" t="s">
        <v>781</v>
      </c>
      <c r="G4904" s="1" t="s">
        <v>1827</v>
      </c>
      <c r="H4904">
        <v>2011</v>
      </c>
      <c r="I4904">
        <v>2011</v>
      </c>
      <c r="J4904">
        <f t="shared" si="152"/>
        <v>1</v>
      </c>
      <c r="K4904" s="1" t="s">
        <v>741</v>
      </c>
      <c r="L4904" s="1" t="s">
        <v>666</v>
      </c>
      <c r="M4904">
        <f t="shared" si="153"/>
        <v>15</v>
      </c>
      <c r="N4904" t="s">
        <v>650</v>
      </c>
    </row>
    <row r="4905" spans="1:14" hidden="1" x14ac:dyDescent="0.3">
      <c r="A4905" s="1" t="s">
        <v>3076</v>
      </c>
      <c r="B4905" s="1" t="s">
        <v>802</v>
      </c>
      <c r="C4905" s="1" t="s">
        <v>3077</v>
      </c>
      <c r="D4905" s="1" t="s">
        <v>738</v>
      </c>
      <c r="E4905" s="1" t="s">
        <v>739</v>
      </c>
      <c r="F4905" s="1" t="s">
        <v>781</v>
      </c>
      <c r="G4905" s="1" t="s">
        <v>1827</v>
      </c>
      <c r="H4905">
        <v>2001</v>
      </c>
      <c r="I4905">
        <v>2001</v>
      </c>
      <c r="J4905">
        <f t="shared" si="152"/>
        <v>1</v>
      </c>
      <c r="K4905" s="1" t="s">
        <v>741</v>
      </c>
      <c r="L4905" s="1" t="s">
        <v>666</v>
      </c>
      <c r="M4905">
        <f t="shared" si="153"/>
        <v>25</v>
      </c>
      <c r="N4905" t="s">
        <v>640</v>
      </c>
    </row>
    <row r="4906" spans="1:14" hidden="1" x14ac:dyDescent="0.3">
      <c r="A4906" s="1" t="s">
        <v>3078</v>
      </c>
      <c r="B4906" s="1" t="s">
        <v>802</v>
      </c>
      <c r="C4906" s="1" t="s">
        <v>3079</v>
      </c>
      <c r="D4906" s="1" t="s">
        <v>738</v>
      </c>
      <c r="E4906" s="1" t="s">
        <v>739</v>
      </c>
      <c r="F4906" s="1" t="s">
        <v>781</v>
      </c>
      <c r="G4906" s="1" t="s">
        <v>1827</v>
      </c>
      <c r="H4906">
        <v>2003</v>
      </c>
      <c r="I4906">
        <v>2003</v>
      </c>
      <c r="J4906">
        <f t="shared" si="152"/>
        <v>1</v>
      </c>
      <c r="K4906" s="1" t="s">
        <v>741</v>
      </c>
      <c r="L4906" s="1" t="s">
        <v>666</v>
      </c>
      <c r="M4906">
        <f t="shared" si="153"/>
        <v>23</v>
      </c>
      <c r="N4906" t="s">
        <v>650</v>
      </c>
    </row>
    <row r="4907" spans="1:14" hidden="1" x14ac:dyDescent="0.3">
      <c r="A4907" s="1" t="s">
        <v>3080</v>
      </c>
      <c r="B4907" s="1" t="s">
        <v>802</v>
      </c>
      <c r="C4907" s="1" t="s">
        <v>3081</v>
      </c>
      <c r="D4907" s="1" t="s">
        <v>738</v>
      </c>
      <c r="E4907" s="1" t="s">
        <v>739</v>
      </c>
      <c r="F4907" s="1" t="s">
        <v>781</v>
      </c>
      <c r="G4907" s="1" t="s">
        <v>1827</v>
      </c>
      <c r="H4907">
        <v>2003</v>
      </c>
      <c r="I4907">
        <v>2003</v>
      </c>
      <c r="J4907">
        <f t="shared" si="152"/>
        <v>1</v>
      </c>
      <c r="K4907" s="1" t="s">
        <v>741</v>
      </c>
      <c r="L4907" s="1" t="s">
        <v>666</v>
      </c>
      <c r="M4907">
        <f t="shared" si="153"/>
        <v>23</v>
      </c>
      <c r="N4907" t="s">
        <v>650</v>
      </c>
    </row>
    <row r="4908" spans="1:14" hidden="1" x14ac:dyDescent="0.3">
      <c r="A4908" s="1" t="s">
        <v>3082</v>
      </c>
      <c r="B4908" s="1" t="s">
        <v>802</v>
      </c>
      <c r="C4908" s="1" t="s">
        <v>3083</v>
      </c>
      <c r="D4908" s="1" t="s">
        <v>738</v>
      </c>
      <c r="E4908" s="1" t="s">
        <v>739</v>
      </c>
      <c r="F4908" s="1" t="s">
        <v>781</v>
      </c>
      <c r="G4908" s="1" t="s">
        <v>1827</v>
      </c>
      <c r="H4908">
        <v>1997</v>
      </c>
      <c r="I4908">
        <v>1997</v>
      </c>
      <c r="J4908">
        <f t="shared" si="152"/>
        <v>1</v>
      </c>
      <c r="K4908" s="1" t="s">
        <v>741</v>
      </c>
      <c r="L4908" s="1" t="s">
        <v>666</v>
      </c>
      <c r="M4908">
        <f t="shared" si="153"/>
        <v>29</v>
      </c>
      <c r="N4908" t="s">
        <v>640</v>
      </c>
    </row>
    <row r="4909" spans="1:14" hidden="1" x14ac:dyDescent="0.3">
      <c r="A4909" s="1" t="s">
        <v>3084</v>
      </c>
      <c r="B4909" s="1" t="s">
        <v>802</v>
      </c>
      <c r="C4909" s="1" t="s">
        <v>3085</v>
      </c>
      <c r="D4909" s="1" t="s">
        <v>738</v>
      </c>
      <c r="E4909" s="1" t="s">
        <v>739</v>
      </c>
      <c r="F4909" s="1" t="s">
        <v>781</v>
      </c>
      <c r="G4909" s="1" t="s">
        <v>1827</v>
      </c>
      <c r="H4909">
        <v>2004</v>
      </c>
      <c r="I4909">
        <v>2004</v>
      </c>
      <c r="J4909">
        <f t="shared" si="152"/>
        <v>1</v>
      </c>
      <c r="K4909" s="1" t="s">
        <v>741</v>
      </c>
      <c r="L4909" s="1" t="s">
        <v>666</v>
      </c>
      <c r="M4909">
        <f t="shared" si="153"/>
        <v>22</v>
      </c>
      <c r="N4909" t="s">
        <v>650</v>
      </c>
    </row>
    <row r="4910" spans="1:14" hidden="1" x14ac:dyDescent="0.3">
      <c r="A4910" s="1" t="s">
        <v>3086</v>
      </c>
      <c r="B4910" s="1" t="s">
        <v>802</v>
      </c>
      <c r="C4910" s="1" t="s">
        <v>3087</v>
      </c>
      <c r="D4910" s="1" t="s">
        <v>738</v>
      </c>
      <c r="E4910" s="1" t="s">
        <v>739</v>
      </c>
      <c r="F4910" s="1" t="s">
        <v>781</v>
      </c>
      <c r="G4910" s="1" t="s">
        <v>1827</v>
      </c>
      <c r="H4910">
        <v>2010</v>
      </c>
      <c r="I4910">
        <v>2010</v>
      </c>
      <c r="J4910">
        <f t="shared" si="152"/>
        <v>1</v>
      </c>
      <c r="K4910" s="1" t="s">
        <v>741</v>
      </c>
      <c r="L4910" s="1" t="s">
        <v>666</v>
      </c>
      <c r="M4910">
        <f t="shared" si="153"/>
        <v>16</v>
      </c>
      <c r="N4910" t="s">
        <v>650</v>
      </c>
    </row>
    <row r="4911" spans="1:14" hidden="1" x14ac:dyDescent="0.3">
      <c r="A4911" s="1" t="s">
        <v>3088</v>
      </c>
      <c r="B4911" s="1" t="s">
        <v>802</v>
      </c>
      <c r="C4911" s="1" t="s">
        <v>3089</v>
      </c>
      <c r="D4911" s="1" t="s">
        <v>738</v>
      </c>
      <c r="E4911" s="1" t="s">
        <v>739</v>
      </c>
      <c r="F4911" s="1" t="s">
        <v>781</v>
      </c>
      <c r="G4911" s="1" t="s">
        <v>1827</v>
      </c>
      <c r="H4911">
        <v>2011</v>
      </c>
      <c r="I4911">
        <v>2011</v>
      </c>
      <c r="J4911">
        <f t="shared" si="152"/>
        <v>1</v>
      </c>
      <c r="K4911" s="1" t="s">
        <v>741</v>
      </c>
      <c r="L4911" s="1" t="s">
        <v>666</v>
      </c>
      <c r="M4911">
        <f t="shared" si="153"/>
        <v>15</v>
      </c>
      <c r="N4911" t="s">
        <v>650</v>
      </c>
    </row>
    <row r="4912" spans="1:14" hidden="1" x14ac:dyDescent="0.3">
      <c r="A4912" s="1" t="s">
        <v>3090</v>
      </c>
      <c r="B4912" s="1" t="s">
        <v>802</v>
      </c>
      <c r="C4912" s="1" t="s">
        <v>3091</v>
      </c>
      <c r="D4912" s="1" t="s">
        <v>738</v>
      </c>
      <c r="E4912" s="1" t="s">
        <v>739</v>
      </c>
      <c r="F4912" s="1" t="s">
        <v>781</v>
      </c>
      <c r="G4912" s="1" t="s">
        <v>1827</v>
      </c>
      <c r="H4912">
        <v>2011</v>
      </c>
      <c r="I4912">
        <v>2011</v>
      </c>
      <c r="J4912">
        <f t="shared" si="152"/>
        <v>1</v>
      </c>
      <c r="K4912" s="1" t="s">
        <v>741</v>
      </c>
      <c r="L4912" s="1" t="s">
        <v>666</v>
      </c>
      <c r="M4912">
        <f t="shared" si="153"/>
        <v>15</v>
      </c>
      <c r="N4912" t="s">
        <v>650</v>
      </c>
    </row>
    <row r="4913" spans="1:14" hidden="1" x14ac:dyDescent="0.3">
      <c r="A4913" s="1" t="s">
        <v>3092</v>
      </c>
      <c r="B4913" s="1" t="s">
        <v>802</v>
      </c>
      <c r="C4913" s="1" t="s">
        <v>3093</v>
      </c>
      <c r="D4913" s="1" t="s">
        <v>738</v>
      </c>
      <c r="E4913" s="1" t="s">
        <v>739</v>
      </c>
      <c r="F4913" s="1" t="s">
        <v>781</v>
      </c>
      <c r="G4913" s="1" t="s">
        <v>1827</v>
      </c>
      <c r="H4913">
        <v>1998</v>
      </c>
      <c r="I4913">
        <v>1998</v>
      </c>
      <c r="J4913">
        <f t="shared" si="152"/>
        <v>1</v>
      </c>
      <c r="K4913" s="1" t="s">
        <v>741</v>
      </c>
      <c r="L4913" s="1" t="s">
        <v>666</v>
      </c>
      <c r="M4913">
        <f t="shared" si="153"/>
        <v>28</v>
      </c>
      <c r="N4913" t="s">
        <v>640</v>
      </c>
    </row>
    <row r="4914" spans="1:14" hidden="1" x14ac:dyDescent="0.3">
      <c r="A4914" s="1" t="s">
        <v>3094</v>
      </c>
      <c r="B4914" s="1" t="s">
        <v>802</v>
      </c>
      <c r="C4914" s="1" t="s">
        <v>3095</v>
      </c>
      <c r="D4914" s="1" t="s">
        <v>738</v>
      </c>
      <c r="E4914" s="1" t="s">
        <v>739</v>
      </c>
      <c r="F4914" s="1" t="s">
        <v>781</v>
      </c>
      <c r="G4914" s="1" t="s">
        <v>1827</v>
      </c>
      <c r="H4914">
        <v>2007</v>
      </c>
      <c r="I4914">
        <v>2007</v>
      </c>
      <c r="J4914">
        <f t="shared" si="152"/>
        <v>1</v>
      </c>
      <c r="K4914" s="1" t="s">
        <v>741</v>
      </c>
      <c r="L4914" s="1" t="s">
        <v>666</v>
      </c>
      <c r="M4914">
        <f t="shared" si="153"/>
        <v>19</v>
      </c>
      <c r="N4914" t="s">
        <v>650</v>
      </c>
    </row>
    <row r="4915" spans="1:14" x14ac:dyDescent="0.3">
      <c r="A4915" s="1" t="s">
        <v>9776</v>
      </c>
      <c r="B4915" s="1" t="s">
        <v>795</v>
      </c>
      <c r="C4915" s="1" t="s">
        <v>9777</v>
      </c>
      <c r="D4915" s="1" t="s">
        <v>1242</v>
      </c>
      <c r="E4915" s="1" t="s">
        <v>6076</v>
      </c>
      <c r="F4915" s="1" t="s">
        <v>6076</v>
      </c>
      <c r="G4915" s="1" t="s">
        <v>9778</v>
      </c>
      <c r="H4915">
        <v>1991</v>
      </c>
      <c r="I4915">
        <v>1995</v>
      </c>
      <c r="J4915">
        <f t="shared" si="152"/>
        <v>5</v>
      </c>
      <c r="K4915" s="1" t="s">
        <v>6076</v>
      </c>
      <c r="L4915" s="1" t="s">
        <v>6076</v>
      </c>
      <c r="M4915">
        <f t="shared" si="153"/>
        <v>31</v>
      </c>
      <c r="N4915" t="s">
        <v>640</v>
      </c>
    </row>
    <row r="4916" spans="1:14" x14ac:dyDescent="0.3">
      <c r="A4916" s="1" t="s">
        <v>9779</v>
      </c>
      <c r="B4916" s="1" t="s">
        <v>795</v>
      </c>
      <c r="C4916" s="1" t="s">
        <v>9780</v>
      </c>
      <c r="D4916" s="1" t="s">
        <v>1242</v>
      </c>
      <c r="E4916" s="1" t="s">
        <v>6076</v>
      </c>
      <c r="F4916" s="1" t="s">
        <v>6076</v>
      </c>
      <c r="G4916" s="1" t="s">
        <v>9778</v>
      </c>
      <c r="H4916">
        <v>1993</v>
      </c>
      <c r="I4916">
        <v>1995</v>
      </c>
      <c r="J4916">
        <f t="shared" si="152"/>
        <v>3</v>
      </c>
      <c r="K4916" s="1" t="s">
        <v>6076</v>
      </c>
      <c r="L4916" s="1" t="s">
        <v>6076</v>
      </c>
      <c r="M4916">
        <f t="shared" si="153"/>
        <v>31</v>
      </c>
      <c r="N4916" t="s">
        <v>640</v>
      </c>
    </row>
    <row r="4917" spans="1:14" x14ac:dyDescent="0.3">
      <c r="A4917" s="1" t="s">
        <v>9781</v>
      </c>
      <c r="B4917" s="1" t="s">
        <v>795</v>
      </c>
      <c r="C4917" s="1" t="s">
        <v>9782</v>
      </c>
      <c r="D4917" s="1" t="s">
        <v>1242</v>
      </c>
      <c r="E4917" s="1" t="s">
        <v>6076</v>
      </c>
      <c r="F4917" s="1" t="s">
        <v>6076</v>
      </c>
      <c r="G4917" s="1" t="s">
        <v>9783</v>
      </c>
      <c r="H4917">
        <v>1997</v>
      </c>
      <c r="I4917">
        <v>1998</v>
      </c>
      <c r="J4917">
        <f t="shared" si="152"/>
        <v>2</v>
      </c>
      <c r="K4917" s="1" t="s">
        <v>6076</v>
      </c>
      <c r="L4917" s="1" t="s">
        <v>6076</v>
      </c>
      <c r="M4917">
        <f t="shared" si="153"/>
        <v>28</v>
      </c>
      <c r="N4917" t="s">
        <v>640</v>
      </c>
    </row>
    <row r="4918" spans="1:14" x14ac:dyDescent="0.3">
      <c r="A4918" s="1" t="s">
        <v>9784</v>
      </c>
      <c r="B4918" s="1" t="s">
        <v>795</v>
      </c>
      <c r="C4918" s="1" t="s">
        <v>9785</v>
      </c>
      <c r="D4918" s="1" t="s">
        <v>1242</v>
      </c>
      <c r="E4918" s="1" t="s">
        <v>6076</v>
      </c>
      <c r="F4918" s="1" t="s">
        <v>6076</v>
      </c>
      <c r="G4918" s="1" t="s">
        <v>9783</v>
      </c>
      <c r="H4918">
        <v>1997</v>
      </c>
      <c r="I4918">
        <v>1999</v>
      </c>
      <c r="J4918">
        <f t="shared" si="152"/>
        <v>3</v>
      </c>
      <c r="K4918" s="1" t="s">
        <v>6076</v>
      </c>
      <c r="L4918" s="1" t="s">
        <v>6076</v>
      </c>
      <c r="M4918">
        <f t="shared" si="153"/>
        <v>27</v>
      </c>
      <c r="N4918" t="s">
        <v>640</v>
      </c>
    </row>
    <row r="4919" spans="1:14" x14ac:dyDescent="0.3">
      <c r="A4919" s="1" t="s">
        <v>9786</v>
      </c>
      <c r="B4919" s="1" t="s">
        <v>795</v>
      </c>
      <c r="C4919" s="1" t="s">
        <v>9787</v>
      </c>
      <c r="D4919" s="1" t="s">
        <v>1242</v>
      </c>
      <c r="E4919" s="1" t="s">
        <v>6076</v>
      </c>
      <c r="F4919" s="1" t="s">
        <v>6076</v>
      </c>
      <c r="G4919" s="1" t="s">
        <v>9783</v>
      </c>
      <c r="H4919">
        <v>1997</v>
      </c>
      <c r="I4919">
        <v>1999</v>
      </c>
      <c r="J4919">
        <f t="shared" si="152"/>
        <v>3</v>
      </c>
      <c r="K4919" s="1" t="s">
        <v>6076</v>
      </c>
      <c r="L4919" s="1" t="s">
        <v>6076</v>
      </c>
      <c r="M4919">
        <f t="shared" si="153"/>
        <v>27</v>
      </c>
      <c r="N4919" t="s">
        <v>640</v>
      </c>
    </row>
    <row r="4920" spans="1:14" x14ac:dyDescent="0.3">
      <c r="A4920" s="1" t="s">
        <v>9788</v>
      </c>
      <c r="B4920" s="1" t="s">
        <v>795</v>
      </c>
      <c r="C4920" s="1" t="s">
        <v>9789</v>
      </c>
      <c r="D4920" s="1" t="s">
        <v>1242</v>
      </c>
      <c r="E4920" s="1" t="s">
        <v>6076</v>
      </c>
      <c r="F4920" s="1" t="s">
        <v>6076</v>
      </c>
      <c r="G4920" s="1" t="s">
        <v>9783</v>
      </c>
      <c r="H4920">
        <v>1997</v>
      </c>
      <c r="I4920">
        <v>2001</v>
      </c>
      <c r="J4920">
        <f t="shared" si="152"/>
        <v>5</v>
      </c>
      <c r="K4920" s="1" t="s">
        <v>6076</v>
      </c>
      <c r="L4920" s="1" t="s">
        <v>6076</v>
      </c>
      <c r="M4920">
        <f t="shared" si="153"/>
        <v>25</v>
      </c>
      <c r="N4920" t="s">
        <v>640</v>
      </c>
    </row>
    <row r="4921" spans="1:14" x14ac:dyDescent="0.3">
      <c r="A4921" s="1" t="s">
        <v>9790</v>
      </c>
      <c r="B4921" s="1" t="s">
        <v>795</v>
      </c>
      <c r="C4921" s="1" t="s">
        <v>9791</v>
      </c>
      <c r="D4921" s="1" t="s">
        <v>1242</v>
      </c>
      <c r="E4921" s="1" t="s">
        <v>6076</v>
      </c>
      <c r="F4921" s="1" t="s">
        <v>6076</v>
      </c>
      <c r="G4921" s="1" t="s">
        <v>9783</v>
      </c>
      <c r="H4921">
        <v>1998</v>
      </c>
      <c r="I4921">
        <v>2000</v>
      </c>
      <c r="J4921">
        <f t="shared" si="152"/>
        <v>3</v>
      </c>
      <c r="K4921" s="1" t="s">
        <v>6076</v>
      </c>
      <c r="L4921" s="1" t="s">
        <v>6076</v>
      </c>
      <c r="M4921">
        <f t="shared" si="153"/>
        <v>26</v>
      </c>
      <c r="N4921" t="s">
        <v>640</v>
      </c>
    </row>
    <row r="4922" spans="1:14" x14ac:dyDescent="0.3">
      <c r="A4922" s="1" t="s">
        <v>9792</v>
      </c>
      <c r="B4922" s="1" t="s">
        <v>795</v>
      </c>
      <c r="C4922" s="1" t="s">
        <v>9793</v>
      </c>
      <c r="D4922" s="1" t="s">
        <v>1242</v>
      </c>
      <c r="E4922" s="1" t="s">
        <v>6076</v>
      </c>
      <c r="F4922" s="1" t="s">
        <v>6076</v>
      </c>
      <c r="G4922" s="1" t="s">
        <v>9783</v>
      </c>
      <c r="H4922">
        <v>1998</v>
      </c>
      <c r="I4922">
        <v>2000</v>
      </c>
      <c r="J4922">
        <f t="shared" si="152"/>
        <v>3</v>
      </c>
      <c r="K4922" s="1" t="s">
        <v>6076</v>
      </c>
      <c r="L4922" s="1" t="s">
        <v>6076</v>
      </c>
      <c r="M4922">
        <f t="shared" si="153"/>
        <v>26</v>
      </c>
      <c r="N4922" t="s">
        <v>640</v>
      </c>
    </row>
    <row r="4923" spans="1:14" x14ac:dyDescent="0.3">
      <c r="A4923" s="1" t="s">
        <v>9794</v>
      </c>
      <c r="B4923" s="1" t="s">
        <v>795</v>
      </c>
      <c r="C4923" s="1" t="s">
        <v>9795</v>
      </c>
      <c r="D4923" s="1" t="s">
        <v>1242</v>
      </c>
      <c r="E4923" s="1" t="s">
        <v>6076</v>
      </c>
      <c r="F4923" s="1" t="s">
        <v>6076</v>
      </c>
      <c r="G4923" s="1" t="s">
        <v>9783</v>
      </c>
      <c r="H4923">
        <v>2000</v>
      </c>
      <c r="I4923">
        <v>2002</v>
      </c>
      <c r="J4923">
        <f t="shared" si="152"/>
        <v>3</v>
      </c>
      <c r="K4923" s="1" t="s">
        <v>6076</v>
      </c>
      <c r="L4923" s="1" t="s">
        <v>6076</v>
      </c>
      <c r="M4923">
        <f t="shared" si="153"/>
        <v>24</v>
      </c>
      <c r="N4923" t="s">
        <v>640</v>
      </c>
    </row>
    <row r="4924" spans="1:14" x14ac:dyDescent="0.3">
      <c r="A4924" s="1" t="s">
        <v>9796</v>
      </c>
      <c r="B4924" s="1" t="s">
        <v>795</v>
      </c>
      <c r="C4924" s="1" t="s">
        <v>9797</v>
      </c>
      <c r="D4924" s="1" t="s">
        <v>1242</v>
      </c>
      <c r="E4924" s="1" t="s">
        <v>6076</v>
      </c>
      <c r="F4924" s="1" t="s">
        <v>6076</v>
      </c>
      <c r="G4924" s="1" t="s">
        <v>9783</v>
      </c>
      <c r="H4924">
        <v>1997</v>
      </c>
      <c r="I4924">
        <v>1999</v>
      </c>
      <c r="J4924">
        <f t="shared" si="152"/>
        <v>3</v>
      </c>
      <c r="K4924" s="1" t="s">
        <v>6076</v>
      </c>
      <c r="L4924" s="1" t="s">
        <v>6076</v>
      </c>
      <c r="M4924">
        <f t="shared" si="153"/>
        <v>27</v>
      </c>
      <c r="N4924" t="s">
        <v>640</v>
      </c>
    </row>
    <row r="4925" spans="1:14" x14ac:dyDescent="0.3">
      <c r="A4925" s="1" t="s">
        <v>9798</v>
      </c>
      <c r="B4925" s="1" t="s">
        <v>795</v>
      </c>
      <c r="C4925" s="1" t="s">
        <v>9799</v>
      </c>
      <c r="D4925" s="1" t="s">
        <v>1242</v>
      </c>
      <c r="E4925" s="1" t="s">
        <v>6076</v>
      </c>
      <c r="F4925" s="1" t="s">
        <v>6076</v>
      </c>
      <c r="G4925" s="1" t="s">
        <v>9783</v>
      </c>
      <c r="H4925">
        <v>1999</v>
      </c>
      <c r="I4925">
        <v>2000</v>
      </c>
      <c r="J4925">
        <f t="shared" si="152"/>
        <v>2</v>
      </c>
      <c r="K4925" s="1" t="s">
        <v>6076</v>
      </c>
      <c r="L4925" s="1" t="s">
        <v>6076</v>
      </c>
      <c r="M4925">
        <f t="shared" si="153"/>
        <v>26</v>
      </c>
      <c r="N4925" t="s">
        <v>640</v>
      </c>
    </row>
    <row r="4926" spans="1:14" x14ac:dyDescent="0.3">
      <c r="A4926" s="1" t="s">
        <v>9800</v>
      </c>
      <c r="B4926" s="1" t="s">
        <v>795</v>
      </c>
      <c r="C4926" s="1" t="s">
        <v>9801</v>
      </c>
      <c r="D4926" s="1" t="s">
        <v>1242</v>
      </c>
      <c r="E4926" s="1" t="s">
        <v>6076</v>
      </c>
      <c r="F4926" s="1" t="s">
        <v>6076</v>
      </c>
      <c r="G4926" s="1" t="s">
        <v>9783</v>
      </c>
      <c r="H4926">
        <v>1997</v>
      </c>
      <c r="I4926">
        <v>2000</v>
      </c>
      <c r="J4926">
        <f t="shared" si="152"/>
        <v>4</v>
      </c>
      <c r="K4926" s="1" t="s">
        <v>6076</v>
      </c>
      <c r="L4926" s="1" t="s">
        <v>6076</v>
      </c>
      <c r="M4926">
        <f t="shared" si="153"/>
        <v>26</v>
      </c>
      <c r="N4926" t="s">
        <v>640</v>
      </c>
    </row>
    <row r="4927" spans="1:14" x14ac:dyDescent="0.3">
      <c r="A4927" s="1" t="s">
        <v>9802</v>
      </c>
      <c r="B4927" s="1" t="s">
        <v>795</v>
      </c>
      <c r="C4927" s="1" t="s">
        <v>9803</v>
      </c>
      <c r="D4927" s="1" t="s">
        <v>1395</v>
      </c>
      <c r="E4927" s="1" t="s">
        <v>6076</v>
      </c>
      <c r="F4927" s="1" t="s">
        <v>6076</v>
      </c>
      <c r="G4927" s="1" t="s">
        <v>9783</v>
      </c>
      <c r="H4927">
        <v>1999</v>
      </c>
      <c r="I4927">
        <v>2000</v>
      </c>
      <c r="J4927">
        <f t="shared" si="152"/>
        <v>2</v>
      </c>
      <c r="K4927" s="1" t="s">
        <v>6076</v>
      </c>
      <c r="L4927" s="1" t="s">
        <v>6076</v>
      </c>
      <c r="M4927">
        <f t="shared" si="153"/>
        <v>26</v>
      </c>
      <c r="N4927" t="s">
        <v>640</v>
      </c>
    </row>
    <row r="4928" spans="1:14" x14ac:dyDescent="0.3">
      <c r="A4928" s="1" t="s">
        <v>9804</v>
      </c>
      <c r="B4928" s="1" t="s">
        <v>795</v>
      </c>
      <c r="C4928" s="1" t="s">
        <v>9805</v>
      </c>
      <c r="D4928" s="1" t="s">
        <v>1395</v>
      </c>
      <c r="E4928" s="1" t="s">
        <v>6076</v>
      </c>
      <c r="F4928" s="1" t="s">
        <v>6076</v>
      </c>
      <c r="G4928" s="1" t="s">
        <v>9783</v>
      </c>
      <c r="H4928">
        <v>1999</v>
      </c>
      <c r="I4928">
        <v>1999</v>
      </c>
      <c r="J4928">
        <f t="shared" si="152"/>
        <v>1</v>
      </c>
      <c r="K4928" s="1" t="s">
        <v>6076</v>
      </c>
      <c r="L4928" s="1" t="s">
        <v>6076</v>
      </c>
      <c r="M4928">
        <f t="shared" si="153"/>
        <v>27</v>
      </c>
      <c r="N4928" t="s">
        <v>640</v>
      </c>
    </row>
    <row r="4929" spans="1:14" x14ac:dyDescent="0.3">
      <c r="A4929" t="s">
        <v>11103</v>
      </c>
      <c r="B4929" t="s">
        <v>795</v>
      </c>
      <c r="C4929" t="s">
        <v>11104</v>
      </c>
      <c r="E4929" s="1" t="s">
        <v>6076</v>
      </c>
      <c r="F4929" s="1" t="s">
        <v>6076</v>
      </c>
      <c r="G4929" s="1" t="s">
        <v>9782</v>
      </c>
      <c r="H4929">
        <v>2023</v>
      </c>
      <c r="I4929">
        <v>2026</v>
      </c>
      <c r="J4929">
        <f t="shared" si="152"/>
        <v>4</v>
      </c>
      <c r="K4929" s="1" t="s">
        <v>6076</v>
      </c>
      <c r="L4929" s="1" t="s">
        <v>6076</v>
      </c>
      <c r="M4929">
        <f t="shared" si="153"/>
        <v>0</v>
      </c>
    </row>
    <row r="4930" spans="1:14" x14ac:dyDescent="0.3">
      <c r="A4930" s="1" t="s">
        <v>9806</v>
      </c>
      <c r="B4930" s="1" t="s">
        <v>795</v>
      </c>
      <c r="C4930" s="1" t="s">
        <v>9807</v>
      </c>
      <c r="D4930" s="1" t="s">
        <v>1242</v>
      </c>
      <c r="E4930" s="1" t="s">
        <v>6076</v>
      </c>
      <c r="F4930" s="1" t="s">
        <v>6076</v>
      </c>
      <c r="G4930" s="1" t="s">
        <v>9783</v>
      </c>
      <c r="H4930">
        <v>1992</v>
      </c>
      <c r="I4930">
        <v>1995</v>
      </c>
      <c r="J4930">
        <f t="shared" si="152"/>
        <v>4</v>
      </c>
      <c r="K4930" s="1" t="s">
        <v>6076</v>
      </c>
      <c r="L4930" s="1" t="s">
        <v>6076</v>
      </c>
      <c r="M4930">
        <f t="shared" si="153"/>
        <v>31</v>
      </c>
      <c r="N4930" t="s">
        <v>640</v>
      </c>
    </row>
    <row r="4931" spans="1:14" x14ac:dyDescent="0.3">
      <c r="A4931" s="1" t="s">
        <v>9808</v>
      </c>
      <c r="B4931" s="1" t="s">
        <v>795</v>
      </c>
      <c r="C4931" s="1" t="s">
        <v>9809</v>
      </c>
      <c r="D4931" s="1" t="s">
        <v>1242</v>
      </c>
      <c r="E4931" s="1" t="s">
        <v>6076</v>
      </c>
      <c r="F4931" s="1" t="s">
        <v>6076</v>
      </c>
      <c r="G4931" s="1" t="s">
        <v>9783</v>
      </c>
      <c r="H4931">
        <v>1993</v>
      </c>
      <c r="I4931">
        <v>1995</v>
      </c>
      <c r="J4931">
        <f t="shared" si="152"/>
        <v>3</v>
      </c>
      <c r="K4931" s="1" t="s">
        <v>6076</v>
      </c>
      <c r="L4931" s="1" t="s">
        <v>6076</v>
      </c>
      <c r="M4931">
        <f t="shared" si="153"/>
        <v>31</v>
      </c>
      <c r="N4931" t="s">
        <v>640</v>
      </c>
    </row>
    <row r="4932" spans="1:14" x14ac:dyDescent="0.3">
      <c r="A4932" s="1" t="s">
        <v>9810</v>
      </c>
      <c r="B4932" s="1" t="s">
        <v>795</v>
      </c>
      <c r="C4932" s="1" t="s">
        <v>9811</v>
      </c>
      <c r="D4932" s="1" t="s">
        <v>1242</v>
      </c>
      <c r="E4932" s="1" t="s">
        <v>6076</v>
      </c>
      <c r="F4932" s="1" t="s">
        <v>6076</v>
      </c>
      <c r="G4932" s="1" t="s">
        <v>9783</v>
      </c>
      <c r="H4932">
        <v>1998</v>
      </c>
      <c r="I4932">
        <v>2001</v>
      </c>
      <c r="J4932">
        <f t="shared" si="152"/>
        <v>4</v>
      </c>
      <c r="K4932" s="1" t="s">
        <v>6076</v>
      </c>
      <c r="L4932" s="1" t="s">
        <v>6076</v>
      </c>
      <c r="M4932">
        <f t="shared" si="153"/>
        <v>25</v>
      </c>
      <c r="N4932" t="s">
        <v>640</v>
      </c>
    </row>
    <row r="4933" spans="1:14" x14ac:dyDescent="0.3">
      <c r="A4933" s="1" t="s">
        <v>9812</v>
      </c>
      <c r="B4933" s="1" t="s">
        <v>795</v>
      </c>
      <c r="C4933" s="1" t="s">
        <v>9813</v>
      </c>
      <c r="D4933" s="1" t="s">
        <v>1242</v>
      </c>
      <c r="E4933" s="1" t="s">
        <v>6076</v>
      </c>
      <c r="F4933" s="1" t="s">
        <v>6076</v>
      </c>
      <c r="G4933" s="1" t="s">
        <v>9783</v>
      </c>
      <c r="H4933">
        <v>1997</v>
      </c>
      <c r="I4933">
        <v>1999</v>
      </c>
      <c r="J4933">
        <f t="shared" si="152"/>
        <v>3</v>
      </c>
      <c r="K4933" s="1" t="s">
        <v>6076</v>
      </c>
      <c r="L4933" s="1" t="s">
        <v>6076</v>
      </c>
      <c r="M4933">
        <f t="shared" si="153"/>
        <v>27</v>
      </c>
      <c r="N4933" t="s">
        <v>640</v>
      </c>
    </row>
    <row r="4934" spans="1:14" x14ac:dyDescent="0.3">
      <c r="A4934" s="1" t="s">
        <v>9814</v>
      </c>
      <c r="B4934" s="1" t="s">
        <v>795</v>
      </c>
      <c r="C4934" s="1" t="s">
        <v>9815</v>
      </c>
      <c r="D4934" s="1" t="s">
        <v>1242</v>
      </c>
      <c r="E4934" s="1" t="s">
        <v>6076</v>
      </c>
      <c r="F4934" s="1" t="s">
        <v>6076</v>
      </c>
      <c r="G4934" s="1" t="s">
        <v>9783</v>
      </c>
      <c r="H4934">
        <v>1997</v>
      </c>
      <c r="I4934">
        <v>1999</v>
      </c>
      <c r="J4934">
        <f t="shared" ref="J4934:J4997" si="154">1+(I4934-H4934)</f>
        <v>3</v>
      </c>
      <c r="K4934" s="1" t="s">
        <v>6076</v>
      </c>
      <c r="L4934" s="1" t="s">
        <v>6076</v>
      </c>
      <c r="M4934">
        <f t="shared" ref="M4934:M4997" si="155">IF(I4934=0,0,$B$2-I4934)</f>
        <v>27</v>
      </c>
      <c r="N4934" t="s">
        <v>640</v>
      </c>
    </row>
    <row r="4935" spans="1:14" x14ac:dyDescent="0.3">
      <c r="A4935" s="1" t="s">
        <v>9816</v>
      </c>
      <c r="B4935" s="1" t="s">
        <v>795</v>
      </c>
      <c r="C4935" s="1" t="s">
        <v>9817</v>
      </c>
      <c r="D4935" s="1" t="s">
        <v>1242</v>
      </c>
      <c r="E4935" s="1" t="s">
        <v>6076</v>
      </c>
      <c r="F4935" s="1" t="s">
        <v>6076</v>
      </c>
      <c r="G4935" s="1" t="s">
        <v>9783</v>
      </c>
      <c r="H4935">
        <v>1997</v>
      </c>
      <c r="I4935">
        <v>2001</v>
      </c>
      <c r="J4935">
        <f t="shared" si="154"/>
        <v>5</v>
      </c>
      <c r="K4935" s="1" t="s">
        <v>6076</v>
      </c>
      <c r="L4935" s="1" t="s">
        <v>6076</v>
      </c>
      <c r="M4935">
        <f t="shared" si="155"/>
        <v>25</v>
      </c>
      <c r="N4935" t="s">
        <v>640</v>
      </c>
    </row>
    <row r="4936" spans="1:14" x14ac:dyDescent="0.3">
      <c r="A4936" s="1" t="s">
        <v>9818</v>
      </c>
      <c r="B4936" s="1" t="s">
        <v>5931</v>
      </c>
      <c r="C4936" s="1" t="s">
        <v>9819</v>
      </c>
      <c r="D4936" s="1" t="s">
        <v>738</v>
      </c>
      <c r="E4936" s="1" t="s">
        <v>6076</v>
      </c>
      <c r="F4936" s="1" t="s">
        <v>6076</v>
      </c>
      <c r="G4936" s="1" t="s">
        <v>9820</v>
      </c>
      <c r="H4936">
        <v>1993</v>
      </c>
      <c r="I4936">
        <v>1995</v>
      </c>
      <c r="J4936">
        <f t="shared" si="154"/>
        <v>3</v>
      </c>
      <c r="K4936" s="1" t="s">
        <v>6076</v>
      </c>
      <c r="L4936" s="1" t="s">
        <v>6076</v>
      </c>
      <c r="M4936">
        <f t="shared" si="155"/>
        <v>31</v>
      </c>
    </row>
    <row r="4937" spans="1:14" x14ac:dyDescent="0.3">
      <c r="A4937" s="1" t="s">
        <v>9821</v>
      </c>
      <c r="B4937" s="1" t="s">
        <v>5931</v>
      </c>
      <c r="C4937" s="1" t="s">
        <v>9822</v>
      </c>
      <c r="D4937" s="1" t="s">
        <v>3850</v>
      </c>
      <c r="E4937" s="1" t="s">
        <v>6076</v>
      </c>
      <c r="F4937" s="1" t="s">
        <v>6076</v>
      </c>
      <c r="G4937" s="1" t="s">
        <v>9823</v>
      </c>
      <c r="H4937">
        <v>1993</v>
      </c>
      <c r="I4937">
        <v>1999</v>
      </c>
      <c r="J4937">
        <f t="shared" si="154"/>
        <v>7</v>
      </c>
      <c r="K4937" s="1" t="s">
        <v>6076</v>
      </c>
      <c r="L4937" s="1" t="s">
        <v>6076</v>
      </c>
      <c r="M4937">
        <f t="shared" si="155"/>
        <v>27</v>
      </c>
    </row>
    <row r="4938" spans="1:14" x14ac:dyDescent="0.3">
      <c r="A4938" s="1" t="s">
        <v>9824</v>
      </c>
      <c r="B4938" s="1" t="s">
        <v>5931</v>
      </c>
      <c r="C4938" s="1" t="s">
        <v>9825</v>
      </c>
      <c r="D4938" s="1" t="s">
        <v>3850</v>
      </c>
      <c r="E4938" s="1" t="s">
        <v>6076</v>
      </c>
      <c r="F4938" s="1" t="s">
        <v>6076</v>
      </c>
      <c r="G4938" s="1" t="s">
        <v>9826</v>
      </c>
      <c r="H4938">
        <v>2006</v>
      </c>
      <c r="I4938">
        <v>2014</v>
      </c>
      <c r="J4938">
        <f t="shared" si="154"/>
        <v>9</v>
      </c>
      <c r="K4938" s="1" t="s">
        <v>6076</v>
      </c>
      <c r="L4938" s="1" t="s">
        <v>6076</v>
      </c>
      <c r="M4938">
        <f t="shared" si="155"/>
        <v>12</v>
      </c>
    </row>
    <row r="4939" spans="1:14" x14ac:dyDescent="0.3">
      <c r="A4939" s="1" t="s">
        <v>9827</v>
      </c>
      <c r="B4939" s="1" t="s">
        <v>5931</v>
      </c>
      <c r="C4939" s="1" t="s">
        <v>9828</v>
      </c>
      <c r="D4939" s="1" t="s">
        <v>3850</v>
      </c>
      <c r="E4939" s="1" t="s">
        <v>6076</v>
      </c>
      <c r="F4939" s="1" t="s">
        <v>6076</v>
      </c>
      <c r="G4939" s="1" t="s">
        <v>9826</v>
      </c>
      <c r="H4939">
        <v>2010</v>
      </c>
      <c r="I4939">
        <v>2011</v>
      </c>
      <c r="J4939">
        <f t="shared" si="154"/>
        <v>2</v>
      </c>
      <c r="K4939" s="1" t="s">
        <v>6076</v>
      </c>
      <c r="L4939" s="1" t="s">
        <v>6076</v>
      </c>
      <c r="M4939">
        <f t="shared" si="155"/>
        <v>15</v>
      </c>
    </row>
    <row r="4940" spans="1:14" x14ac:dyDescent="0.3">
      <c r="A4940" s="1" t="s">
        <v>9829</v>
      </c>
      <c r="B4940" s="1" t="s">
        <v>5931</v>
      </c>
      <c r="C4940" s="1" t="s">
        <v>9830</v>
      </c>
      <c r="D4940" s="1" t="s">
        <v>3850</v>
      </c>
      <c r="E4940" s="1" t="s">
        <v>6076</v>
      </c>
      <c r="F4940" s="1" t="s">
        <v>6076</v>
      </c>
      <c r="G4940" s="1" t="s">
        <v>9831</v>
      </c>
      <c r="H4940">
        <v>2015</v>
      </c>
      <c r="I4940">
        <v>2017</v>
      </c>
      <c r="J4940">
        <f t="shared" si="154"/>
        <v>3</v>
      </c>
      <c r="K4940" s="1" t="s">
        <v>6076</v>
      </c>
      <c r="L4940" s="1" t="s">
        <v>6076</v>
      </c>
      <c r="M4940">
        <f t="shared" si="155"/>
        <v>9</v>
      </c>
    </row>
    <row r="4941" spans="1:14" x14ac:dyDescent="0.3">
      <c r="A4941" s="1" t="s">
        <v>9832</v>
      </c>
      <c r="B4941" s="1" t="s">
        <v>5931</v>
      </c>
      <c r="C4941" s="1" t="s">
        <v>9833</v>
      </c>
      <c r="D4941" s="1" t="s">
        <v>3850</v>
      </c>
      <c r="E4941" s="1" t="s">
        <v>6076</v>
      </c>
      <c r="F4941" s="1" t="s">
        <v>6076</v>
      </c>
      <c r="G4941" s="1" t="s">
        <v>9834</v>
      </c>
      <c r="H4941">
        <v>1994</v>
      </c>
      <c r="I4941">
        <v>2011</v>
      </c>
      <c r="J4941">
        <f t="shared" si="154"/>
        <v>18</v>
      </c>
      <c r="K4941" s="1" t="s">
        <v>6076</v>
      </c>
      <c r="L4941" s="1" t="s">
        <v>6076</v>
      </c>
      <c r="M4941">
        <f t="shared" si="155"/>
        <v>15</v>
      </c>
    </row>
    <row r="4942" spans="1:14" x14ac:dyDescent="0.3">
      <c r="A4942" s="1" t="s">
        <v>9835</v>
      </c>
      <c r="B4942" s="1" t="s">
        <v>5931</v>
      </c>
      <c r="C4942" s="1" t="s">
        <v>9836</v>
      </c>
      <c r="D4942" s="1" t="s">
        <v>3850</v>
      </c>
      <c r="E4942" s="1" t="s">
        <v>6076</v>
      </c>
      <c r="F4942" s="1" t="s">
        <v>6076</v>
      </c>
      <c r="G4942" s="1" t="s">
        <v>9837</v>
      </c>
      <c r="H4942">
        <v>2002</v>
      </c>
      <c r="I4942">
        <v>2008</v>
      </c>
      <c r="J4942">
        <f t="shared" si="154"/>
        <v>7</v>
      </c>
      <c r="K4942" s="1" t="s">
        <v>6076</v>
      </c>
      <c r="L4942" s="1" t="s">
        <v>6076</v>
      </c>
      <c r="M4942">
        <f t="shared" si="155"/>
        <v>18</v>
      </c>
    </row>
    <row r="4943" spans="1:14" x14ac:dyDescent="0.3">
      <c r="A4943" s="1" t="s">
        <v>9838</v>
      </c>
      <c r="B4943" s="1" t="s">
        <v>5931</v>
      </c>
      <c r="C4943" s="1" t="s">
        <v>9839</v>
      </c>
      <c r="D4943" s="1" t="s">
        <v>3850</v>
      </c>
      <c r="E4943" s="1" t="s">
        <v>6076</v>
      </c>
      <c r="F4943" s="1" t="s">
        <v>6076</v>
      </c>
      <c r="G4943" s="1" t="s">
        <v>9839</v>
      </c>
      <c r="H4943">
        <v>1993</v>
      </c>
      <c r="I4943">
        <v>2000</v>
      </c>
      <c r="J4943">
        <f t="shared" si="154"/>
        <v>8</v>
      </c>
      <c r="K4943" s="1" t="s">
        <v>6076</v>
      </c>
      <c r="L4943" s="1" t="s">
        <v>6076</v>
      </c>
      <c r="M4943">
        <f t="shared" si="155"/>
        <v>26</v>
      </c>
    </row>
    <row r="4944" spans="1:14" x14ac:dyDescent="0.3">
      <c r="A4944" s="1" t="s">
        <v>9840</v>
      </c>
      <c r="B4944" s="1" t="s">
        <v>5931</v>
      </c>
      <c r="C4944" s="1" t="s">
        <v>9841</v>
      </c>
      <c r="D4944" s="1" t="s">
        <v>3850</v>
      </c>
      <c r="E4944" s="1" t="s">
        <v>6076</v>
      </c>
      <c r="F4944" s="1" t="s">
        <v>6076</v>
      </c>
      <c r="G4944" s="1" t="s">
        <v>9842</v>
      </c>
      <c r="H4944">
        <v>2013</v>
      </c>
      <c r="I4944">
        <v>2017</v>
      </c>
      <c r="J4944">
        <f t="shared" si="154"/>
        <v>5</v>
      </c>
      <c r="K4944" s="1" t="s">
        <v>6076</v>
      </c>
      <c r="L4944" s="1" t="s">
        <v>6076</v>
      </c>
      <c r="M4944">
        <f t="shared" si="155"/>
        <v>9</v>
      </c>
    </row>
    <row r="4945" spans="1:13" x14ac:dyDescent="0.3">
      <c r="A4945" s="1" t="s">
        <v>9843</v>
      </c>
      <c r="B4945" s="1" t="s">
        <v>5931</v>
      </c>
      <c r="C4945" s="1" t="s">
        <v>9844</v>
      </c>
      <c r="D4945" s="1" t="s">
        <v>3850</v>
      </c>
      <c r="E4945" s="1" t="s">
        <v>6076</v>
      </c>
      <c r="F4945" s="1" t="s">
        <v>6076</v>
      </c>
      <c r="G4945" s="1" t="s">
        <v>9842</v>
      </c>
      <c r="H4945">
        <v>2009</v>
      </c>
      <c r="I4945">
        <v>2011</v>
      </c>
      <c r="J4945">
        <f t="shared" si="154"/>
        <v>3</v>
      </c>
      <c r="K4945" s="1" t="s">
        <v>6076</v>
      </c>
      <c r="L4945" s="1" t="s">
        <v>6076</v>
      </c>
      <c r="M4945">
        <f t="shared" si="155"/>
        <v>15</v>
      </c>
    </row>
    <row r="4946" spans="1:13" x14ac:dyDescent="0.3">
      <c r="A4946" t="s">
        <v>11861</v>
      </c>
      <c r="B4946" t="s">
        <v>5931</v>
      </c>
      <c r="C4946" t="s">
        <v>11862</v>
      </c>
      <c r="E4946" s="1" t="s">
        <v>6076</v>
      </c>
      <c r="F4946" s="1" t="s">
        <v>6076</v>
      </c>
      <c r="G4946" s="1" t="s">
        <v>12862</v>
      </c>
      <c r="H4946">
        <v>2024</v>
      </c>
      <c r="I4946">
        <v>2026</v>
      </c>
      <c r="J4946">
        <f t="shared" si="154"/>
        <v>3</v>
      </c>
      <c r="K4946" s="1" t="s">
        <v>6076</v>
      </c>
      <c r="L4946" s="1" t="s">
        <v>6076</v>
      </c>
      <c r="M4946">
        <f t="shared" si="155"/>
        <v>0</v>
      </c>
    </row>
    <row r="4947" spans="1:13" x14ac:dyDescent="0.3">
      <c r="A4947" s="1" t="s">
        <v>9845</v>
      </c>
      <c r="B4947" s="1" t="s">
        <v>5931</v>
      </c>
      <c r="C4947" s="1" t="s">
        <v>9846</v>
      </c>
      <c r="D4947" s="1" t="s">
        <v>3850</v>
      </c>
      <c r="E4947" s="1" t="s">
        <v>6076</v>
      </c>
      <c r="F4947" s="1" t="s">
        <v>6076</v>
      </c>
      <c r="G4947" s="1" t="s">
        <v>9847</v>
      </c>
      <c r="H4947">
        <v>2008</v>
      </c>
      <c r="I4947">
        <v>2011</v>
      </c>
      <c r="J4947">
        <f t="shared" si="154"/>
        <v>4</v>
      </c>
      <c r="K4947" s="1" t="s">
        <v>6076</v>
      </c>
      <c r="L4947" s="1" t="s">
        <v>6076</v>
      </c>
      <c r="M4947">
        <f t="shared" si="155"/>
        <v>15</v>
      </c>
    </row>
    <row r="4948" spans="1:13" x14ac:dyDescent="0.3">
      <c r="A4948" s="1" t="s">
        <v>9848</v>
      </c>
      <c r="B4948" s="1" t="s">
        <v>5931</v>
      </c>
      <c r="C4948" s="1" t="s">
        <v>9849</v>
      </c>
      <c r="D4948" s="1" t="s">
        <v>3850</v>
      </c>
      <c r="E4948" s="1" t="s">
        <v>6076</v>
      </c>
      <c r="F4948" s="1" t="s">
        <v>6076</v>
      </c>
      <c r="G4948" s="1" t="s">
        <v>9850</v>
      </c>
      <c r="H4948">
        <v>2017</v>
      </c>
      <c r="I4948">
        <v>2020</v>
      </c>
      <c r="J4948">
        <f t="shared" si="154"/>
        <v>4</v>
      </c>
      <c r="K4948" s="1" t="s">
        <v>6076</v>
      </c>
      <c r="L4948" s="1" t="s">
        <v>6076</v>
      </c>
      <c r="M4948">
        <f t="shared" si="155"/>
        <v>6</v>
      </c>
    </row>
    <row r="4949" spans="1:13" x14ac:dyDescent="0.3">
      <c r="A4949" s="1" t="s">
        <v>9851</v>
      </c>
      <c r="B4949" s="1" t="s">
        <v>5931</v>
      </c>
      <c r="C4949" s="1" t="s">
        <v>9852</v>
      </c>
      <c r="D4949" s="1" t="s">
        <v>3850</v>
      </c>
      <c r="E4949" s="1" t="s">
        <v>6076</v>
      </c>
      <c r="F4949" s="1" t="s">
        <v>6076</v>
      </c>
      <c r="G4949" s="1" t="s">
        <v>9853</v>
      </c>
      <c r="H4949">
        <v>2017</v>
      </c>
      <c r="I4949">
        <v>2018</v>
      </c>
      <c r="J4949">
        <f t="shared" si="154"/>
        <v>2</v>
      </c>
      <c r="K4949" s="1" t="s">
        <v>6076</v>
      </c>
      <c r="L4949" s="1" t="s">
        <v>6076</v>
      </c>
      <c r="M4949">
        <f t="shared" si="155"/>
        <v>8</v>
      </c>
    </row>
    <row r="4950" spans="1:13" x14ac:dyDescent="0.3">
      <c r="A4950" s="1" t="s">
        <v>9854</v>
      </c>
      <c r="B4950" s="1" t="s">
        <v>5931</v>
      </c>
      <c r="C4950" s="1" t="s">
        <v>9855</v>
      </c>
      <c r="D4950" s="1" t="s">
        <v>3850</v>
      </c>
      <c r="E4950" s="1" t="s">
        <v>6076</v>
      </c>
      <c r="F4950" s="1" t="s">
        <v>6076</v>
      </c>
      <c r="G4950" s="1" t="s">
        <v>9856</v>
      </c>
      <c r="H4950">
        <v>2005</v>
      </c>
      <c r="I4950">
        <v>2012</v>
      </c>
      <c r="J4950">
        <f t="shared" si="154"/>
        <v>8</v>
      </c>
      <c r="K4950" s="1" t="s">
        <v>6076</v>
      </c>
      <c r="L4950" s="1" t="s">
        <v>6076</v>
      </c>
      <c r="M4950">
        <f t="shared" si="155"/>
        <v>14</v>
      </c>
    </row>
    <row r="4951" spans="1:13" x14ac:dyDescent="0.3">
      <c r="A4951" s="1" t="s">
        <v>9857</v>
      </c>
      <c r="B4951" s="1" t="s">
        <v>5931</v>
      </c>
      <c r="C4951" s="1" t="s">
        <v>9858</v>
      </c>
      <c r="D4951" s="1" t="s">
        <v>3850</v>
      </c>
      <c r="E4951" s="1" t="s">
        <v>6076</v>
      </c>
      <c r="F4951" s="1" t="s">
        <v>6076</v>
      </c>
      <c r="G4951" s="1" t="s">
        <v>9859</v>
      </c>
      <c r="H4951">
        <v>1996</v>
      </c>
      <c r="I4951">
        <v>2004</v>
      </c>
      <c r="J4951">
        <f t="shared" si="154"/>
        <v>9</v>
      </c>
      <c r="K4951" s="1" t="s">
        <v>6076</v>
      </c>
      <c r="L4951" s="1" t="s">
        <v>6076</v>
      </c>
      <c r="M4951">
        <f t="shared" si="155"/>
        <v>22</v>
      </c>
    </row>
    <row r="4952" spans="1:13" x14ac:dyDescent="0.3">
      <c r="A4952" s="1" t="s">
        <v>9860</v>
      </c>
      <c r="B4952" s="1" t="s">
        <v>5931</v>
      </c>
      <c r="C4952" s="1" t="s">
        <v>9861</v>
      </c>
      <c r="D4952" s="1" t="s">
        <v>3850</v>
      </c>
      <c r="E4952" s="1" t="s">
        <v>6076</v>
      </c>
      <c r="F4952" s="1" t="s">
        <v>6076</v>
      </c>
      <c r="G4952" s="1" t="s">
        <v>9859</v>
      </c>
      <c r="H4952">
        <v>1997</v>
      </c>
      <c r="I4952">
        <v>2001</v>
      </c>
      <c r="J4952">
        <f t="shared" si="154"/>
        <v>5</v>
      </c>
      <c r="K4952" s="1" t="s">
        <v>6076</v>
      </c>
      <c r="L4952" s="1" t="s">
        <v>6076</v>
      </c>
      <c r="M4952">
        <f t="shared" si="155"/>
        <v>25</v>
      </c>
    </row>
    <row r="4953" spans="1:13" x14ac:dyDescent="0.3">
      <c r="A4953" s="1" t="s">
        <v>9862</v>
      </c>
      <c r="B4953" s="1" t="s">
        <v>5931</v>
      </c>
      <c r="C4953" s="1" t="s">
        <v>9863</v>
      </c>
      <c r="D4953" s="1" t="s">
        <v>3850</v>
      </c>
      <c r="E4953" s="1" t="s">
        <v>6076</v>
      </c>
      <c r="F4953" s="1" t="s">
        <v>6076</v>
      </c>
      <c r="G4953" s="1" t="s">
        <v>9864</v>
      </c>
      <c r="H4953">
        <v>2012</v>
      </c>
      <c r="I4953">
        <v>2015</v>
      </c>
      <c r="J4953">
        <f t="shared" si="154"/>
        <v>4</v>
      </c>
      <c r="K4953" s="1" t="s">
        <v>6076</v>
      </c>
      <c r="L4953" s="1" t="s">
        <v>6076</v>
      </c>
      <c r="M4953">
        <f t="shared" si="155"/>
        <v>11</v>
      </c>
    </row>
    <row r="4954" spans="1:13" x14ac:dyDescent="0.3">
      <c r="A4954" s="1" t="s">
        <v>9865</v>
      </c>
      <c r="B4954" s="1" t="s">
        <v>5931</v>
      </c>
      <c r="C4954" s="1" t="s">
        <v>9866</v>
      </c>
      <c r="D4954" s="1" t="s">
        <v>3850</v>
      </c>
      <c r="E4954" s="1" t="s">
        <v>6076</v>
      </c>
      <c r="F4954" s="1" t="s">
        <v>6076</v>
      </c>
      <c r="G4954" s="1" t="s">
        <v>9867</v>
      </c>
      <c r="H4954">
        <v>2016</v>
      </c>
      <c r="I4954">
        <v>2016</v>
      </c>
      <c r="J4954">
        <f t="shared" si="154"/>
        <v>1</v>
      </c>
      <c r="K4954" s="1" t="s">
        <v>6076</v>
      </c>
      <c r="L4954" s="1" t="s">
        <v>6076</v>
      </c>
      <c r="M4954">
        <f t="shared" si="155"/>
        <v>10</v>
      </c>
    </row>
    <row r="4955" spans="1:13" x14ac:dyDescent="0.3">
      <c r="A4955" s="1" t="s">
        <v>9868</v>
      </c>
      <c r="B4955" s="1" t="s">
        <v>5931</v>
      </c>
      <c r="C4955" s="1" t="s">
        <v>9869</v>
      </c>
      <c r="D4955" s="1" t="s">
        <v>3850</v>
      </c>
      <c r="E4955" s="1" t="s">
        <v>6076</v>
      </c>
      <c r="F4955" s="1" t="s">
        <v>6076</v>
      </c>
      <c r="G4955" s="1" t="s">
        <v>9870</v>
      </c>
      <c r="H4955">
        <v>2001</v>
      </c>
      <c r="I4955">
        <v>2004</v>
      </c>
      <c r="J4955">
        <f t="shared" si="154"/>
        <v>4</v>
      </c>
      <c r="K4955" s="1" t="s">
        <v>6076</v>
      </c>
      <c r="L4955" s="1" t="s">
        <v>6076</v>
      </c>
      <c r="M4955">
        <f t="shared" si="155"/>
        <v>22</v>
      </c>
    </row>
    <row r="4956" spans="1:13" x14ac:dyDescent="0.3">
      <c r="A4956" s="1" t="s">
        <v>9871</v>
      </c>
      <c r="B4956" s="1" t="s">
        <v>5931</v>
      </c>
      <c r="C4956" s="1" t="s">
        <v>9872</v>
      </c>
      <c r="D4956" s="1" t="s">
        <v>3850</v>
      </c>
      <c r="E4956" s="1" t="s">
        <v>6076</v>
      </c>
      <c r="F4956" s="1" t="s">
        <v>6076</v>
      </c>
      <c r="G4956" s="1" t="s">
        <v>9873</v>
      </c>
      <c r="H4956">
        <v>2005</v>
      </c>
      <c r="I4956">
        <v>2012</v>
      </c>
      <c r="J4956">
        <f t="shared" si="154"/>
        <v>8</v>
      </c>
      <c r="K4956" s="1" t="s">
        <v>6076</v>
      </c>
      <c r="L4956" s="1" t="s">
        <v>6076</v>
      </c>
      <c r="M4956">
        <f t="shared" si="155"/>
        <v>14</v>
      </c>
    </row>
    <row r="4957" spans="1:13" x14ac:dyDescent="0.3">
      <c r="A4957" s="1" t="s">
        <v>9874</v>
      </c>
      <c r="B4957" s="1" t="s">
        <v>5931</v>
      </c>
      <c r="C4957" s="1" t="s">
        <v>9875</v>
      </c>
      <c r="D4957" s="1" t="s">
        <v>3850</v>
      </c>
      <c r="E4957" s="1" t="s">
        <v>6076</v>
      </c>
      <c r="F4957" s="1" t="s">
        <v>6076</v>
      </c>
      <c r="G4957" s="1" t="s">
        <v>9876</v>
      </c>
      <c r="H4957">
        <v>2005</v>
      </c>
      <c r="I4957">
        <v>2016</v>
      </c>
      <c r="J4957">
        <f t="shared" si="154"/>
        <v>12</v>
      </c>
      <c r="K4957" s="1" t="s">
        <v>6076</v>
      </c>
      <c r="L4957" s="1" t="s">
        <v>6076</v>
      </c>
      <c r="M4957">
        <f t="shared" si="155"/>
        <v>10</v>
      </c>
    </row>
    <row r="4958" spans="1:13" x14ac:dyDescent="0.3">
      <c r="A4958" s="1" t="s">
        <v>9877</v>
      </c>
      <c r="B4958" s="1" t="s">
        <v>5931</v>
      </c>
      <c r="C4958" s="1" t="s">
        <v>9878</v>
      </c>
      <c r="D4958" s="1" t="s">
        <v>3850</v>
      </c>
      <c r="E4958" s="1" t="s">
        <v>6076</v>
      </c>
      <c r="F4958" s="1" t="s">
        <v>6076</v>
      </c>
      <c r="G4958" s="1" t="s">
        <v>9879</v>
      </c>
      <c r="H4958">
        <v>2014</v>
      </c>
      <c r="I4958">
        <v>2014</v>
      </c>
      <c r="J4958">
        <f t="shared" si="154"/>
        <v>1</v>
      </c>
      <c r="K4958" s="1" t="s">
        <v>6076</v>
      </c>
      <c r="L4958" s="1" t="s">
        <v>6076</v>
      </c>
      <c r="M4958">
        <f t="shared" si="155"/>
        <v>12</v>
      </c>
    </row>
    <row r="4959" spans="1:13" x14ac:dyDescent="0.3">
      <c r="A4959" s="1" t="s">
        <v>9880</v>
      </c>
      <c r="B4959" s="1" t="s">
        <v>5931</v>
      </c>
      <c r="C4959" s="1" t="s">
        <v>9881</v>
      </c>
      <c r="D4959" s="1" t="s">
        <v>3850</v>
      </c>
      <c r="E4959" s="1" t="s">
        <v>6076</v>
      </c>
      <c r="F4959" s="1" t="s">
        <v>6076</v>
      </c>
      <c r="G4959" s="1" t="s">
        <v>9879</v>
      </c>
      <c r="H4959">
        <v>2011</v>
      </c>
      <c r="I4959">
        <v>2013</v>
      </c>
      <c r="J4959">
        <f t="shared" si="154"/>
        <v>3</v>
      </c>
      <c r="K4959" s="1" t="s">
        <v>6076</v>
      </c>
      <c r="L4959" s="1" t="s">
        <v>6076</v>
      </c>
      <c r="M4959">
        <f t="shared" si="155"/>
        <v>13</v>
      </c>
    </row>
    <row r="4960" spans="1:13" x14ac:dyDescent="0.3">
      <c r="A4960" s="1" t="s">
        <v>9882</v>
      </c>
      <c r="B4960" s="1" t="s">
        <v>5931</v>
      </c>
      <c r="C4960" s="1" t="s">
        <v>9883</v>
      </c>
      <c r="D4960" s="1" t="s">
        <v>3850</v>
      </c>
      <c r="E4960" s="1" t="s">
        <v>6076</v>
      </c>
      <c r="F4960" s="1" t="s">
        <v>6076</v>
      </c>
      <c r="G4960" s="1" t="s">
        <v>9879</v>
      </c>
      <c r="H4960">
        <v>2012</v>
      </c>
      <c r="I4960">
        <v>2013</v>
      </c>
      <c r="J4960">
        <f t="shared" si="154"/>
        <v>2</v>
      </c>
      <c r="K4960" s="1" t="s">
        <v>6076</v>
      </c>
      <c r="L4960" s="1" t="s">
        <v>6076</v>
      </c>
      <c r="M4960">
        <f t="shared" si="155"/>
        <v>13</v>
      </c>
    </row>
    <row r="4961" spans="1:14" x14ac:dyDescent="0.3">
      <c r="A4961" s="1" t="s">
        <v>9884</v>
      </c>
      <c r="B4961" s="1" t="s">
        <v>1849</v>
      </c>
      <c r="C4961" s="1" t="s">
        <v>9885</v>
      </c>
      <c r="D4961" s="1" t="s">
        <v>738</v>
      </c>
      <c r="E4961" s="1" t="s">
        <v>6076</v>
      </c>
      <c r="F4961" s="1" t="s">
        <v>6076</v>
      </c>
      <c r="G4961" s="1" t="s">
        <v>9886</v>
      </c>
      <c r="H4961">
        <v>2011</v>
      </c>
      <c r="I4961">
        <v>2014</v>
      </c>
      <c r="J4961">
        <f t="shared" si="154"/>
        <v>4</v>
      </c>
      <c r="K4961" s="1" t="s">
        <v>6076</v>
      </c>
      <c r="L4961" s="1" t="s">
        <v>6076</v>
      </c>
      <c r="M4961">
        <f t="shared" si="155"/>
        <v>12</v>
      </c>
      <c r="N4961" t="s">
        <v>650</v>
      </c>
    </row>
    <row r="4962" spans="1:14" x14ac:dyDescent="0.3">
      <c r="A4962" s="1" t="s">
        <v>9887</v>
      </c>
      <c r="B4962" s="1" t="s">
        <v>1849</v>
      </c>
      <c r="C4962" s="1" t="s">
        <v>9888</v>
      </c>
      <c r="D4962" s="1" t="s">
        <v>738</v>
      </c>
      <c r="E4962" s="1" t="s">
        <v>6076</v>
      </c>
      <c r="F4962" s="1" t="s">
        <v>6076</v>
      </c>
      <c r="G4962" s="1" t="s">
        <v>9886</v>
      </c>
      <c r="H4962">
        <v>1992</v>
      </c>
      <c r="I4962">
        <v>1998</v>
      </c>
      <c r="J4962">
        <f t="shared" si="154"/>
        <v>7</v>
      </c>
      <c r="K4962" s="1" t="s">
        <v>6076</v>
      </c>
      <c r="L4962" s="1" t="s">
        <v>6076</v>
      </c>
      <c r="M4962">
        <f t="shared" si="155"/>
        <v>28</v>
      </c>
      <c r="N4962" t="s">
        <v>640</v>
      </c>
    </row>
    <row r="4963" spans="1:14" x14ac:dyDescent="0.3">
      <c r="A4963" s="1" t="s">
        <v>9889</v>
      </c>
      <c r="B4963" s="1" t="s">
        <v>1849</v>
      </c>
      <c r="C4963" s="1" t="s">
        <v>9890</v>
      </c>
      <c r="D4963" s="1" t="s">
        <v>738</v>
      </c>
      <c r="E4963" s="1" t="s">
        <v>6076</v>
      </c>
      <c r="F4963" s="1" t="s">
        <v>6076</v>
      </c>
      <c r="G4963" s="1" t="s">
        <v>9886</v>
      </c>
      <c r="H4963">
        <v>1994</v>
      </c>
      <c r="I4963">
        <v>1995</v>
      </c>
      <c r="J4963">
        <f t="shared" si="154"/>
        <v>2</v>
      </c>
      <c r="K4963" s="1" t="s">
        <v>6076</v>
      </c>
      <c r="L4963" s="1" t="s">
        <v>6076</v>
      </c>
      <c r="M4963">
        <f t="shared" si="155"/>
        <v>31</v>
      </c>
      <c r="N4963" t="s">
        <v>640</v>
      </c>
    </row>
    <row r="4964" spans="1:14" x14ac:dyDescent="0.3">
      <c r="A4964" s="1" t="s">
        <v>9891</v>
      </c>
      <c r="B4964" s="1" t="s">
        <v>1849</v>
      </c>
      <c r="C4964" s="1" t="s">
        <v>9892</v>
      </c>
      <c r="D4964" s="1" t="s">
        <v>738</v>
      </c>
      <c r="E4964" s="1" t="s">
        <v>6076</v>
      </c>
      <c r="F4964" s="1" t="s">
        <v>6076</v>
      </c>
      <c r="G4964" s="1" t="s">
        <v>9886</v>
      </c>
      <c r="H4964">
        <v>1999</v>
      </c>
      <c r="I4964">
        <v>2001</v>
      </c>
      <c r="J4964">
        <f t="shared" si="154"/>
        <v>3</v>
      </c>
      <c r="K4964" s="1" t="s">
        <v>6076</v>
      </c>
      <c r="L4964" s="1" t="s">
        <v>6076</v>
      </c>
      <c r="M4964">
        <f t="shared" si="155"/>
        <v>25</v>
      </c>
      <c r="N4964" t="s">
        <v>640</v>
      </c>
    </row>
    <row r="4965" spans="1:14" x14ac:dyDescent="0.3">
      <c r="A4965" s="1" t="s">
        <v>9893</v>
      </c>
      <c r="B4965" s="1" t="s">
        <v>1849</v>
      </c>
      <c r="C4965" s="1" t="s">
        <v>9894</v>
      </c>
      <c r="D4965" s="1" t="s">
        <v>738</v>
      </c>
      <c r="E4965" s="1" t="s">
        <v>6076</v>
      </c>
      <c r="F4965" s="1" t="s">
        <v>6076</v>
      </c>
      <c r="G4965" s="1" t="s">
        <v>9886</v>
      </c>
      <c r="H4965">
        <v>2002</v>
      </c>
      <c r="I4965">
        <v>2003</v>
      </c>
      <c r="J4965">
        <f t="shared" si="154"/>
        <v>2</v>
      </c>
      <c r="K4965" s="1" t="s">
        <v>6076</v>
      </c>
      <c r="L4965" s="1" t="s">
        <v>6076</v>
      </c>
      <c r="M4965">
        <f t="shared" si="155"/>
        <v>23</v>
      </c>
      <c r="N4965" t="s">
        <v>640</v>
      </c>
    </row>
    <row r="4966" spans="1:14" x14ac:dyDescent="0.3">
      <c r="A4966" s="1" t="s">
        <v>9895</v>
      </c>
      <c r="B4966" s="1" t="s">
        <v>1849</v>
      </c>
      <c r="C4966" s="1" t="s">
        <v>9896</v>
      </c>
      <c r="D4966" s="1" t="s">
        <v>738</v>
      </c>
      <c r="E4966" s="1" t="s">
        <v>6076</v>
      </c>
      <c r="F4966" s="1" t="s">
        <v>6076</v>
      </c>
      <c r="G4966" s="1" t="s">
        <v>9886</v>
      </c>
      <c r="H4966">
        <v>1992</v>
      </c>
      <c r="I4966">
        <v>1998</v>
      </c>
      <c r="J4966">
        <f t="shared" si="154"/>
        <v>7</v>
      </c>
      <c r="K4966" s="1" t="s">
        <v>6076</v>
      </c>
      <c r="L4966" s="1" t="s">
        <v>6076</v>
      </c>
      <c r="M4966">
        <f t="shared" si="155"/>
        <v>28</v>
      </c>
      <c r="N4966" t="s">
        <v>640</v>
      </c>
    </row>
    <row r="4967" spans="1:14" x14ac:dyDescent="0.3">
      <c r="A4967" s="1" t="s">
        <v>9897</v>
      </c>
      <c r="B4967" s="1" t="s">
        <v>1849</v>
      </c>
      <c r="C4967" s="1" t="s">
        <v>9898</v>
      </c>
      <c r="D4967" s="1" t="s">
        <v>738</v>
      </c>
      <c r="E4967" s="1" t="s">
        <v>6076</v>
      </c>
      <c r="F4967" s="1" t="s">
        <v>6076</v>
      </c>
      <c r="G4967" s="1" t="s">
        <v>9886</v>
      </c>
      <c r="H4967">
        <v>2005</v>
      </c>
      <c r="I4967">
        <v>2008</v>
      </c>
      <c r="J4967">
        <f t="shared" si="154"/>
        <v>4</v>
      </c>
      <c r="K4967" s="1" t="s">
        <v>6076</v>
      </c>
      <c r="L4967" s="1" t="s">
        <v>6076</v>
      </c>
      <c r="M4967">
        <f t="shared" si="155"/>
        <v>18</v>
      </c>
      <c r="N4967" t="s">
        <v>650</v>
      </c>
    </row>
    <row r="4968" spans="1:14" x14ac:dyDescent="0.3">
      <c r="A4968" t="s">
        <v>11021</v>
      </c>
      <c r="B4968" t="s">
        <v>10996</v>
      </c>
      <c r="C4968" t="s">
        <v>11022</v>
      </c>
      <c r="E4968" s="1" t="s">
        <v>6076</v>
      </c>
      <c r="F4968" s="1" t="s">
        <v>6076</v>
      </c>
      <c r="G4968" s="1" t="s">
        <v>12780</v>
      </c>
      <c r="H4968">
        <v>2023</v>
      </c>
      <c r="I4968">
        <v>2026</v>
      </c>
      <c r="J4968">
        <f t="shared" si="154"/>
        <v>4</v>
      </c>
      <c r="K4968" s="1" t="s">
        <v>6076</v>
      </c>
      <c r="L4968" s="1" t="s">
        <v>6076</v>
      </c>
      <c r="M4968">
        <f t="shared" si="155"/>
        <v>0</v>
      </c>
    </row>
    <row r="4969" spans="1:14" x14ac:dyDescent="0.3">
      <c r="A4969" t="s">
        <v>11023</v>
      </c>
      <c r="B4969" t="s">
        <v>10996</v>
      </c>
      <c r="C4969" t="s">
        <v>11024</v>
      </c>
      <c r="E4969" s="1" t="s">
        <v>6076</v>
      </c>
      <c r="F4969" s="1" t="s">
        <v>6076</v>
      </c>
      <c r="G4969" s="1" t="s">
        <v>12780</v>
      </c>
      <c r="H4969">
        <v>2024</v>
      </c>
      <c r="I4969">
        <v>2026</v>
      </c>
      <c r="J4969">
        <f t="shared" si="154"/>
        <v>3</v>
      </c>
      <c r="K4969" s="1" t="s">
        <v>6076</v>
      </c>
      <c r="L4969" s="1" t="s">
        <v>6076</v>
      </c>
      <c r="M4969">
        <f t="shared" si="155"/>
        <v>0</v>
      </c>
    </row>
    <row r="4970" spans="1:14" x14ac:dyDescent="0.3">
      <c r="A4970" t="s">
        <v>11025</v>
      </c>
      <c r="B4970" t="s">
        <v>10996</v>
      </c>
      <c r="C4970" t="s">
        <v>11026</v>
      </c>
      <c r="E4970" s="1" t="s">
        <v>6076</v>
      </c>
      <c r="F4970" s="1" t="s">
        <v>6076</v>
      </c>
      <c r="G4970" s="1" t="s">
        <v>12780</v>
      </c>
      <c r="H4970">
        <v>2025</v>
      </c>
      <c r="I4970">
        <v>2026</v>
      </c>
      <c r="J4970">
        <f t="shared" si="154"/>
        <v>2</v>
      </c>
      <c r="K4970" s="1" t="s">
        <v>6076</v>
      </c>
      <c r="L4970" s="1" t="s">
        <v>6076</v>
      </c>
      <c r="M4970">
        <f t="shared" si="155"/>
        <v>0</v>
      </c>
    </row>
    <row r="4971" spans="1:14" x14ac:dyDescent="0.3">
      <c r="A4971" t="s">
        <v>11027</v>
      </c>
      <c r="B4971" t="s">
        <v>10996</v>
      </c>
      <c r="C4971" t="s">
        <v>11028</v>
      </c>
      <c r="E4971" s="1" t="s">
        <v>6076</v>
      </c>
      <c r="F4971" s="1" t="s">
        <v>6076</v>
      </c>
      <c r="G4971" s="1" t="s">
        <v>12780</v>
      </c>
      <c r="H4971">
        <v>2025</v>
      </c>
      <c r="I4971">
        <v>2026</v>
      </c>
      <c r="J4971">
        <f t="shared" si="154"/>
        <v>2</v>
      </c>
      <c r="K4971" s="1" t="s">
        <v>6076</v>
      </c>
      <c r="L4971" s="1" t="s">
        <v>6076</v>
      </c>
      <c r="M4971">
        <f t="shared" si="155"/>
        <v>0</v>
      </c>
    </row>
    <row r="4972" spans="1:14" hidden="1" x14ac:dyDescent="0.3">
      <c r="A4972" s="1" t="s">
        <v>3096</v>
      </c>
      <c r="B4972" s="1" t="s">
        <v>795</v>
      </c>
      <c r="C4972" s="1" t="s">
        <v>3097</v>
      </c>
      <c r="D4972" s="1" t="s">
        <v>746</v>
      </c>
      <c r="E4972" s="1" t="s">
        <v>747</v>
      </c>
      <c r="F4972" s="1" t="s">
        <v>748</v>
      </c>
      <c r="G4972" s="1" t="s">
        <v>3098</v>
      </c>
      <c r="H4972">
        <v>2013</v>
      </c>
      <c r="I4972">
        <v>2014</v>
      </c>
      <c r="J4972">
        <f t="shared" si="154"/>
        <v>2</v>
      </c>
      <c r="K4972" s="1" t="s">
        <v>741</v>
      </c>
      <c r="L4972" s="1" t="s">
        <v>666</v>
      </c>
      <c r="M4972">
        <f t="shared" si="155"/>
        <v>12</v>
      </c>
      <c r="N4972" t="s">
        <v>650</v>
      </c>
    </row>
    <row r="4973" spans="1:14" hidden="1" x14ac:dyDescent="0.3">
      <c r="A4973" s="1" t="s">
        <v>3099</v>
      </c>
      <c r="B4973" s="1" t="s">
        <v>795</v>
      </c>
      <c r="C4973" s="1" t="s">
        <v>3100</v>
      </c>
      <c r="D4973" s="1" t="s">
        <v>746</v>
      </c>
      <c r="E4973" s="1" t="s">
        <v>747</v>
      </c>
      <c r="F4973" s="1" t="s">
        <v>748</v>
      </c>
      <c r="G4973" s="1" t="s">
        <v>3098</v>
      </c>
      <c r="H4973">
        <v>2012</v>
      </c>
      <c r="I4973">
        <v>2014</v>
      </c>
      <c r="J4973">
        <f t="shared" si="154"/>
        <v>3</v>
      </c>
      <c r="K4973" s="1" t="s">
        <v>741</v>
      </c>
      <c r="L4973" s="1" t="s">
        <v>666</v>
      </c>
      <c r="M4973">
        <f t="shared" si="155"/>
        <v>12</v>
      </c>
      <c r="N4973" t="s">
        <v>650</v>
      </c>
    </row>
    <row r="4974" spans="1:14" hidden="1" x14ac:dyDescent="0.3">
      <c r="A4974" s="1" t="s">
        <v>3101</v>
      </c>
      <c r="B4974" s="1" t="s">
        <v>795</v>
      </c>
      <c r="C4974" s="1" t="s">
        <v>3102</v>
      </c>
      <c r="D4974" s="1" t="s">
        <v>746</v>
      </c>
      <c r="E4974" s="1" t="s">
        <v>747</v>
      </c>
      <c r="F4974" s="1" t="s">
        <v>748</v>
      </c>
      <c r="G4974" s="1" t="s">
        <v>3098</v>
      </c>
      <c r="H4974">
        <v>2012</v>
      </c>
      <c r="I4974">
        <v>2014</v>
      </c>
      <c r="J4974">
        <f t="shared" si="154"/>
        <v>3</v>
      </c>
      <c r="K4974" s="1" t="s">
        <v>741</v>
      </c>
      <c r="L4974" s="1" t="s">
        <v>666</v>
      </c>
      <c r="M4974">
        <f t="shared" si="155"/>
        <v>12</v>
      </c>
      <c r="N4974" t="s">
        <v>650</v>
      </c>
    </row>
    <row r="4975" spans="1:14" hidden="1" x14ac:dyDescent="0.3">
      <c r="A4975" s="1" t="s">
        <v>3103</v>
      </c>
      <c r="B4975" s="1" t="s">
        <v>795</v>
      </c>
      <c r="C4975" s="1" t="s">
        <v>3104</v>
      </c>
      <c r="D4975" s="1" t="s">
        <v>746</v>
      </c>
      <c r="E4975" s="1" t="s">
        <v>747</v>
      </c>
      <c r="F4975" s="1" t="s">
        <v>748</v>
      </c>
      <c r="G4975" s="1" t="s">
        <v>3098</v>
      </c>
      <c r="H4975">
        <v>2012</v>
      </c>
      <c r="I4975">
        <v>2013</v>
      </c>
      <c r="J4975">
        <f t="shared" si="154"/>
        <v>2</v>
      </c>
      <c r="K4975" s="1" t="s">
        <v>741</v>
      </c>
      <c r="L4975" s="1" t="s">
        <v>666</v>
      </c>
      <c r="M4975">
        <f t="shared" si="155"/>
        <v>13</v>
      </c>
      <c r="N4975" t="s">
        <v>650</v>
      </c>
    </row>
    <row r="4976" spans="1:14" hidden="1" x14ac:dyDescent="0.3">
      <c r="A4976" s="1" t="s">
        <v>3105</v>
      </c>
      <c r="B4976" s="1" t="s">
        <v>795</v>
      </c>
      <c r="C4976" s="1" t="s">
        <v>3106</v>
      </c>
      <c r="D4976" s="1" t="s">
        <v>746</v>
      </c>
      <c r="E4976" s="1" t="s">
        <v>747</v>
      </c>
      <c r="F4976" s="1" t="s">
        <v>748</v>
      </c>
      <c r="G4976" s="1" t="s">
        <v>3098</v>
      </c>
      <c r="H4976">
        <v>2014</v>
      </c>
      <c r="I4976">
        <v>2014</v>
      </c>
      <c r="J4976">
        <f t="shared" si="154"/>
        <v>1</v>
      </c>
      <c r="K4976" s="1" t="s">
        <v>741</v>
      </c>
      <c r="L4976" s="1" t="s">
        <v>666</v>
      </c>
      <c r="M4976">
        <f t="shared" si="155"/>
        <v>12</v>
      </c>
      <c r="N4976" t="s">
        <v>650</v>
      </c>
    </row>
    <row r="4977" spans="1:14" hidden="1" x14ac:dyDescent="0.3">
      <c r="A4977" s="1" t="s">
        <v>3107</v>
      </c>
      <c r="B4977" s="1" t="s">
        <v>795</v>
      </c>
      <c r="C4977" s="1" t="s">
        <v>3108</v>
      </c>
      <c r="D4977" s="1" t="s">
        <v>738</v>
      </c>
      <c r="E4977" s="1" t="s">
        <v>739</v>
      </c>
      <c r="F4977" s="1" t="s">
        <v>781</v>
      </c>
      <c r="G4977" s="1" t="s">
        <v>3098</v>
      </c>
      <c r="H4977">
        <v>2013</v>
      </c>
      <c r="I4977">
        <v>2013</v>
      </c>
      <c r="J4977">
        <f t="shared" si="154"/>
        <v>1</v>
      </c>
      <c r="K4977" s="1" t="s">
        <v>741</v>
      </c>
      <c r="L4977" s="1" t="s">
        <v>666</v>
      </c>
      <c r="M4977">
        <f t="shared" si="155"/>
        <v>13</v>
      </c>
      <c r="N4977" t="s">
        <v>650</v>
      </c>
    </row>
    <row r="4978" spans="1:14" hidden="1" x14ac:dyDescent="0.3">
      <c r="A4978" s="1" t="s">
        <v>3109</v>
      </c>
      <c r="B4978" s="1" t="s">
        <v>795</v>
      </c>
      <c r="C4978" s="1" t="s">
        <v>3110</v>
      </c>
      <c r="D4978" s="1" t="s">
        <v>738</v>
      </c>
      <c r="E4978" s="1" t="s">
        <v>739</v>
      </c>
      <c r="F4978" s="1" t="s">
        <v>781</v>
      </c>
      <c r="G4978" s="1" t="s">
        <v>3098</v>
      </c>
      <c r="H4978">
        <v>2012</v>
      </c>
      <c r="I4978">
        <v>2013</v>
      </c>
      <c r="J4978">
        <f t="shared" si="154"/>
        <v>2</v>
      </c>
      <c r="K4978" s="1" t="s">
        <v>741</v>
      </c>
      <c r="L4978" s="1" t="s">
        <v>666</v>
      </c>
      <c r="M4978">
        <f t="shared" si="155"/>
        <v>13</v>
      </c>
      <c r="N4978" t="s">
        <v>650</v>
      </c>
    </row>
    <row r="4979" spans="1:14" hidden="1" x14ac:dyDescent="0.3">
      <c r="A4979" s="1" t="s">
        <v>3111</v>
      </c>
      <c r="B4979" s="1" t="s">
        <v>795</v>
      </c>
      <c r="C4979" s="1" t="s">
        <v>3112</v>
      </c>
      <c r="D4979" s="1" t="s">
        <v>738</v>
      </c>
      <c r="E4979" s="1" t="s">
        <v>739</v>
      </c>
      <c r="F4979" s="1" t="s">
        <v>781</v>
      </c>
      <c r="G4979" s="1" t="s">
        <v>3098</v>
      </c>
      <c r="H4979">
        <v>2012</v>
      </c>
      <c r="I4979">
        <v>2013</v>
      </c>
      <c r="J4979">
        <f t="shared" si="154"/>
        <v>2</v>
      </c>
      <c r="K4979" s="1" t="s">
        <v>741</v>
      </c>
      <c r="L4979" s="1" t="s">
        <v>666</v>
      </c>
      <c r="M4979">
        <f t="shared" si="155"/>
        <v>13</v>
      </c>
      <c r="N4979" t="s">
        <v>650</v>
      </c>
    </row>
    <row r="4980" spans="1:14" hidden="1" x14ac:dyDescent="0.3">
      <c r="A4980" s="1" t="s">
        <v>3113</v>
      </c>
      <c r="B4980" s="1" t="s">
        <v>795</v>
      </c>
      <c r="C4980" s="1" t="s">
        <v>3114</v>
      </c>
      <c r="D4980" s="1" t="s">
        <v>738</v>
      </c>
      <c r="E4980" s="1" t="s">
        <v>739</v>
      </c>
      <c r="F4980" s="1" t="s">
        <v>781</v>
      </c>
      <c r="G4980" s="1" t="s">
        <v>3098</v>
      </c>
      <c r="H4980">
        <v>2013</v>
      </c>
      <c r="I4980">
        <v>2013</v>
      </c>
      <c r="J4980">
        <f t="shared" si="154"/>
        <v>1</v>
      </c>
      <c r="K4980" s="1" t="s">
        <v>741</v>
      </c>
      <c r="L4980" s="1" t="s">
        <v>666</v>
      </c>
      <c r="M4980">
        <f t="shared" si="155"/>
        <v>13</v>
      </c>
      <c r="N4980" t="s">
        <v>650</v>
      </c>
    </row>
    <row r="4981" spans="1:14" x14ac:dyDescent="0.3">
      <c r="A4981" s="1" t="s">
        <v>9899</v>
      </c>
      <c r="B4981" s="1" t="s">
        <v>795</v>
      </c>
      <c r="C4981" s="1" t="s">
        <v>9900</v>
      </c>
      <c r="D4981" s="1" t="s">
        <v>1242</v>
      </c>
      <c r="E4981" s="1" t="s">
        <v>6076</v>
      </c>
      <c r="F4981" s="1" t="s">
        <v>6076</v>
      </c>
      <c r="G4981" s="1" t="s">
        <v>9901</v>
      </c>
      <c r="H4981">
        <v>1994</v>
      </c>
      <c r="I4981">
        <v>1995</v>
      </c>
      <c r="J4981">
        <f t="shared" si="154"/>
        <v>2</v>
      </c>
      <c r="K4981" s="1" t="s">
        <v>6076</v>
      </c>
      <c r="L4981" s="1" t="s">
        <v>6076</v>
      </c>
      <c r="M4981">
        <f t="shared" si="155"/>
        <v>31</v>
      </c>
      <c r="N4981" t="s">
        <v>640</v>
      </c>
    </row>
    <row r="4982" spans="1:14" hidden="1" x14ac:dyDescent="0.3">
      <c r="A4982" s="1" t="s">
        <v>5750</v>
      </c>
      <c r="B4982" s="1" t="s">
        <v>2667</v>
      </c>
      <c r="C4982" s="1" t="s">
        <v>5751</v>
      </c>
      <c r="D4982" s="1" t="s">
        <v>1395</v>
      </c>
      <c r="E4982" s="1" t="s">
        <v>4087</v>
      </c>
      <c r="F4982" s="1" t="s">
        <v>4088</v>
      </c>
      <c r="G4982" s="1" t="s">
        <v>5752</v>
      </c>
      <c r="H4982">
        <v>2011</v>
      </c>
      <c r="I4982">
        <v>2022</v>
      </c>
      <c r="J4982">
        <f t="shared" si="154"/>
        <v>12</v>
      </c>
      <c r="K4982" s="1" t="s">
        <v>4668</v>
      </c>
      <c r="L4982" s="1" t="s">
        <v>666</v>
      </c>
      <c r="M4982">
        <f t="shared" si="155"/>
        <v>4</v>
      </c>
      <c r="N4982" t="s">
        <v>650</v>
      </c>
    </row>
    <row r="4983" spans="1:14" hidden="1" x14ac:dyDescent="0.3">
      <c r="A4983" s="1" t="s">
        <v>5753</v>
      </c>
      <c r="B4983" s="1" t="s">
        <v>2667</v>
      </c>
      <c r="C4983" s="1" t="s">
        <v>5754</v>
      </c>
      <c r="D4983" s="1" t="s">
        <v>1395</v>
      </c>
      <c r="E4983" s="1" t="s">
        <v>4087</v>
      </c>
      <c r="F4983" s="1" t="s">
        <v>4088</v>
      </c>
      <c r="G4983" s="1" t="s">
        <v>5752</v>
      </c>
      <c r="H4983">
        <v>2011</v>
      </c>
      <c r="I4983">
        <v>2020</v>
      </c>
      <c r="J4983">
        <f t="shared" si="154"/>
        <v>10</v>
      </c>
      <c r="K4983" s="1" t="s">
        <v>4668</v>
      </c>
      <c r="L4983" s="1" t="s">
        <v>666</v>
      </c>
      <c r="M4983">
        <f t="shared" si="155"/>
        <v>6</v>
      </c>
      <c r="N4983" t="s">
        <v>650</v>
      </c>
    </row>
    <row r="4984" spans="1:14" hidden="1" x14ac:dyDescent="0.3">
      <c r="A4984" s="1" t="s">
        <v>5755</v>
      </c>
      <c r="B4984" s="1" t="s">
        <v>2667</v>
      </c>
      <c r="C4984" s="1" t="s">
        <v>5756</v>
      </c>
      <c r="D4984" s="1" t="s">
        <v>1395</v>
      </c>
      <c r="E4984" s="1" t="s">
        <v>4087</v>
      </c>
      <c r="F4984" s="1" t="s">
        <v>4088</v>
      </c>
      <c r="G4984" s="1" t="s">
        <v>5752</v>
      </c>
      <c r="H4984">
        <v>2015</v>
      </c>
      <c r="I4984">
        <v>2018</v>
      </c>
      <c r="J4984">
        <f t="shared" si="154"/>
        <v>4</v>
      </c>
      <c r="K4984" s="1" t="s">
        <v>4668</v>
      </c>
      <c r="L4984" s="1" t="s">
        <v>666</v>
      </c>
      <c r="M4984">
        <f t="shared" si="155"/>
        <v>8</v>
      </c>
      <c r="N4984" t="s">
        <v>650</v>
      </c>
    </row>
    <row r="4985" spans="1:14" hidden="1" x14ac:dyDescent="0.3">
      <c r="A4985" s="1" t="s">
        <v>5757</v>
      </c>
      <c r="B4985" s="1" t="s">
        <v>2667</v>
      </c>
      <c r="C4985" s="1" t="s">
        <v>5758</v>
      </c>
      <c r="D4985" s="1" t="s">
        <v>1395</v>
      </c>
      <c r="E4985" s="1" t="s">
        <v>4087</v>
      </c>
      <c r="F4985" s="1" t="s">
        <v>4088</v>
      </c>
      <c r="G4985" s="1" t="s">
        <v>5752</v>
      </c>
      <c r="H4985">
        <v>2011</v>
      </c>
      <c r="I4985">
        <v>2019</v>
      </c>
      <c r="J4985">
        <f t="shared" si="154"/>
        <v>9</v>
      </c>
      <c r="K4985" s="1" t="s">
        <v>4668</v>
      </c>
      <c r="L4985" s="1" t="s">
        <v>666</v>
      </c>
      <c r="M4985">
        <f t="shared" si="155"/>
        <v>7</v>
      </c>
      <c r="N4985" t="s">
        <v>650</v>
      </c>
    </row>
    <row r="4986" spans="1:14" hidden="1" x14ac:dyDescent="0.3">
      <c r="A4986" s="1" t="s">
        <v>5759</v>
      </c>
      <c r="B4986" s="1" t="s">
        <v>2667</v>
      </c>
      <c r="C4986" s="1" t="s">
        <v>5760</v>
      </c>
      <c r="D4986" s="1" t="s">
        <v>1395</v>
      </c>
      <c r="E4986" s="1" t="s">
        <v>4087</v>
      </c>
      <c r="F4986" s="1" t="s">
        <v>4088</v>
      </c>
      <c r="G4986" s="1" t="s">
        <v>5752</v>
      </c>
      <c r="H4986">
        <v>2010</v>
      </c>
      <c r="I4986">
        <v>2022</v>
      </c>
      <c r="J4986">
        <f t="shared" si="154"/>
        <v>13</v>
      </c>
      <c r="K4986" s="1" t="s">
        <v>4668</v>
      </c>
      <c r="L4986" s="1" t="s">
        <v>666</v>
      </c>
      <c r="M4986">
        <f t="shared" si="155"/>
        <v>4</v>
      </c>
      <c r="N4986" t="s">
        <v>650</v>
      </c>
    </row>
    <row r="4987" spans="1:14" hidden="1" x14ac:dyDescent="0.3">
      <c r="A4987" s="1" t="s">
        <v>5761</v>
      </c>
      <c r="B4987" s="1" t="s">
        <v>2667</v>
      </c>
      <c r="C4987" s="1" t="s">
        <v>5762</v>
      </c>
      <c r="D4987" s="1" t="s">
        <v>1395</v>
      </c>
      <c r="E4987" s="1" t="s">
        <v>4087</v>
      </c>
      <c r="F4987" s="1" t="s">
        <v>4088</v>
      </c>
      <c r="G4987" s="1" t="s">
        <v>5752</v>
      </c>
      <c r="H4987">
        <v>2004</v>
      </c>
      <c r="I4987">
        <v>2009</v>
      </c>
      <c r="J4987">
        <f t="shared" si="154"/>
        <v>6</v>
      </c>
      <c r="K4987" s="1" t="s">
        <v>4668</v>
      </c>
      <c r="L4987" s="1" t="s">
        <v>666</v>
      </c>
      <c r="M4987">
        <f t="shared" si="155"/>
        <v>17</v>
      </c>
      <c r="N4987" t="s">
        <v>650</v>
      </c>
    </row>
    <row r="4988" spans="1:14" x14ac:dyDescent="0.3">
      <c r="A4988" s="1" t="s">
        <v>9902</v>
      </c>
      <c r="B4988" s="1" t="s">
        <v>2667</v>
      </c>
      <c r="C4988" s="1" t="s">
        <v>9903</v>
      </c>
      <c r="D4988" s="1" t="s">
        <v>1395</v>
      </c>
      <c r="E4988" s="1" t="s">
        <v>6076</v>
      </c>
      <c r="F4988" s="1" t="s">
        <v>6076</v>
      </c>
      <c r="G4988" s="1" t="s">
        <v>5752</v>
      </c>
      <c r="H4988">
        <v>2006</v>
      </c>
      <c r="I4988">
        <v>2009</v>
      </c>
      <c r="J4988">
        <f t="shared" si="154"/>
        <v>4</v>
      </c>
      <c r="K4988" s="1" t="s">
        <v>6076</v>
      </c>
      <c r="L4988" s="1" t="s">
        <v>6076</v>
      </c>
      <c r="M4988">
        <f t="shared" si="155"/>
        <v>17</v>
      </c>
      <c r="N4988" t="s">
        <v>650</v>
      </c>
    </row>
    <row r="4989" spans="1:14" x14ac:dyDescent="0.3">
      <c r="A4989" s="1" t="s">
        <v>9904</v>
      </c>
      <c r="B4989" s="1" t="s">
        <v>2667</v>
      </c>
      <c r="C4989" s="1" t="s">
        <v>9905</v>
      </c>
      <c r="D4989" s="1" t="s">
        <v>1395</v>
      </c>
      <c r="E4989" s="1" t="s">
        <v>6076</v>
      </c>
      <c r="F4989" s="1" t="s">
        <v>6076</v>
      </c>
      <c r="G4989" s="1" t="s">
        <v>5752</v>
      </c>
      <c r="H4989">
        <v>2003</v>
      </c>
      <c r="I4989">
        <v>2006</v>
      </c>
      <c r="J4989">
        <f t="shared" si="154"/>
        <v>4</v>
      </c>
      <c r="K4989" s="1" t="s">
        <v>6076</v>
      </c>
      <c r="L4989" s="1" t="s">
        <v>6076</v>
      </c>
      <c r="M4989">
        <f t="shared" si="155"/>
        <v>20</v>
      </c>
      <c r="N4989" t="s">
        <v>640</v>
      </c>
    </row>
    <row r="4990" spans="1:14" x14ac:dyDescent="0.3">
      <c r="A4990" s="1" t="s">
        <v>9906</v>
      </c>
      <c r="B4990" s="1" t="s">
        <v>2667</v>
      </c>
      <c r="C4990" s="1" t="s">
        <v>9907</v>
      </c>
      <c r="D4990" s="1" t="s">
        <v>1395</v>
      </c>
      <c r="E4990" s="1" t="s">
        <v>6076</v>
      </c>
      <c r="F4990" s="1" t="s">
        <v>6076</v>
      </c>
      <c r="G4990" s="1" t="s">
        <v>5752</v>
      </c>
      <c r="H4990">
        <v>2006</v>
      </c>
      <c r="I4990">
        <v>2009</v>
      </c>
      <c r="J4990">
        <f t="shared" si="154"/>
        <v>4</v>
      </c>
      <c r="K4990" s="1" t="s">
        <v>6076</v>
      </c>
      <c r="L4990" s="1" t="s">
        <v>6076</v>
      </c>
      <c r="M4990">
        <f t="shared" si="155"/>
        <v>17</v>
      </c>
      <c r="N4990" t="s">
        <v>650</v>
      </c>
    </row>
    <row r="4991" spans="1:14" x14ac:dyDescent="0.3">
      <c r="A4991" s="1" t="s">
        <v>9908</v>
      </c>
      <c r="B4991" s="1" t="s">
        <v>2667</v>
      </c>
      <c r="C4991" s="1" t="s">
        <v>9909</v>
      </c>
      <c r="D4991" s="1" t="s">
        <v>1395</v>
      </c>
      <c r="E4991" s="1" t="s">
        <v>6076</v>
      </c>
      <c r="F4991" s="1" t="s">
        <v>6076</v>
      </c>
      <c r="G4991" s="1" t="s">
        <v>5752</v>
      </c>
      <c r="H4991">
        <v>2005</v>
      </c>
      <c r="I4991">
        <v>2006</v>
      </c>
      <c r="J4991">
        <f t="shared" si="154"/>
        <v>2</v>
      </c>
      <c r="K4991" s="1" t="s">
        <v>6076</v>
      </c>
      <c r="L4991" s="1" t="s">
        <v>6076</v>
      </c>
      <c r="M4991">
        <f t="shared" si="155"/>
        <v>20</v>
      </c>
      <c r="N4991" t="s">
        <v>640</v>
      </c>
    </row>
    <row r="4992" spans="1:14" x14ac:dyDescent="0.3">
      <c r="A4992" s="1" t="s">
        <v>9910</v>
      </c>
      <c r="B4992" s="1" t="s">
        <v>2667</v>
      </c>
      <c r="C4992" s="1" t="s">
        <v>9911</v>
      </c>
      <c r="D4992" s="1" t="s">
        <v>1395</v>
      </c>
      <c r="E4992" s="1" t="s">
        <v>6076</v>
      </c>
      <c r="F4992" s="1" t="s">
        <v>6076</v>
      </c>
      <c r="G4992" s="1" t="s">
        <v>5752</v>
      </c>
      <c r="H4992">
        <v>2005</v>
      </c>
      <c r="I4992">
        <v>2006</v>
      </c>
      <c r="J4992">
        <f t="shared" si="154"/>
        <v>2</v>
      </c>
      <c r="K4992" s="1" t="s">
        <v>6076</v>
      </c>
      <c r="L4992" s="1" t="s">
        <v>6076</v>
      </c>
      <c r="M4992">
        <f t="shared" si="155"/>
        <v>20</v>
      </c>
      <c r="N4992" t="s">
        <v>640</v>
      </c>
    </row>
    <row r="4993" spans="1:14" hidden="1" x14ac:dyDescent="0.3">
      <c r="A4993" s="1" t="s">
        <v>4652</v>
      </c>
      <c r="B4993" s="1" t="s">
        <v>2667</v>
      </c>
      <c r="C4993" s="1" t="s">
        <v>4653</v>
      </c>
      <c r="D4993" s="1" t="s">
        <v>738</v>
      </c>
      <c r="E4993" s="1" t="s">
        <v>739</v>
      </c>
      <c r="F4993" s="1" t="s">
        <v>740</v>
      </c>
      <c r="G4993" s="1" t="s">
        <v>4654</v>
      </c>
      <c r="H4993">
        <v>2010</v>
      </c>
      <c r="I4993">
        <v>2019</v>
      </c>
      <c r="J4993">
        <f t="shared" si="154"/>
        <v>10</v>
      </c>
      <c r="K4993" s="1" t="s">
        <v>3665</v>
      </c>
      <c r="L4993" s="1" t="s">
        <v>798</v>
      </c>
      <c r="M4993">
        <f t="shared" si="155"/>
        <v>7</v>
      </c>
      <c r="N4993" t="s">
        <v>650</v>
      </c>
    </row>
    <row r="4994" spans="1:14" hidden="1" x14ac:dyDescent="0.3">
      <c r="A4994" s="1" t="s">
        <v>4655</v>
      </c>
      <c r="B4994" s="1" t="s">
        <v>2667</v>
      </c>
      <c r="C4994" s="1" t="s">
        <v>4656</v>
      </c>
      <c r="D4994" s="1" t="s">
        <v>738</v>
      </c>
      <c r="E4994" s="1" t="s">
        <v>739</v>
      </c>
      <c r="F4994" s="1" t="s">
        <v>740</v>
      </c>
      <c r="G4994" s="1" t="s">
        <v>4654</v>
      </c>
      <c r="H4994">
        <v>2009</v>
      </c>
      <c r="I4994">
        <v>2014</v>
      </c>
      <c r="J4994">
        <f t="shared" si="154"/>
        <v>6</v>
      </c>
      <c r="K4994" s="1" t="s">
        <v>3665</v>
      </c>
      <c r="L4994" s="1" t="s">
        <v>798</v>
      </c>
      <c r="M4994">
        <f t="shared" si="155"/>
        <v>12</v>
      </c>
      <c r="N4994" t="s">
        <v>650</v>
      </c>
    </row>
    <row r="4995" spans="1:14" x14ac:dyDescent="0.3">
      <c r="A4995" s="1" t="s">
        <v>9912</v>
      </c>
      <c r="B4995" s="1" t="s">
        <v>4561</v>
      </c>
      <c r="C4995" s="1" t="s">
        <v>9913</v>
      </c>
      <c r="D4995" s="1" t="s">
        <v>644</v>
      </c>
      <c r="E4995" s="1" t="s">
        <v>6076</v>
      </c>
      <c r="F4995" s="1" t="s">
        <v>6076</v>
      </c>
      <c r="G4995" s="1" t="s">
        <v>9914</v>
      </c>
      <c r="H4995">
        <v>1993</v>
      </c>
      <c r="I4995">
        <v>1995</v>
      </c>
      <c r="J4995">
        <f t="shared" si="154"/>
        <v>3</v>
      </c>
      <c r="K4995" s="1" t="s">
        <v>6076</v>
      </c>
      <c r="L4995" s="1" t="s">
        <v>6076</v>
      </c>
      <c r="M4995">
        <f t="shared" si="155"/>
        <v>31</v>
      </c>
      <c r="N4995" t="s">
        <v>640</v>
      </c>
    </row>
    <row r="4996" spans="1:14" x14ac:dyDescent="0.3">
      <c r="A4996" s="1" t="s">
        <v>9915</v>
      </c>
      <c r="B4996" s="1" t="s">
        <v>4561</v>
      </c>
      <c r="C4996" s="1" t="s">
        <v>9916</v>
      </c>
      <c r="D4996" s="1" t="s">
        <v>644</v>
      </c>
      <c r="E4996" s="1" t="s">
        <v>6076</v>
      </c>
      <c r="F4996" s="1" t="s">
        <v>6076</v>
      </c>
      <c r="G4996" s="1" t="s">
        <v>9914</v>
      </c>
      <c r="H4996">
        <v>1993</v>
      </c>
      <c r="I4996">
        <v>1995</v>
      </c>
      <c r="J4996">
        <f t="shared" si="154"/>
        <v>3</v>
      </c>
      <c r="K4996" s="1" t="s">
        <v>6076</v>
      </c>
      <c r="L4996" s="1" t="s">
        <v>6076</v>
      </c>
      <c r="M4996">
        <f t="shared" si="155"/>
        <v>31</v>
      </c>
      <c r="N4996" t="s">
        <v>640</v>
      </c>
    </row>
    <row r="4997" spans="1:14" x14ac:dyDescent="0.3">
      <c r="A4997" s="1" t="s">
        <v>9917</v>
      </c>
      <c r="B4997" s="1" t="s">
        <v>4561</v>
      </c>
      <c r="C4997" s="1" t="s">
        <v>9918</v>
      </c>
      <c r="D4997" s="1" t="s">
        <v>644</v>
      </c>
      <c r="E4997" s="1" t="s">
        <v>6076</v>
      </c>
      <c r="F4997" s="1" t="s">
        <v>6076</v>
      </c>
      <c r="G4997" s="1" t="s">
        <v>9914</v>
      </c>
      <c r="H4997">
        <v>1999</v>
      </c>
      <c r="I4997">
        <v>2004</v>
      </c>
      <c r="J4997">
        <f t="shared" si="154"/>
        <v>6</v>
      </c>
      <c r="K4997" s="1" t="s">
        <v>6076</v>
      </c>
      <c r="L4997" s="1" t="s">
        <v>6076</v>
      </c>
      <c r="M4997">
        <f t="shared" si="155"/>
        <v>22</v>
      </c>
      <c r="N4997" t="s">
        <v>640</v>
      </c>
    </row>
    <row r="4998" spans="1:14" x14ac:dyDescent="0.3">
      <c r="A4998" s="1" t="s">
        <v>9919</v>
      </c>
      <c r="B4998" s="1" t="s">
        <v>4561</v>
      </c>
      <c r="C4998" s="1" t="s">
        <v>9920</v>
      </c>
      <c r="D4998" s="1" t="s">
        <v>644</v>
      </c>
      <c r="E4998" s="1" t="s">
        <v>6076</v>
      </c>
      <c r="F4998" s="1" t="s">
        <v>6076</v>
      </c>
      <c r="G4998" s="1" t="s">
        <v>9914</v>
      </c>
      <c r="H4998">
        <v>1994</v>
      </c>
      <c r="I4998">
        <v>1999</v>
      </c>
      <c r="J4998">
        <f t="shared" ref="J4998:J5061" si="156">1+(I4998-H4998)</f>
        <v>6</v>
      </c>
      <c r="K4998" s="1" t="s">
        <v>6076</v>
      </c>
      <c r="L4998" s="1" t="s">
        <v>6076</v>
      </c>
      <c r="M4998">
        <f t="shared" ref="M4998:M5061" si="157">IF(I4998=0,0,$B$2-I4998)</f>
        <v>27</v>
      </c>
      <c r="N4998" t="s">
        <v>640</v>
      </c>
    </row>
    <row r="4999" spans="1:14" hidden="1" x14ac:dyDescent="0.3">
      <c r="A4999" s="1" t="s">
        <v>3115</v>
      </c>
      <c r="B4999" s="1" t="s">
        <v>810</v>
      </c>
      <c r="C4999" s="1" t="s">
        <v>3116</v>
      </c>
      <c r="D4999" s="1" t="s">
        <v>738</v>
      </c>
      <c r="E4999" s="1" t="s">
        <v>739</v>
      </c>
      <c r="F4999" s="1" t="s">
        <v>740</v>
      </c>
      <c r="G4999" s="1" t="s">
        <v>3117</v>
      </c>
      <c r="H4999">
        <v>2015</v>
      </c>
      <c r="I4999">
        <v>2017</v>
      </c>
      <c r="J4999">
        <f t="shared" si="156"/>
        <v>3</v>
      </c>
      <c r="K4999" s="1" t="s">
        <v>741</v>
      </c>
      <c r="L4999" s="1" t="s">
        <v>798</v>
      </c>
      <c r="M4999">
        <f t="shared" si="157"/>
        <v>9</v>
      </c>
      <c r="N4999" t="s">
        <v>650</v>
      </c>
    </row>
    <row r="5000" spans="1:14" hidden="1" x14ac:dyDescent="0.3">
      <c r="A5000" s="1" t="s">
        <v>3118</v>
      </c>
      <c r="B5000" s="1" t="s">
        <v>810</v>
      </c>
      <c r="C5000" s="1" t="s">
        <v>3119</v>
      </c>
      <c r="D5000" s="1" t="s">
        <v>738</v>
      </c>
      <c r="E5000" s="1" t="s">
        <v>739</v>
      </c>
      <c r="F5000" s="1" t="s">
        <v>740</v>
      </c>
      <c r="G5000" s="1" t="s">
        <v>3117</v>
      </c>
      <c r="H5000">
        <v>2012</v>
      </c>
      <c r="I5000">
        <v>2015</v>
      </c>
      <c r="J5000">
        <f t="shared" si="156"/>
        <v>4</v>
      </c>
      <c r="K5000" s="1" t="s">
        <v>741</v>
      </c>
      <c r="L5000" s="1" t="s">
        <v>798</v>
      </c>
      <c r="M5000">
        <f t="shared" si="157"/>
        <v>11</v>
      </c>
      <c r="N5000" t="s">
        <v>650</v>
      </c>
    </row>
    <row r="5001" spans="1:14" hidden="1" x14ac:dyDescent="0.3">
      <c r="A5001" s="1" t="s">
        <v>3120</v>
      </c>
      <c r="B5001" s="1" t="s">
        <v>810</v>
      </c>
      <c r="C5001" s="1" t="s">
        <v>3121</v>
      </c>
      <c r="D5001" s="1" t="s">
        <v>738</v>
      </c>
      <c r="E5001" s="1" t="s">
        <v>739</v>
      </c>
      <c r="F5001" s="1" t="s">
        <v>740</v>
      </c>
      <c r="G5001" s="1" t="s">
        <v>3117</v>
      </c>
      <c r="H5001">
        <v>2015</v>
      </c>
      <c r="I5001">
        <v>2017</v>
      </c>
      <c r="J5001">
        <f t="shared" si="156"/>
        <v>3</v>
      </c>
      <c r="K5001" s="1" t="s">
        <v>741</v>
      </c>
      <c r="L5001" s="1" t="s">
        <v>798</v>
      </c>
      <c r="M5001">
        <f t="shared" si="157"/>
        <v>9</v>
      </c>
      <c r="N5001" t="s">
        <v>650</v>
      </c>
    </row>
    <row r="5002" spans="1:14" hidden="1" x14ac:dyDescent="0.3">
      <c r="A5002" s="1" t="s">
        <v>3122</v>
      </c>
      <c r="B5002" s="1" t="s">
        <v>810</v>
      </c>
      <c r="C5002" s="1" t="s">
        <v>3123</v>
      </c>
      <c r="D5002" s="1" t="s">
        <v>738</v>
      </c>
      <c r="E5002" s="1" t="s">
        <v>739</v>
      </c>
      <c r="F5002" s="1" t="s">
        <v>740</v>
      </c>
      <c r="G5002" s="1" t="s">
        <v>3117</v>
      </c>
      <c r="H5002">
        <v>2012</v>
      </c>
      <c r="I5002">
        <v>2015</v>
      </c>
      <c r="J5002">
        <f t="shared" si="156"/>
        <v>4</v>
      </c>
      <c r="K5002" s="1" t="s">
        <v>741</v>
      </c>
      <c r="L5002" s="1" t="s">
        <v>798</v>
      </c>
      <c r="M5002">
        <f t="shared" si="157"/>
        <v>11</v>
      </c>
      <c r="N5002" t="s">
        <v>650</v>
      </c>
    </row>
    <row r="5003" spans="1:14" hidden="1" x14ac:dyDescent="0.3">
      <c r="A5003" s="1" t="s">
        <v>3124</v>
      </c>
      <c r="B5003" s="1" t="s">
        <v>810</v>
      </c>
      <c r="C5003" s="1" t="s">
        <v>3125</v>
      </c>
      <c r="D5003" s="1" t="s">
        <v>738</v>
      </c>
      <c r="E5003" s="1" t="s">
        <v>739</v>
      </c>
      <c r="F5003" s="1" t="s">
        <v>740</v>
      </c>
      <c r="G5003" s="1" t="s">
        <v>3126</v>
      </c>
      <c r="H5003">
        <v>2015</v>
      </c>
      <c r="I5003">
        <v>2019</v>
      </c>
      <c r="J5003">
        <f t="shared" si="156"/>
        <v>5</v>
      </c>
      <c r="K5003" s="1" t="s">
        <v>741</v>
      </c>
      <c r="L5003" s="1" t="s">
        <v>798</v>
      </c>
      <c r="M5003">
        <f t="shared" si="157"/>
        <v>7</v>
      </c>
      <c r="N5003" t="s">
        <v>650</v>
      </c>
    </row>
    <row r="5004" spans="1:14" hidden="1" x14ac:dyDescent="0.3">
      <c r="A5004" s="1" t="s">
        <v>3127</v>
      </c>
      <c r="B5004" s="1" t="s">
        <v>810</v>
      </c>
      <c r="C5004" s="1" t="s">
        <v>3128</v>
      </c>
      <c r="D5004" s="1" t="s">
        <v>738</v>
      </c>
      <c r="E5004" s="1" t="s">
        <v>739</v>
      </c>
      <c r="F5004" s="1" t="s">
        <v>740</v>
      </c>
      <c r="G5004" s="1" t="s">
        <v>3126</v>
      </c>
      <c r="H5004">
        <v>2015</v>
      </c>
      <c r="I5004">
        <v>2019</v>
      </c>
      <c r="J5004">
        <f t="shared" si="156"/>
        <v>5</v>
      </c>
      <c r="K5004" s="1" t="s">
        <v>741</v>
      </c>
      <c r="L5004" s="1" t="s">
        <v>798</v>
      </c>
      <c r="M5004">
        <f t="shared" si="157"/>
        <v>7</v>
      </c>
      <c r="N5004" t="s">
        <v>650</v>
      </c>
    </row>
    <row r="5005" spans="1:14" hidden="1" x14ac:dyDescent="0.3">
      <c r="A5005" s="1" t="s">
        <v>3129</v>
      </c>
      <c r="B5005" s="1" t="s">
        <v>810</v>
      </c>
      <c r="C5005" s="1" t="s">
        <v>3130</v>
      </c>
      <c r="D5005" s="1" t="s">
        <v>738</v>
      </c>
      <c r="E5005" s="1" t="s">
        <v>739</v>
      </c>
      <c r="F5005" s="1" t="s">
        <v>740</v>
      </c>
      <c r="G5005" s="1" t="s">
        <v>3126</v>
      </c>
      <c r="H5005">
        <v>2006</v>
      </c>
      <c r="I5005">
        <v>2015</v>
      </c>
      <c r="J5005">
        <f t="shared" si="156"/>
        <v>10</v>
      </c>
      <c r="K5005" s="1" t="s">
        <v>741</v>
      </c>
      <c r="L5005" s="1" t="s">
        <v>798</v>
      </c>
      <c r="M5005">
        <f t="shared" si="157"/>
        <v>11</v>
      </c>
      <c r="N5005" t="s">
        <v>650</v>
      </c>
    </row>
    <row r="5006" spans="1:14" hidden="1" x14ac:dyDescent="0.3">
      <c r="A5006" s="1" t="s">
        <v>3131</v>
      </c>
      <c r="B5006" s="1" t="s">
        <v>810</v>
      </c>
      <c r="C5006" s="1" t="s">
        <v>3132</v>
      </c>
      <c r="D5006" s="1" t="s">
        <v>738</v>
      </c>
      <c r="E5006" s="1" t="s">
        <v>739</v>
      </c>
      <c r="F5006" s="1" t="s">
        <v>740</v>
      </c>
      <c r="G5006" s="1" t="s">
        <v>3126</v>
      </c>
      <c r="H5006">
        <v>2015</v>
      </c>
      <c r="I5006">
        <v>2018</v>
      </c>
      <c r="J5006">
        <f t="shared" si="156"/>
        <v>4</v>
      </c>
      <c r="K5006" s="1" t="s">
        <v>741</v>
      </c>
      <c r="L5006" s="1" t="s">
        <v>798</v>
      </c>
      <c r="M5006">
        <f t="shared" si="157"/>
        <v>8</v>
      </c>
      <c r="N5006" t="s">
        <v>650</v>
      </c>
    </row>
    <row r="5007" spans="1:14" hidden="1" x14ac:dyDescent="0.3">
      <c r="A5007" s="1" t="s">
        <v>3133</v>
      </c>
      <c r="B5007" s="1" t="s">
        <v>810</v>
      </c>
      <c r="C5007" s="1" t="s">
        <v>3134</v>
      </c>
      <c r="D5007" s="1" t="s">
        <v>738</v>
      </c>
      <c r="E5007" s="1" t="s">
        <v>739</v>
      </c>
      <c r="F5007" s="1" t="s">
        <v>740</v>
      </c>
      <c r="G5007" s="1" t="s">
        <v>3126</v>
      </c>
      <c r="H5007">
        <v>2006</v>
      </c>
      <c r="I5007">
        <v>2018</v>
      </c>
      <c r="J5007">
        <f t="shared" si="156"/>
        <v>13</v>
      </c>
      <c r="K5007" s="1" t="s">
        <v>741</v>
      </c>
      <c r="L5007" s="1" t="s">
        <v>798</v>
      </c>
      <c r="M5007">
        <f t="shared" si="157"/>
        <v>8</v>
      </c>
      <c r="N5007" t="s">
        <v>650</v>
      </c>
    </row>
    <row r="5008" spans="1:14" hidden="1" x14ac:dyDescent="0.3">
      <c r="A5008" s="1" t="s">
        <v>3135</v>
      </c>
      <c r="B5008" s="1" t="s">
        <v>810</v>
      </c>
      <c r="C5008" s="1" t="s">
        <v>3136</v>
      </c>
      <c r="D5008" s="1" t="s">
        <v>738</v>
      </c>
      <c r="E5008" s="1" t="s">
        <v>739</v>
      </c>
      <c r="F5008" s="1" t="s">
        <v>740</v>
      </c>
      <c r="G5008" s="1" t="s">
        <v>3126</v>
      </c>
      <c r="H5008">
        <v>2015</v>
      </c>
      <c r="I5008">
        <v>2018</v>
      </c>
      <c r="J5008">
        <f t="shared" si="156"/>
        <v>4</v>
      </c>
      <c r="K5008" s="1" t="s">
        <v>741</v>
      </c>
      <c r="L5008" s="1" t="s">
        <v>798</v>
      </c>
      <c r="M5008">
        <f t="shared" si="157"/>
        <v>8</v>
      </c>
      <c r="N5008" t="s">
        <v>650</v>
      </c>
    </row>
    <row r="5009" spans="1:14" hidden="1" x14ac:dyDescent="0.3">
      <c r="A5009" s="1" t="s">
        <v>3137</v>
      </c>
      <c r="B5009" s="1" t="s">
        <v>810</v>
      </c>
      <c r="C5009" s="1" t="s">
        <v>3138</v>
      </c>
      <c r="D5009" s="1" t="s">
        <v>738</v>
      </c>
      <c r="E5009" s="1" t="s">
        <v>739</v>
      </c>
      <c r="F5009" s="1" t="s">
        <v>740</v>
      </c>
      <c r="G5009" s="1" t="s">
        <v>3126</v>
      </c>
      <c r="H5009">
        <v>2015</v>
      </c>
      <c r="I5009">
        <v>2018</v>
      </c>
      <c r="J5009">
        <f t="shared" si="156"/>
        <v>4</v>
      </c>
      <c r="K5009" s="1" t="s">
        <v>741</v>
      </c>
      <c r="L5009" s="1" t="s">
        <v>798</v>
      </c>
      <c r="M5009">
        <f t="shared" si="157"/>
        <v>8</v>
      </c>
      <c r="N5009" t="s">
        <v>650</v>
      </c>
    </row>
    <row r="5010" spans="1:14" hidden="1" x14ac:dyDescent="0.3">
      <c r="A5010" s="1" t="s">
        <v>3139</v>
      </c>
      <c r="B5010" s="1" t="s">
        <v>810</v>
      </c>
      <c r="C5010" s="1" t="s">
        <v>3140</v>
      </c>
      <c r="D5010" s="1" t="s">
        <v>738</v>
      </c>
      <c r="E5010" s="1" t="s">
        <v>739</v>
      </c>
      <c r="F5010" s="1" t="s">
        <v>740</v>
      </c>
      <c r="G5010" s="1" t="s">
        <v>3126</v>
      </c>
      <c r="H5010">
        <v>2009</v>
      </c>
      <c r="I5010">
        <v>2010</v>
      </c>
      <c r="J5010">
        <f t="shared" si="156"/>
        <v>2</v>
      </c>
      <c r="K5010" s="1" t="s">
        <v>741</v>
      </c>
      <c r="L5010" s="1" t="s">
        <v>798</v>
      </c>
      <c r="M5010">
        <f t="shared" si="157"/>
        <v>16</v>
      </c>
      <c r="N5010" t="s">
        <v>650</v>
      </c>
    </row>
    <row r="5011" spans="1:14" hidden="1" x14ac:dyDescent="0.3">
      <c r="A5011" s="1" t="s">
        <v>3141</v>
      </c>
      <c r="B5011" s="1" t="s">
        <v>810</v>
      </c>
      <c r="C5011" s="1" t="s">
        <v>3142</v>
      </c>
      <c r="D5011" s="1" t="s">
        <v>738</v>
      </c>
      <c r="E5011" s="1" t="s">
        <v>739</v>
      </c>
      <c r="F5011" s="1" t="s">
        <v>740</v>
      </c>
      <c r="G5011" s="1" t="s">
        <v>3126</v>
      </c>
      <c r="H5011">
        <v>2009</v>
      </c>
      <c r="I5011">
        <v>2015</v>
      </c>
      <c r="J5011">
        <f t="shared" si="156"/>
        <v>7</v>
      </c>
      <c r="K5011" s="1" t="s">
        <v>741</v>
      </c>
      <c r="L5011" s="1" t="s">
        <v>798</v>
      </c>
      <c r="M5011">
        <f t="shared" si="157"/>
        <v>11</v>
      </c>
      <c r="N5011" t="s">
        <v>650</v>
      </c>
    </row>
    <row r="5012" spans="1:14" hidden="1" x14ac:dyDescent="0.3">
      <c r="A5012" s="1" t="s">
        <v>3143</v>
      </c>
      <c r="B5012" s="1" t="s">
        <v>810</v>
      </c>
      <c r="C5012" s="1" t="s">
        <v>3144</v>
      </c>
      <c r="D5012" s="1" t="s">
        <v>738</v>
      </c>
      <c r="E5012" s="1" t="s">
        <v>739</v>
      </c>
      <c r="F5012" s="1" t="s">
        <v>740</v>
      </c>
      <c r="G5012" s="1" t="s">
        <v>3126</v>
      </c>
      <c r="H5012">
        <v>2011</v>
      </c>
      <c r="I5012">
        <v>2015</v>
      </c>
      <c r="J5012">
        <f t="shared" si="156"/>
        <v>5</v>
      </c>
      <c r="K5012" s="1" t="s">
        <v>741</v>
      </c>
      <c r="L5012" s="1" t="s">
        <v>798</v>
      </c>
      <c r="M5012">
        <f t="shared" si="157"/>
        <v>11</v>
      </c>
      <c r="N5012" t="s">
        <v>650</v>
      </c>
    </row>
    <row r="5013" spans="1:14" hidden="1" x14ac:dyDescent="0.3">
      <c r="A5013" s="1" t="s">
        <v>3145</v>
      </c>
      <c r="B5013" s="1" t="s">
        <v>810</v>
      </c>
      <c r="C5013" s="1" t="s">
        <v>3146</v>
      </c>
      <c r="D5013" s="1" t="s">
        <v>738</v>
      </c>
      <c r="E5013" s="1" t="s">
        <v>739</v>
      </c>
      <c r="F5013" s="1" t="s">
        <v>740</v>
      </c>
      <c r="G5013" s="1" t="s">
        <v>3126</v>
      </c>
      <c r="H5013">
        <v>2011</v>
      </c>
      <c r="I5013">
        <v>2015</v>
      </c>
      <c r="J5013">
        <f t="shared" si="156"/>
        <v>5</v>
      </c>
      <c r="K5013" s="1" t="s">
        <v>741</v>
      </c>
      <c r="L5013" s="1" t="s">
        <v>798</v>
      </c>
      <c r="M5013">
        <f t="shared" si="157"/>
        <v>11</v>
      </c>
      <c r="N5013" t="s">
        <v>650</v>
      </c>
    </row>
    <row r="5014" spans="1:14" x14ac:dyDescent="0.3">
      <c r="A5014" s="1" t="s">
        <v>9921</v>
      </c>
      <c r="B5014" s="1" t="s">
        <v>795</v>
      </c>
      <c r="C5014" s="1" t="s">
        <v>9922</v>
      </c>
      <c r="D5014" s="1" t="s">
        <v>644</v>
      </c>
      <c r="E5014" s="1" t="s">
        <v>6076</v>
      </c>
      <c r="F5014" s="1" t="s">
        <v>6076</v>
      </c>
      <c r="G5014" s="1" t="s">
        <v>9923</v>
      </c>
      <c r="H5014">
        <v>1997</v>
      </c>
      <c r="I5014">
        <v>1998</v>
      </c>
      <c r="J5014">
        <f t="shared" si="156"/>
        <v>2</v>
      </c>
      <c r="K5014" s="1" t="s">
        <v>6076</v>
      </c>
      <c r="L5014" s="1" t="s">
        <v>6076</v>
      </c>
      <c r="M5014">
        <f t="shared" si="157"/>
        <v>28</v>
      </c>
      <c r="N5014" t="s">
        <v>640</v>
      </c>
    </row>
    <row r="5015" spans="1:14" x14ac:dyDescent="0.3">
      <c r="A5015" s="1" t="s">
        <v>9924</v>
      </c>
      <c r="B5015" s="1" t="s">
        <v>795</v>
      </c>
      <c r="C5015" s="1" t="s">
        <v>9925</v>
      </c>
      <c r="D5015" s="1" t="s">
        <v>644</v>
      </c>
      <c r="E5015" s="1" t="s">
        <v>6076</v>
      </c>
      <c r="F5015" s="1" t="s">
        <v>6076</v>
      </c>
      <c r="G5015" s="1" t="s">
        <v>9923</v>
      </c>
      <c r="H5015">
        <v>1997</v>
      </c>
      <c r="I5015">
        <v>1998</v>
      </c>
      <c r="J5015">
        <f t="shared" si="156"/>
        <v>2</v>
      </c>
      <c r="K5015" s="1" t="s">
        <v>6076</v>
      </c>
      <c r="L5015" s="1" t="s">
        <v>6076</v>
      </c>
      <c r="M5015">
        <f t="shared" si="157"/>
        <v>28</v>
      </c>
      <c r="N5015" t="s">
        <v>640</v>
      </c>
    </row>
    <row r="5016" spans="1:14" x14ac:dyDescent="0.3">
      <c r="A5016" s="1" t="s">
        <v>9926</v>
      </c>
      <c r="B5016" s="1" t="s">
        <v>795</v>
      </c>
      <c r="C5016" s="1" t="s">
        <v>9927</v>
      </c>
      <c r="D5016" s="1" t="s">
        <v>644</v>
      </c>
      <c r="E5016" s="1" t="s">
        <v>6076</v>
      </c>
      <c r="F5016" s="1" t="s">
        <v>6076</v>
      </c>
      <c r="G5016" s="1" t="s">
        <v>9923</v>
      </c>
      <c r="H5016">
        <v>1997</v>
      </c>
      <c r="I5016">
        <v>1998</v>
      </c>
      <c r="J5016">
        <f t="shared" si="156"/>
        <v>2</v>
      </c>
      <c r="K5016" s="1" t="s">
        <v>6076</v>
      </c>
      <c r="L5016" s="1" t="s">
        <v>6076</v>
      </c>
      <c r="M5016">
        <f t="shared" si="157"/>
        <v>28</v>
      </c>
      <c r="N5016" t="s">
        <v>640</v>
      </c>
    </row>
    <row r="5017" spans="1:14" x14ac:dyDescent="0.3">
      <c r="A5017" s="1" t="s">
        <v>9928</v>
      </c>
      <c r="B5017" s="1" t="s">
        <v>795</v>
      </c>
      <c r="C5017" s="1" t="s">
        <v>9929</v>
      </c>
      <c r="D5017" s="1" t="s">
        <v>644</v>
      </c>
      <c r="E5017" s="1" t="s">
        <v>6076</v>
      </c>
      <c r="F5017" s="1" t="s">
        <v>6076</v>
      </c>
      <c r="G5017" s="1" t="s">
        <v>9923</v>
      </c>
      <c r="H5017">
        <v>1997</v>
      </c>
      <c r="I5017">
        <v>1998</v>
      </c>
      <c r="J5017">
        <f t="shared" si="156"/>
        <v>2</v>
      </c>
      <c r="K5017" s="1" t="s">
        <v>6076</v>
      </c>
      <c r="L5017" s="1" t="s">
        <v>6076</v>
      </c>
      <c r="M5017">
        <f t="shared" si="157"/>
        <v>28</v>
      </c>
      <c r="N5017" t="s">
        <v>640</v>
      </c>
    </row>
    <row r="5018" spans="1:14" hidden="1" x14ac:dyDescent="0.3">
      <c r="A5018" t="s">
        <v>11105</v>
      </c>
      <c r="B5018" t="s">
        <v>795</v>
      </c>
      <c r="C5018" t="s">
        <v>11106</v>
      </c>
      <c r="E5018" s="1" t="e">
        <v>#N/A</v>
      </c>
      <c r="F5018" s="1" t="e">
        <v>#N/A</v>
      </c>
      <c r="G5018" s="1" t="s">
        <v>12787</v>
      </c>
      <c r="H5018">
        <v>2025</v>
      </c>
      <c r="I5018">
        <v>2026</v>
      </c>
      <c r="J5018">
        <f t="shared" si="156"/>
        <v>2</v>
      </c>
      <c r="K5018" s="1" t="s">
        <v>12912</v>
      </c>
      <c r="L5018" s="1" t="s">
        <v>12912</v>
      </c>
      <c r="M5018">
        <f t="shared" si="157"/>
        <v>0</v>
      </c>
    </row>
    <row r="5019" spans="1:14" hidden="1" x14ac:dyDescent="0.3">
      <c r="A5019" s="1" t="s">
        <v>3147</v>
      </c>
      <c r="B5019" s="1" t="s">
        <v>795</v>
      </c>
      <c r="C5019" s="1" t="s">
        <v>3148</v>
      </c>
      <c r="D5019" s="1" t="s">
        <v>738</v>
      </c>
      <c r="E5019" s="1" t="s">
        <v>739</v>
      </c>
      <c r="F5019" s="1" t="s">
        <v>740</v>
      </c>
      <c r="G5019" s="1" t="s">
        <v>3149</v>
      </c>
      <c r="H5019">
        <v>2015</v>
      </c>
      <c r="I5019">
        <v>2022</v>
      </c>
      <c r="J5019">
        <f t="shared" si="156"/>
        <v>8</v>
      </c>
      <c r="K5019" s="1" t="s">
        <v>741</v>
      </c>
      <c r="L5019" s="1" t="s">
        <v>798</v>
      </c>
      <c r="M5019">
        <f t="shared" si="157"/>
        <v>4</v>
      </c>
      <c r="N5019" t="s">
        <v>650</v>
      </c>
    </row>
    <row r="5020" spans="1:14" hidden="1" x14ac:dyDescent="0.3">
      <c r="A5020" s="1" t="s">
        <v>3150</v>
      </c>
      <c r="B5020" s="1" t="s">
        <v>795</v>
      </c>
      <c r="C5020" s="1" t="s">
        <v>3151</v>
      </c>
      <c r="D5020" s="1" t="s">
        <v>738</v>
      </c>
      <c r="E5020" s="1" t="s">
        <v>739</v>
      </c>
      <c r="F5020" s="1" t="s">
        <v>740</v>
      </c>
      <c r="G5020" s="1" t="s">
        <v>3149</v>
      </c>
      <c r="H5020">
        <v>2015</v>
      </c>
      <c r="I5020">
        <v>2016</v>
      </c>
      <c r="J5020">
        <f t="shared" si="156"/>
        <v>2</v>
      </c>
      <c r="K5020" s="1" t="s">
        <v>741</v>
      </c>
      <c r="L5020" s="1" t="s">
        <v>798</v>
      </c>
      <c r="M5020">
        <f t="shared" si="157"/>
        <v>10</v>
      </c>
      <c r="N5020" t="s">
        <v>650</v>
      </c>
    </row>
    <row r="5021" spans="1:14" hidden="1" x14ac:dyDescent="0.3">
      <c r="A5021" s="1" t="s">
        <v>3152</v>
      </c>
      <c r="B5021" s="1" t="s">
        <v>795</v>
      </c>
      <c r="C5021" s="1" t="s">
        <v>3153</v>
      </c>
      <c r="D5021" s="1" t="s">
        <v>738</v>
      </c>
      <c r="E5021" s="1" t="s">
        <v>739</v>
      </c>
      <c r="F5021" s="1" t="s">
        <v>740</v>
      </c>
      <c r="G5021" s="1" t="s">
        <v>3149</v>
      </c>
      <c r="H5021">
        <v>2019</v>
      </c>
      <c r="I5021">
        <v>2022</v>
      </c>
      <c r="J5021">
        <f t="shared" si="156"/>
        <v>4</v>
      </c>
      <c r="K5021" s="1" t="s">
        <v>741</v>
      </c>
      <c r="L5021" s="1" t="s">
        <v>798</v>
      </c>
      <c r="M5021">
        <f t="shared" si="157"/>
        <v>4</v>
      </c>
      <c r="N5021" t="s">
        <v>650</v>
      </c>
    </row>
    <row r="5022" spans="1:14" hidden="1" x14ac:dyDescent="0.3">
      <c r="A5022" s="1" t="s">
        <v>3154</v>
      </c>
      <c r="B5022" s="1" t="s">
        <v>795</v>
      </c>
      <c r="C5022" s="1" t="s">
        <v>3155</v>
      </c>
      <c r="D5022" s="1" t="s">
        <v>738</v>
      </c>
      <c r="E5022" s="1" t="s">
        <v>739</v>
      </c>
      <c r="F5022" s="1" t="s">
        <v>740</v>
      </c>
      <c r="G5022" s="1" t="s">
        <v>3149</v>
      </c>
      <c r="H5022">
        <v>2014</v>
      </c>
      <c r="I5022">
        <v>2018</v>
      </c>
      <c r="J5022">
        <f t="shared" si="156"/>
        <v>5</v>
      </c>
      <c r="K5022" s="1" t="s">
        <v>741</v>
      </c>
      <c r="L5022" s="1" t="s">
        <v>798</v>
      </c>
      <c r="M5022">
        <f t="shared" si="157"/>
        <v>8</v>
      </c>
      <c r="N5022" t="s">
        <v>650</v>
      </c>
    </row>
    <row r="5023" spans="1:14" hidden="1" x14ac:dyDescent="0.3">
      <c r="A5023" s="1" t="s">
        <v>3156</v>
      </c>
      <c r="B5023" s="1" t="s">
        <v>795</v>
      </c>
      <c r="C5023" s="1" t="s">
        <v>3157</v>
      </c>
      <c r="D5023" s="1" t="s">
        <v>738</v>
      </c>
      <c r="E5023" s="1" t="s">
        <v>739</v>
      </c>
      <c r="F5023" s="1" t="s">
        <v>740</v>
      </c>
      <c r="G5023" s="1" t="s">
        <v>3149</v>
      </c>
      <c r="H5023">
        <v>2014</v>
      </c>
      <c r="I5023">
        <v>2015</v>
      </c>
      <c r="J5023">
        <f t="shared" si="156"/>
        <v>2</v>
      </c>
      <c r="K5023" s="1" t="s">
        <v>741</v>
      </c>
      <c r="L5023" s="1" t="s">
        <v>798</v>
      </c>
      <c r="M5023">
        <f t="shared" si="157"/>
        <v>11</v>
      </c>
      <c r="N5023" t="s">
        <v>650</v>
      </c>
    </row>
    <row r="5024" spans="1:14" hidden="1" x14ac:dyDescent="0.3">
      <c r="A5024" s="1" t="s">
        <v>3158</v>
      </c>
      <c r="B5024" s="1" t="s">
        <v>795</v>
      </c>
      <c r="C5024" s="1" t="s">
        <v>3159</v>
      </c>
      <c r="D5024" s="1" t="s">
        <v>738</v>
      </c>
      <c r="E5024" s="1" t="s">
        <v>739</v>
      </c>
      <c r="F5024" s="1" t="s">
        <v>740</v>
      </c>
      <c r="G5024" s="1" t="s">
        <v>3149</v>
      </c>
      <c r="H5024">
        <v>2022</v>
      </c>
      <c r="I5024">
        <v>2022</v>
      </c>
      <c r="J5024">
        <f t="shared" si="156"/>
        <v>1</v>
      </c>
      <c r="K5024" s="1" t="s">
        <v>741</v>
      </c>
      <c r="L5024" s="1" t="s">
        <v>798</v>
      </c>
      <c r="M5024">
        <f t="shared" si="157"/>
        <v>4</v>
      </c>
      <c r="N5024" t="s">
        <v>650</v>
      </c>
    </row>
    <row r="5025" spans="1:14" hidden="1" x14ac:dyDescent="0.3">
      <c r="A5025" s="1" t="s">
        <v>3160</v>
      </c>
      <c r="B5025" s="1" t="s">
        <v>795</v>
      </c>
      <c r="C5025" s="1" t="s">
        <v>3161</v>
      </c>
      <c r="D5025" s="1" t="s">
        <v>738</v>
      </c>
      <c r="E5025" s="1" t="s">
        <v>739</v>
      </c>
      <c r="F5025" s="1" t="s">
        <v>740</v>
      </c>
      <c r="G5025" s="1" t="s">
        <v>3149</v>
      </c>
      <c r="H5025">
        <v>2013</v>
      </c>
      <c r="I5025">
        <v>2022</v>
      </c>
      <c r="J5025">
        <f t="shared" si="156"/>
        <v>10</v>
      </c>
      <c r="K5025" s="1" t="s">
        <v>741</v>
      </c>
      <c r="L5025" s="1" t="s">
        <v>798</v>
      </c>
      <c r="M5025">
        <f t="shared" si="157"/>
        <v>4</v>
      </c>
      <c r="N5025" t="s">
        <v>650</v>
      </c>
    </row>
    <row r="5026" spans="1:14" hidden="1" x14ac:dyDescent="0.3">
      <c r="A5026" s="1" t="s">
        <v>3162</v>
      </c>
      <c r="B5026" s="1" t="s">
        <v>795</v>
      </c>
      <c r="C5026" s="1" t="s">
        <v>3163</v>
      </c>
      <c r="D5026" s="1" t="s">
        <v>738</v>
      </c>
      <c r="E5026" s="1" t="s">
        <v>739</v>
      </c>
      <c r="F5026" s="1" t="s">
        <v>740</v>
      </c>
      <c r="G5026" s="1" t="s">
        <v>3149</v>
      </c>
      <c r="H5026">
        <v>2013</v>
      </c>
      <c r="I5026">
        <v>2022</v>
      </c>
      <c r="J5026">
        <f t="shared" si="156"/>
        <v>10</v>
      </c>
      <c r="K5026" s="1" t="s">
        <v>741</v>
      </c>
      <c r="L5026" s="1" t="s">
        <v>798</v>
      </c>
      <c r="M5026">
        <f t="shared" si="157"/>
        <v>4</v>
      </c>
      <c r="N5026" t="s">
        <v>650</v>
      </c>
    </row>
    <row r="5027" spans="1:14" hidden="1" x14ac:dyDescent="0.3">
      <c r="A5027" s="1" t="s">
        <v>3164</v>
      </c>
      <c r="B5027" s="1" t="s">
        <v>795</v>
      </c>
      <c r="C5027" s="1" t="s">
        <v>3165</v>
      </c>
      <c r="D5027" s="1" t="s">
        <v>738</v>
      </c>
      <c r="E5027" s="1" t="s">
        <v>739</v>
      </c>
      <c r="F5027" s="1" t="s">
        <v>740</v>
      </c>
      <c r="G5027" s="1" t="s">
        <v>3149</v>
      </c>
      <c r="H5027">
        <v>2013</v>
      </c>
      <c r="I5027">
        <v>2022</v>
      </c>
      <c r="J5027">
        <f t="shared" si="156"/>
        <v>10</v>
      </c>
      <c r="K5027" s="1" t="s">
        <v>741</v>
      </c>
      <c r="L5027" s="1" t="s">
        <v>798</v>
      </c>
      <c r="M5027">
        <f t="shared" si="157"/>
        <v>4</v>
      </c>
      <c r="N5027" t="s">
        <v>650</v>
      </c>
    </row>
    <row r="5028" spans="1:14" hidden="1" x14ac:dyDescent="0.3">
      <c r="A5028" s="1" t="s">
        <v>3166</v>
      </c>
      <c r="B5028" s="1" t="s">
        <v>795</v>
      </c>
      <c r="C5028" s="1" t="s">
        <v>3167</v>
      </c>
      <c r="D5028" s="1" t="s">
        <v>738</v>
      </c>
      <c r="E5028" s="1" t="s">
        <v>739</v>
      </c>
      <c r="F5028" s="1" t="s">
        <v>740</v>
      </c>
      <c r="G5028" s="1" t="s">
        <v>3149</v>
      </c>
      <c r="H5028">
        <v>2013</v>
      </c>
      <c r="I5028">
        <v>2019</v>
      </c>
      <c r="J5028">
        <f t="shared" si="156"/>
        <v>7</v>
      </c>
      <c r="K5028" s="1" t="s">
        <v>741</v>
      </c>
      <c r="L5028" s="1" t="s">
        <v>798</v>
      </c>
      <c r="M5028">
        <f t="shared" si="157"/>
        <v>7</v>
      </c>
      <c r="N5028" t="s">
        <v>650</v>
      </c>
    </row>
    <row r="5029" spans="1:14" hidden="1" x14ac:dyDescent="0.3">
      <c r="A5029" s="1" t="s">
        <v>3168</v>
      </c>
      <c r="B5029" s="1" t="s">
        <v>795</v>
      </c>
      <c r="C5029" s="1" t="s">
        <v>3169</v>
      </c>
      <c r="D5029" s="1" t="s">
        <v>738</v>
      </c>
      <c r="E5029" s="1" t="s">
        <v>739</v>
      </c>
      <c r="F5029" s="1" t="s">
        <v>740</v>
      </c>
      <c r="G5029" s="1" t="s">
        <v>3149</v>
      </c>
      <c r="H5029">
        <v>2013</v>
      </c>
      <c r="I5029">
        <v>2019</v>
      </c>
      <c r="J5029">
        <f t="shared" si="156"/>
        <v>7</v>
      </c>
      <c r="K5029" s="1" t="s">
        <v>741</v>
      </c>
      <c r="L5029" s="1" t="s">
        <v>798</v>
      </c>
      <c r="M5029">
        <f t="shared" si="157"/>
        <v>7</v>
      </c>
      <c r="N5029" t="s">
        <v>650</v>
      </c>
    </row>
    <row r="5030" spans="1:14" hidden="1" x14ac:dyDescent="0.3">
      <c r="A5030" s="1" t="s">
        <v>3170</v>
      </c>
      <c r="B5030" s="1" t="s">
        <v>795</v>
      </c>
      <c r="C5030" s="1" t="s">
        <v>3171</v>
      </c>
      <c r="D5030" s="1" t="s">
        <v>738</v>
      </c>
      <c r="E5030" s="1" t="s">
        <v>739</v>
      </c>
      <c r="F5030" s="1" t="s">
        <v>740</v>
      </c>
      <c r="G5030" s="1" t="s">
        <v>3149</v>
      </c>
      <c r="H5030">
        <v>2020</v>
      </c>
      <c r="I5030">
        <v>2022</v>
      </c>
      <c r="J5030">
        <f t="shared" si="156"/>
        <v>3</v>
      </c>
      <c r="K5030" s="1" t="s">
        <v>741</v>
      </c>
      <c r="L5030" s="1" t="s">
        <v>798</v>
      </c>
      <c r="M5030">
        <f t="shared" si="157"/>
        <v>4</v>
      </c>
      <c r="N5030" t="s">
        <v>650</v>
      </c>
    </row>
    <row r="5031" spans="1:14" hidden="1" x14ac:dyDescent="0.3">
      <c r="A5031" s="1" t="s">
        <v>3172</v>
      </c>
      <c r="B5031" s="1" t="s">
        <v>795</v>
      </c>
      <c r="C5031" s="1" t="s">
        <v>3173</v>
      </c>
      <c r="D5031" s="1" t="s">
        <v>738</v>
      </c>
      <c r="E5031" s="1" t="s">
        <v>739</v>
      </c>
      <c r="F5031" s="1" t="s">
        <v>740</v>
      </c>
      <c r="G5031" s="1" t="s">
        <v>3149</v>
      </c>
      <c r="H5031">
        <v>2020</v>
      </c>
      <c r="I5031">
        <v>2022</v>
      </c>
      <c r="J5031">
        <f t="shared" si="156"/>
        <v>3</v>
      </c>
      <c r="K5031" s="1" t="s">
        <v>741</v>
      </c>
      <c r="L5031" s="1" t="s">
        <v>798</v>
      </c>
      <c r="M5031">
        <f t="shared" si="157"/>
        <v>4</v>
      </c>
      <c r="N5031" t="s">
        <v>650</v>
      </c>
    </row>
    <row r="5032" spans="1:14" x14ac:dyDescent="0.3">
      <c r="A5032" s="1" t="s">
        <v>9930</v>
      </c>
      <c r="B5032" s="1" t="s">
        <v>2667</v>
      </c>
      <c r="C5032" s="1" t="s">
        <v>9931</v>
      </c>
      <c r="D5032" s="1" t="s">
        <v>1395</v>
      </c>
      <c r="E5032" s="1" t="s">
        <v>6076</v>
      </c>
      <c r="F5032" s="1" t="s">
        <v>6076</v>
      </c>
      <c r="G5032" s="1" t="s">
        <v>4659</v>
      </c>
      <c r="H5032">
        <v>1997</v>
      </c>
      <c r="I5032">
        <v>2000</v>
      </c>
      <c r="J5032">
        <f t="shared" si="156"/>
        <v>4</v>
      </c>
      <c r="K5032" s="1" t="s">
        <v>6076</v>
      </c>
      <c r="L5032" s="1" t="s">
        <v>6076</v>
      </c>
      <c r="M5032">
        <f t="shared" si="157"/>
        <v>26</v>
      </c>
      <c r="N5032" t="s">
        <v>640</v>
      </c>
    </row>
    <row r="5033" spans="1:14" x14ac:dyDescent="0.3">
      <c r="A5033" s="1" t="s">
        <v>9932</v>
      </c>
      <c r="B5033" s="1" t="s">
        <v>2667</v>
      </c>
      <c r="C5033" s="1" t="s">
        <v>9933</v>
      </c>
      <c r="D5033" s="1" t="s">
        <v>1395</v>
      </c>
      <c r="E5033" s="1" t="s">
        <v>6076</v>
      </c>
      <c r="F5033" s="1" t="s">
        <v>6076</v>
      </c>
      <c r="G5033" s="1" t="s">
        <v>4659</v>
      </c>
      <c r="H5033">
        <v>2000</v>
      </c>
      <c r="I5033">
        <v>2003</v>
      </c>
      <c r="J5033">
        <f t="shared" si="156"/>
        <v>4</v>
      </c>
      <c r="K5033" s="1" t="s">
        <v>6076</v>
      </c>
      <c r="L5033" s="1" t="s">
        <v>6076</v>
      </c>
      <c r="M5033">
        <f t="shared" si="157"/>
        <v>23</v>
      </c>
      <c r="N5033" t="s">
        <v>640</v>
      </c>
    </row>
    <row r="5034" spans="1:14" x14ac:dyDescent="0.3">
      <c r="A5034" s="1" t="s">
        <v>9934</v>
      </c>
      <c r="B5034" s="1" t="s">
        <v>2667</v>
      </c>
      <c r="C5034" s="1" t="s">
        <v>9935</v>
      </c>
      <c r="D5034" s="1" t="s">
        <v>1395</v>
      </c>
      <c r="E5034" s="1" t="s">
        <v>6076</v>
      </c>
      <c r="F5034" s="1" t="s">
        <v>6076</v>
      </c>
      <c r="G5034" s="1" t="s">
        <v>4659</v>
      </c>
      <c r="H5034">
        <v>1996</v>
      </c>
      <c r="I5034">
        <v>2001</v>
      </c>
      <c r="J5034">
        <f t="shared" si="156"/>
        <v>6</v>
      </c>
      <c r="K5034" s="1" t="s">
        <v>6076</v>
      </c>
      <c r="L5034" s="1" t="s">
        <v>6076</v>
      </c>
      <c r="M5034">
        <f t="shared" si="157"/>
        <v>25</v>
      </c>
      <c r="N5034" t="s">
        <v>640</v>
      </c>
    </row>
    <row r="5035" spans="1:14" x14ac:dyDescent="0.3">
      <c r="A5035" s="1" t="s">
        <v>9936</v>
      </c>
      <c r="B5035" s="1" t="s">
        <v>2667</v>
      </c>
      <c r="C5035" s="1" t="s">
        <v>9937</v>
      </c>
      <c r="D5035" s="1" t="s">
        <v>1395</v>
      </c>
      <c r="E5035" s="1" t="s">
        <v>6076</v>
      </c>
      <c r="F5035" s="1" t="s">
        <v>6076</v>
      </c>
      <c r="G5035" s="1" t="s">
        <v>4659</v>
      </c>
      <c r="H5035">
        <v>1996</v>
      </c>
      <c r="I5035">
        <v>2001</v>
      </c>
      <c r="J5035">
        <f t="shared" si="156"/>
        <v>6</v>
      </c>
      <c r="K5035" s="1" t="s">
        <v>6076</v>
      </c>
      <c r="L5035" s="1" t="s">
        <v>6076</v>
      </c>
      <c r="M5035">
        <f t="shared" si="157"/>
        <v>25</v>
      </c>
      <c r="N5035" t="s">
        <v>640</v>
      </c>
    </row>
    <row r="5036" spans="1:14" x14ac:dyDescent="0.3">
      <c r="A5036" s="1" t="s">
        <v>9938</v>
      </c>
      <c r="B5036" s="1" t="s">
        <v>2667</v>
      </c>
      <c r="C5036" s="1" t="s">
        <v>9939</v>
      </c>
      <c r="D5036" s="1" t="s">
        <v>1395</v>
      </c>
      <c r="E5036" s="1" t="s">
        <v>6076</v>
      </c>
      <c r="F5036" s="1" t="s">
        <v>6076</v>
      </c>
      <c r="G5036" s="1" t="s">
        <v>4659</v>
      </c>
      <c r="H5036">
        <v>1995</v>
      </c>
      <c r="I5036">
        <v>1999</v>
      </c>
      <c r="J5036">
        <f t="shared" si="156"/>
        <v>5</v>
      </c>
      <c r="K5036" s="1" t="s">
        <v>6076</v>
      </c>
      <c r="L5036" s="1" t="s">
        <v>6076</v>
      </c>
      <c r="M5036">
        <f t="shared" si="157"/>
        <v>27</v>
      </c>
      <c r="N5036" t="s">
        <v>640</v>
      </c>
    </row>
    <row r="5037" spans="1:14" x14ac:dyDescent="0.3">
      <c r="A5037" t="s">
        <v>11754</v>
      </c>
      <c r="B5037" t="s">
        <v>2667</v>
      </c>
      <c r="C5037" t="s">
        <v>11755</v>
      </c>
      <c r="E5037" s="1" t="s">
        <v>6076</v>
      </c>
      <c r="F5037" s="1" t="s">
        <v>6076</v>
      </c>
      <c r="G5037" s="1" t="s">
        <v>12850</v>
      </c>
      <c r="H5037">
        <v>2022</v>
      </c>
      <c r="I5037">
        <v>2024</v>
      </c>
      <c r="J5037">
        <f t="shared" si="156"/>
        <v>3</v>
      </c>
      <c r="K5037" s="1" t="s">
        <v>6076</v>
      </c>
      <c r="L5037" s="1" t="s">
        <v>6076</v>
      </c>
      <c r="M5037">
        <f t="shared" si="157"/>
        <v>2</v>
      </c>
    </row>
    <row r="5038" spans="1:14" x14ac:dyDescent="0.3">
      <c r="A5038" s="1" t="s">
        <v>9940</v>
      </c>
      <c r="B5038" s="1" t="s">
        <v>2667</v>
      </c>
      <c r="C5038" s="1" t="s">
        <v>9941</v>
      </c>
      <c r="D5038" s="1" t="s">
        <v>1395</v>
      </c>
      <c r="E5038" s="1" t="s">
        <v>6076</v>
      </c>
      <c r="F5038" s="1" t="s">
        <v>6076</v>
      </c>
      <c r="G5038" s="1" t="s">
        <v>4659</v>
      </c>
      <c r="H5038">
        <v>2008</v>
      </c>
      <c r="I5038">
        <v>2012</v>
      </c>
      <c r="J5038">
        <f t="shared" si="156"/>
        <v>5</v>
      </c>
      <c r="K5038" s="1" t="s">
        <v>6076</v>
      </c>
      <c r="L5038" s="1" t="s">
        <v>6076</v>
      </c>
      <c r="M5038">
        <f t="shared" si="157"/>
        <v>14</v>
      </c>
      <c r="N5038" t="s">
        <v>650</v>
      </c>
    </row>
    <row r="5039" spans="1:14" x14ac:dyDescent="0.3">
      <c r="A5039" s="1" t="s">
        <v>9942</v>
      </c>
      <c r="B5039" s="1" t="s">
        <v>2667</v>
      </c>
      <c r="C5039" s="1" t="s">
        <v>9943</v>
      </c>
      <c r="D5039" s="1" t="s">
        <v>1395</v>
      </c>
      <c r="E5039" s="1" t="s">
        <v>6076</v>
      </c>
      <c r="F5039" s="1" t="s">
        <v>6076</v>
      </c>
      <c r="G5039" s="1" t="s">
        <v>4659</v>
      </c>
      <c r="H5039">
        <v>2008</v>
      </c>
      <c r="I5039">
        <v>2022</v>
      </c>
      <c r="J5039">
        <f t="shared" si="156"/>
        <v>15</v>
      </c>
      <c r="K5039" s="1" t="s">
        <v>6076</v>
      </c>
      <c r="L5039" s="1" t="s">
        <v>6076</v>
      </c>
      <c r="M5039">
        <f t="shared" si="157"/>
        <v>4</v>
      </c>
      <c r="N5039" t="s">
        <v>650</v>
      </c>
    </row>
    <row r="5040" spans="1:14" x14ac:dyDescent="0.3">
      <c r="A5040" s="1" t="s">
        <v>9944</v>
      </c>
      <c r="B5040" s="1" t="s">
        <v>2667</v>
      </c>
      <c r="C5040" s="1" t="s">
        <v>9945</v>
      </c>
      <c r="D5040" s="1" t="s">
        <v>1395</v>
      </c>
      <c r="E5040" s="1" t="s">
        <v>6076</v>
      </c>
      <c r="F5040" s="1" t="s">
        <v>6076</v>
      </c>
      <c r="G5040" s="1" t="s">
        <v>4659</v>
      </c>
      <c r="H5040">
        <v>2005</v>
      </c>
      <c r="I5040">
        <v>2010</v>
      </c>
      <c r="J5040">
        <f t="shared" si="156"/>
        <v>6</v>
      </c>
      <c r="K5040" s="1" t="s">
        <v>6076</v>
      </c>
      <c r="L5040" s="1" t="s">
        <v>6076</v>
      </c>
      <c r="M5040">
        <f t="shared" si="157"/>
        <v>16</v>
      </c>
      <c r="N5040" t="s">
        <v>650</v>
      </c>
    </row>
    <row r="5041" spans="1:14" x14ac:dyDescent="0.3">
      <c r="A5041" t="s">
        <v>11756</v>
      </c>
      <c r="B5041" t="s">
        <v>2667</v>
      </c>
      <c r="C5041" t="s">
        <v>11757</v>
      </c>
      <c r="E5041" s="1" t="s">
        <v>6076</v>
      </c>
      <c r="F5041" s="1" t="s">
        <v>6076</v>
      </c>
      <c r="G5041" s="1" t="s">
        <v>12850</v>
      </c>
      <c r="H5041">
        <v>2023</v>
      </c>
      <c r="I5041">
        <v>2026</v>
      </c>
      <c r="J5041">
        <f t="shared" si="156"/>
        <v>4</v>
      </c>
      <c r="K5041" s="1" t="s">
        <v>6076</v>
      </c>
      <c r="L5041" s="1" t="s">
        <v>6076</v>
      </c>
      <c r="M5041">
        <f t="shared" si="157"/>
        <v>0</v>
      </c>
    </row>
    <row r="5042" spans="1:14" x14ac:dyDescent="0.3">
      <c r="A5042" s="1" t="s">
        <v>9946</v>
      </c>
      <c r="B5042" s="1" t="s">
        <v>2667</v>
      </c>
      <c r="C5042" s="1" t="s">
        <v>9947</v>
      </c>
      <c r="D5042" s="1" t="s">
        <v>1395</v>
      </c>
      <c r="E5042" s="1" t="s">
        <v>6076</v>
      </c>
      <c r="F5042" s="1" t="s">
        <v>6076</v>
      </c>
      <c r="G5042" s="1" t="s">
        <v>4659</v>
      </c>
      <c r="H5042">
        <v>1999</v>
      </c>
      <c r="I5042">
        <v>2001</v>
      </c>
      <c r="J5042">
        <f t="shared" si="156"/>
        <v>3</v>
      </c>
      <c r="K5042" s="1" t="s">
        <v>6076</v>
      </c>
      <c r="L5042" s="1" t="s">
        <v>6076</v>
      </c>
      <c r="M5042">
        <f t="shared" si="157"/>
        <v>25</v>
      </c>
      <c r="N5042" t="s">
        <v>640</v>
      </c>
    </row>
    <row r="5043" spans="1:14" x14ac:dyDescent="0.3">
      <c r="A5043" s="1" t="s">
        <v>9948</v>
      </c>
      <c r="B5043" s="1" t="s">
        <v>2667</v>
      </c>
      <c r="C5043" s="1" t="s">
        <v>9949</v>
      </c>
      <c r="D5043" s="1" t="s">
        <v>1395</v>
      </c>
      <c r="E5043" s="1" t="s">
        <v>6076</v>
      </c>
      <c r="F5043" s="1" t="s">
        <v>6076</v>
      </c>
      <c r="G5043" s="1" t="s">
        <v>4659</v>
      </c>
      <c r="H5043">
        <v>1999</v>
      </c>
      <c r="I5043">
        <v>2001</v>
      </c>
      <c r="J5043">
        <f t="shared" si="156"/>
        <v>3</v>
      </c>
      <c r="K5043" s="1" t="s">
        <v>6076</v>
      </c>
      <c r="L5043" s="1" t="s">
        <v>6076</v>
      </c>
      <c r="M5043">
        <f t="shared" si="157"/>
        <v>25</v>
      </c>
      <c r="N5043" t="s">
        <v>640</v>
      </c>
    </row>
    <row r="5044" spans="1:14" x14ac:dyDescent="0.3">
      <c r="A5044" s="1" t="s">
        <v>9950</v>
      </c>
      <c r="B5044" s="1" t="s">
        <v>2667</v>
      </c>
      <c r="C5044" s="1" t="s">
        <v>9951</v>
      </c>
      <c r="D5044" s="1" t="s">
        <v>1395</v>
      </c>
      <c r="E5044" s="1" t="s">
        <v>6076</v>
      </c>
      <c r="F5044" s="1" t="s">
        <v>6076</v>
      </c>
      <c r="G5044" s="1" t="s">
        <v>4659</v>
      </c>
      <c r="H5044">
        <v>1999</v>
      </c>
      <c r="I5044">
        <v>2003</v>
      </c>
      <c r="J5044">
        <f t="shared" si="156"/>
        <v>5</v>
      </c>
      <c r="K5044" s="1" t="s">
        <v>6076</v>
      </c>
      <c r="L5044" s="1" t="s">
        <v>6076</v>
      </c>
      <c r="M5044">
        <f t="shared" si="157"/>
        <v>23</v>
      </c>
      <c r="N5044" t="s">
        <v>640</v>
      </c>
    </row>
    <row r="5045" spans="1:14" x14ac:dyDescent="0.3">
      <c r="A5045" s="1" t="s">
        <v>9952</v>
      </c>
      <c r="B5045" s="1" t="s">
        <v>2667</v>
      </c>
      <c r="C5045" s="1" t="s">
        <v>9953</v>
      </c>
      <c r="D5045" s="1" t="s">
        <v>1395</v>
      </c>
      <c r="E5045" s="1" t="s">
        <v>6076</v>
      </c>
      <c r="F5045" s="1" t="s">
        <v>6076</v>
      </c>
      <c r="G5045" s="1" t="s">
        <v>4659</v>
      </c>
      <c r="H5045">
        <v>1995</v>
      </c>
      <c r="I5045">
        <v>1996</v>
      </c>
      <c r="J5045">
        <f t="shared" si="156"/>
        <v>2</v>
      </c>
      <c r="K5045" s="1" t="s">
        <v>6076</v>
      </c>
      <c r="L5045" s="1" t="s">
        <v>6076</v>
      </c>
      <c r="M5045">
        <f t="shared" si="157"/>
        <v>30</v>
      </c>
      <c r="N5045" t="s">
        <v>640</v>
      </c>
    </row>
    <row r="5046" spans="1:14" hidden="1" x14ac:dyDescent="0.3">
      <c r="A5046" s="1" t="s">
        <v>4657</v>
      </c>
      <c r="B5046" s="1" t="s">
        <v>2667</v>
      </c>
      <c r="C5046" s="1" t="s">
        <v>4658</v>
      </c>
      <c r="D5046" s="1" t="s">
        <v>1395</v>
      </c>
      <c r="E5046" s="1" t="s">
        <v>3905</v>
      </c>
      <c r="F5046" s="1" t="s">
        <v>3906</v>
      </c>
      <c r="G5046" s="1" t="s">
        <v>4659</v>
      </c>
      <c r="H5046">
        <v>2003</v>
      </c>
      <c r="I5046">
        <v>2010</v>
      </c>
      <c r="J5046">
        <f t="shared" si="156"/>
        <v>8</v>
      </c>
      <c r="K5046" s="1" t="s">
        <v>3665</v>
      </c>
      <c r="L5046" s="1" t="s">
        <v>649</v>
      </c>
      <c r="M5046">
        <f t="shared" si="157"/>
        <v>16</v>
      </c>
      <c r="N5046" t="s">
        <v>650</v>
      </c>
    </row>
    <row r="5047" spans="1:14" hidden="1" x14ac:dyDescent="0.3">
      <c r="A5047" s="1" t="s">
        <v>4660</v>
      </c>
      <c r="B5047" s="1" t="s">
        <v>2667</v>
      </c>
      <c r="C5047" s="1" t="s">
        <v>4661</v>
      </c>
      <c r="D5047" s="1" t="s">
        <v>1395</v>
      </c>
      <c r="E5047" s="1" t="s">
        <v>3905</v>
      </c>
      <c r="F5047" s="1" t="s">
        <v>3906</v>
      </c>
      <c r="G5047" s="1" t="s">
        <v>4659</v>
      </c>
      <c r="H5047">
        <v>2011</v>
      </c>
      <c r="I5047">
        <v>2022</v>
      </c>
      <c r="J5047">
        <f t="shared" si="156"/>
        <v>12</v>
      </c>
      <c r="K5047" s="1" t="s">
        <v>3665</v>
      </c>
      <c r="L5047" s="1" t="s">
        <v>649</v>
      </c>
      <c r="M5047">
        <f t="shared" si="157"/>
        <v>4</v>
      </c>
      <c r="N5047" t="s">
        <v>650</v>
      </c>
    </row>
    <row r="5048" spans="1:14" hidden="1" x14ac:dyDescent="0.3">
      <c r="A5048" s="1" t="s">
        <v>4662</v>
      </c>
      <c r="B5048" s="1" t="s">
        <v>2667</v>
      </c>
      <c r="C5048" s="1" t="s">
        <v>4663</v>
      </c>
      <c r="D5048" s="1" t="s">
        <v>1395</v>
      </c>
      <c r="E5048" s="1" t="s">
        <v>3905</v>
      </c>
      <c r="F5048" s="1" t="s">
        <v>3906</v>
      </c>
      <c r="G5048" s="1" t="s">
        <v>4659</v>
      </c>
      <c r="H5048">
        <v>2011</v>
      </c>
      <c r="I5048">
        <v>2014</v>
      </c>
      <c r="J5048">
        <f t="shared" si="156"/>
        <v>4</v>
      </c>
      <c r="K5048" s="1" t="s">
        <v>3665</v>
      </c>
      <c r="L5048" s="1" t="s">
        <v>649</v>
      </c>
      <c r="M5048">
        <f t="shared" si="157"/>
        <v>12</v>
      </c>
      <c r="N5048" t="s">
        <v>650</v>
      </c>
    </row>
    <row r="5049" spans="1:14" x14ac:dyDescent="0.3">
      <c r="A5049" s="1" t="s">
        <v>9954</v>
      </c>
      <c r="B5049" s="1" t="s">
        <v>2667</v>
      </c>
      <c r="C5049" s="1" t="s">
        <v>9955</v>
      </c>
      <c r="D5049" s="1" t="s">
        <v>1395</v>
      </c>
      <c r="E5049" s="1" t="s">
        <v>6076</v>
      </c>
      <c r="F5049" s="1" t="s">
        <v>6076</v>
      </c>
      <c r="G5049" s="1" t="s">
        <v>4659</v>
      </c>
      <c r="H5049">
        <v>1999</v>
      </c>
      <c r="I5049">
        <v>1999</v>
      </c>
      <c r="J5049">
        <f t="shared" si="156"/>
        <v>1</v>
      </c>
      <c r="K5049" s="1" t="s">
        <v>6076</v>
      </c>
      <c r="L5049" s="1" t="s">
        <v>6076</v>
      </c>
      <c r="M5049">
        <f t="shared" si="157"/>
        <v>27</v>
      </c>
      <c r="N5049" t="s">
        <v>640</v>
      </c>
    </row>
    <row r="5050" spans="1:14" hidden="1" x14ac:dyDescent="0.3">
      <c r="A5050" t="s">
        <v>11863</v>
      </c>
      <c r="B5050" t="s">
        <v>5931</v>
      </c>
      <c r="C5050" t="s">
        <v>11864</v>
      </c>
      <c r="E5050" s="1" t="e">
        <v>#N/A</v>
      </c>
      <c r="F5050" s="1" t="e">
        <v>#N/A</v>
      </c>
      <c r="G5050" s="1" t="s">
        <v>12863</v>
      </c>
      <c r="H5050">
        <v>2023</v>
      </c>
      <c r="I5050">
        <v>2026</v>
      </c>
      <c r="J5050">
        <f t="shared" si="156"/>
        <v>4</v>
      </c>
      <c r="K5050" s="1" t="s">
        <v>12912</v>
      </c>
      <c r="L5050" s="1" t="s">
        <v>12912</v>
      </c>
      <c r="M5050">
        <f t="shared" si="157"/>
        <v>0</v>
      </c>
    </row>
    <row r="5051" spans="1:14" hidden="1" x14ac:dyDescent="0.3">
      <c r="A5051" t="s">
        <v>11865</v>
      </c>
      <c r="B5051" t="s">
        <v>5931</v>
      </c>
      <c r="C5051" t="s">
        <v>11866</v>
      </c>
      <c r="E5051" s="1" t="e">
        <v>#N/A</v>
      </c>
      <c r="F5051" s="1" t="e">
        <v>#N/A</v>
      </c>
      <c r="G5051" s="1" t="s">
        <v>12863</v>
      </c>
      <c r="H5051">
        <v>2023</v>
      </c>
      <c r="I5051">
        <v>2026</v>
      </c>
      <c r="J5051">
        <f t="shared" si="156"/>
        <v>4</v>
      </c>
      <c r="K5051" s="1" t="s">
        <v>12912</v>
      </c>
      <c r="L5051" s="1" t="s">
        <v>12912</v>
      </c>
      <c r="M5051">
        <f t="shared" si="157"/>
        <v>0</v>
      </c>
    </row>
    <row r="5052" spans="1:14" hidden="1" x14ac:dyDescent="0.3">
      <c r="A5052" t="s">
        <v>11867</v>
      </c>
      <c r="B5052" t="s">
        <v>5931</v>
      </c>
      <c r="C5052" t="s">
        <v>11868</v>
      </c>
      <c r="E5052" s="1" t="e">
        <v>#N/A</v>
      </c>
      <c r="F5052" s="1" t="e">
        <v>#N/A</v>
      </c>
      <c r="G5052" s="1" t="s">
        <v>12863</v>
      </c>
      <c r="H5052">
        <v>2023</v>
      </c>
      <c r="I5052">
        <v>2026</v>
      </c>
      <c r="J5052">
        <f t="shared" si="156"/>
        <v>4</v>
      </c>
      <c r="K5052" s="1" t="s">
        <v>12912</v>
      </c>
      <c r="L5052" s="1" t="s">
        <v>12912</v>
      </c>
      <c r="M5052">
        <f t="shared" si="157"/>
        <v>0</v>
      </c>
    </row>
    <row r="5053" spans="1:14" x14ac:dyDescent="0.3">
      <c r="A5053" s="1" t="s">
        <v>9956</v>
      </c>
      <c r="B5053" s="1" t="s">
        <v>5931</v>
      </c>
      <c r="C5053" s="1" t="s">
        <v>9957</v>
      </c>
      <c r="D5053" s="1" t="s">
        <v>644</v>
      </c>
      <c r="E5053" s="1" t="s">
        <v>6076</v>
      </c>
      <c r="F5053" s="1" t="s">
        <v>6076</v>
      </c>
      <c r="G5053" s="1" t="s">
        <v>6037</v>
      </c>
      <c r="H5053">
        <v>1997</v>
      </c>
      <c r="I5053">
        <v>2000</v>
      </c>
      <c r="J5053">
        <f t="shared" si="156"/>
        <v>4</v>
      </c>
      <c r="K5053" s="1" t="s">
        <v>6076</v>
      </c>
      <c r="L5053" s="1" t="s">
        <v>6076</v>
      </c>
      <c r="M5053">
        <f t="shared" si="157"/>
        <v>26</v>
      </c>
    </row>
    <row r="5054" spans="1:14" x14ac:dyDescent="0.3">
      <c r="A5054" s="1" t="s">
        <v>9958</v>
      </c>
      <c r="B5054" s="1" t="s">
        <v>5931</v>
      </c>
      <c r="C5054" s="1" t="s">
        <v>9959</v>
      </c>
      <c r="D5054" s="1" t="s">
        <v>644</v>
      </c>
      <c r="E5054" s="1" t="s">
        <v>6076</v>
      </c>
      <c r="F5054" s="1" t="s">
        <v>6076</v>
      </c>
      <c r="G5054" s="1" t="s">
        <v>6037</v>
      </c>
      <c r="H5054">
        <v>1997</v>
      </c>
      <c r="I5054">
        <v>2000</v>
      </c>
      <c r="J5054">
        <f t="shared" si="156"/>
        <v>4</v>
      </c>
      <c r="K5054" s="1" t="s">
        <v>6076</v>
      </c>
      <c r="L5054" s="1" t="s">
        <v>6076</v>
      </c>
      <c r="M5054">
        <f t="shared" si="157"/>
        <v>26</v>
      </c>
    </row>
    <row r="5055" spans="1:14" x14ac:dyDescent="0.3">
      <c r="A5055" s="1" t="s">
        <v>9960</v>
      </c>
      <c r="B5055" s="1" t="s">
        <v>5931</v>
      </c>
      <c r="C5055" s="1" t="s">
        <v>9961</v>
      </c>
      <c r="D5055" s="1" t="s">
        <v>644</v>
      </c>
      <c r="E5055" s="1" t="s">
        <v>6076</v>
      </c>
      <c r="F5055" s="1" t="s">
        <v>6076</v>
      </c>
      <c r="G5055" s="1" t="s">
        <v>6037</v>
      </c>
      <c r="H5055">
        <v>1997</v>
      </c>
      <c r="I5055">
        <v>1999</v>
      </c>
      <c r="J5055">
        <f t="shared" si="156"/>
        <v>3</v>
      </c>
      <c r="K5055" s="1" t="s">
        <v>6076</v>
      </c>
      <c r="L5055" s="1" t="s">
        <v>6076</v>
      </c>
      <c r="M5055">
        <f t="shared" si="157"/>
        <v>27</v>
      </c>
    </row>
    <row r="5056" spans="1:14" x14ac:dyDescent="0.3">
      <c r="A5056" s="1" t="s">
        <v>9962</v>
      </c>
      <c r="B5056" s="1" t="s">
        <v>5931</v>
      </c>
      <c r="C5056" s="1" t="s">
        <v>9963</v>
      </c>
      <c r="D5056" s="1" t="s">
        <v>644</v>
      </c>
      <c r="E5056" s="1" t="s">
        <v>6076</v>
      </c>
      <c r="F5056" s="1" t="s">
        <v>6076</v>
      </c>
      <c r="G5056" s="1" t="s">
        <v>6037</v>
      </c>
      <c r="H5056">
        <v>1997</v>
      </c>
      <c r="I5056">
        <v>1999</v>
      </c>
      <c r="J5056">
        <f t="shared" si="156"/>
        <v>3</v>
      </c>
      <c r="K5056" s="1" t="s">
        <v>6076</v>
      </c>
      <c r="L5056" s="1" t="s">
        <v>6076</v>
      </c>
      <c r="M5056">
        <f t="shared" si="157"/>
        <v>27</v>
      </c>
    </row>
    <row r="5057" spans="1:13" x14ac:dyDescent="0.3">
      <c r="A5057" s="1" t="s">
        <v>9964</v>
      </c>
      <c r="B5057" s="1" t="s">
        <v>5931</v>
      </c>
      <c r="C5057" s="1" t="s">
        <v>9965</v>
      </c>
      <c r="D5057" s="1" t="s">
        <v>644</v>
      </c>
      <c r="E5057" s="1" t="s">
        <v>6076</v>
      </c>
      <c r="F5057" s="1" t="s">
        <v>6076</v>
      </c>
      <c r="G5057" s="1" t="s">
        <v>6037</v>
      </c>
      <c r="H5057">
        <v>1997</v>
      </c>
      <c r="I5057">
        <v>1999</v>
      </c>
      <c r="J5057">
        <f t="shared" si="156"/>
        <v>3</v>
      </c>
      <c r="K5057" s="1" t="s">
        <v>6076</v>
      </c>
      <c r="L5057" s="1" t="s">
        <v>6076</v>
      </c>
      <c r="M5057">
        <f t="shared" si="157"/>
        <v>27</v>
      </c>
    </row>
    <row r="5058" spans="1:13" x14ac:dyDescent="0.3">
      <c r="A5058" s="1" t="s">
        <v>9966</v>
      </c>
      <c r="B5058" s="1" t="s">
        <v>5931</v>
      </c>
      <c r="C5058" s="1" t="s">
        <v>9967</v>
      </c>
      <c r="D5058" s="1" t="s">
        <v>644</v>
      </c>
      <c r="E5058" s="1" t="s">
        <v>6076</v>
      </c>
      <c r="F5058" s="1" t="s">
        <v>6076</v>
      </c>
      <c r="G5058" s="1" t="s">
        <v>6037</v>
      </c>
      <c r="H5058">
        <v>1997</v>
      </c>
      <c r="I5058">
        <v>1999</v>
      </c>
      <c r="J5058">
        <f t="shared" si="156"/>
        <v>3</v>
      </c>
      <c r="K5058" s="1" t="s">
        <v>6076</v>
      </c>
      <c r="L5058" s="1" t="s">
        <v>6076</v>
      </c>
      <c r="M5058">
        <f t="shared" si="157"/>
        <v>27</v>
      </c>
    </row>
    <row r="5059" spans="1:13" x14ac:dyDescent="0.3">
      <c r="A5059" s="1" t="s">
        <v>9968</v>
      </c>
      <c r="B5059" s="1" t="s">
        <v>5931</v>
      </c>
      <c r="C5059" s="1" t="s">
        <v>9969</v>
      </c>
      <c r="D5059" s="1" t="s">
        <v>644</v>
      </c>
      <c r="E5059" s="1" t="s">
        <v>6076</v>
      </c>
      <c r="F5059" s="1" t="s">
        <v>6076</v>
      </c>
      <c r="G5059" s="1" t="s">
        <v>6037</v>
      </c>
      <c r="H5059">
        <v>1997</v>
      </c>
      <c r="I5059">
        <v>1999</v>
      </c>
      <c r="J5059">
        <f t="shared" si="156"/>
        <v>3</v>
      </c>
      <c r="K5059" s="1" t="s">
        <v>6076</v>
      </c>
      <c r="L5059" s="1" t="s">
        <v>6076</v>
      </c>
      <c r="M5059">
        <f t="shared" si="157"/>
        <v>27</v>
      </c>
    </row>
    <row r="5060" spans="1:13" hidden="1" x14ac:dyDescent="0.3">
      <c r="A5060" s="1" t="s">
        <v>6035</v>
      </c>
      <c r="B5060" s="1" t="s">
        <v>5931</v>
      </c>
      <c r="C5060" s="1" t="s">
        <v>6036</v>
      </c>
      <c r="D5060" s="1" t="s">
        <v>644</v>
      </c>
      <c r="E5060" s="1" t="s">
        <v>645</v>
      </c>
      <c r="F5060" s="1" t="s">
        <v>646</v>
      </c>
      <c r="G5060" s="1" t="s">
        <v>6037</v>
      </c>
      <c r="H5060">
        <v>2001</v>
      </c>
      <c r="I5060">
        <v>2016</v>
      </c>
      <c r="J5060">
        <f t="shared" si="156"/>
        <v>16</v>
      </c>
      <c r="K5060" s="1" t="s">
        <v>5909</v>
      </c>
      <c r="L5060" s="1" t="s">
        <v>649</v>
      </c>
      <c r="M5060">
        <f t="shared" si="157"/>
        <v>10</v>
      </c>
    </row>
    <row r="5061" spans="1:13" hidden="1" x14ac:dyDescent="0.3">
      <c r="A5061" s="1" t="s">
        <v>10781</v>
      </c>
      <c r="B5061" s="1" t="s">
        <v>5931</v>
      </c>
      <c r="C5061" s="1" t="s">
        <v>10782</v>
      </c>
      <c r="D5061" s="1" t="s">
        <v>644</v>
      </c>
      <c r="E5061" s="1" t="s">
        <v>645</v>
      </c>
      <c r="F5061" s="1" t="s">
        <v>646</v>
      </c>
      <c r="G5061" s="1" t="s">
        <v>6037</v>
      </c>
      <c r="H5061">
        <v>2012</v>
      </c>
      <c r="I5061">
        <v>2016</v>
      </c>
      <c r="J5061">
        <f t="shared" si="156"/>
        <v>5</v>
      </c>
      <c r="K5061" s="1" t="s">
        <v>5909</v>
      </c>
      <c r="L5061" s="1" t="s">
        <v>649</v>
      </c>
      <c r="M5061">
        <f t="shared" si="157"/>
        <v>10</v>
      </c>
    </row>
    <row r="5062" spans="1:13" hidden="1" x14ac:dyDescent="0.3">
      <c r="A5062" s="1" t="s">
        <v>6038</v>
      </c>
      <c r="B5062" s="1" t="s">
        <v>5931</v>
      </c>
      <c r="C5062" s="1" t="s">
        <v>6039</v>
      </c>
      <c r="D5062" s="1" t="s">
        <v>644</v>
      </c>
      <c r="E5062" s="1" t="s">
        <v>645</v>
      </c>
      <c r="F5062" s="1" t="s">
        <v>646</v>
      </c>
      <c r="G5062" s="1" t="s">
        <v>6037</v>
      </c>
      <c r="H5062">
        <v>2001</v>
      </c>
      <c r="I5062">
        <v>2016</v>
      </c>
      <c r="J5062">
        <f t="shared" ref="J5062:J5125" si="158">1+(I5062-H5062)</f>
        <v>16</v>
      </c>
      <c r="K5062" s="1" t="s">
        <v>5909</v>
      </c>
      <c r="L5062" s="1" t="s">
        <v>649</v>
      </c>
      <c r="M5062">
        <f t="shared" ref="M5062:M5125" si="159">IF(I5062=0,0,$B$2-I5062)</f>
        <v>10</v>
      </c>
    </row>
    <row r="5063" spans="1:13" hidden="1" x14ac:dyDescent="0.3">
      <c r="A5063" s="1" t="s">
        <v>10783</v>
      </c>
      <c r="B5063" s="1" t="s">
        <v>5931</v>
      </c>
      <c r="C5063" s="1" t="s">
        <v>10784</v>
      </c>
      <c r="D5063" s="1" t="s">
        <v>644</v>
      </c>
      <c r="E5063" s="1" t="s">
        <v>645</v>
      </c>
      <c r="F5063" s="1" t="s">
        <v>646</v>
      </c>
      <c r="G5063" s="1" t="s">
        <v>6037</v>
      </c>
      <c r="H5063">
        <v>2009</v>
      </c>
      <c r="I5063">
        <v>2016</v>
      </c>
      <c r="J5063">
        <f t="shared" si="158"/>
        <v>8</v>
      </c>
      <c r="K5063" s="1" t="s">
        <v>5909</v>
      </c>
      <c r="L5063" s="1" t="s">
        <v>649</v>
      </c>
      <c r="M5063">
        <f t="shared" si="159"/>
        <v>10</v>
      </c>
    </row>
    <row r="5064" spans="1:13" hidden="1" x14ac:dyDescent="0.3">
      <c r="A5064" s="1" t="s">
        <v>10785</v>
      </c>
      <c r="B5064" s="1" t="s">
        <v>5931</v>
      </c>
      <c r="C5064" s="1" t="s">
        <v>10786</v>
      </c>
      <c r="D5064" s="1" t="s">
        <v>644</v>
      </c>
      <c r="E5064" s="1" t="s">
        <v>645</v>
      </c>
      <c r="F5064" s="1" t="s">
        <v>646</v>
      </c>
      <c r="G5064" s="1" t="s">
        <v>6037</v>
      </c>
      <c r="H5064">
        <v>2002</v>
      </c>
      <c r="I5064">
        <v>2016</v>
      </c>
      <c r="J5064">
        <f t="shared" si="158"/>
        <v>15</v>
      </c>
      <c r="K5064" s="1" t="s">
        <v>5909</v>
      </c>
      <c r="L5064" s="1" t="s">
        <v>649</v>
      </c>
      <c r="M5064">
        <f t="shared" si="159"/>
        <v>10</v>
      </c>
    </row>
    <row r="5065" spans="1:13" hidden="1" x14ac:dyDescent="0.3">
      <c r="A5065" s="1" t="s">
        <v>10787</v>
      </c>
      <c r="B5065" s="1" t="s">
        <v>5931</v>
      </c>
      <c r="C5065" s="1" t="s">
        <v>10788</v>
      </c>
      <c r="D5065" s="1" t="s">
        <v>644</v>
      </c>
      <c r="E5065" s="1" t="s">
        <v>645</v>
      </c>
      <c r="F5065" s="1" t="s">
        <v>646</v>
      </c>
      <c r="G5065" s="1" t="s">
        <v>6037</v>
      </c>
      <c r="H5065">
        <v>2002</v>
      </c>
      <c r="I5065">
        <v>2016</v>
      </c>
      <c r="J5065">
        <f t="shared" si="158"/>
        <v>15</v>
      </c>
      <c r="K5065" s="1" t="s">
        <v>5909</v>
      </c>
      <c r="L5065" s="1" t="s">
        <v>649</v>
      </c>
      <c r="M5065">
        <f t="shared" si="159"/>
        <v>10</v>
      </c>
    </row>
    <row r="5066" spans="1:13" hidden="1" x14ac:dyDescent="0.3">
      <c r="A5066" s="1" t="s">
        <v>10789</v>
      </c>
      <c r="B5066" s="1" t="s">
        <v>5931</v>
      </c>
      <c r="C5066" s="1" t="s">
        <v>10790</v>
      </c>
      <c r="D5066" s="1" t="s">
        <v>644</v>
      </c>
      <c r="E5066" s="1" t="s">
        <v>645</v>
      </c>
      <c r="F5066" s="1" t="s">
        <v>646</v>
      </c>
      <c r="G5066" s="1" t="s">
        <v>6037</v>
      </c>
      <c r="H5066">
        <v>2002</v>
      </c>
      <c r="I5066">
        <v>2012</v>
      </c>
      <c r="J5066">
        <f t="shared" si="158"/>
        <v>11</v>
      </c>
      <c r="K5066" s="1" t="s">
        <v>5909</v>
      </c>
      <c r="L5066" s="1" t="s">
        <v>659</v>
      </c>
      <c r="M5066">
        <f t="shared" si="159"/>
        <v>14</v>
      </c>
    </row>
    <row r="5067" spans="1:13" x14ac:dyDescent="0.3">
      <c r="A5067" s="1" t="s">
        <v>9970</v>
      </c>
      <c r="B5067" s="1" t="s">
        <v>5931</v>
      </c>
      <c r="C5067" s="1" t="s">
        <v>9971</v>
      </c>
      <c r="D5067" s="1" t="s">
        <v>644</v>
      </c>
      <c r="E5067" s="1" t="s">
        <v>6076</v>
      </c>
      <c r="F5067" s="1" t="s">
        <v>6076</v>
      </c>
      <c r="G5067" s="1" t="s">
        <v>6037</v>
      </c>
      <c r="H5067">
        <v>2022</v>
      </c>
      <c r="I5067">
        <v>2004</v>
      </c>
      <c r="J5067">
        <f t="shared" si="158"/>
        <v>-17</v>
      </c>
      <c r="K5067" s="1" t="s">
        <v>6076</v>
      </c>
      <c r="L5067" s="1" t="s">
        <v>6076</v>
      </c>
      <c r="M5067">
        <f t="shared" si="159"/>
        <v>22</v>
      </c>
    </row>
    <row r="5068" spans="1:13" x14ac:dyDescent="0.3">
      <c r="A5068" s="1" t="s">
        <v>9972</v>
      </c>
      <c r="B5068" s="1" t="s">
        <v>5931</v>
      </c>
      <c r="C5068" s="1" t="s">
        <v>9973</v>
      </c>
      <c r="D5068" s="1" t="s">
        <v>644</v>
      </c>
      <c r="E5068" s="1" t="s">
        <v>6076</v>
      </c>
      <c r="F5068" s="1" t="s">
        <v>6076</v>
      </c>
      <c r="G5068" s="1" t="s">
        <v>6037</v>
      </c>
      <c r="H5068">
        <v>2002</v>
      </c>
      <c r="I5068">
        <v>2004</v>
      </c>
      <c r="J5068">
        <f t="shared" si="158"/>
        <v>3</v>
      </c>
      <c r="K5068" s="1" t="s">
        <v>6076</v>
      </c>
      <c r="L5068" s="1" t="s">
        <v>6076</v>
      </c>
      <c r="M5068">
        <f t="shared" si="159"/>
        <v>22</v>
      </c>
    </row>
    <row r="5069" spans="1:13" x14ac:dyDescent="0.3">
      <c r="A5069" s="1" t="s">
        <v>9974</v>
      </c>
      <c r="B5069" s="1" t="s">
        <v>5931</v>
      </c>
      <c r="C5069" s="1" t="s">
        <v>9975</v>
      </c>
      <c r="D5069" s="1" t="s">
        <v>644</v>
      </c>
      <c r="E5069" s="1" t="s">
        <v>6076</v>
      </c>
      <c r="F5069" s="1" t="s">
        <v>6076</v>
      </c>
      <c r="G5069" s="1" t="s">
        <v>6037</v>
      </c>
      <c r="H5069">
        <v>2002</v>
      </c>
      <c r="I5069">
        <v>2004</v>
      </c>
      <c r="J5069">
        <f t="shared" si="158"/>
        <v>3</v>
      </c>
      <c r="K5069" s="1" t="s">
        <v>6076</v>
      </c>
      <c r="L5069" s="1" t="s">
        <v>6076</v>
      </c>
      <c r="M5069">
        <f t="shared" si="159"/>
        <v>22</v>
      </c>
    </row>
    <row r="5070" spans="1:13" x14ac:dyDescent="0.3">
      <c r="A5070" s="1" t="s">
        <v>9976</v>
      </c>
      <c r="B5070" s="1" t="s">
        <v>5931</v>
      </c>
      <c r="C5070" s="1" t="s">
        <v>9977</v>
      </c>
      <c r="D5070" s="1" t="s">
        <v>644</v>
      </c>
      <c r="E5070" s="1" t="s">
        <v>6076</v>
      </c>
      <c r="F5070" s="1" t="s">
        <v>6076</v>
      </c>
      <c r="G5070" s="1" t="s">
        <v>6037</v>
      </c>
      <c r="H5070">
        <v>2001</v>
      </c>
      <c r="I5070">
        <v>2004</v>
      </c>
      <c r="J5070">
        <f t="shared" si="158"/>
        <v>4</v>
      </c>
      <c r="K5070" s="1" t="s">
        <v>6076</v>
      </c>
      <c r="L5070" s="1" t="s">
        <v>6076</v>
      </c>
      <c r="M5070">
        <f t="shared" si="159"/>
        <v>22</v>
      </c>
    </row>
    <row r="5071" spans="1:13" x14ac:dyDescent="0.3">
      <c r="A5071" s="1" t="s">
        <v>9978</v>
      </c>
      <c r="B5071" s="1" t="s">
        <v>5931</v>
      </c>
      <c r="C5071" s="1" t="s">
        <v>9979</v>
      </c>
      <c r="D5071" s="1" t="s">
        <v>644</v>
      </c>
      <c r="E5071" s="1" t="s">
        <v>6076</v>
      </c>
      <c r="F5071" s="1" t="s">
        <v>6076</v>
      </c>
      <c r="G5071" s="1" t="s">
        <v>6037</v>
      </c>
      <c r="H5071">
        <v>2001</v>
      </c>
      <c r="I5071">
        <v>2004</v>
      </c>
      <c r="J5071">
        <f t="shared" si="158"/>
        <v>4</v>
      </c>
      <c r="K5071" s="1" t="s">
        <v>6076</v>
      </c>
      <c r="L5071" s="1" t="s">
        <v>6076</v>
      </c>
      <c r="M5071">
        <f t="shared" si="159"/>
        <v>22</v>
      </c>
    </row>
    <row r="5072" spans="1:13" x14ac:dyDescent="0.3">
      <c r="A5072" s="1" t="s">
        <v>9980</v>
      </c>
      <c r="B5072" s="1" t="s">
        <v>5931</v>
      </c>
      <c r="C5072" s="1" t="s">
        <v>9981</v>
      </c>
      <c r="D5072" s="1" t="s">
        <v>644</v>
      </c>
      <c r="E5072" s="1" t="s">
        <v>6076</v>
      </c>
      <c r="F5072" s="1" t="s">
        <v>6076</v>
      </c>
      <c r="G5072" s="1" t="s">
        <v>6037</v>
      </c>
      <c r="H5072">
        <v>2000</v>
      </c>
      <c r="I5072">
        <v>2002</v>
      </c>
      <c r="J5072">
        <f t="shared" si="158"/>
        <v>3</v>
      </c>
      <c r="K5072" s="1" t="s">
        <v>6076</v>
      </c>
      <c r="L5072" s="1" t="s">
        <v>6076</v>
      </c>
      <c r="M5072">
        <f t="shared" si="159"/>
        <v>24</v>
      </c>
    </row>
    <row r="5073" spans="1:13" x14ac:dyDescent="0.3">
      <c r="A5073" s="1" t="s">
        <v>9982</v>
      </c>
      <c r="B5073" s="1" t="s">
        <v>5931</v>
      </c>
      <c r="C5073" s="1" t="s">
        <v>9983</v>
      </c>
      <c r="D5073" s="1" t="s">
        <v>644</v>
      </c>
      <c r="E5073" s="1" t="s">
        <v>6076</v>
      </c>
      <c r="F5073" s="1" t="s">
        <v>6076</v>
      </c>
      <c r="G5073" s="1" t="s">
        <v>6037</v>
      </c>
      <c r="H5073">
        <v>2000</v>
      </c>
      <c r="I5073">
        <v>2001</v>
      </c>
      <c r="J5073">
        <f t="shared" si="158"/>
        <v>2</v>
      </c>
      <c r="K5073" s="1" t="s">
        <v>6076</v>
      </c>
      <c r="L5073" s="1" t="s">
        <v>6076</v>
      </c>
      <c r="M5073">
        <f t="shared" si="159"/>
        <v>25</v>
      </c>
    </row>
    <row r="5074" spans="1:13" x14ac:dyDescent="0.3">
      <c r="A5074" s="1" t="s">
        <v>9984</v>
      </c>
      <c r="B5074" s="1" t="s">
        <v>5931</v>
      </c>
      <c r="C5074" s="1" t="s">
        <v>9985</v>
      </c>
      <c r="D5074" s="1" t="s">
        <v>644</v>
      </c>
      <c r="E5074" s="1" t="s">
        <v>6076</v>
      </c>
      <c r="F5074" s="1" t="s">
        <v>6076</v>
      </c>
      <c r="G5074" s="1" t="s">
        <v>6037</v>
      </c>
      <c r="H5074">
        <v>2000</v>
      </c>
      <c r="I5074">
        <v>2002</v>
      </c>
      <c r="J5074">
        <f t="shared" si="158"/>
        <v>3</v>
      </c>
      <c r="K5074" s="1" t="s">
        <v>6076</v>
      </c>
      <c r="L5074" s="1" t="s">
        <v>6076</v>
      </c>
      <c r="M5074">
        <f t="shared" si="159"/>
        <v>24</v>
      </c>
    </row>
    <row r="5075" spans="1:13" x14ac:dyDescent="0.3">
      <c r="A5075" s="1" t="s">
        <v>9986</v>
      </c>
      <c r="B5075" s="1" t="s">
        <v>5931</v>
      </c>
      <c r="C5075" s="1" t="s">
        <v>9987</v>
      </c>
      <c r="D5075" s="1" t="s">
        <v>644</v>
      </c>
      <c r="E5075" s="1" t="s">
        <v>6076</v>
      </c>
      <c r="F5075" s="1" t="s">
        <v>6076</v>
      </c>
      <c r="G5075" s="1" t="s">
        <v>6037</v>
      </c>
      <c r="H5075">
        <v>2000</v>
      </c>
      <c r="I5075">
        <v>2001</v>
      </c>
      <c r="J5075">
        <f t="shared" si="158"/>
        <v>2</v>
      </c>
      <c r="K5075" s="1" t="s">
        <v>6076</v>
      </c>
      <c r="L5075" s="1" t="s">
        <v>6076</v>
      </c>
      <c r="M5075">
        <f t="shared" si="159"/>
        <v>25</v>
      </c>
    </row>
    <row r="5076" spans="1:13" x14ac:dyDescent="0.3">
      <c r="A5076" s="1" t="s">
        <v>9988</v>
      </c>
      <c r="B5076" s="1" t="s">
        <v>5931</v>
      </c>
      <c r="C5076" s="1" t="s">
        <v>9989</v>
      </c>
      <c r="D5076" s="1" t="s">
        <v>644</v>
      </c>
      <c r="E5076" s="1" t="s">
        <v>6076</v>
      </c>
      <c r="F5076" s="1" t="s">
        <v>6076</v>
      </c>
      <c r="G5076" s="1" t="s">
        <v>6037</v>
      </c>
      <c r="H5076">
        <v>2000</v>
      </c>
      <c r="I5076">
        <v>2001</v>
      </c>
      <c r="J5076">
        <f t="shared" si="158"/>
        <v>2</v>
      </c>
      <c r="K5076" s="1" t="s">
        <v>6076</v>
      </c>
      <c r="L5076" s="1" t="s">
        <v>6076</v>
      </c>
      <c r="M5076">
        <f t="shared" si="159"/>
        <v>25</v>
      </c>
    </row>
    <row r="5077" spans="1:13" x14ac:dyDescent="0.3">
      <c r="A5077" s="1" t="s">
        <v>9990</v>
      </c>
      <c r="B5077" s="1" t="s">
        <v>5931</v>
      </c>
      <c r="C5077" s="1" t="s">
        <v>9991</v>
      </c>
      <c r="D5077" s="1" t="s">
        <v>644</v>
      </c>
      <c r="E5077" s="1" t="s">
        <v>6076</v>
      </c>
      <c r="F5077" s="1" t="s">
        <v>6076</v>
      </c>
      <c r="G5077" s="1" t="s">
        <v>6037</v>
      </c>
      <c r="H5077">
        <v>2000</v>
      </c>
      <c r="I5077">
        <v>2000</v>
      </c>
      <c r="J5077">
        <f t="shared" si="158"/>
        <v>1</v>
      </c>
      <c r="K5077" s="1" t="s">
        <v>6076</v>
      </c>
      <c r="L5077" s="1" t="s">
        <v>6076</v>
      </c>
      <c r="M5077">
        <f t="shared" si="159"/>
        <v>26</v>
      </c>
    </row>
    <row r="5078" spans="1:13" x14ac:dyDescent="0.3">
      <c r="A5078" s="1" t="s">
        <v>9992</v>
      </c>
      <c r="B5078" s="1" t="s">
        <v>5931</v>
      </c>
      <c r="C5078" s="1" t="s">
        <v>9993</v>
      </c>
      <c r="D5078" s="1" t="s">
        <v>644</v>
      </c>
      <c r="E5078" s="1" t="s">
        <v>6076</v>
      </c>
      <c r="F5078" s="1" t="s">
        <v>6076</v>
      </c>
      <c r="G5078" s="1" t="s">
        <v>6037</v>
      </c>
      <c r="H5078">
        <v>2000</v>
      </c>
      <c r="I5078">
        <v>2001</v>
      </c>
      <c r="J5078">
        <f t="shared" si="158"/>
        <v>2</v>
      </c>
      <c r="K5078" s="1" t="s">
        <v>6076</v>
      </c>
      <c r="L5078" s="1" t="s">
        <v>6076</v>
      </c>
      <c r="M5078">
        <f t="shared" si="159"/>
        <v>25</v>
      </c>
    </row>
    <row r="5079" spans="1:13" x14ac:dyDescent="0.3">
      <c r="A5079" s="1" t="s">
        <v>9994</v>
      </c>
      <c r="B5079" s="1" t="s">
        <v>5931</v>
      </c>
      <c r="C5079" s="1" t="s">
        <v>9995</v>
      </c>
      <c r="D5079" s="1" t="s">
        <v>644</v>
      </c>
      <c r="E5079" s="1" t="s">
        <v>6076</v>
      </c>
      <c r="F5079" s="1" t="s">
        <v>6076</v>
      </c>
      <c r="G5079" s="1" t="s">
        <v>6037</v>
      </c>
      <c r="H5079">
        <v>2000</v>
      </c>
      <c r="I5079">
        <v>2001</v>
      </c>
      <c r="J5079">
        <f t="shared" si="158"/>
        <v>2</v>
      </c>
      <c r="K5079" s="1" t="s">
        <v>6076</v>
      </c>
      <c r="L5079" s="1" t="s">
        <v>6076</v>
      </c>
      <c r="M5079">
        <f t="shared" si="159"/>
        <v>25</v>
      </c>
    </row>
    <row r="5080" spans="1:13" x14ac:dyDescent="0.3">
      <c r="A5080" s="1" t="s">
        <v>9996</v>
      </c>
      <c r="B5080" s="1" t="s">
        <v>5931</v>
      </c>
      <c r="C5080" s="1" t="s">
        <v>9997</v>
      </c>
      <c r="D5080" s="1" t="s">
        <v>644</v>
      </c>
      <c r="E5080" s="1" t="s">
        <v>6076</v>
      </c>
      <c r="F5080" s="1" t="s">
        <v>6076</v>
      </c>
      <c r="G5080" s="1" t="s">
        <v>6037</v>
      </c>
      <c r="H5080">
        <v>2000</v>
      </c>
      <c r="I5080">
        <v>2001</v>
      </c>
      <c r="J5080">
        <f t="shared" si="158"/>
        <v>2</v>
      </c>
      <c r="K5080" s="1" t="s">
        <v>6076</v>
      </c>
      <c r="L5080" s="1" t="s">
        <v>6076</v>
      </c>
      <c r="M5080">
        <f t="shared" si="159"/>
        <v>25</v>
      </c>
    </row>
    <row r="5081" spans="1:13" x14ac:dyDescent="0.3">
      <c r="A5081" s="1" t="s">
        <v>9998</v>
      </c>
      <c r="B5081" s="1" t="s">
        <v>5931</v>
      </c>
      <c r="C5081" s="1" t="s">
        <v>9999</v>
      </c>
      <c r="D5081" s="1" t="s">
        <v>644</v>
      </c>
      <c r="E5081" s="1" t="s">
        <v>6076</v>
      </c>
      <c r="F5081" s="1" t="s">
        <v>6076</v>
      </c>
      <c r="G5081" s="1" t="s">
        <v>6037</v>
      </c>
      <c r="H5081">
        <v>2000</v>
      </c>
      <c r="I5081">
        <v>2001</v>
      </c>
      <c r="J5081">
        <f t="shared" si="158"/>
        <v>2</v>
      </c>
      <c r="K5081" s="1" t="s">
        <v>6076</v>
      </c>
      <c r="L5081" s="1" t="s">
        <v>6076</v>
      </c>
      <c r="M5081">
        <f t="shared" si="159"/>
        <v>25</v>
      </c>
    </row>
    <row r="5082" spans="1:13" x14ac:dyDescent="0.3">
      <c r="A5082" s="1" t="s">
        <v>10000</v>
      </c>
      <c r="B5082" s="1" t="s">
        <v>5931</v>
      </c>
      <c r="C5082" s="1" t="s">
        <v>10001</v>
      </c>
      <c r="D5082" s="1" t="s">
        <v>644</v>
      </c>
      <c r="E5082" s="1" t="s">
        <v>6076</v>
      </c>
      <c r="F5082" s="1" t="s">
        <v>6076</v>
      </c>
      <c r="G5082" s="1" t="s">
        <v>6037</v>
      </c>
      <c r="H5082">
        <v>2000</v>
      </c>
      <c r="I5082">
        <v>2001</v>
      </c>
      <c r="J5082">
        <f t="shared" si="158"/>
        <v>2</v>
      </c>
      <c r="K5082" s="1" t="s">
        <v>6076</v>
      </c>
      <c r="L5082" s="1" t="s">
        <v>6076</v>
      </c>
      <c r="M5082">
        <f t="shared" si="159"/>
        <v>25</v>
      </c>
    </row>
    <row r="5083" spans="1:13" x14ac:dyDescent="0.3">
      <c r="A5083" s="1" t="s">
        <v>10002</v>
      </c>
      <c r="B5083" s="1" t="s">
        <v>5931</v>
      </c>
      <c r="C5083" s="1" t="s">
        <v>10003</v>
      </c>
      <c r="D5083" s="1" t="s">
        <v>644</v>
      </c>
      <c r="E5083" s="1" t="s">
        <v>6076</v>
      </c>
      <c r="F5083" s="1" t="s">
        <v>6076</v>
      </c>
      <c r="G5083" s="1" t="s">
        <v>6037</v>
      </c>
      <c r="H5083">
        <v>2000</v>
      </c>
      <c r="I5083">
        <v>2002</v>
      </c>
      <c r="J5083">
        <f t="shared" si="158"/>
        <v>3</v>
      </c>
      <c r="K5083" s="1" t="s">
        <v>6076</v>
      </c>
      <c r="L5083" s="1" t="s">
        <v>6076</v>
      </c>
      <c r="M5083">
        <f t="shared" si="159"/>
        <v>24</v>
      </c>
    </row>
    <row r="5084" spans="1:13" x14ac:dyDescent="0.3">
      <c r="A5084" s="1" t="s">
        <v>10004</v>
      </c>
      <c r="B5084" s="1" t="s">
        <v>5931</v>
      </c>
      <c r="C5084" s="1" t="s">
        <v>10005</v>
      </c>
      <c r="D5084" s="1" t="s">
        <v>644</v>
      </c>
      <c r="E5084" s="1" t="s">
        <v>6076</v>
      </c>
      <c r="F5084" s="1" t="s">
        <v>6076</v>
      </c>
      <c r="G5084" s="1" t="s">
        <v>6037</v>
      </c>
      <c r="H5084">
        <v>2000</v>
      </c>
      <c r="I5084">
        <v>2001</v>
      </c>
      <c r="J5084">
        <f t="shared" si="158"/>
        <v>2</v>
      </c>
      <c r="K5084" s="1" t="s">
        <v>6076</v>
      </c>
      <c r="L5084" s="1" t="s">
        <v>6076</v>
      </c>
      <c r="M5084">
        <f t="shared" si="159"/>
        <v>25</v>
      </c>
    </row>
    <row r="5085" spans="1:13" x14ac:dyDescent="0.3">
      <c r="A5085" s="1" t="s">
        <v>10006</v>
      </c>
      <c r="B5085" s="1" t="s">
        <v>5931</v>
      </c>
      <c r="C5085" s="1" t="s">
        <v>10007</v>
      </c>
      <c r="D5085" s="1" t="s">
        <v>644</v>
      </c>
      <c r="E5085" s="1" t="s">
        <v>6076</v>
      </c>
      <c r="F5085" s="1" t="s">
        <v>6076</v>
      </c>
      <c r="G5085" s="1" t="s">
        <v>6037</v>
      </c>
      <c r="H5085">
        <v>2000</v>
      </c>
      <c r="I5085">
        <v>2002</v>
      </c>
      <c r="J5085">
        <f t="shared" si="158"/>
        <v>3</v>
      </c>
      <c r="K5085" s="1" t="s">
        <v>6076</v>
      </c>
      <c r="L5085" s="1" t="s">
        <v>6076</v>
      </c>
      <c r="M5085">
        <f t="shared" si="159"/>
        <v>24</v>
      </c>
    </row>
    <row r="5086" spans="1:13" x14ac:dyDescent="0.3">
      <c r="A5086" s="1" t="s">
        <v>10008</v>
      </c>
      <c r="B5086" s="1" t="s">
        <v>5931</v>
      </c>
      <c r="C5086" s="1" t="s">
        <v>10009</v>
      </c>
      <c r="D5086" s="1" t="s">
        <v>644</v>
      </c>
      <c r="E5086" s="1" t="s">
        <v>6076</v>
      </c>
      <c r="F5086" s="1" t="s">
        <v>6076</v>
      </c>
      <c r="G5086" s="1" t="s">
        <v>6037</v>
      </c>
      <c r="H5086">
        <v>2000</v>
      </c>
      <c r="I5086">
        <v>2002</v>
      </c>
      <c r="J5086">
        <f t="shared" si="158"/>
        <v>3</v>
      </c>
      <c r="K5086" s="1" t="s">
        <v>6076</v>
      </c>
      <c r="L5086" s="1" t="s">
        <v>6076</v>
      </c>
      <c r="M5086">
        <f t="shared" si="159"/>
        <v>24</v>
      </c>
    </row>
    <row r="5087" spans="1:13" x14ac:dyDescent="0.3">
      <c r="A5087" s="1" t="s">
        <v>10010</v>
      </c>
      <c r="B5087" s="1" t="s">
        <v>5931</v>
      </c>
      <c r="C5087" s="1" t="s">
        <v>10011</v>
      </c>
      <c r="D5087" s="1" t="s">
        <v>644</v>
      </c>
      <c r="E5087" s="1" t="s">
        <v>6076</v>
      </c>
      <c r="F5087" s="1" t="s">
        <v>6076</v>
      </c>
      <c r="G5087" s="1" t="s">
        <v>6037</v>
      </c>
      <c r="H5087">
        <v>1999</v>
      </c>
      <c r="I5087">
        <v>2001</v>
      </c>
      <c r="J5087">
        <f t="shared" si="158"/>
        <v>3</v>
      </c>
      <c r="K5087" s="1" t="s">
        <v>6076</v>
      </c>
      <c r="L5087" s="1" t="s">
        <v>6076</v>
      </c>
      <c r="M5087">
        <f t="shared" si="159"/>
        <v>25</v>
      </c>
    </row>
    <row r="5088" spans="1:13" hidden="1" x14ac:dyDescent="0.3">
      <c r="A5088" s="1" t="s">
        <v>10791</v>
      </c>
      <c r="B5088" s="1" t="s">
        <v>5931</v>
      </c>
      <c r="C5088" s="1" t="s">
        <v>10792</v>
      </c>
      <c r="D5088" s="1" t="s">
        <v>644</v>
      </c>
      <c r="E5088" s="1" t="s">
        <v>645</v>
      </c>
      <c r="F5088" s="1" t="s">
        <v>646</v>
      </c>
      <c r="G5088" s="1" t="s">
        <v>6037</v>
      </c>
      <c r="H5088">
        <v>2005</v>
      </c>
      <c r="I5088">
        <v>2012</v>
      </c>
      <c r="J5088">
        <f t="shared" si="158"/>
        <v>8</v>
      </c>
      <c r="K5088" s="1" t="s">
        <v>5909</v>
      </c>
      <c r="L5088" s="1" t="s">
        <v>659</v>
      </c>
      <c r="M5088">
        <f t="shared" si="159"/>
        <v>14</v>
      </c>
    </row>
    <row r="5089" spans="1:13" hidden="1" x14ac:dyDescent="0.3">
      <c r="A5089" s="1" t="s">
        <v>10793</v>
      </c>
      <c r="B5089" s="1" t="s">
        <v>5931</v>
      </c>
      <c r="C5089" s="1" t="s">
        <v>10794</v>
      </c>
      <c r="D5089" s="1" t="s">
        <v>644</v>
      </c>
      <c r="E5089" s="1" t="s">
        <v>645</v>
      </c>
      <c r="F5089" s="1" t="s">
        <v>646</v>
      </c>
      <c r="G5089" s="1" t="s">
        <v>6037</v>
      </c>
      <c r="H5089">
        <v>2018</v>
      </c>
      <c r="I5089">
        <v>2018</v>
      </c>
      <c r="J5089">
        <f t="shared" si="158"/>
        <v>1</v>
      </c>
      <c r="K5089" s="1" t="s">
        <v>5909</v>
      </c>
      <c r="L5089" s="1" t="s">
        <v>666</v>
      </c>
      <c r="M5089">
        <f t="shared" si="159"/>
        <v>8</v>
      </c>
    </row>
    <row r="5090" spans="1:13" hidden="1" x14ac:dyDescent="0.3">
      <c r="A5090" s="1" t="s">
        <v>10795</v>
      </c>
      <c r="B5090" s="1" t="s">
        <v>5931</v>
      </c>
      <c r="C5090" s="1" t="s">
        <v>10796</v>
      </c>
      <c r="D5090" s="1" t="s">
        <v>644</v>
      </c>
      <c r="E5090" s="1" t="s">
        <v>645</v>
      </c>
      <c r="F5090" s="1" t="s">
        <v>646</v>
      </c>
      <c r="G5090" s="1" t="s">
        <v>6037</v>
      </c>
      <c r="H5090">
        <v>2017</v>
      </c>
      <c r="I5090">
        <v>2019</v>
      </c>
      <c r="J5090">
        <f t="shared" si="158"/>
        <v>3</v>
      </c>
      <c r="K5090" s="1" t="s">
        <v>5909</v>
      </c>
      <c r="L5090" s="1" t="s">
        <v>666</v>
      </c>
      <c r="M5090">
        <f t="shared" si="159"/>
        <v>7</v>
      </c>
    </row>
    <row r="5091" spans="1:13" hidden="1" x14ac:dyDescent="0.3">
      <c r="A5091" s="1" t="s">
        <v>10797</v>
      </c>
      <c r="B5091" s="1" t="s">
        <v>5931</v>
      </c>
      <c r="C5091" s="1" t="s">
        <v>10798</v>
      </c>
      <c r="D5091" s="1" t="s">
        <v>644</v>
      </c>
      <c r="E5091" s="1" t="s">
        <v>645</v>
      </c>
      <c r="F5091" s="1" t="s">
        <v>646</v>
      </c>
      <c r="G5091" s="1" t="s">
        <v>6037</v>
      </c>
      <c r="H5091">
        <v>2005</v>
      </c>
      <c r="I5091">
        <v>2019</v>
      </c>
      <c r="J5091">
        <f t="shared" si="158"/>
        <v>15</v>
      </c>
      <c r="K5091" s="1" t="s">
        <v>5909</v>
      </c>
      <c r="L5091" s="1" t="s">
        <v>649</v>
      </c>
      <c r="M5091">
        <f t="shared" si="159"/>
        <v>7</v>
      </c>
    </row>
    <row r="5092" spans="1:13" hidden="1" x14ac:dyDescent="0.3">
      <c r="A5092" s="1" t="s">
        <v>10799</v>
      </c>
      <c r="B5092" s="1" t="s">
        <v>5931</v>
      </c>
      <c r="C5092" s="1" t="s">
        <v>10800</v>
      </c>
      <c r="D5092" s="1" t="s">
        <v>644</v>
      </c>
      <c r="E5092" s="1" t="s">
        <v>645</v>
      </c>
      <c r="F5092" s="1" t="s">
        <v>646</v>
      </c>
      <c r="G5092" s="1" t="s">
        <v>6037</v>
      </c>
      <c r="H5092">
        <v>2017</v>
      </c>
      <c r="I5092">
        <v>2019</v>
      </c>
      <c r="J5092">
        <f t="shared" si="158"/>
        <v>3</v>
      </c>
      <c r="K5092" s="1" t="s">
        <v>5909</v>
      </c>
      <c r="L5092" s="1" t="s">
        <v>666</v>
      </c>
      <c r="M5092">
        <f t="shared" si="159"/>
        <v>7</v>
      </c>
    </row>
    <row r="5093" spans="1:13" hidden="1" x14ac:dyDescent="0.3">
      <c r="A5093" s="1" t="s">
        <v>10801</v>
      </c>
      <c r="B5093" s="1" t="s">
        <v>5931</v>
      </c>
      <c r="C5093" s="1" t="s">
        <v>10802</v>
      </c>
      <c r="D5093" s="1" t="s">
        <v>644</v>
      </c>
      <c r="E5093" s="1" t="s">
        <v>645</v>
      </c>
      <c r="F5093" s="1" t="s">
        <v>646</v>
      </c>
      <c r="G5093" s="1" t="s">
        <v>6037</v>
      </c>
      <c r="H5093">
        <v>2005</v>
      </c>
      <c r="I5093">
        <v>2019</v>
      </c>
      <c r="J5093">
        <f t="shared" si="158"/>
        <v>15</v>
      </c>
      <c r="K5093" s="1" t="s">
        <v>5909</v>
      </c>
      <c r="L5093" s="1" t="s">
        <v>649</v>
      </c>
      <c r="M5093">
        <f t="shared" si="159"/>
        <v>7</v>
      </c>
    </row>
    <row r="5094" spans="1:13" hidden="1" x14ac:dyDescent="0.3">
      <c r="A5094" s="1" t="s">
        <v>6040</v>
      </c>
      <c r="B5094" s="1" t="s">
        <v>5931</v>
      </c>
      <c r="C5094" s="1" t="s">
        <v>6041</v>
      </c>
      <c r="D5094" s="1" t="s">
        <v>644</v>
      </c>
      <c r="E5094" s="1" t="s">
        <v>645</v>
      </c>
      <c r="F5094" s="1" t="s">
        <v>646</v>
      </c>
      <c r="G5094" s="1" t="s">
        <v>6037</v>
      </c>
      <c r="H5094">
        <v>2002</v>
      </c>
      <c r="I5094">
        <v>2019</v>
      </c>
      <c r="J5094">
        <f t="shared" si="158"/>
        <v>18</v>
      </c>
      <c r="K5094" s="1" t="s">
        <v>5909</v>
      </c>
      <c r="L5094" s="1" t="s">
        <v>649</v>
      </c>
      <c r="M5094">
        <f t="shared" si="159"/>
        <v>7</v>
      </c>
    </row>
    <row r="5095" spans="1:13" hidden="1" x14ac:dyDescent="0.3">
      <c r="A5095" s="1" t="s">
        <v>10803</v>
      </c>
      <c r="B5095" s="1" t="s">
        <v>5931</v>
      </c>
      <c r="C5095" s="1" t="s">
        <v>10804</v>
      </c>
      <c r="D5095" s="1" t="s">
        <v>644</v>
      </c>
      <c r="E5095" s="1" t="s">
        <v>645</v>
      </c>
      <c r="F5095" s="1" t="s">
        <v>646</v>
      </c>
      <c r="G5095" s="1" t="s">
        <v>6037</v>
      </c>
      <c r="H5095">
        <v>2002</v>
      </c>
      <c r="I5095">
        <v>2012</v>
      </c>
      <c r="J5095">
        <f t="shared" si="158"/>
        <v>11</v>
      </c>
      <c r="K5095" s="1" t="s">
        <v>5909</v>
      </c>
      <c r="L5095" s="1" t="s">
        <v>659</v>
      </c>
      <c r="M5095">
        <f t="shared" si="159"/>
        <v>14</v>
      </c>
    </row>
    <row r="5096" spans="1:13" hidden="1" x14ac:dyDescent="0.3">
      <c r="A5096" s="1" t="s">
        <v>10805</v>
      </c>
      <c r="B5096" s="1" t="s">
        <v>5931</v>
      </c>
      <c r="C5096" s="1" t="s">
        <v>10806</v>
      </c>
      <c r="D5096" s="1" t="s">
        <v>644</v>
      </c>
      <c r="E5096" s="1" t="s">
        <v>645</v>
      </c>
      <c r="F5096" s="1" t="s">
        <v>646</v>
      </c>
      <c r="G5096" s="1" t="s">
        <v>6037</v>
      </c>
      <c r="H5096">
        <v>2005</v>
      </c>
      <c r="I5096">
        <v>2011</v>
      </c>
      <c r="J5096">
        <f t="shared" si="158"/>
        <v>7</v>
      </c>
      <c r="K5096" s="1" t="s">
        <v>5909</v>
      </c>
      <c r="L5096" s="1" t="s">
        <v>659</v>
      </c>
      <c r="M5096">
        <f t="shared" si="159"/>
        <v>15</v>
      </c>
    </row>
    <row r="5097" spans="1:13" hidden="1" x14ac:dyDescent="0.3">
      <c r="A5097" s="1" t="s">
        <v>10807</v>
      </c>
      <c r="B5097" s="1" t="s">
        <v>5931</v>
      </c>
      <c r="C5097" s="1" t="s">
        <v>10808</v>
      </c>
      <c r="D5097" s="1" t="s">
        <v>644</v>
      </c>
      <c r="E5097" s="1" t="s">
        <v>645</v>
      </c>
      <c r="F5097" s="1" t="s">
        <v>646</v>
      </c>
      <c r="G5097" s="1" t="s">
        <v>6037</v>
      </c>
      <c r="H5097">
        <v>2002</v>
      </c>
      <c r="I5097">
        <v>2012</v>
      </c>
      <c r="J5097">
        <f t="shared" si="158"/>
        <v>11</v>
      </c>
      <c r="K5097" s="1" t="s">
        <v>5909</v>
      </c>
      <c r="L5097" s="1" t="s">
        <v>659</v>
      </c>
      <c r="M5097">
        <f t="shared" si="159"/>
        <v>14</v>
      </c>
    </row>
    <row r="5098" spans="1:13" hidden="1" x14ac:dyDescent="0.3">
      <c r="A5098" s="1" t="s">
        <v>10809</v>
      </c>
      <c r="B5098" s="1" t="s">
        <v>5931</v>
      </c>
      <c r="C5098" s="1" t="s">
        <v>10810</v>
      </c>
      <c r="D5098" s="1" t="s">
        <v>644</v>
      </c>
      <c r="E5098" s="1" t="s">
        <v>645</v>
      </c>
      <c r="F5098" s="1" t="s">
        <v>646</v>
      </c>
      <c r="G5098" s="1" t="s">
        <v>6037</v>
      </c>
      <c r="H5098">
        <v>2005</v>
      </c>
      <c r="I5098">
        <v>2011</v>
      </c>
      <c r="J5098">
        <f t="shared" si="158"/>
        <v>7</v>
      </c>
      <c r="K5098" s="1" t="s">
        <v>5909</v>
      </c>
      <c r="L5098" s="1" t="s">
        <v>659</v>
      </c>
      <c r="M5098">
        <f t="shared" si="159"/>
        <v>15</v>
      </c>
    </row>
    <row r="5099" spans="1:13" hidden="1" x14ac:dyDescent="0.3">
      <c r="A5099" s="1" t="s">
        <v>10811</v>
      </c>
      <c r="B5099" s="1" t="s">
        <v>5931</v>
      </c>
      <c r="C5099" s="1" t="s">
        <v>10812</v>
      </c>
      <c r="D5099" s="1" t="s">
        <v>644</v>
      </c>
      <c r="E5099" s="1" t="s">
        <v>645</v>
      </c>
      <c r="F5099" s="1" t="s">
        <v>646</v>
      </c>
      <c r="G5099" s="1" t="s">
        <v>6037</v>
      </c>
      <c r="H5099">
        <v>2002</v>
      </c>
      <c r="I5099">
        <v>2012</v>
      </c>
      <c r="J5099">
        <f t="shared" si="158"/>
        <v>11</v>
      </c>
      <c r="K5099" s="1" t="s">
        <v>5909</v>
      </c>
      <c r="L5099" s="1" t="s">
        <v>659</v>
      </c>
      <c r="M5099">
        <f t="shared" si="159"/>
        <v>14</v>
      </c>
    </row>
    <row r="5100" spans="1:13" hidden="1" x14ac:dyDescent="0.3">
      <c r="A5100" s="1" t="s">
        <v>10813</v>
      </c>
      <c r="B5100" s="1" t="s">
        <v>5931</v>
      </c>
      <c r="C5100" s="1" t="s">
        <v>10814</v>
      </c>
      <c r="D5100" s="1" t="s">
        <v>644</v>
      </c>
      <c r="E5100" s="1" t="s">
        <v>645</v>
      </c>
      <c r="F5100" s="1" t="s">
        <v>646</v>
      </c>
      <c r="G5100" s="1" t="s">
        <v>6037</v>
      </c>
      <c r="H5100">
        <v>2005</v>
      </c>
      <c r="I5100">
        <v>2012</v>
      </c>
      <c r="J5100">
        <f t="shared" si="158"/>
        <v>8</v>
      </c>
      <c r="K5100" s="1" t="s">
        <v>5909</v>
      </c>
      <c r="L5100" s="1" t="s">
        <v>659</v>
      </c>
      <c r="M5100">
        <f t="shared" si="159"/>
        <v>14</v>
      </c>
    </row>
    <row r="5101" spans="1:13" hidden="1" x14ac:dyDescent="0.3">
      <c r="A5101" s="1" t="s">
        <v>10815</v>
      </c>
      <c r="B5101" s="1" t="s">
        <v>5931</v>
      </c>
      <c r="C5101" s="1" t="s">
        <v>10816</v>
      </c>
      <c r="D5101" s="1" t="s">
        <v>644</v>
      </c>
      <c r="E5101" s="1" t="s">
        <v>645</v>
      </c>
      <c r="F5101" s="1" t="s">
        <v>646</v>
      </c>
      <c r="G5101" s="1" t="s">
        <v>6037</v>
      </c>
      <c r="H5101">
        <v>2005</v>
      </c>
      <c r="I5101">
        <v>2012</v>
      </c>
      <c r="J5101">
        <f t="shared" si="158"/>
        <v>8</v>
      </c>
      <c r="K5101" s="1" t="s">
        <v>5909</v>
      </c>
      <c r="L5101" s="1" t="s">
        <v>659</v>
      </c>
      <c r="M5101">
        <f t="shared" si="159"/>
        <v>14</v>
      </c>
    </row>
    <row r="5102" spans="1:13" hidden="1" x14ac:dyDescent="0.3">
      <c r="A5102" s="1" t="s">
        <v>10817</v>
      </c>
      <c r="B5102" s="1" t="s">
        <v>5931</v>
      </c>
      <c r="C5102" s="1" t="s">
        <v>10818</v>
      </c>
      <c r="D5102" s="1" t="s">
        <v>644</v>
      </c>
      <c r="E5102" s="1" t="s">
        <v>645</v>
      </c>
      <c r="F5102" s="1" t="s">
        <v>646</v>
      </c>
      <c r="G5102" s="1" t="s">
        <v>6037</v>
      </c>
      <c r="H5102">
        <v>2020</v>
      </c>
      <c r="I5102">
        <v>2022</v>
      </c>
      <c r="J5102">
        <f t="shared" si="158"/>
        <v>3</v>
      </c>
      <c r="K5102" s="1" t="s">
        <v>5909</v>
      </c>
      <c r="L5102" s="1" t="s">
        <v>666</v>
      </c>
      <c r="M5102">
        <f t="shared" si="159"/>
        <v>4</v>
      </c>
    </row>
    <row r="5103" spans="1:13" hidden="1" x14ac:dyDescent="0.3">
      <c r="A5103" s="1" t="s">
        <v>10819</v>
      </c>
      <c r="B5103" s="1" t="s">
        <v>5931</v>
      </c>
      <c r="C5103" s="1" t="s">
        <v>10820</v>
      </c>
      <c r="D5103" s="1" t="s">
        <v>644</v>
      </c>
      <c r="E5103" s="1" t="s">
        <v>645</v>
      </c>
      <c r="F5103" s="1" t="s">
        <v>646</v>
      </c>
      <c r="G5103" s="1" t="s">
        <v>6037</v>
      </c>
      <c r="H5103">
        <v>2020</v>
      </c>
      <c r="I5103">
        <v>2022</v>
      </c>
      <c r="J5103">
        <f t="shared" si="158"/>
        <v>3</v>
      </c>
      <c r="K5103" s="1" t="s">
        <v>5909</v>
      </c>
      <c r="L5103" s="1" t="s">
        <v>666</v>
      </c>
      <c r="M5103">
        <f t="shared" si="159"/>
        <v>4</v>
      </c>
    </row>
    <row r="5104" spans="1:13" hidden="1" x14ac:dyDescent="0.3">
      <c r="A5104" s="1" t="s">
        <v>10821</v>
      </c>
      <c r="B5104" s="1" t="s">
        <v>5931</v>
      </c>
      <c r="C5104" s="1" t="s">
        <v>10822</v>
      </c>
      <c r="D5104" s="1" t="s">
        <v>644</v>
      </c>
      <c r="E5104" s="1" t="s">
        <v>645</v>
      </c>
      <c r="F5104" s="1" t="s">
        <v>646</v>
      </c>
      <c r="G5104" s="1" t="s">
        <v>6037</v>
      </c>
      <c r="H5104">
        <v>2020</v>
      </c>
      <c r="I5104">
        <v>2022</v>
      </c>
      <c r="J5104">
        <f t="shared" si="158"/>
        <v>3</v>
      </c>
      <c r="K5104" s="1" t="s">
        <v>5909</v>
      </c>
      <c r="L5104" s="1" t="s">
        <v>666</v>
      </c>
      <c r="M5104">
        <f t="shared" si="159"/>
        <v>4</v>
      </c>
    </row>
    <row r="5105" spans="1:13" hidden="1" x14ac:dyDescent="0.3">
      <c r="A5105" s="1" t="s">
        <v>10823</v>
      </c>
      <c r="B5105" s="1" t="s">
        <v>5931</v>
      </c>
      <c r="C5105" s="1" t="s">
        <v>10824</v>
      </c>
      <c r="D5105" s="1" t="s">
        <v>644</v>
      </c>
      <c r="E5105" s="1" t="s">
        <v>645</v>
      </c>
      <c r="F5105" s="1" t="s">
        <v>646</v>
      </c>
      <c r="G5105" s="1" t="s">
        <v>6037</v>
      </c>
      <c r="H5105">
        <v>2020</v>
      </c>
      <c r="I5105">
        <v>2022</v>
      </c>
      <c r="J5105">
        <f t="shared" si="158"/>
        <v>3</v>
      </c>
      <c r="K5105" s="1" t="s">
        <v>5909</v>
      </c>
      <c r="L5105" s="1" t="s">
        <v>666</v>
      </c>
      <c r="M5105">
        <f t="shared" si="159"/>
        <v>4</v>
      </c>
    </row>
    <row r="5106" spans="1:13" hidden="1" x14ac:dyDescent="0.3">
      <c r="A5106" s="1" t="s">
        <v>10825</v>
      </c>
      <c r="B5106" s="1" t="s">
        <v>5931</v>
      </c>
      <c r="C5106" s="1" t="s">
        <v>10826</v>
      </c>
      <c r="D5106" s="1" t="s">
        <v>644</v>
      </c>
      <c r="E5106" s="1" t="s">
        <v>645</v>
      </c>
      <c r="F5106" s="1" t="s">
        <v>646</v>
      </c>
      <c r="G5106" s="1" t="s">
        <v>6037</v>
      </c>
      <c r="H5106">
        <v>2020</v>
      </c>
      <c r="I5106">
        <v>2022</v>
      </c>
      <c r="J5106">
        <f t="shared" si="158"/>
        <v>3</v>
      </c>
      <c r="K5106" s="1" t="s">
        <v>5909</v>
      </c>
      <c r="L5106" s="1" t="s">
        <v>666</v>
      </c>
      <c r="M5106">
        <f t="shared" si="159"/>
        <v>4</v>
      </c>
    </row>
    <row r="5107" spans="1:13" hidden="1" x14ac:dyDescent="0.3">
      <c r="A5107" s="1" t="s">
        <v>10827</v>
      </c>
      <c r="B5107" s="1" t="s">
        <v>5931</v>
      </c>
      <c r="C5107" s="1" t="s">
        <v>10828</v>
      </c>
      <c r="D5107" s="1" t="s">
        <v>644</v>
      </c>
      <c r="E5107" s="1" t="s">
        <v>645</v>
      </c>
      <c r="F5107" s="1" t="s">
        <v>646</v>
      </c>
      <c r="G5107" s="1" t="s">
        <v>6037</v>
      </c>
      <c r="H5107">
        <v>2020</v>
      </c>
      <c r="I5107">
        <v>2022</v>
      </c>
      <c r="J5107">
        <f t="shared" si="158"/>
        <v>3</v>
      </c>
      <c r="K5107" s="1" t="s">
        <v>5909</v>
      </c>
      <c r="L5107" s="1" t="s">
        <v>666</v>
      </c>
      <c r="M5107">
        <f t="shared" si="159"/>
        <v>4</v>
      </c>
    </row>
    <row r="5108" spans="1:13" hidden="1" x14ac:dyDescent="0.3">
      <c r="A5108" t="s">
        <v>11869</v>
      </c>
      <c r="B5108" t="s">
        <v>5931</v>
      </c>
      <c r="C5108" t="s">
        <v>11870</v>
      </c>
      <c r="E5108" s="1" t="e">
        <v>#N/A</v>
      </c>
      <c r="F5108" s="1" t="e">
        <v>#N/A</v>
      </c>
      <c r="G5108" s="1" t="s">
        <v>6037</v>
      </c>
      <c r="H5108">
        <v>2023</v>
      </c>
      <c r="I5108">
        <v>2023</v>
      </c>
      <c r="J5108">
        <f t="shared" si="158"/>
        <v>1</v>
      </c>
      <c r="K5108" s="1" t="s">
        <v>5909</v>
      </c>
      <c r="L5108" s="1" t="s">
        <v>666</v>
      </c>
      <c r="M5108">
        <f t="shared" si="159"/>
        <v>3</v>
      </c>
    </row>
    <row r="5109" spans="1:13" hidden="1" x14ac:dyDescent="0.3">
      <c r="A5109" t="s">
        <v>11871</v>
      </c>
      <c r="B5109" t="s">
        <v>5931</v>
      </c>
      <c r="C5109" t="s">
        <v>11872</v>
      </c>
      <c r="E5109" s="1" t="e">
        <v>#N/A</v>
      </c>
      <c r="F5109" s="1" t="e">
        <v>#N/A</v>
      </c>
      <c r="G5109" s="1" t="s">
        <v>6037</v>
      </c>
      <c r="H5109">
        <v>2023</v>
      </c>
      <c r="I5109">
        <v>2023</v>
      </c>
      <c r="J5109">
        <f t="shared" si="158"/>
        <v>1</v>
      </c>
      <c r="K5109" s="1" t="s">
        <v>5909</v>
      </c>
      <c r="L5109" s="1" t="s">
        <v>666</v>
      </c>
      <c r="M5109">
        <f t="shared" si="159"/>
        <v>3</v>
      </c>
    </row>
    <row r="5110" spans="1:13" hidden="1" x14ac:dyDescent="0.3">
      <c r="A5110" t="s">
        <v>11873</v>
      </c>
      <c r="B5110" t="s">
        <v>5931</v>
      </c>
      <c r="C5110" t="s">
        <v>11874</v>
      </c>
      <c r="E5110" s="1" t="e">
        <v>#N/A</v>
      </c>
      <c r="F5110" s="1" t="e">
        <v>#N/A</v>
      </c>
      <c r="G5110" s="1" t="s">
        <v>6037</v>
      </c>
      <c r="H5110">
        <v>2023</v>
      </c>
      <c r="I5110">
        <v>2026</v>
      </c>
      <c r="J5110">
        <f t="shared" si="158"/>
        <v>4</v>
      </c>
      <c r="K5110" s="1" t="s">
        <v>5909</v>
      </c>
      <c r="L5110" s="1" t="s">
        <v>666</v>
      </c>
      <c r="M5110">
        <f t="shared" si="159"/>
        <v>0</v>
      </c>
    </row>
    <row r="5111" spans="1:13" hidden="1" x14ac:dyDescent="0.3">
      <c r="A5111" t="s">
        <v>11875</v>
      </c>
      <c r="B5111" t="s">
        <v>5931</v>
      </c>
      <c r="C5111" t="s">
        <v>11876</v>
      </c>
      <c r="E5111" s="1" t="e">
        <v>#N/A</v>
      </c>
      <c r="F5111" s="1" t="e">
        <v>#N/A</v>
      </c>
      <c r="G5111" s="1" t="s">
        <v>6037</v>
      </c>
      <c r="H5111">
        <v>2023</v>
      </c>
      <c r="I5111">
        <v>2026</v>
      </c>
      <c r="J5111">
        <f t="shared" si="158"/>
        <v>4</v>
      </c>
      <c r="K5111" s="1" t="s">
        <v>5909</v>
      </c>
      <c r="L5111" s="1" t="s">
        <v>666</v>
      </c>
      <c r="M5111">
        <f t="shared" si="159"/>
        <v>0</v>
      </c>
    </row>
    <row r="5112" spans="1:13" hidden="1" x14ac:dyDescent="0.3">
      <c r="A5112" t="s">
        <v>11877</v>
      </c>
      <c r="B5112" t="s">
        <v>5931</v>
      </c>
      <c r="C5112" t="s">
        <v>11878</v>
      </c>
      <c r="E5112" s="1" t="e">
        <v>#N/A</v>
      </c>
      <c r="F5112" s="1" t="e">
        <v>#N/A</v>
      </c>
      <c r="G5112" s="1" t="s">
        <v>6037</v>
      </c>
      <c r="H5112">
        <v>2023</v>
      </c>
      <c r="I5112">
        <v>2026</v>
      </c>
      <c r="J5112">
        <f t="shared" si="158"/>
        <v>4</v>
      </c>
      <c r="K5112" s="1" t="s">
        <v>5909</v>
      </c>
      <c r="L5112" s="1" t="s">
        <v>666</v>
      </c>
      <c r="M5112">
        <f t="shared" si="159"/>
        <v>0</v>
      </c>
    </row>
    <row r="5113" spans="1:13" hidden="1" x14ac:dyDescent="0.3">
      <c r="A5113" t="s">
        <v>11879</v>
      </c>
      <c r="B5113" t="s">
        <v>5931</v>
      </c>
      <c r="C5113" t="s">
        <v>11880</v>
      </c>
      <c r="E5113" s="1" t="e">
        <v>#N/A</v>
      </c>
      <c r="F5113" s="1" t="e">
        <v>#N/A</v>
      </c>
      <c r="G5113" s="1" t="s">
        <v>6037</v>
      </c>
      <c r="H5113">
        <v>2023</v>
      </c>
      <c r="I5113">
        <v>2026</v>
      </c>
      <c r="J5113">
        <f t="shared" si="158"/>
        <v>4</v>
      </c>
      <c r="K5113" s="1" t="s">
        <v>5909</v>
      </c>
      <c r="L5113" s="1" t="s">
        <v>666</v>
      </c>
      <c r="M5113">
        <f t="shared" si="159"/>
        <v>0</v>
      </c>
    </row>
    <row r="5114" spans="1:13" hidden="1" x14ac:dyDescent="0.3">
      <c r="A5114" t="s">
        <v>11881</v>
      </c>
      <c r="B5114" t="s">
        <v>5931</v>
      </c>
      <c r="C5114" t="s">
        <v>11882</v>
      </c>
      <c r="E5114" s="1" t="e">
        <v>#N/A</v>
      </c>
      <c r="F5114" s="1" t="e">
        <v>#N/A</v>
      </c>
      <c r="G5114" s="1" t="s">
        <v>6037</v>
      </c>
      <c r="H5114">
        <v>2023</v>
      </c>
      <c r="I5114">
        <v>2026</v>
      </c>
      <c r="J5114">
        <f t="shared" si="158"/>
        <v>4</v>
      </c>
      <c r="K5114" s="1" t="s">
        <v>5909</v>
      </c>
      <c r="L5114" s="1" t="s">
        <v>666</v>
      </c>
      <c r="M5114">
        <f t="shared" si="159"/>
        <v>0</v>
      </c>
    </row>
    <row r="5115" spans="1:13" hidden="1" x14ac:dyDescent="0.3">
      <c r="A5115" t="s">
        <v>11883</v>
      </c>
      <c r="B5115" t="s">
        <v>5931</v>
      </c>
      <c r="C5115" t="s">
        <v>11884</v>
      </c>
      <c r="E5115" s="1" t="e">
        <v>#N/A</v>
      </c>
      <c r="F5115" s="1" t="e">
        <v>#N/A</v>
      </c>
      <c r="G5115" s="1" t="s">
        <v>6037</v>
      </c>
      <c r="H5115">
        <v>2023</v>
      </c>
      <c r="I5115">
        <v>2026</v>
      </c>
      <c r="J5115">
        <f t="shared" si="158"/>
        <v>4</v>
      </c>
      <c r="K5115" s="1" t="s">
        <v>5909</v>
      </c>
      <c r="L5115" s="1" t="s">
        <v>666</v>
      </c>
      <c r="M5115">
        <f t="shared" si="159"/>
        <v>0</v>
      </c>
    </row>
    <row r="5116" spans="1:13" hidden="1" x14ac:dyDescent="0.3">
      <c r="A5116" t="s">
        <v>11885</v>
      </c>
      <c r="B5116" t="s">
        <v>5931</v>
      </c>
      <c r="C5116" t="s">
        <v>11886</v>
      </c>
      <c r="E5116" s="1" t="e">
        <v>#N/A</v>
      </c>
      <c r="F5116" s="1" t="e">
        <v>#N/A</v>
      </c>
      <c r="G5116" s="1" t="s">
        <v>6037</v>
      </c>
      <c r="H5116">
        <v>2025</v>
      </c>
      <c r="I5116">
        <v>2026</v>
      </c>
      <c r="J5116">
        <f t="shared" si="158"/>
        <v>2</v>
      </c>
      <c r="K5116" s="1" t="s">
        <v>5909</v>
      </c>
      <c r="L5116" s="1" t="s">
        <v>666</v>
      </c>
      <c r="M5116">
        <f t="shared" si="159"/>
        <v>0</v>
      </c>
    </row>
    <row r="5117" spans="1:13" hidden="1" x14ac:dyDescent="0.3">
      <c r="A5117" t="s">
        <v>11887</v>
      </c>
      <c r="B5117" t="s">
        <v>5931</v>
      </c>
      <c r="C5117" t="s">
        <v>11888</v>
      </c>
      <c r="E5117" s="1" t="e">
        <v>#N/A</v>
      </c>
      <c r="F5117" s="1" t="e">
        <v>#N/A</v>
      </c>
      <c r="G5117" s="1" t="s">
        <v>6037</v>
      </c>
      <c r="H5117">
        <v>2025</v>
      </c>
      <c r="I5117">
        <v>2026</v>
      </c>
      <c r="J5117">
        <f t="shared" si="158"/>
        <v>2</v>
      </c>
      <c r="K5117" s="1" t="s">
        <v>5909</v>
      </c>
      <c r="L5117" s="1" t="s">
        <v>666</v>
      </c>
      <c r="M5117">
        <f t="shared" si="159"/>
        <v>0</v>
      </c>
    </row>
    <row r="5118" spans="1:13" hidden="1" x14ac:dyDescent="0.3">
      <c r="A5118" t="s">
        <v>11889</v>
      </c>
      <c r="B5118" t="s">
        <v>5931</v>
      </c>
      <c r="C5118" t="s">
        <v>11890</v>
      </c>
      <c r="E5118" s="1" t="e">
        <v>#N/A</v>
      </c>
      <c r="F5118" s="1" t="e">
        <v>#N/A</v>
      </c>
      <c r="G5118" s="1" t="s">
        <v>6037</v>
      </c>
      <c r="H5118">
        <v>2025</v>
      </c>
      <c r="I5118">
        <v>2026</v>
      </c>
      <c r="J5118">
        <f t="shared" si="158"/>
        <v>2</v>
      </c>
      <c r="K5118" s="1" t="s">
        <v>5909</v>
      </c>
      <c r="L5118" s="1" t="s">
        <v>666</v>
      </c>
      <c r="M5118">
        <f t="shared" si="159"/>
        <v>0</v>
      </c>
    </row>
    <row r="5119" spans="1:13" hidden="1" x14ac:dyDescent="0.3">
      <c r="A5119" t="s">
        <v>11891</v>
      </c>
      <c r="B5119" t="s">
        <v>5931</v>
      </c>
      <c r="C5119" t="s">
        <v>11892</v>
      </c>
      <c r="E5119" s="1" t="e">
        <v>#N/A</v>
      </c>
      <c r="F5119" s="1" t="e">
        <v>#N/A</v>
      </c>
      <c r="G5119" s="1" t="s">
        <v>6037</v>
      </c>
      <c r="H5119">
        <v>2025</v>
      </c>
      <c r="I5119">
        <v>2026</v>
      </c>
      <c r="J5119">
        <f t="shared" si="158"/>
        <v>2</v>
      </c>
      <c r="K5119" s="1" t="s">
        <v>5909</v>
      </c>
      <c r="L5119" s="1" t="s">
        <v>666</v>
      </c>
      <c r="M5119">
        <f t="shared" si="159"/>
        <v>0</v>
      </c>
    </row>
    <row r="5120" spans="1:13" hidden="1" x14ac:dyDescent="0.3">
      <c r="A5120" t="s">
        <v>11893</v>
      </c>
      <c r="B5120" t="s">
        <v>5931</v>
      </c>
      <c r="C5120" t="s">
        <v>11894</v>
      </c>
      <c r="E5120" s="1" t="e">
        <v>#N/A</v>
      </c>
      <c r="F5120" s="1" t="e">
        <v>#N/A</v>
      </c>
      <c r="G5120" s="1" t="s">
        <v>6037</v>
      </c>
      <c r="H5120">
        <v>2025</v>
      </c>
      <c r="I5120">
        <v>2026</v>
      </c>
      <c r="J5120">
        <f t="shared" si="158"/>
        <v>2</v>
      </c>
      <c r="K5120" s="1" t="s">
        <v>5909</v>
      </c>
      <c r="L5120" s="1" t="s">
        <v>666</v>
      </c>
      <c r="M5120">
        <f t="shared" si="159"/>
        <v>0</v>
      </c>
    </row>
    <row r="5121" spans="1:13" x14ac:dyDescent="0.3">
      <c r="A5121" s="1" t="s">
        <v>10012</v>
      </c>
      <c r="B5121" s="1" t="s">
        <v>5931</v>
      </c>
      <c r="C5121" s="1" t="s">
        <v>10013</v>
      </c>
      <c r="D5121" s="1" t="s">
        <v>644</v>
      </c>
      <c r="E5121" s="1" t="s">
        <v>6076</v>
      </c>
      <c r="F5121" s="1" t="s">
        <v>6076</v>
      </c>
      <c r="G5121" s="1" t="s">
        <v>6037</v>
      </c>
      <c r="H5121">
        <v>2000</v>
      </c>
      <c r="I5121">
        <v>2002</v>
      </c>
      <c r="J5121">
        <f t="shared" si="158"/>
        <v>3</v>
      </c>
      <c r="K5121" s="1" t="s">
        <v>6076</v>
      </c>
      <c r="L5121" s="1" t="s">
        <v>6076</v>
      </c>
      <c r="M5121">
        <f t="shared" si="159"/>
        <v>24</v>
      </c>
    </row>
    <row r="5122" spans="1:13" hidden="1" x14ac:dyDescent="0.3">
      <c r="A5122" s="1" t="s">
        <v>10829</v>
      </c>
      <c r="B5122" s="1" t="s">
        <v>5931</v>
      </c>
      <c r="C5122" s="1" t="s">
        <v>10830</v>
      </c>
      <c r="D5122" s="1" t="s">
        <v>644</v>
      </c>
      <c r="E5122" s="1" t="s">
        <v>645</v>
      </c>
      <c r="F5122" s="1" t="s">
        <v>646</v>
      </c>
      <c r="G5122" s="1" t="s">
        <v>6037</v>
      </c>
      <c r="H5122">
        <v>2003</v>
      </c>
      <c r="I5122">
        <v>2012</v>
      </c>
      <c r="J5122">
        <f t="shared" si="158"/>
        <v>10</v>
      </c>
      <c r="K5122" s="1" t="s">
        <v>5909</v>
      </c>
      <c r="L5122" s="1" t="s">
        <v>659</v>
      </c>
      <c r="M5122">
        <f t="shared" si="159"/>
        <v>14</v>
      </c>
    </row>
    <row r="5123" spans="1:13" hidden="1" x14ac:dyDescent="0.3">
      <c r="A5123" s="1" t="s">
        <v>10831</v>
      </c>
      <c r="B5123" s="1" t="s">
        <v>5931</v>
      </c>
      <c r="C5123" s="1" t="s">
        <v>10832</v>
      </c>
      <c r="D5123" s="1" t="s">
        <v>644</v>
      </c>
      <c r="E5123" s="1" t="s">
        <v>645</v>
      </c>
      <c r="F5123" s="1" t="s">
        <v>646</v>
      </c>
      <c r="G5123" s="1" t="s">
        <v>6037</v>
      </c>
      <c r="H5123">
        <v>2008</v>
      </c>
      <c r="I5123">
        <v>2012</v>
      </c>
      <c r="J5123">
        <f t="shared" si="158"/>
        <v>5</v>
      </c>
      <c r="K5123" s="1" t="s">
        <v>5909</v>
      </c>
      <c r="L5123" s="1" t="s">
        <v>659</v>
      </c>
      <c r="M5123">
        <f t="shared" si="159"/>
        <v>14</v>
      </c>
    </row>
    <row r="5124" spans="1:13" hidden="1" x14ac:dyDescent="0.3">
      <c r="A5124" s="1" t="s">
        <v>10833</v>
      </c>
      <c r="B5124" s="1" t="s">
        <v>5931</v>
      </c>
      <c r="C5124" s="1" t="s">
        <v>10834</v>
      </c>
      <c r="D5124" s="1" t="s">
        <v>644</v>
      </c>
      <c r="E5124" s="1" t="s">
        <v>645</v>
      </c>
      <c r="F5124" s="1" t="s">
        <v>646</v>
      </c>
      <c r="G5124" s="1" t="s">
        <v>6037</v>
      </c>
      <c r="H5124">
        <v>2001</v>
      </c>
      <c r="I5124">
        <v>2012</v>
      </c>
      <c r="J5124">
        <f t="shared" si="158"/>
        <v>12</v>
      </c>
      <c r="K5124" s="1" t="s">
        <v>5909</v>
      </c>
      <c r="L5124" s="1" t="s">
        <v>659</v>
      </c>
      <c r="M5124">
        <f t="shared" si="159"/>
        <v>14</v>
      </c>
    </row>
    <row r="5125" spans="1:13" hidden="1" x14ac:dyDescent="0.3">
      <c r="A5125" s="1" t="s">
        <v>10835</v>
      </c>
      <c r="B5125" s="1" t="s">
        <v>5931</v>
      </c>
      <c r="C5125" s="1" t="s">
        <v>10836</v>
      </c>
      <c r="D5125" s="1" t="s">
        <v>644</v>
      </c>
      <c r="E5125" s="1" t="s">
        <v>645</v>
      </c>
      <c r="F5125" s="1" t="s">
        <v>646</v>
      </c>
      <c r="G5125" s="1" t="s">
        <v>6037</v>
      </c>
      <c r="H5125">
        <v>2012</v>
      </c>
      <c r="I5125">
        <v>2019</v>
      </c>
      <c r="J5125">
        <f t="shared" si="158"/>
        <v>8</v>
      </c>
      <c r="K5125" s="1" t="s">
        <v>5909</v>
      </c>
      <c r="L5125" s="1" t="s">
        <v>649</v>
      </c>
      <c r="M5125">
        <f t="shared" si="159"/>
        <v>7</v>
      </c>
    </row>
    <row r="5126" spans="1:13" hidden="1" x14ac:dyDescent="0.3">
      <c r="A5126" s="1" t="s">
        <v>10837</v>
      </c>
      <c r="B5126" s="1" t="s">
        <v>5931</v>
      </c>
      <c r="C5126" s="1" t="s">
        <v>10838</v>
      </c>
      <c r="D5126" s="1" t="s">
        <v>644</v>
      </c>
      <c r="E5126" s="1" t="s">
        <v>645</v>
      </c>
      <c r="F5126" s="1" t="s">
        <v>646</v>
      </c>
      <c r="G5126" s="1" t="s">
        <v>6037</v>
      </c>
      <c r="H5126">
        <v>2012</v>
      </c>
      <c r="I5126">
        <v>2019</v>
      </c>
      <c r="J5126">
        <f t="shared" ref="J5126:J5189" si="160">1+(I5126-H5126)</f>
        <v>8</v>
      </c>
      <c r="K5126" s="1" t="s">
        <v>5909</v>
      </c>
      <c r="L5126" s="1" t="s">
        <v>649</v>
      </c>
      <c r="M5126">
        <f t="shared" ref="M5126:M5189" si="161">IF(I5126=0,0,$B$2-I5126)</f>
        <v>7</v>
      </c>
    </row>
    <row r="5127" spans="1:13" hidden="1" x14ac:dyDescent="0.3">
      <c r="A5127" s="1" t="s">
        <v>10839</v>
      </c>
      <c r="B5127" s="1" t="s">
        <v>5931</v>
      </c>
      <c r="C5127" s="1" t="s">
        <v>10840</v>
      </c>
      <c r="D5127" s="1" t="s">
        <v>644</v>
      </c>
      <c r="E5127" s="1" t="s">
        <v>645</v>
      </c>
      <c r="F5127" s="1" t="s">
        <v>646</v>
      </c>
      <c r="G5127" s="1" t="s">
        <v>6037</v>
      </c>
      <c r="H5127">
        <v>2012</v>
      </c>
      <c r="I5127">
        <v>2019</v>
      </c>
      <c r="J5127">
        <f t="shared" si="160"/>
        <v>8</v>
      </c>
      <c r="K5127" s="1" t="s">
        <v>5909</v>
      </c>
      <c r="L5127" s="1" t="s">
        <v>649</v>
      </c>
      <c r="M5127">
        <f t="shared" si="161"/>
        <v>7</v>
      </c>
    </row>
    <row r="5128" spans="1:13" hidden="1" x14ac:dyDescent="0.3">
      <c r="A5128" s="1" t="s">
        <v>10841</v>
      </c>
      <c r="B5128" s="1" t="s">
        <v>5931</v>
      </c>
      <c r="C5128" s="1" t="s">
        <v>10842</v>
      </c>
      <c r="D5128" s="1" t="s">
        <v>644</v>
      </c>
      <c r="E5128" s="1" t="s">
        <v>645</v>
      </c>
      <c r="F5128" s="1" t="s">
        <v>646</v>
      </c>
      <c r="G5128" s="1" t="s">
        <v>6037</v>
      </c>
      <c r="H5128">
        <v>2012</v>
      </c>
      <c r="I5128">
        <v>2019</v>
      </c>
      <c r="J5128">
        <f t="shared" si="160"/>
        <v>8</v>
      </c>
      <c r="K5128" s="1" t="s">
        <v>5909</v>
      </c>
      <c r="L5128" s="1" t="s">
        <v>649</v>
      </c>
      <c r="M5128">
        <f t="shared" si="161"/>
        <v>7</v>
      </c>
    </row>
    <row r="5129" spans="1:13" hidden="1" x14ac:dyDescent="0.3">
      <c r="A5129" s="1" t="s">
        <v>10843</v>
      </c>
      <c r="B5129" s="1" t="s">
        <v>5931</v>
      </c>
      <c r="C5129" s="1" t="s">
        <v>10844</v>
      </c>
      <c r="D5129" s="1" t="s">
        <v>644</v>
      </c>
      <c r="E5129" s="1" t="s">
        <v>645</v>
      </c>
      <c r="F5129" s="1" t="s">
        <v>646</v>
      </c>
      <c r="G5129" s="1" t="s">
        <v>6037</v>
      </c>
      <c r="H5129">
        <v>2012</v>
      </c>
      <c r="I5129">
        <v>2019</v>
      </c>
      <c r="J5129">
        <f t="shared" si="160"/>
        <v>8</v>
      </c>
      <c r="K5129" s="1" t="s">
        <v>5909</v>
      </c>
      <c r="L5129" s="1" t="s">
        <v>649</v>
      </c>
      <c r="M5129">
        <f t="shared" si="161"/>
        <v>7</v>
      </c>
    </row>
    <row r="5130" spans="1:13" hidden="1" x14ac:dyDescent="0.3">
      <c r="A5130" s="1" t="s">
        <v>10845</v>
      </c>
      <c r="B5130" s="1" t="s">
        <v>5931</v>
      </c>
      <c r="C5130" s="1" t="s">
        <v>10846</v>
      </c>
      <c r="D5130" s="1" t="s">
        <v>644</v>
      </c>
      <c r="E5130" s="1" t="s">
        <v>645</v>
      </c>
      <c r="F5130" s="1" t="s">
        <v>646</v>
      </c>
      <c r="G5130" s="1" t="s">
        <v>6037</v>
      </c>
      <c r="H5130">
        <v>2012</v>
      </c>
      <c r="I5130">
        <v>2019</v>
      </c>
      <c r="J5130">
        <f t="shared" si="160"/>
        <v>8</v>
      </c>
      <c r="K5130" s="1" t="s">
        <v>5909</v>
      </c>
      <c r="L5130" s="1" t="s">
        <v>649</v>
      </c>
      <c r="M5130">
        <f t="shared" si="161"/>
        <v>7</v>
      </c>
    </row>
    <row r="5131" spans="1:13" hidden="1" x14ac:dyDescent="0.3">
      <c r="A5131" s="1" t="s">
        <v>10847</v>
      </c>
      <c r="B5131" s="1" t="s">
        <v>5931</v>
      </c>
      <c r="C5131" s="1" t="s">
        <v>10848</v>
      </c>
      <c r="D5131" s="1" t="s">
        <v>644</v>
      </c>
      <c r="E5131" s="1" t="s">
        <v>645</v>
      </c>
      <c r="F5131" s="1" t="s">
        <v>646</v>
      </c>
      <c r="G5131" s="1" t="s">
        <v>6037</v>
      </c>
      <c r="H5131">
        <v>2012</v>
      </c>
      <c r="I5131">
        <v>2019</v>
      </c>
      <c r="J5131">
        <f t="shared" si="160"/>
        <v>8</v>
      </c>
      <c r="K5131" s="1" t="s">
        <v>5909</v>
      </c>
      <c r="L5131" s="1" t="s">
        <v>649</v>
      </c>
      <c r="M5131">
        <f t="shared" si="161"/>
        <v>7</v>
      </c>
    </row>
    <row r="5132" spans="1:13" hidden="1" x14ac:dyDescent="0.3">
      <c r="A5132" s="1" t="s">
        <v>6042</v>
      </c>
      <c r="B5132" s="1" t="s">
        <v>5931</v>
      </c>
      <c r="C5132" s="1" t="s">
        <v>6043</v>
      </c>
      <c r="D5132" s="1" t="s">
        <v>644</v>
      </c>
      <c r="E5132" s="1" t="s">
        <v>645</v>
      </c>
      <c r="F5132" s="1" t="s">
        <v>646</v>
      </c>
      <c r="G5132" s="1" t="s">
        <v>6037</v>
      </c>
      <c r="H5132">
        <v>2012</v>
      </c>
      <c r="I5132">
        <v>2019</v>
      </c>
      <c r="J5132">
        <f t="shared" si="160"/>
        <v>8</v>
      </c>
      <c r="K5132" s="1" t="s">
        <v>5909</v>
      </c>
      <c r="L5132" s="1" t="s">
        <v>649</v>
      </c>
      <c r="M5132">
        <f t="shared" si="161"/>
        <v>7</v>
      </c>
    </row>
    <row r="5133" spans="1:13" hidden="1" x14ac:dyDescent="0.3">
      <c r="A5133" s="1" t="s">
        <v>10849</v>
      </c>
      <c r="B5133" s="1" t="s">
        <v>5931</v>
      </c>
      <c r="C5133" s="1" t="s">
        <v>10850</v>
      </c>
      <c r="D5133" s="1" t="s">
        <v>644</v>
      </c>
      <c r="E5133" s="1" t="s">
        <v>645</v>
      </c>
      <c r="F5133" s="1" t="s">
        <v>646</v>
      </c>
      <c r="G5133" s="1" t="s">
        <v>6037</v>
      </c>
      <c r="H5133">
        <v>2012</v>
      </c>
      <c r="I5133">
        <v>2019</v>
      </c>
      <c r="J5133">
        <f t="shared" si="160"/>
        <v>8</v>
      </c>
      <c r="K5133" s="1" t="s">
        <v>5909</v>
      </c>
      <c r="L5133" s="1" t="s">
        <v>649</v>
      </c>
      <c r="M5133">
        <f t="shared" si="161"/>
        <v>7</v>
      </c>
    </row>
    <row r="5134" spans="1:13" hidden="1" x14ac:dyDescent="0.3">
      <c r="A5134" s="1" t="s">
        <v>10851</v>
      </c>
      <c r="B5134" s="1" t="s">
        <v>5931</v>
      </c>
      <c r="C5134" s="1" t="s">
        <v>10852</v>
      </c>
      <c r="D5134" s="1" t="s">
        <v>644</v>
      </c>
      <c r="E5134" s="1" t="s">
        <v>645</v>
      </c>
      <c r="F5134" s="1" t="s">
        <v>646</v>
      </c>
      <c r="G5134" s="1" t="s">
        <v>6037</v>
      </c>
      <c r="H5134">
        <v>2020</v>
      </c>
      <c r="I5134">
        <v>2022</v>
      </c>
      <c r="J5134">
        <f t="shared" si="160"/>
        <v>3</v>
      </c>
      <c r="K5134" s="1" t="s">
        <v>5909</v>
      </c>
      <c r="L5134" s="1" t="s">
        <v>666</v>
      </c>
      <c r="M5134">
        <f t="shared" si="161"/>
        <v>4</v>
      </c>
    </row>
    <row r="5135" spans="1:13" hidden="1" x14ac:dyDescent="0.3">
      <c r="A5135" s="1" t="s">
        <v>10853</v>
      </c>
      <c r="B5135" s="1" t="s">
        <v>5931</v>
      </c>
      <c r="C5135" s="1" t="s">
        <v>10854</v>
      </c>
      <c r="D5135" s="1" t="s">
        <v>644</v>
      </c>
      <c r="E5135" s="1" t="s">
        <v>645</v>
      </c>
      <c r="F5135" s="1" t="s">
        <v>646</v>
      </c>
      <c r="G5135" s="1" t="s">
        <v>6037</v>
      </c>
      <c r="H5135">
        <v>2021</v>
      </c>
      <c r="I5135">
        <v>2022</v>
      </c>
      <c r="J5135">
        <f t="shared" si="160"/>
        <v>2</v>
      </c>
      <c r="K5135" s="1" t="s">
        <v>5909</v>
      </c>
      <c r="L5135" s="1" t="s">
        <v>666</v>
      </c>
      <c r="M5135">
        <f t="shared" si="161"/>
        <v>4</v>
      </c>
    </row>
    <row r="5136" spans="1:13" hidden="1" x14ac:dyDescent="0.3">
      <c r="A5136" s="1" t="s">
        <v>10855</v>
      </c>
      <c r="B5136" s="1" t="s">
        <v>5931</v>
      </c>
      <c r="C5136" s="1" t="s">
        <v>10856</v>
      </c>
      <c r="D5136" s="1" t="s">
        <v>644</v>
      </c>
      <c r="E5136" s="1" t="s">
        <v>645</v>
      </c>
      <c r="F5136" s="1" t="s">
        <v>646</v>
      </c>
      <c r="G5136" s="1" t="s">
        <v>6037</v>
      </c>
      <c r="H5136">
        <v>2020</v>
      </c>
      <c r="I5136">
        <v>2022</v>
      </c>
      <c r="J5136">
        <f t="shared" si="160"/>
        <v>3</v>
      </c>
      <c r="K5136" s="1" t="s">
        <v>5909</v>
      </c>
      <c r="L5136" s="1" t="s">
        <v>666</v>
      </c>
      <c r="M5136">
        <f t="shared" si="161"/>
        <v>4</v>
      </c>
    </row>
    <row r="5137" spans="1:13" hidden="1" x14ac:dyDescent="0.3">
      <c r="A5137" s="1" t="s">
        <v>10857</v>
      </c>
      <c r="B5137" s="1" t="s">
        <v>5931</v>
      </c>
      <c r="C5137" s="1" t="s">
        <v>10858</v>
      </c>
      <c r="D5137" s="1" t="s">
        <v>644</v>
      </c>
      <c r="E5137" s="1" t="s">
        <v>645</v>
      </c>
      <c r="F5137" s="1" t="s">
        <v>646</v>
      </c>
      <c r="G5137" s="1" t="s">
        <v>6037</v>
      </c>
      <c r="H5137">
        <v>2020</v>
      </c>
      <c r="I5137">
        <v>2022</v>
      </c>
      <c r="J5137">
        <f t="shared" si="160"/>
        <v>3</v>
      </c>
      <c r="K5137" s="1" t="s">
        <v>5909</v>
      </c>
      <c r="L5137" s="1" t="s">
        <v>666</v>
      </c>
      <c r="M5137">
        <f t="shared" si="161"/>
        <v>4</v>
      </c>
    </row>
    <row r="5138" spans="1:13" hidden="1" x14ac:dyDescent="0.3">
      <c r="A5138" s="1" t="s">
        <v>10859</v>
      </c>
      <c r="B5138" s="1" t="s">
        <v>5931</v>
      </c>
      <c r="C5138" s="1" t="s">
        <v>10860</v>
      </c>
      <c r="D5138" s="1" t="s">
        <v>644</v>
      </c>
      <c r="E5138" s="1" t="s">
        <v>645</v>
      </c>
      <c r="F5138" s="1" t="s">
        <v>646</v>
      </c>
      <c r="G5138" s="1" t="s">
        <v>6037</v>
      </c>
      <c r="H5138">
        <v>2020</v>
      </c>
      <c r="I5138">
        <v>2022</v>
      </c>
      <c r="J5138">
        <f t="shared" si="160"/>
        <v>3</v>
      </c>
      <c r="K5138" s="1" t="s">
        <v>5909</v>
      </c>
      <c r="L5138" s="1" t="s">
        <v>666</v>
      </c>
      <c r="M5138">
        <f t="shared" si="161"/>
        <v>4</v>
      </c>
    </row>
    <row r="5139" spans="1:13" hidden="1" x14ac:dyDescent="0.3">
      <c r="A5139" s="1" t="s">
        <v>10861</v>
      </c>
      <c r="B5139" s="1" t="s">
        <v>5931</v>
      </c>
      <c r="C5139" s="1" t="s">
        <v>10862</v>
      </c>
      <c r="D5139" s="1" t="s">
        <v>644</v>
      </c>
      <c r="E5139" s="1" t="s">
        <v>645</v>
      </c>
      <c r="F5139" s="1" t="s">
        <v>646</v>
      </c>
      <c r="G5139" s="1" t="s">
        <v>6037</v>
      </c>
      <c r="H5139">
        <v>2020</v>
      </c>
      <c r="I5139">
        <v>2022</v>
      </c>
      <c r="J5139">
        <f t="shared" si="160"/>
        <v>3</v>
      </c>
      <c r="K5139" s="1" t="s">
        <v>5909</v>
      </c>
      <c r="L5139" s="1" t="s">
        <v>666</v>
      </c>
      <c r="M5139">
        <f t="shared" si="161"/>
        <v>4</v>
      </c>
    </row>
    <row r="5140" spans="1:13" hidden="1" x14ac:dyDescent="0.3">
      <c r="A5140" s="1" t="s">
        <v>10863</v>
      </c>
      <c r="B5140" s="1" t="s">
        <v>5931</v>
      </c>
      <c r="C5140" s="1" t="s">
        <v>10864</v>
      </c>
      <c r="D5140" s="1" t="s">
        <v>644</v>
      </c>
      <c r="E5140" s="1" t="s">
        <v>645</v>
      </c>
      <c r="F5140" s="1" t="s">
        <v>646</v>
      </c>
      <c r="G5140" s="1" t="s">
        <v>6037</v>
      </c>
      <c r="H5140">
        <v>2020</v>
      </c>
      <c r="I5140">
        <v>2022</v>
      </c>
      <c r="J5140">
        <f t="shared" si="160"/>
        <v>3</v>
      </c>
      <c r="K5140" s="1" t="s">
        <v>5909</v>
      </c>
      <c r="L5140" s="1" t="s">
        <v>666</v>
      </c>
      <c r="M5140">
        <f t="shared" si="161"/>
        <v>4</v>
      </c>
    </row>
    <row r="5141" spans="1:13" hidden="1" x14ac:dyDescent="0.3">
      <c r="A5141" s="1" t="s">
        <v>10865</v>
      </c>
      <c r="B5141" s="1" t="s">
        <v>5931</v>
      </c>
      <c r="C5141" s="1" t="s">
        <v>10866</v>
      </c>
      <c r="D5141" s="1" t="s">
        <v>644</v>
      </c>
      <c r="E5141" s="1" t="s">
        <v>645</v>
      </c>
      <c r="F5141" s="1" t="s">
        <v>646</v>
      </c>
      <c r="G5141" s="1" t="s">
        <v>6037</v>
      </c>
      <c r="H5141">
        <v>2020</v>
      </c>
      <c r="I5141">
        <v>2022</v>
      </c>
      <c r="J5141">
        <f t="shared" si="160"/>
        <v>3</v>
      </c>
      <c r="K5141" s="1" t="s">
        <v>5909</v>
      </c>
      <c r="L5141" s="1" t="s">
        <v>666</v>
      </c>
      <c r="M5141">
        <f t="shared" si="161"/>
        <v>4</v>
      </c>
    </row>
    <row r="5142" spans="1:13" hidden="1" x14ac:dyDescent="0.3">
      <c r="A5142" s="1" t="s">
        <v>10867</v>
      </c>
      <c r="B5142" s="1" t="s">
        <v>5931</v>
      </c>
      <c r="C5142" s="1" t="s">
        <v>10868</v>
      </c>
      <c r="D5142" s="1" t="s">
        <v>644</v>
      </c>
      <c r="E5142" s="1" t="s">
        <v>645</v>
      </c>
      <c r="F5142" s="1" t="s">
        <v>646</v>
      </c>
      <c r="G5142" s="1" t="s">
        <v>6037</v>
      </c>
      <c r="H5142">
        <v>2020</v>
      </c>
      <c r="I5142">
        <v>2022</v>
      </c>
      <c r="J5142">
        <f t="shared" si="160"/>
        <v>3</v>
      </c>
      <c r="K5142" s="1" t="s">
        <v>5909</v>
      </c>
      <c r="L5142" s="1" t="s">
        <v>666</v>
      </c>
      <c r="M5142">
        <f t="shared" si="161"/>
        <v>4</v>
      </c>
    </row>
    <row r="5143" spans="1:13" hidden="1" x14ac:dyDescent="0.3">
      <c r="A5143" s="1" t="s">
        <v>10869</v>
      </c>
      <c r="B5143" s="1" t="s">
        <v>5931</v>
      </c>
      <c r="C5143" s="1" t="s">
        <v>10870</v>
      </c>
      <c r="D5143" s="1" t="s">
        <v>644</v>
      </c>
      <c r="E5143" s="1" t="s">
        <v>645</v>
      </c>
      <c r="F5143" s="1" t="s">
        <v>646</v>
      </c>
      <c r="G5143" s="1" t="s">
        <v>6037</v>
      </c>
      <c r="H5143">
        <v>2020</v>
      </c>
      <c r="I5143">
        <v>2022</v>
      </c>
      <c r="J5143">
        <f t="shared" si="160"/>
        <v>3</v>
      </c>
      <c r="K5143" s="1" t="s">
        <v>5909</v>
      </c>
      <c r="L5143" s="1" t="s">
        <v>666</v>
      </c>
      <c r="M5143">
        <f t="shared" si="161"/>
        <v>4</v>
      </c>
    </row>
    <row r="5144" spans="1:13" hidden="1" x14ac:dyDescent="0.3">
      <c r="A5144" s="1" t="s">
        <v>10871</v>
      </c>
      <c r="B5144" s="1" t="s">
        <v>5931</v>
      </c>
      <c r="C5144" s="1" t="s">
        <v>10872</v>
      </c>
      <c r="D5144" s="1" t="s">
        <v>644</v>
      </c>
      <c r="E5144" s="1" t="s">
        <v>645</v>
      </c>
      <c r="F5144" s="1" t="s">
        <v>646</v>
      </c>
      <c r="G5144" s="1" t="s">
        <v>6037</v>
      </c>
      <c r="H5144">
        <v>2020</v>
      </c>
      <c r="I5144">
        <v>2022</v>
      </c>
      <c r="J5144">
        <f t="shared" si="160"/>
        <v>3</v>
      </c>
      <c r="K5144" s="1" t="s">
        <v>5909</v>
      </c>
      <c r="L5144" s="1" t="s">
        <v>666</v>
      </c>
      <c r="M5144">
        <f t="shared" si="161"/>
        <v>4</v>
      </c>
    </row>
    <row r="5145" spans="1:13" hidden="1" x14ac:dyDescent="0.3">
      <c r="A5145" t="s">
        <v>11895</v>
      </c>
      <c r="B5145" t="s">
        <v>5931</v>
      </c>
      <c r="C5145" t="s">
        <v>11896</v>
      </c>
      <c r="E5145" s="1" t="e">
        <v>#N/A</v>
      </c>
      <c r="F5145" s="1" t="e">
        <v>#N/A</v>
      </c>
      <c r="G5145" s="1" t="s">
        <v>6037</v>
      </c>
      <c r="H5145">
        <v>2023</v>
      </c>
      <c r="I5145">
        <v>2026</v>
      </c>
      <c r="J5145">
        <f t="shared" si="160"/>
        <v>4</v>
      </c>
      <c r="K5145" s="1" t="s">
        <v>5909</v>
      </c>
      <c r="L5145" s="1" t="s">
        <v>666</v>
      </c>
      <c r="M5145">
        <f t="shared" si="161"/>
        <v>0</v>
      </c>
    </row>
    <row r="5146" spans="1:13" hidden="1" x14ac:dyDescent="0.3">
      <c r="A5146" t="s">
        <v>11897</v>
      </c>
      <c r="B5146" t="s">
        <v>5931</v>
      </c>
      <c r="C5146" t="s">
        <v>11898</v>
      </c>
      <c r="E5146" s="1" t="e">
        <v>#N/A</v>
      </c>
      <c r="F5146" s="1" t="e">
        <v>#N/A</v>
      </c>
      <c r="G5146" s="1" t="s">
        <v>6037</v>
      </c>
      <c r="H5146">
        <v>2023</v>
      </c>
      <c r="I5146">
        <v>2026</v>
      </c>
      <c r="J5146">
        <f t="shared" si="160"/>
        <v>4</v>
      </c>
      <c r="K5146" s="1" t="s">
        <v>5909</v>
      </c>
      <c r="L5146" s="1" t="s">
        <v>666</v>
      </c>
      <c r="M5146">
        <f t="shared" si="161"/>
        <v>0</v>
      </c>
    </row>
    <row r="5147" spans="1:13" hidden="1" x14ac:dyDescent="0.3">
      <c r="A5147" t="s">
        <v>11899</v>
      </c>
      <c r="B5147" t="s">
        <v>5931</v>
      </c>
      <c r="C5147" t="s">
        <v>11900</v>
      </c>
      <c r="E5147" s="1" t="e">
        <v>#N/A</v>
      </c>
      <c r="F5147" s="1" t="e">
        <v>#N/A</v>
      </c>
      <c r="G5147" s="1" t="s">
        <v>6037</v>
      </c>
      <c r="H5147">
        <v>2023</v>
      </c>
      <c r="I5147">
        <v>2026</v>
      </c>
      <c r="J5147">
        <f t="shared" si="160"/>
        <v>4</v>
      </c>
      <c r="K5147" s="1" t="s">
        <v>5909</v>
      </c>
      <c r="L5147" s="1" t="s">
        <v>666</v>
      </c>
      <c r="M5147">
        <f t="shared" si="161"/>
        <v>0</v>
      </c>
    </row>
    <row r="5148" spans="1:13" hidden="1" x14ac:dyDescent="0.3">
      <c r="A5148" t="s">
        <v>11901</v>
      </c>
      <c r="B5148" t="s">
        <v>5931</v>
      </c>
      <c r="C5148" t="s">
        <v>11902</v>
      </c>
      <c r="E5148" s="1" t="e">
        <v>#N/A</v>
      </c>
      <c r="F5148" s="1" t="e">
        <v>#N/A</v>
      </c>
      <c r="G5148" s="1" t="s">
        <v>6037</v>
      </c>
      <c r="H5148">
        <v>2023</v>
      </c>
      <c r="I5148">
        <v>2026</v>
      </c>
      <c r="J5148">
        <f t="shared" si="160"/>
        <v>4</v>
      </c>
      <c r="K5148" s="1" t="s">
        <v>5909</v>
      </c>
      <c r="L5148" s="1" t="s">
        <v>666</v>
      </c>
      <c r="M5148">
        <f t="shared" si="161"/>
        <v>0</v>
      </c>
    </row>
    <row r="5149" spans="1:13" hidden="1" x14ac:dyDescent="0.3">
      <c r="A5149" t="s">
        <v>11903</v>
      </c>
      <c r="B5149" t="s">
        <v>5931</v>
      </c>
      <c r="C5149" t="s">
        <v>11904</v>
      </c>
      <c r="E5149" s="1" t="e">
        <v>#N/A</v>
      </c>
      <c r="F5149" s="1" t="e">
        <v>#N/A</v>
      </c>
      <c r="G5149" s="1" t="s">
        <v>6037</v>
      </c>
      <c r="H5149">
        <v>2023</v>
      </c>
      <c r="I5149">
        <v>2026</v>
      </c>
      <c r="J5149">
        <f t="shared" si="160"/>
        <v>4</v>
      </c>
      <c r="K5149" s="1" t="s">
        <v>5909</v>
      </c>
      <c r="L5149" s="1" t="s">
        <v>666</v>
      </c>
      <c r="M5149">
        <f t="shared" si="161"/>
        <v>0</v>
      </c>
    </row>
    <row r="5150" spans="1:13" hidden="1" x14ac:dyDescent="0.3">
      <c r="A5150" t="s">
        <v>11905</v>
      </c>
      <c r="B5150" t="s">
        <v>5931</v>
      </c>
      <c r="C5150" t="s">
        <v>11906</v>
      </c>
      <c r="E5150" s="1" t="e">
        <v>#N/A</v>
      </c>
      <c r="F5150" s="1" t="e">
        <v>#N/A</v>
      </c>
      <c r="G5150" s="1" t="s">
        <v>6037</v>
      </c>
      <c r="H5150">
        <v>2023</v>
      </c>
      <c r="I5150">
        <v>2026</v>
      </c>
      <c r="J5150">
        <f t="shared" si="160"/>
        <v>4</v>
      </c>
      <c r="K5150" s="1" t="s">
        <v>5909</v>
      </c>
      <c r="L5150" s="1" t="s">
        <v>666</v>
      </c>
      <c r="M5150">
        <f t="shared" si="161"/>
        <v>0</v>
      </c>
    </row>
    <row r="5151" spans="1:13" hidden="1" x14ac:dyDescent="0.3">
      <c r="A5151" t="s">
        <v>11907</v>
      </c>
      <c r="B5151" t="s">
        <v>5931</v>
      </c>
      <c r="C5151" t="s">
        <v>11908</v>
      </c>
      <c r="E5151" s="1" t="e">
        <v>#N/A</v>
      </c>
      <c r="F5151" s="1" t="e">
        <v>#N/A</v>
      </c>
      <c r="G5151" s="1" t="s">
        <v>6037</v>
      </c>
      <c r="H5151">
        <v>2023</v>
      </c>
      <c r="I5151">
        <v>2026</v>
      </c>
      <c r="J5151">
        <f t="shared" si="160"/>
        <v>4</v>
      </c>
      <c r="K5151" s="1" t="s">
        <v>5909</v>
      </c>
      <c r="L5151" s="1" t="s">
        <v>666</v>
      </c>
      <c r="M5151">
        <f t="shared" si="161"/>
        <v>0</v>
      </c>
    </row>
    <row r="5152" spans="1:13" hidden="1" x14ac:dyDescent="0.3">
      <c r="A5152" t="s">
        <v>11909</v>
      </c>
      <c r="B5152" t="s">
        <v>5931</v>
      </c>
      <c r="C5152" t="s">
        <v>11910</v>
      </c>
      <c r="E5152" s="1" t="e">
        <v>#N/A</v>
      </c>
      <c r="F5152" s="1" t="e">
        <v>#N/A</v>
      </c>
      <c r="G5152" s="1" t="s">
        <v>6037</v>
      </c>
      <c r="H5152">
        <v>2023</v>
      </c>
      <c r="I5152">
        <v>2026</v>
      </c>
      <c r="J5152">
        <f t="shared" si="160"/>
        <v>4</v>
      </c>
      <c r="K5152" s="1" t="s">
        <v>5909</v>
      </c>
      <c r="L5152" s="1" t="s">
        <v>666</v>
      </c>
      <c r="M5152">
        <f t="shared" si="161"/>
        <v>0</v>
      </c>
    </row>
    <row r="5153" spans="1:13" hidden="1" x14ac:dyDescent="0.3">
      <c r="A5153" t="s">
        <v>11911</v>
      </c>
      <c r="B5153" t="s">
        <v>5931</v>
      </c>
      <c r="C5153" t="s">
        <v>11912</v>
      </c>
      <c r="E5153" s="1" t="e">
        <v>#N/A</v>
      </c>
      <c r="F5153" s="1" t="e">
        <v>#N/A</v>
      </c>
      <c r="G5153" s="1" t="s">
        <v>6037</v>
      </c>
      <c r="H5153">
        <v>2023</v>
      </c>
      <c r="I5153">
        <v>2026</v>
      </c>
      <c r="J5153">
        <f t="shared" si="160"/>
        <v>4</v>
      </c>
      <c r="K5153" s="1" t="s">
        <v>5909</v>
      </c>
      <c r="L5153" s="1" t="s">
        <v>666</v>
      </c>
      <c r="M5153">
        <f t="shared" si="161"/>
        <v>0</v>
      </c>
    </row>
    <row r="5154" spans="1:13" hidden="1" x14ac:dyDescent="0.3">
      <c r="A5154" t="s">
        <v>11913</v>
      </c>
      <c r="B5154" t="s">
        <v>5931</v>
      </c>
      <c r="C5154" t="s">
        <v>11914</v>
      </c>
      <c r="E5154" s="1" t="e">
        <v>#N/A</v>
      </c>
      <c r="F5154" s="1" t="e">
        <v>#N/A</v>
      </c>
      <c r="G5154" s="1" t="s">
        <v>6037</v>
      </c>
      <c r="H5154">
        <v>2023</v>
      </c>
      <c r="I5154">
        <v>2026</v>
      </c>
      <c r="J5154">
        <f t="shared" si="160"/>
        <v>4</v>
      </c>
      <c r="K5154" s="1" t="s">
        <v>5909</v>
      </c>
      <c r="L5154" s="1" t="s">
        <v>666</v>
      </c>
      <c r="M5154">
        <f t="shared" si="161"/>
        <v>0</v>
      </c>
    </row>
    <row r="5155" spans="1:13" hidden="1" x14ac:dyDescent="0.3">
      <c r="A5155" s="1" t="s">
        <v>10873</v>
      </c>
      <c r="B5155" s="1" t="s">
        <v>5931</v>
      </c>
      <c r="C5155" s="1" t="s">
        <v>10874</v>
      </c>
      <c r="D5155" s="1" t="s">
        <v>644</v>
      </c>
      <c r="E5155" s="1" t="s">
        <v>645</v>
      </c>
      <c r="F5155" s="1" t="s">
        <v>646</v>
      </c>
      <c r="G5155" s="1" t="s">
        <v>6037</v>
      </c>
      <c r="H5155">
        <v>2012</v>
      </c>
      <c r="I5155">
        <v>2019</v>
      </c>
      <c r="J5155">
        <f t="shared" si="160"/>
        <v>8</v>
      </c>
      <c r="K5155" s="1" t="s">
        <v>5909</v>
      </c>
      <c r="L5155" s="1" t="s">
        <v>649</v>
      </c>
      <c r="M5155">
        <f t="shared" si="161"/>
        <v>7</v>
      </c>
    </row>
    <row r="5156" spans="1:13" hidden="1" x14ac:dyDescent="0.3">
      <c r="A5156" s="1" t="s">
        <v>10875</v>
      </c>
      <c r="B5156" s="1" t="s">
        <v>5931</v>
      </c>
      <c r="C5156" s="1" t="s">
        <v>10876</v>
      </c>
      <c r="D5156" s="1" t="s">
        <v>644</v>
      </c>
      <c r="E5156" s="1" t="s">
        <v>645</v>
      </c>
      <c r="F5156" s="1" t="s">
        <v>646</v>
      </c>
      <c r="G5156" s="1" t="s">
        <v>6037</v>
      </c>
      <c r="H5156">
        <v>2012</v>
      </c>
      <c r="I5156">
        <v>2019</v>
      </c>
      <c r="J5156">
        <f t="shared" si="160"/>
        <v>8</v>
      </c>
      <c r="K5156" s="1" t="s">
        <v>5909</v>
      </c>
      <c r="L5156" s="1" t="s">
        <v>649</v>
      </c>
      <c r="M5156">
        <f t="shared" si="161"/>
        <v>7</v>
      </c>
    </row>
    <row r="5157" spans="1:13" hidden="1" x14ac:dyDescent="0.3">
      <c r="A5157" s="1" t="s">
        <v>10877</v>
      </c>
      <c r="B5157" s="1" t="s">
        <v>5931</v>
      </c>
      <c r="C5157" s="1" t="s">
        <v>10878</v>
      </c>
      <c r="D5157" s="1" t="s">
        <v>644</v>
      </c>
      <c r="E5157" s="1" t="s">
        <v>645</v>
      </c>
      <c r="F5157" s="1" t="s">
        <v>646</v>
      </c>
      <c r="G5157" s="1" t="s">
        <v>6037</v>
      </c>
      <c r="H5157">
        <v>2012</v>
      </c>
      <c r="I5157">
        <v>2019</v>
      </c>
      <c r="J5157">
        <f t="shared" si="160"/>
        <v>8</v>
      </c>
      <c r="K5157" s="1" t="s">
        <v>5909</v>
      </c>
      <c r="L5157" s="1" t="s">
        <v>649</v>
      </c>
      <c r="M5157">
        <f t="shared" si="161"/>
        <v>7</v>
      </c>
    </row>
    <row r="5158" spans="1:13" hidden="1" x14ac:dyDescent="0.3">
      <c r="A5158" s="1" t="s">
        <v>10879</v>
      </c>
      <c r="B5158" s="1" t="s">
        <v>5931</v>
      </c>
      <c r="C5158" s="1" t="s">
        <v>10880</v>
      </c>
      <c r="D5158" s="1" t="s">
        <v>644</v>
      </c>
      <c r="E5158" s="1" t="s">
        <v>645</v>
      </c>
      <c r="F5158" s="1" t="s">
        <v>646</v>
      </c>
      <c r="G5158" s="1" t="s">
        <v>6037</v>
      </c>
      <c r="H5158">
        <v>2012</v>
      </c>
      <c r="I5158">
        <v>2019</v>
      </c>
      <c r="J5158">
        <f t="shared" si="160"/>
        <v>8</v>
      </c>
      <c r="K5158" s="1" t="s">
        <v>5909</v>
      </c>
      <c r="L5158" s="1" t="s">
        <v>649</v>
      </c>
      <c r="M5158">
        <f t="shared" si="161"/>
        <v>7</v>
      </c>
    </row>
    <row r="5159" spans="1:13" hidden="1" x14ac:dyDescent="0.3">
      <c r="A5159" s="1" t="s">
        <v>10881</v>
      </c>
      <c r="B5159" s="1" t="s">
        <v>5931</v>
      </c>
      <c r="C5159" s="1" t="s">
        <v>10882</v>
      </c>
      <c r="D5159" s="1" t="s">
        <v>644</v>
      </c>
      <c r="E5159" s="1" t="s">
        <v>645</v>
      </c>
      <c r="F5159" s="1" t="s">
        <v>646</v>
      </c>
      <c r="G5159" s="1" t="s">
        <v>6037</v>
      </c>
      <c r="H5159">
        <v>2020</v>
      </c>
      <c r="I5159">
        <v>2022</v>
      </c>
      <c r="J5159">
        <f t="shared" si="160"/>
        <v>3</v>
      </c>
      <c r="K5159" s="1" t="s">
        <v>5909</v>
      </c>
      <c r="L5159" s="1" t="s">
        <v>666</v>
      </c>
      <c r="M5159">
        <f t="shared" si="161"/>
        <v>4</v>
      </c>
    </row>
    <row r="5160" spans="1:13" hidden="1" x14ac:dyDescent="0.3">
      <c r="A5160" s="1" t="s">
        <v>10883</v>
      </c>
      <c r="B5160" s="1" t="s">
        <v>5931</v>
      </c>
      <c r="C5160" s="1" t="s">
        <v>10884</v>
      </c>
      <c r="D5160" s="1" t="s">
        <v>644</v>
      </c>
      <c r="E5160" s="1" t="s">
        <v>645</v>
      </c>
      <c r="F5160" s="1" t="s">
        <v>646</v>
      </c>
      <c r="G5160" s="1" t="s">
        <v>6037</v>
      </c>
      <c r="H5160">
        <v>2020</v>
      </c>
      <c r="I5160">
        <v>2022</v>
      </c>
      <c r="J5160">
        <f t="shared" si="160"/>
        <v>3</v>
      </c>
      <c r="K5160" s="1" t="s">
        <v>5909</v>
      </c>
      <c r="L5160" s="1" t="s">
        <v>666</v>
      </c>
      <c r="M5160">
        <f t="shared" si="161"/>
        <v>4</v>
      </c>
    </row>
    <row r="5161" spans="1:13" hidden="1" x14ac:dyDescent="0.3">
      <c r="A5161" s="1" t="s">
        <v>10885</v>
      </c>
      <c r="B5161" s="1" t="s">
        <v>5931</v>
      </c>
      <c r="C5161" s="1" t="s">
        <v>10886</v>
      </c>
      <c r="D5161" s="1" t="s">
        <v>644</v>
      </c>
      <c r="E5161" s="1" t="s">
        <v>645</v>
      </c>
      <c r="F5161" s="1" t="s">
        <v>646</v>
      </c>
      <c r="G5161" s="1" t="s">
        <v>6037</v>
      </c>
      <c r="H5161">
        <v>2020</v>
      </c>
      <c r="I5161">
        <v>2022</v>
      </c>
      <c r="J5161">
        <f t="shared" si="160"/>
        <v>3</v>
      </c>
      <c r="K5161" s="1" t="s">
        <v>5909</v>
      </c>
      <c r="L5161" s="1" t="s">
        <v>666</v>
      </c>
      <c r="M5161">
        <f t="shared" si="161"/>
        <v>4</v>
      </c>
    </row>
    <row r="5162" spans="1:13" hidden="1" x14ac:dyDescent="0.3">
      <c r="A5162" s="1" t="s">
        <v>10887</v>
      </c>
      <c r="B5162" s="1" t="s">
        <v>5931</v>
      </c>
      <c r="C5162" s="1" t="s">
        <v>10888</v>
      </c>
      <c r="D5162" s="1" t="s">
        <v>644</v>
      </c>
      <c r="E5162" s="1" t="s">
        <v>645</v>
      </c>
      <c r="F5162" s="1" t="s">
        <v>646</v>
      </c>
      <c r="G5162" s="1" t="s">
        <v>6037</v>
      </c>
      <c r="H5162">
        <v>2020</v>
      </c>
      <c r="I5162">
        <v>2022</v>
      </c>
      <c r="J5162">
        <f t="shared" si="160"/>
        <v>3</v>
      </c>
      <c r="K5162" s="1" t="s">
        <v>5909</v>
      </c>
      <c r="L5162" s="1" t="s">
        <v>666</v>
      </c>
      <c r="M5162">
        <f t="shared" si="161"/>
        <v>4</v>
      </c>
    </row>
    <row r="5163" spans="1:13" hidden="1" x14ac:dyDescent="0.3">
      <c r="A5163" s="1" t="s">
        <v>10889</v>
      </c>
      <c r="B5163" s="1" t="s">
        <v>5931</v>
      </c>
      <c r="C5163" s="1" t="s">
        <v>10890</v>
      </c>
      <c r="D5163" s="1" t="s">
        <v>644</v>
      </c>
      <c r="E5163" s="1" t="s">
        <v>645</v>
      </c>
      <c r="F5163" s="1" t="s">
        <v>646</v>
      </c>
      <c r="G5163" s="1" t="s">
        <v>6037</v>
      </c>
      <c r="H5163">
        <v>2020</v>
      </c>
      <c r="I5163">
        <v>2022</v>
      </c>
      <c r="J5163">
        <f t="shared" si="160"/>
        <v>3</v>
      </c>
      <c r="K5163" s="1" t="s">
        <v>5909</v>
      </c>
      <c r="L5163" s="1" t="s">
        <v>666</v>
      </c>
      <c r="M5163">
        <f t="shared" si="161"/>
        <v>4</v>
      </c>
    </row>
    <row r="5164" spans="1:13" hidden="1" x14ac:dyDescent="0.3">
      <c r="A5164" s="1" t="s">
        <v>10891</v>
      </c>
      <c r="B5164" s="1" t="s">
        <v>5931</v>
      </c>
      <c r="C5164" s="1" t="s">
        <v>10892</v>
      </c>
      <c r="D5164" s="1" t="s">
        <v>644</v>
      </c>
      <c r="E5164" s="1" t="s">
        <v>645</v>
      </c>
      <c r="F5164" s="1" t="s">
        <v>646</v>
      </c>
      <c r="G5164" s="1" t="s">
        <v>6037</v>
      </c>
      <c r="H5164">
        <v>2020</v>
      </c>
      <c r="I5164">
        <v>2022</v>
      </c>
      <c r="J5164">
        <f t="shared" si="160"/>
        <v>3</v>
      </c>
      <c r="K5164" s="1" t="s">
        <v>5909</v>
      </c>
      <c r="L5164" s="1" t="s">
        <v>666</v>
      </c>
      <c r="M5164">
        <f t="shared" si="161"/>
        <v>4</v>
      </c>
    </row>
    <row r="5165" spans="1:13" hidden="1" x14ac:dyDescent="0.3">
      <c r="A5165" s="1" t="s">
        <v>10893</v>
      </c>
      <c r="B5165" s="1" t="s">
        <v>5931</v>
      </c>
      <c r="C5165" s="1" t="s">
        <v>10894</v>
      </c>
      <c r="D5165" s="1" t="s">
        <v>644</v>
      </c>
      <c r="E5165" s="1" t="s">
        <v>645</v>
      </c>
      <c r="F5165" s="1" t="s">
        <v>646</v>
      </c>
      <c r="G5165" s="1" t="s">
        <v>6037</v>
      </c>
      <c r="H5165">
        <v>2020</v>
      </c>
      <c r="I5165">
        <v>2022</v>
      </c>
      <c r="J5165">
        <f t="shared" si="160"/>
        <v>3</v>
      </c>
      <c r="K5165" s="1" t="s">
        <v>5909</v>
      </c>
      <c r="L5165" s="1" t="s">
        <v>666</v>
      </c>
      <c r="M5165">
        <f t="shared" si="161"/>
        <v>4</v>
      </c>
    </row>
    <row r="5166" spans="1:13" hidden="1" x14ac:dyDescent="0.3">
      <c r="A5166" t="s">
        <v>11915</v>
      </c>
      <c r="B5166" t="s">
        <v>5931</v>
      </c>
      <c r="C5166" t="s">
        <v>11916</v>
      </c>
      <c r="E5166" s="1" t="e">
        <v>#N/A</v>
      </c>
      <c r="F5166" s="1" t="e">
        <v>#N/A</v>
      </c>
      <c r="G5166" s="1" t="s">
        <v>6037</v>
      </c>
      <c r="H5166">
        <v>2023</v>
      </c>
      <c r="I5166">
        <v>2026</v>
      </c>
      <c r="J5166">
        <f t="shared" si="160"/>
        <v>4</v>
      </c>
      <c r="K5166" s="1" t="s">
        <v>5909</v>
      </c>
      <c r="L5166" s="1" t="s">
        <v>666</v>
      </c>
      <c r="M5166">
        <f t="shared" si="161"/>
        <v>0</v>
      </c>
    </row>
    <row r="5167" spans="1:13" hidden="1" x14ac:dyDescent="0.3">
      <c r="A5167" t="s">
        <v>11917</v>
      </c>
      <c r="B5167" t="s">
        <v>5931</v>
      </c>
      <c r="C5167" t="s">
        <v>11918</v>
      </c>
      <c r="E5167" s="1" t="e">
        <v>#N/A</v>
      </c>
      <c r="F5167" s="1" t="e">
        <v>#N/A</v>
      </c>
      <c r="G5167" s="1" t="s">
        <v>6037</v>
      </c>
      <c r="H5167">
        <v>2023</v>
      </c>
      <c r="I5167">
        <v>2026</v>
      </c>
      <c r="J5167">
        <f t="shared" si="160"/>
        <v>4</v>
      </c>
      <c r="K5167" s="1" t="s">
        <v>5909</v>
      </c>
      <c r="L5167" s="1" t="s">
        <v>666</v>
      </c>
      <c r="M5167">
        <f t="shared" si="161"/>
        <v>0</v>
      </c>
    </row>
    <row r="5168" spans="1:13" hidden="1" x14ac:dyDescent="0.3">
      <c r="A5168" t="s">
        <v>11919</v>
      </c>
      <c r="B5168" t="s">
        <v>5931</v>
      </c>
      <c r="C5168" t="s">
        <v>11920</v>
      </c>
      <c r="E5168" s="1" t="e">
        <v>#N/A</v>
      </c>
      <c r="F5168" s="1" t="e">
        <v>#N/A</v>
      </c>
      <c r="G5168" s="1" t="s">
        <v>6037</v>
      </c>
      <c r="H5168">
        <v>2023</v>
      </c>
      <c r="I5168">
        <v>2026</v>
      </c>
      <c r="J5168">
        <f t="shared" si="160"/>
        <v>4</v>
      </c>
      <c r="K5168" s="1" t="s">
        <v>5909</v>
      </c>
      <c r="L5168" s="1" t="s">
        <v>666</v>
      </c>
      <c r="M5168">
        <f t="shared" si="161"/>
        <v>0</v>
      </c>
    </row>
    <row r="5169" spans="1:14" hidden="1" x14ac:dyDescent="0.3">
      <c r="A5169" t="s">
        <v>11921</v>
      </c>
      <c r="B5169" t="s">
        <v>5931</v>
      </c>
      <c r="C5169" t="s">
        <v>11922</v>
      </c>
      <c r="E5169" s="1" t="e">
        <v>#N/A</v>
      </c>
      <c r="F5169" s="1" t="e">
        <v>#N/A</v>
      </c>
      <c r="G5169" s="1" t="s">
        <v>6037</v>
      </c>
      <c r="H5169">
        <v>2023</v>
      </c>
      <c r="I5169">
        <v>2026</v>
      </c>
      <c r="J5169">
        <f t="shared" si="160"/>
        <v>4</v>
      </c>
      <c r="K5169" s="1" t="s">
        <v>5909</v>
      </c>
      <c r="L5169" s="1" t="s">
        <v>666</v>
      </c>
      <c r="M5169">
        <f t="shared" si="161"/>
        <v>0</v>
      </c>
    </row>
    <row r="5170" spans="1:14" hidden="1" x14ac:dyDescent="0.3">
      <c r="A5170" t="s">
        <v>11923</v>
      </c>
      <c r="B5170" t="s">
        <v>5931</v>
      </c>
      <c r="C5170" t="s">
        <v>11924</v>
      </c>
      <c r="E5170" s="1" t="e">
        <v>#N/A</v>
      </c>
      <c r="F5170" s="1" t="e">
        <v>#N/A</v>
      </c>
      <c r="G5170" s="1" t="s">
        <v>6037</v>
      </c>
      <c r="H5170">
        <v>2023</v>
      </c>
      <c r="I5170">
        <v>2026</v>
      </c>
      <c r="J5170">
        <f t="shared" si="160"/>
        <v>4</v>
      </c>
      <c r="K5170" s="1" t="s">
        <v>5909</v>
      </c>
      <c r="L5170" s="1" t="s">
        <v>666</v>
      </c>
      <c r="M5170">
        <f t="shared" si="161"/>
        <v>0</v>
      </c>
    </row>
    <row r="5171" spans="1:14" hidden="1" x14ac:dyDescent="0.3">
      <c r="A5171" t="s">
        <v>11925</v>
      </c>
      <c r="B5171" t="s">
        <v>5931</v>
      </c>
      <c r="C5171" t="s">
        <v>11926</v>
      </c>
      <c r="E5171" s="1" t="e">
        <v>#N/A</v>
      </c>
      <c r="F5171" s="1" t="e">
        <v>#N/A</v>
      </c>
      <c r="G5171" s="1" t="s">
        <v>6037</v>
      </c>
      <c r="H5171">
        <v>2023</v>
      </c>
      <c r="I5171">
        <v>2026</v>
      </c>
      <c r="J5171">
        <f t="shared" si="160"/>
        <v>4</v>
      </c>
      <c r="K5171" s="1" t="s">
        <v>5909</v>
      </c>
      <c r="L5171" s="1" t="s">
        <v>666</v>
      </c>
      <c r="M5171">
        <f t="shared" si="161"/>
        <v>0</v>
      </c>
    </row>
    <row r="5172" spans="1:14" x14ac:dyDescent="0.3">
      <c r="A5172" t="s">
        <v>603</v>
      </c>
      <c r="B5172" t="s">
        <v>5940</v>
      </c>
      <c r="C5172" t="s">
        <v>604</v>
      </c>
      <c r="E5172" s="1" t="s">
        <v>6076</v>
      </c>
      <c r="F5172" s="1" t="s">
        <v>6076</v>
      </c>
      <c r="G5172" s="1" t="s">
        <v>12762</v>
      </c>
      <c r="H5172">
        <v>2025</v>
      </c>
      <c r="I5172">
        <v>2026</v>
      </c>
      <c r="J5172">
        <f t="shared" si="160"/>
        <v>2</v>
      </c>
      <c r="K5172" s="1" t="s">
        <v>6076</v>
      </c>
      <c r="L5172" s="1" t="s">
        <v>6076</v>
      </c>
      <c r="M5172">
        <f t="shared" si="161"/>
        <v>0</v>
      </c>
    </row>
    <row r="5173" spans="1:14" x14ac:dyDescent="0.3">
      <c r="A5173" t="s">
        <v>605</v>
      </c>
      <c r="B5173" t="s">
        <v>5940</v>
      </c>
      <c r="C5173" t="s">
        <v>606</v>
      </c>
      <c r="E5173" s="1" t="s">
        <v>6076</v>
      </c>
      <c r="F5173" s="1" t="s">
        <v>6076</v>
      </c>
      <c r="G5173" s="1" t="s">
        <v>12762</v>
      </c>
      <c r="H5173">
        <v>2025</v>
      </c>
      <c r="I5173">
        <v>2026</v>
      </c>
      <c r="J5173">
        <f t="shared" si="160"/>
        <v>2</v>
      </c>
      <c r="K5173" s="1" t="s">
        <v>6076</v>
      </c>
      <c r="L5173" s="1" t="s">
        <v>6076</v>
      </c>
      <c r="M5173">
        <f t="shared" si="161"/>
        <v>0</v>
      </c>
    </row>
    <row r="5174" spans="1:14" x14ac:dyDescent="0.3">
      <c r="A5174" t="s">
        <v>607</v>
      </c>
      <c r="B5174" t="s">
        <v>5940</v>
      </c>
      <c r="C5174" t="s">
        <v>608</v>
      </c>
      <c r="E5174" s="1" t="s">
        <v>6076</v>
      </c>
      <c r="F5174" s="1" t="s">
        <v>6076</v>
      </c>
      <c r="G5174" s="1" t="s">
        <v>12763</v>
      </c>
      <c r="H5174">
        <v>2024</v>
      </c>
      <c r="I5174">
        <v>2024</v>
      </c>
      <c r="J5174">
        <f t="shared" si="160"/>
        <v>1</v>
      </c>
      <c r="K5174" s="1" t="s">
        <v>6076</v>
      </c>
      <c r="L5174" s="1" t="s">
        <v>6076</v>
      </c>
      <c r="M5174">
        <f t="shared" si="161"/>
        <v>2</v>
      </c>
    </row>
    <row r="5175" spans="1:14" x14ac:dyDescent="0.3">
      <c r="A5175" s="1" t="s">
        <v>10014</v>
      </c>
      <c r="B5175" s="1" t="s">
        <v>795</v>
      </c>
      <c r="C5175" s="1" t="s">
        <v>10015</v>
      </c>
      <c r="D5175" s="1" t="s">
        <v>1242</v>
      </c>
      <c r="E5175" s="1" t="s">
        <v>6076</v>
      </c>
      <c r="F5175" s="1" t="s">
        <v>6076</v>
      </c>
      <c r="G5175" s="1" t="s">
        <v>5606</v>
      </c>
      <c r="H5175">
        <v>1994</v>
      </c>
      <c r="I5175">
        <v>1996</v>
      </c>
      <c r="J5175">
        <f t="shared" si="160"/>
        <v>3</v>
      </c>
      <c r="K5175" s="1" t="s">
        <v>6076</v>
      </c>
      <c r="L5175" s="1" t="s">
        <v>6076</v>
      </c>
      <c r="M5175">
        <f t="shared" si="161"/>
        <v>30</v>
      </c>
      <c r="N5175" t="s">
        <v>640</v>
      </c>
    </row>
    <row r="5176" spans="1:14" x14ac:dyDescent="0.3">
      <c r="A5176" s="1" t="s">
        <v>10016</v>
      </c>
      <c r="B5176" s="1" t="s">
        <v>2154</v>
      </c>
      <c r="C5176" s="1" t="s">
        <v>10017</v>
      </c>
      <c r="D5176" s="1" t="s">
        <v>738</v>
      </c>
      <c r="E5176" s="1" t="s">
        <v>6076</v>
      </c>
      <c r="F5176" s="1" t="s">
        <v>6076</v>
      </c>
      <c r="G5176" s="1" t="s">
        <v>10018</v>
      </c>
      <c r="H5176">
        <v>1992</v>
      </c>
      <c r="I5176">
        <v>1993</v>
      </c>
      <c r="J5176">
        <f t="shared" si="160"/>
        <v>2</v>
      </c>
      <c r="K5176" s="1" t="s">
        <v>6076</v>
      </c>
      <c r="L5176" s="1" t="s">
        <v>6076</v>
      </c>
      <c r="M5176">
        <f t="shared" si="161"/>
        <v>33</v>
      </c>
      <c r="N5176" t="s">
        <v>640</v>
      </c>
    </row>
    <row r="5177" spans="1:14" x14ac:dyDescent="0.3">
      <c r="A5177" s="1" t="s">
        <v>10019</v>
      </c>
      <c r="B5177" s="1" t="s">
        <v>8765</v>
      </c>
      <c r="C5177" s="1" t="s">
        <v>10020</v>
      </c>
      <c r="D5177" s="1" t="s">
        <v>644</v>
      </c>
      <c r="E5177" s="1" t="s">
        <v>6076</v>
      </c>
      <c r="F5177" s="1" t="s">
        <v>6076</v>
      </c>
      <c r="G5177" s="1" t="s">
        <v>10021</v>
      </c>
      <c r="H5177">
        <v>2011</v>
      </c>
      <c r="I5177">
        <v>2014</v>
      </c>
      <c r="J5177">
        <f t="shared" si="160"/>
        <v>4</v>
      </c>
      <c r="K5177" s="1" t="s">
        <v>6076</v>
      </c>
      <c r="L5177" s="1" t="s">
        <v>6076</v>
      </c>
      <c r="M5177">
        <f t="shared" si="161"/>
        <v>12</v>
      </c>
      <c r="N5177" t="s">
        <v>650</v>
      </c>
    </row>
    <row r="5178" spans="1:14" x14ac:dyDescent="0.3">
      <c r="A5178" s="1" t="s">
        <v>10022</v>
      </c>
      <c r="B5178" s="1" t="s">
        <v>8765</v>
      </c>
      <c r="C5178" s="1" t="s">
        <v>10023</v>
      </c>
      <c r="D5178" s="1" t="s">
        <v>644</v>
      </c>
      <c r="E5178" s="1" t="s">
        <v>6076</v>
      </c>
      <c r="F5178" s="1" t="s">
        <v>6076</v>
      </c>
      <c r="G5178" s="1" t="s">
        <v>10021</v>
      </c>
      <c r="H5178">
        <v>2011</v>
      </c>
      <c r="I5178">
        <v>2014</v>
      </c>
      <c r="J5178">
        <f t="shared" si="160"/>
        <v>4</v>
      </c>
      <c r="K5178" s="1" t="s">
        <v>6076</v>
      </c>
      <c r="L5178" s="1" t="s">
        <v>6076</v>
      </c>
      <c r="M5178">
        <f t="shared" si="161"/>
        <v>12</v>
      </c>
      <c r="N5178" t="s">
        <v>650</v>
      </c>
    </row>
    <row r="5179" spans="1:14" x14ac:dyDescent="0.3">
      <c r="A5179" s="1" t="s">
        <v>10024</v>
      </c>
      <c r="B5179" s="1" t="s">
        <v>8765</v>
      </c>
      <c r="C5179" s="1" t="s">
        <v>10025</v>
      </c>
      <c r="D5179" s="1" t="s">
        <v>644</v>
      </c>
      <c r="E5179" s="1" t="s">
        <v>6076</v>
      </c>
      <c r="F5179" s="1" t="s">
        <v>6076</v>
      </c>
      <c r="G5179" s="1" t="s">
        <v>10021</v>
      </c>
      <c r="H5179">
        <v>2011</v>
      </c>
      <c r="I5179">
        <v>2012</v>
      </c>
      <c r="J5179">
        <f t="shared" si="160"/>
        <v>2</v>
      </c>
      <c r="K5179" s="1" t="s">
        <v>6076</v>
      </c>
      <c r="L5179" s="1" t="s">
        <v>6076</v>
      </c>
      <c r="M5179">
        <f t="shared" si="161"/>
        <v>14</v>
      </c>
      <c r="N5179" t="s">
        <v>650</v>
      </c>
    </row>
    <row r="5180" spans="1:14" x14ac:dyDescent="0.3">
      <c r="A5180" t="s">
        <v>11315</v>
      </c>
      <c r="B5180" t="s">
        <v>10998</v>
      </c>
      <c r="C5180" t="s">
        <v>11316</v>
      </c>
      <c r="E5180" s="1" t="s">
        <v>6076</v>
      </c>
      <c r="F5180" s="1" t="s">
        <v>6076</v>
      </c>
      <c r="G5180" s="1" t="s">
        <v>12808</v>
      </c>
      <c r="H5180">
        <v>1992</v>
      </c>
      <c r="I5180">
        <v>1994</v>
      </c>
      <c r="J5180">
        <f t="shared" si="160"/>
        <v>3</v>
      </c>
      <c r="K5180" s="1" t="s">
        <v>6076</v>
      </c>
      <c r="L5180" s="1" t="s">
        <v>6076</v>
      </c>
      <c r="M5180">
        <f t="shared" si="161"/>
        <v>32</v>
      </c>
    </row>
    <row r="5181" spans="1:14" hidden="1" x14ac:dyDescent="0.3">
      <c r="A5181" s="1" t="s">
        <v>3174</v>
      </c>
      <c r="B5181" s="1" t="s">
        <v>12756</v>
      </c>
      <c r="C5181" s="1" t="s">
        <v>3175</v>
      </c>
      <c r="D5181" s="1" t="s">
        <v>746</v>
      </c>
      <c r="E5181" s="1" t="s">
        <v>747</v>
      </c>
      <c r="F5181" s="1" t="s">
        <v>1348</v>
      </c>
      <c r="G5181" s="1" t="s">
        <v>2834</v>
      </c>
      <c r="H5181">
        <v>2020</v>
      </c>
      <c r="I5181">
        <v>2022</v>
      </c>
      <c r="J5181">
        <f t="shared" si="160"/>
        <v>3</v>
      </c>
      <c r="K5181" s="1" t="s">
        <v>741</v>
      </c>
      <c r="L5181" s="1" t="s">
        <v>798</v>
      </c>
      <c r="M5181">
        <f t="shared" si="161"/>
        <v>4</v>
      </c>
      <c r="N5181" t="s">
        <v>650</v>
      </c>
    </row>
    <row r="5182" spans="1:14" hidden="1" x14ac:dyDescent="0.3">
      <c r="A5182" s="1" t="s">
        <v>3176</v>
      </c>
      <c r="B5182" s="1" t="s">
        <v>12756</v>
      </c>
      <c r="C5182" s="1" t="s">
        <v>3177</v>
      </c>
      <c r="D5182" s="1" t="s">
        <v>746</v>
      </c>
      <c r="E5182" s="1" t="s">
        <v>747</v>
      </c>
      <c r="F5182" s="1" t="s">
        <v>1348</v>
      </c>
      <c r="G5182" s="1" t="s">
        <v>2834</v>
      </c>
      <c r="H5182">
        <v>2020</v>
      </c>
      <c r="I5182">
        <v>2022</v>
      </c>
      <c r="J5182">
        <f t="shared" si="160"/>
        <v>3</v>
      </c>
      <c r="K5182" s="1" t="s">
        <v>741</v>
      </c>
      <c r="L5182" s="1" t="s">
        <v>798</v>
      </c>
      <c r="M5182">
        <f t="shared" si="161"/>
        <v>4</v>
      </c>
      <c r="N5182" t="s">
        <v>650</v>
      </c>
    </row>
    <row r="5183" spans="1:14" hidden="1" x14ac:dyDescent="0.3">
      <c r="A5183" t="s">
        <v>12305</v>
      </c>
      <c r="B5183" t="s">
        <v>12756</v>
      </c>
      <c r="C5183" t="s">
        <v>12306</v>
      </c>
      <c r="E5183" s="1" t="e">
        <v>#N/A</v>
      </c>
      <c r="F5183" s="1" t="e">
        <v>#N/A</v>
      </c>
      <c r="G5183" s="1" t="s">
        <v>12880</v>
      </c>
      <c r="H5183">
        <v>2023</v>
      </c>
      <c r="I5183">
        <v>2026</v>
      </c>
      <c r="J5183">
        <f t="shared" si="160"/>
        <v>4</v>
      </c>
      <c r="K5183" s="1" t="s">
        <v>3665</v>
      </c>
      <c r="L5183" s="1" t="s">
        <v>666</v>
      </c>
      <c r="M5183">
        <f t="shared" si="161"/>
        <v>0</v>
      </c>
    </row>
    <row r="5184" spans="1:14" hidden="1" x14ac:dyDescent="0.3">
      <c r="A5184" s="1" t="s">
        <v>3178</v>
      </c>
      <c r="B5184" s="1" t="s">
        <v>12756</v>
      </c>
      <c r="C5184" s="1" t="s">
        <v>3179</v>
      </c>
      <c r="D5184" s="1" t="s">
        <v>746</v>
      </c>
      <c r="E5184" s="1" t="s">
        <v>747</v>
      </c>
      <c r="F5184" s="1" t="s">
        <v>1348</v>
      </c>
      <c r="G5184" s="1" t="s">
        <v>2834</v>
      </c>
      <c r="H5184">
        <v>2020</v>
      </c>
      <c r="I5184">
        <v>2022</v>
      </c>
      <c r="J5184">
        <f t="shared" si="160"/>
        <v>3</v>
      </c>
      <c r="K5184" s="1" t="s">
        <v>741</v>
      </c>
      <c r="L5184" s="1" t="s">
        <v>798</v>
      </c>
      <c r="M5184">
        <f t="shared" si="161"/>
        <v>4</v>
      </c>
      <c r="N5184" t="s">
        <v>650</v>
      </c>
    </row>
    <row r="5185" spans="1:14" x14ac:dyDescent="0.3">
      <c r="A5185" s="1" t="s">
        <v>10026</v>
      </c>
      <c r="B5185" s="1" t="s">
        <v>802</v>
      </c>
      <c r="C5185" s="1" t="s">
        <v>10027</v>
      </c>
      <c r="D5185" s="1" t="s">
        <v>746</v>
      </c>
      <c r="E5185" s="1" t="s">
        <v>6076</v>
      </c>
      <c r="F5185" s="1" t="s">
        <v>6076</v>
      </c>
      <c r="G5185" s="1" t="s">
        <v>10028</v>
      </c>
      <c r="H5185">
        <v>2010</v>
      </c>
      <c r="I5185">
        <v>2011</v>
      </c>
      <c r="J5185">
        <f t="shared" si="160"/>
        <v>2</v>
      </c>
      <c r="K5185" s="1" t="s">
        <v>6076</v>
      </c>
      <c r="L5185" s="1" t="s">
        <v>6076</v>
      </c>
      <c r="M5185">
        <f t="shared" si="161"/>
        <v>15</v>
      </c>
      <c r="N5185" t="s">
        <v>650</v>
      </c>
    </row>
    <row r="5186" spans="1:14" x14ac:dyDescent="0.3">
      <c r="A5186" s="1" t="s">
        <v>10029</v>
      </c>
      <c r="B5186" s="1" t="s">
        <v>802</v>
      </c>
      <c r="C5186" s="1" t="s">
        <v>10030</v>
      </c>
      <c r="D5186" s="1" t="s">
        <v>746</v>
      </c>
      <c r="E5186" s="1" t="s">
        <v>6076</v>
      </c>
      <c r="F5186" s="1" t="s">
        <v>6076</v>
      </c>
      <c r="G5186" s="1" t="s">
        <v>10028</v>
      </c>
      <c r="H5186">
        <v>2005</v>
      </c>
      <c r="I5186">
        <v>2005</v>
      </c>
      <c r="J5186">
        <f t="shared" si="160"/>
        <v>1</v>
      </c>
      <c r="K5186" s="1" t="s">
        <v>6076</v>
      </c>
      <c r="L5186" s="1" t="s">
        <v>6076</v>
      </c>
      <c r="M5186">
        <f t="shared" si="161"/>
        <v>21</v>
      </c>
      <c r="N5186" t="s">
        <v>640</v>
      </c>
    </row>
    <row r="5187" spans="1:14" x14ac:dyDescent="0.3">
      <c r="A5187" s="1" t="s">
        <v>10031</v>
      </c>
      <c r="B5187" s="1" t="s">
        <v>802</v>
      </c>
      <c r="C5187" s="1" t="s">
        <v>10032</v>
      </c>
      <c r="D5187" s="1" t="s">
        <v>746</v>
      </c>
      <c r="E5187" s="1" t="s">
        <v>6076</v>
      </c>
      <c r="F5187" s="1" t="s">
        <v>6076</v>
      </c>
      <c r="G5187" s="1" t="s">
        <v>10028</v>
      </c>
      <c r="H5187">
        <v>2007</v>
      </c>
      <c r="I5187">
        <v>2007</v>
      </c>
      <c r="J5187">
        <f t="shared" si="160"/>
        <v>1</v>
      </c>
      <c r="K5187" s="1" t="s">
        <v>6076</v>
      </c>
      <c r="L5187" s="1" t="s">
        <v>6076</v>
      </c>
      <c r="M5187">
        <f t="shared" si="161"/>
        <v>19</v>
      </c>
      <c r="N5187" t="s">
        <v>650</v>
      </c>
    </row>
    <row r="5188" spans="1:14" x14ac:dyDescent="0.3">
      <c r="A5188" s="1" t="s">
        <v>10033</v>
      </c>
      <c r="B5188" s="1" t="s">
        <v>802</v>
      </c>
      <c r="C5188" s="1" t="s">
        <v>10034</v>
      </c>
      <c r="D5188" s="1" t="s">
        <v>746</v>
      </c>
      <c r="E5188" s="1" t="s">
        <v>6076</v>
      </c>
      <c r="F5188" s="1" t="s">
        <v>6076</v>
      </c>
      <c r="G5188" s="1" t="s">
        <v>10028</v>
      </c>
      <c r="H5188">
        <v>2007</v>
      </c>
      <c r="I5188">
        <v>2007</v>
      </c>
      <c r="J5188">
        <f t="shared" si="160"/>
        <v>1</v>
      </c>
      <c r="K5188" s="1" t="s">
        <v>6076</v>
      </c>
      <c r="L5188" s="1" t="s">
        <v>6076</v>
      </c>
      <c r="M5188">
        <f t="shared" si="161"/>
        <v>19</v>
      </c>
      <c r="N5188" t="s">
        <v>650</v>
      </c>
    </row>
    <row r="5189" spans="1:14" x14ac:dyDescent="0.3">
      <c r="A5189" s="1" t="s">
        <v>10035</v>
      </c>
      <c r="B5189" s="1" t="s">
        <v>802</v>
      </c>
      <c r="C5189" s="1" t="s">
        <v>10036</v>
      </c>
      <c r="D5189" s="1" t="s">
        <v>746</v>
      </c>
      <c r="E5189" s="1" t="s">
        <v>6076</v>
      </c>
      <c r="F5189" s="1" t="s">
        <v>6076</v>
      </c>
      <c r="G5189" s="1" t="s">
        <v>10028</v>
      </c>
      <c r="H5189">
        <v>2003</v>
      </c>
      <c r="I5189">
        <v>2003</v>
      </c>
      <c r="J5189">
        <f t="shared" si="160"/>
        <v>1</v>
      </c>
      <c r="K5189" s="1" t="s">
        <v>6076</v>
      </c>
      <c r="L5189" s="1" t="s">
        <v>6076</v>
      </c>
      <c r="M5189">
        <f t="shared" si="161"/>
        <v>23</v>
      </c>
      <c r="N5189" t="s">
        <v>640</v>
      </c>
    </row>
    <row r="5190" spans="1:14" x14ac:dyDescent="0.3">
      <c r="A5190" s="1" t="s">
        <v>10037</v>
      </c>
      <c r="B5190" s="1" t="s">
        <v>802</v>
      </c>
      <c r="C5190" s="1" t="s">
        <v>10038</v>
      </c>
      <c r="D5190" s="1" t="s">
        <v>746</v>
      </c>
      <c r="E5190" s="1" t="s">
        <v>6076</v>
      </c>
      <c r="F5190" s="1" t="s">
        <v>6076</v>
      </c>
      <c r="G5190" s="1" t="s">
        <v>10028</v>
      </c>
      <c r="H5190">
        <v>2006</v>
      </c>
      <c r="I5190">
        <v>2006</v>
      </c>
      <c r="J5190">
        <f t="shared" ref="J5190:J5253" si="162">1+(I5190-H5190)</f>
        <v>1</v>
      </c>
      <c r="K5190" s="1" t="s">
        <v>6076</v>
      </c>
      <c r="L5190" s="1" t="s">
        <v>6076</v>
      </c>
      <c r="M5190">
        <f t="shared" ref="M5190:M5253" si="163">IF(I5190=0,0,$B$2-I5190)</f>
        <v>20</v>
      </c>
      <c r="N5190" t="s">
        <v>640</v>
      </c>
    </row>
    <row r="5191" spans="1:14" x14ac:dyDescent="0.3">
      <c r="A5191" s="1" t="s">
        <v>10039</v>
      </c>
      <c r="B5191" s="1" t="s">
        <v>802</v>
      </c>
      <c r="C5191" s="1" t="s">
        <v>10040</v>
      </c>
      <c r="D5191" s="1" t="s">
        <v>746</v>
      </c>
      <c r="E5191" s="1" t="s">
        <v>6076</v>
      </c>
      <c r="F5191" s="1" t="s">
        <v>6076</v>
      </c>
      <c r="G5191" s="1" t="s">
        <v>10028</v>
      </c>
      <c r="H5191">
        <v>2003</v>
      </c>
      <c r="I5191">
        <v>2003</v>
      </c>
      <c r="J5191">
        <f t="shared" si="162"/>
        <v>1</v>
      </c>
      <c r="K5191" s="1" t="s">
        <v>6076</v>
      </c>
      <c r="L5191" s="1" t="s">
        <v>6076</v>
      </c>
      <c r="M5191">
        <f t="shared" si="163"/>
        <v>23</v>
      </c>
      <c r="N5191" t="s">
        <v>640</v>
      </c>
    </row>
    <row r="5192" spans="1:14" x14ac:dyDescent="0.3">
      <c r="A5192" s="1" t="s">
        <v>10041</v>
      </c>
      <c r="B5192" s="1" t="s">
        <v>802</v>
      </c>
      <c r="C5192" s="1" t="s">
        <v>10042</v>
      </c>
      <c r="D5192" s="1" t="s">
        <v>746</v>
      </c>
      <c r="E5192" s="1" t="s">
        <v>6076</v>
      </c>
      <c r="F5192" s="1" t="s">
        <v>6076</v>
      </c>
      <c r="G5192" s="1" t="s">
        <v>10028</v>
      </c>
      <c r="H5192">
        <v>2003</v>
      </c>
      <c r="I5192">
        <v>2003</v>
      </c>
      <c r="J5192">
        <f t="shared" si="162"/>
        <v>1</v>
      </c>
      <c r="K5192" s="1" t="s">
        <v>6076</v>
      </c>
      <c r="L5192" s="1" t="s">
        <v>6076</v>
      </c>
      <c r="M5192">
        <f t="shared" si="163"/>
        <v>23</v>
      </c>
      <c r="N5192" t="s">
        <v>640</v>
      </c>
    </row>
    <row r="5193" spans="1:14" x14ac:dyDescent="0.3">
      <c r="A5193" s="1" t="s">
        <v>10043</v>
      </c>
      <c r="B5193" s="1" t="s">
        <v>802</v>
      </c>
      <c r="C5193" s="1" t="s">
        <v>10044</v>
      </c>
      <c r="D5193" s="1" t="s">
        <v>746</v>
      </c>
      <c r="E5193" s="1" t="s">
        <v>6076</v>
      </c>
      <c r="F5193" s="1" t="s">
        <v>6076</v>
      </c>
      <c r="G5193" s="1" t="s">
        <v>10028</v>
      </c>
      <c r="H5193">
        <v>2009</v>
      </c>
      <c r="I5193">
        <v>2009</v>
      </c>
      <c r="J5193">
        <f t="shared" si="162"/>
        <v>1</v>
      </c>
      <c r="K5193" s="1" t="s">
        <v>6076</v>
      </c>
      <c r="L5193" s="1" t="s">
        <v>6076</v>
      </c>
      <c r="M5193">
        <f t="shared" si="163"/>
        <v>17</v>
      </c>
      <c r="N5193" t="s">
        <v>650</v>
      </c>
    </row>
    <row r="5194" spans="1:14" x14ac:dyDescent="0.3">
      <c r="A5194" s="1" t="s">
        <v>10045</v>
      </c>
      <c r="B5194" s="1" t="s">
        <v>802</v>
      </c>
      <c r="C5194" s="1" t="s">
        <v>10046</v>
      </c>
      <c r="D5194" s="1" t="s">
        <v>746</v>
      </c>
      <c r="E5194" s="1" t="s">
        <v>6076</v>
      </c>
      <c r="F5194" s="1" t="s">
        <v>6076</v>
      </c>
      <c r="G5194" s="1" t="s">
        <v>10028</v>
      </c>
      <c r="H5194">
        <v>2009</v>
      </c>
      <c r="I5194">
        <v>2009</v>
      </c>
      <c r="J5194">
        <f t="shared" si="162"/>
        <v>1</v>
      </c>
      <c r="K5194" s="1" t="s">
        <v>6076</v>
      </c>
      <c r="L5194" s="1" t="s">
        <v>6076</v>
      </c>
      <c r="M5194">
        <f t="shared" si="163"/>
        <v>17</v>
      </c>
      <c r="N5194" t="s">
        <v>650</v>
      </c>
    </row>
    <row r="5195" spans="1:14" x14ac:dyDescent="0.3">
      <c r="A5195" s="1" t="s">
        <v>10047</v>
      </c>
      <c r="B5195" s="1" t="s">
        <v>802</v>
      </c>
      <c r="C5195" s="1" t="s">
        <v>10048</v>
      </c>
      <c r="D5195" s="1" t="s">
        <v>746</v>
      </c>
      <c r="E5195" s="1" t="s">
        <v>6076</v>
      </c>
      <c r="F5195" s="1" t="s">
        <v>6076</v>
      </c>
      <c r="G5195" s="1" t="s">
        <v>10028</v>
      </c>
      <c r="H5195">
        <v>2009</v>
      </c>
      <c r="I5195">
        <v>2009</v>
      </c>
      <c r="J5195">
        <f t="shared" si="162"/>
        <v>1</v>
      </c>
      <c r="K5195" s="1" t="s">
        <v>6076</v>
      </c>
      <c r="L5195" s="1" t="s">
        <v>6076</v>
      </c>
      <c r="M5195">
        <f t="shared" si="163"/>
        <v>17</v>
      </c>
      <c r="N5195" t="s">
        <v>650</v>
      </c>
    </row>
    <row r="5196" spans="1:14" x14ac:dyDescent="0.3">
      <c r="A5196" s="1" t="s">
        <v>10049</v>
      </c>
      <c r="B5196" s="1" t="s">
        <v>802</v>
      </c>
      <c r="C5196" s="1" t="s">
        <v>10050</v>
      </c>
      <c r="D5196" s="1" t="s">
        <v>746</v>
      </c>
      <c r="E5196" s="1" t="s">
        <v>6076</v>
      </c>
      <c r="F5196" s="1" t="s">
        <v>6076</v>
      </c>
      <c r="G5196" s="1" t="s">
        <v>10028</v>
      </c>
      <c r="H5196">
        <v>2008</v>
      </c>
      <c r="I5196">
        <v>2008</v>
      </c>
      <c r="J5196">
        <f t="shared" si="162"/>
        <v>1</v>
      </c>
      <c r="K5196" s="1" t="s">
        <v>6076</v>
      </c>
      <c r="L5196" s="1" t="s">
        <v>6076</v>
      </c>
      <c r="M5196">
        <f t="shared" si="163"/>
        <v>18</v>
      </c>
      <c r="N5196" t="s">
        <v>650</v>
      </c>
    </row>
    <row r="5197" spans="1:14" x14ac:dyDescent="0.3">
      <c r="A5197" s="1" t="s">
        <v>10051</v>
      </c>
      <c r="B5197" s="1" t="s">
        <v>802</v>
      </c>
      <c r="C5197" s="1" t="s">
        <v>10052</v>
      </c>
      <c r="D5197" s="1" t="s">
        <v>746</v>
      </c>
      <c r="E5197" s="1" t="s">
        <v>6076</v>
      </c>
      <c r="F5197" s="1" t="s">
        <v>6076</v>
      </c>
      <c r="G5197" s="1" t="s">
        <v>10028</v>
      </c>
      <c r="H5197">
        <v>2010</v>
      </c>
      <c r="I5197">
        <v>2010</v>
      </c>
      <c r="J5197">
        <f t="shared" si="162"/>
        <v>1</v>
      </c>
      <c r="K5197" s="1" t="s">
        <v>6076</v>
      </c>
      <c r="L5197" s="1" t="s">
        <v>6076</v>
      </c>
      <c r="M5197">
        <f t="shared" si="163"/>
        <v>16</v>
      </c>
      <c r="N5197" t="s">
        <v>650</v>
      </c>
    </row>
    <row r="5198" spans="1:14" x14ac:dyDescent="0.3">
      <c r="A5198" s="1" t="s">
        <v>10053</v>
      </c>
      <c r="B5198" s="1" t="s">
        <v>2667</v>
      </c>
      <c r="C5198" s="1" t="s">
        <v>10054</v>
      </c>
      <c r="D5198" s="1" t="s">
        <v>3850</v>
      </c>
      <c r="E5198" s="1" t="s">
        <v>6076</v>
      </c>
      <c r="F5198" s="1" t="s">
        <v>6076</v>
      </c>
      <c r="G5198" s="1" t="s">
        <v>10055</v>
      </c>
      <c r="H5198">
        <v>2019</v>
      </c>
      <c r="I5198">
        <v>2022</v>
      </c>
      <c r="J5198">
        <f t="shared" si="162"/>
        <v>4</v>
      </c>
      <c r="K5198" s="1" t="s">
        <v>6076</v>
      </c>
      <c r="L5198" s="1" t="s">
        <v>6076</v>
      </c>
      <c r="M5198">
        <f t="shared" si="163"/>
        <v>4</v>
      </c>
      <c r="N5198" t="s">
        <v>650</v>
      </c>
    </row>
    <row r="5199" spans="1:14" x14ac:dyDescent="0.3">
      <c r="A5199" s="1" t="s">
        <v>10056</v>
      </c>
      <c r="B5199" s="1" t="s">
        <v>2667</v>
      </c>
      <c r="C5199" s="1" t="s">
        <v>10057</v>
      </c>
      <c r="D5199" s="1" t="s">
        <v>1395</v>
      </c>
      <c r="E5199" s="1" t="s">
        <v>6076</v>
      </c>
      <c r="F5199" s="1" t="s">
        <v>6076</v>
      </c>
      <c r="G5199" s="1" t="s">
        <v>10058</v>
      </c>
      <c r="H5199">
        <v>2022</v>
      </c>
      <c r="I5199">
        <v>2022</v>
      </c>
      <c r="J5199">
        <f t="shared" si="162"/>
        <v>1</v>
      </c>
      <c r="K5199" s="1" t="s">
        <v>6076</v>
      </c>
      <c r="L5199" s="1" t="s">
        <v>6076</v>
      </c>
      <c r="M5199">
        <f t="shared" si="163"/>
        <v>4</v>
      </c>
      <c r="N5199" t="s">
        <v>650</v>
      </c>
    </row>
    <row r="5200" spans="1:14" hidden="1" x14ac:dyDescent="0.3">
      <c r="A5200" s="1" t="s">
        <v>3180</v>
      </c>
      <c r="B5200" s="1" t="s">
        <v>802</v>
      </c>
      <c r="C5200" s="1" t="s">
        <v>3181</v>
      </c>
      <c r="D5200" s="1" t="s">
        <v>1242</v>
      </c>
      <c r="E5200" s="1" t="s">
        <v>1243</v>
      </c>
      <c r="F5200" s="1" t="s">
        <v>1244</v>
      </c>
      <c r="G5200" s="1" t="s">
        <v>3182</v>
      </c>
      <c r="H5200">
        <v>2003</v>
      </c>
      <c r="I5200">
        <v>2003</v>
      </c>
      <c r="J5200">
        <f t="shared" si="162"/>
        <v>1</v>
      </c>
      <c r="K5200" s="1" t="s">
        <v>741</v>
      </c>
      <c r="L5200" s="1" t="s">
        <v>666</v>
      </c>
      <c r="M5200">
        <f t="shared" si="163"/>
        <v>23</v>
      </c>
      <c r="N5200" t="s">
        <v>650</v>
      </c>
    </row>
    <row r="5201" spans="1:14" hidden="1" x14ac:dyDescent="0.3">
      <c r="A5201" s="1" t="s">
        <v>3183</v>
      </c>
      <c r="B5201" s="1" t="s">
        <v>802</v>
      </c>
      <c r="C5201" s="1" t="s">
        <v>3184</v>
      </c>
      <c r="D5201" s="1" t="s">
        <v>1242</v>
      </c>
      <c r="E5201" s="1" t="s">
        <v>1243</v>
      </c>
      <c r="F5201" s="1" t="s">
        <v>1244</v>
      </c>
      <c r="G5201" s="1" t="s">
        <v>3182</v>
      </c>
      <c r="H5201">
        <v>2003</v>
      </c>
      <c r="I5201">
        <v>2003</v>
      </c>
      <c r="J5201">
        <f t="shared" si="162"/>
        <v>1</v>
      </c>
      <c r="K5201" s="1" t="s">
        <v>741</v>
      </c>
      <c r="L5201" s="1" t="s">
        <v>666</v>
      </c>
      <c r="M5201">
        <f t="shared" si="163"/>
        <v>23</v>
      </c>
      <c r="N5201" t="s">
        <v>650</v>
      </c>
    </row>
    <row r="5202" spans="1:14" hidden="1" x14ac:dyDescent="0.3">
      <c r="A5202" s="1" t="s">
        <v>3185</v>
      </c>
      <c r="B5202" s="1" t="s">
        <v>802</v>
      </c>
      <c r="C5202" s="1" t="s">
        <v>3186</v>
      </c>
      <c r="D5202" s="1" t="s">
        <v>1242</v>
      </c>
      <c r="E5202" s="1" t="s">
        <v>1243</v>
      </c>
      <c r="F5202" s="1" t="s">
        <v>1244</v>
      </c>
      <c r="G5202" s="1" t="s">
        <v>3182</v>
      </c>
      <c r="H5202">
        <v>2006</v>
      </c>
      <c r="I5202">
        <v>2006</v>
      </c>
      <c r="J5202">
        <f t="shared" si="162"/>
        <v>1</v>
      </c>
      <c r="K5202" s="1" t="s">
        <v>741</v>
      </c>
      <c r="L5202" s="1" t="s">
        <v>666</v>
      </c>
      <c r="M5202">
        <f t="shared" si="163"/>
        <v>20</v>
      </c>
      <c r="N5202" t="s">
        <v>650</v>
      </c>
    </row>
    <row r="5203" spans="1:14" hidden="1" x14ac:dyDescent="0.3">
      <c r="A5203" s="1" t="s">
        <v>3187</v>
      </c>
      <c r="B5203" s="1" t="s">
        <v>802</v>
      </c>
      <c r="C5203" s="1" t="s">
        <v>3188</v>
      </c>
      <c r="D5203" s="1" t="s">
        <v>1242</v>
      </c>
      <c r="E5203" s="1" t="s">
        <v>1243</v>
      </c>
      <c r="F5203" s="1" t="s">
        <v>1244</v>
      </c>
      <c r="G5203" s="1" t="s">
        <v>3182</v>
      </c>
      <c r="H5203">
        <v>2006</v>
      </c>
      <c r="I5203">
        <v>2006</v>
      </c>
      <c r="J5203">
        <f t="shared" si="162"/>
        <v>1</v>
      </c>
      <c r="K5203" s="1" t="s">
        <v>741</v>
      </c>
      <c r="L5203" s="1" t="s">
        <v>666</v>
      </c>
      <c r="M5203">
        <f t="shared" si="163"/>
        <v>20</v>
      </c>
      <c r="N5203" t="s">
        <v>650</v>
      </c>
    </row>
    <row r="5204" spans="1:14" hidden="1" x14ac:dyDescent="0.3">
      <c r="A5204" s="1" t="s">
        <v>3189</v>
      </c>
      <c r="B5204" s="1" t="s">
        <v>802</v>
      </c>
      <c r="C5204" s="1" t="s">
        <v>3190</v>
      </c>
      <c r="D5204" s="1" t="s">
        <v>1242</v>
      </c>
      <c r="E5204" s="1" t="s">
        <v>1243</v>
      </c>
      <c r="F5204" s="1" t="s">
        <v>1244</v>
      </c>
      <c r="G5204" s="1" t="s">
        <v>3182</v>
      </c>
      <c r="H5204">
        <v>2016</v>
      </c>
      <c r="I5204">
        <v>2016</v>
      </c>
      <c r="J5204">
        <f t="shared" si="162"/>
        <v>1</v>
      </c>
      <c r="K5204" s="1" t="s">
        <v>741</v>
      </c>
      <c r="L5204" s="1" t="s">
        <v>666</v>
      </c>
      <c r="M5204">
        <f t="shared" si="163"/>
        <v>10</v>
      </c>
      <c r="N5204" t="s">
        <v>650</v>
      </c>
    </row>
    <row r="5205" spans="1:14" hidden="1" x14ac:dyDescent="0.3">
      <c r="A5205" s="1" t="s">
        <v>3191</v>
      </c>
      <c r="B5205" s="1" t="s">
        <v>802</v>
      </c>
      <c r="C5205" s="1" t="s">
        <v>3192</v>
      </c>
      <c r="D5205" s="1" t="s">
        <v>1242</v>
      </c>
      <c r="E5205" s="1" t="s">
        <v>1243</v>
      </c>
      <c r="F5205" s="1" t="s">
        <v>1244</v>
      </c>
      <c r="G5205" s="1" t="s">
        <v>3182</v>
      </c>
      <c r="H5205">
        <v>2016</v>
      </c>
      <c r="I5205">
        <v>2016</v>
      </c>
      <c r="J5205">
        <f t="shared" si="162"/>
        <v>1</v>
      </c>
      <c r="K5205" s="1" t="s">
        <v>741</v>
      </c>
      <c r="L5205" s="1" t="s">
        <v>666</v>
      </c>
      <c r="M5205">
        <f t="shared" si="163"/>
        <v>10</v>
      </c>
      <c r="N5205" t="s">
        <v>650</v>
      </c>
    </row>
    <row r="5206" spans="1:14" hidden="1" x14ac:dyDescent="0.3">
      <c r="A5206" s="1" t="s">
        <v>3193</v>
      </c>
      <c r="B5206" s="1" t="s">
        <v>802</v>
      </c>
      <c r="C5206" s="1" t="s">
        <v>3194</v>
      </c>
      <c r="D5206" s="1" t="s">
        <v>1242</v>
      </c>
      <c r="E5206" s="1" t="s">
        <v>1243</v>
      </c>
      <c r="F5206" s="1" t="s">
        <v>1244</v>
      </c>
      <c r="G5206" s="1" t="s">
        <v>3182</v>
      </c>
      <c r="H5206">
        <v>2016</v>
      </c>
      <c r="I5206">
        <v>2016</v>
      </c>
      <c r="J5206">
        <f t="shared" si="162"/>
        <v>1</v>
      </c>
      <c r="K5206" s="1" t="s">
        <v>741</v>
      </c>
      <c r="L5206" s="1" t="s">
        <v>666</v>
      </c>
      <c r="M5206">
        <f t="shared" si="163"/>
        <v>10</v>
      </c>
      <c r="N5206" t="s">
        <v>650</v>
      </c>
    </row>
    <row r="5207" spans="1:14" hidden="1" x14ac:dyDescent="0.3">
      <c r="A5207" s="1" t="s">
        <v>3195</v>
      </c>
      <c r="B5207" s="1" t="s">
        <v>802</v>
      </c>
      <c r="C5207" s="1" t="s">
        <v>3196</v>
      </c>
      <c r="D5207" s="1" t="s">
        <v>1242</v>
      </c>
      <c r="E5207" s="1" t="s">
        <v>1243</v>
      </c>
      <c r="F5207" s="1" t="s">
        <v>1244</v>
      </c>
      <c r="G5207" s="1" t="s">
        <v>3182</v>
      </c>
      <c r="H5207">
        <v>2013</v>
      </c>
      <c r="I5207">
        <v>2013</v>
      </c>
      <c r="J5207">
        <f t="shared" si="162"/>
        <v>1</v>
      </c>
      <c r="K5207" s="1" t="s">
        <v>741</v>
      </c>
      <c r="L5207" s="1" t="s">
        <v>666</v>
      </c>
      <c r="M5207">
        <f t="shared" si="163"/>
        <v>13</v>
      </c>
      <c r="N5207" t="s">
        <v>650</v>
      </c>
    </row>
    <row r="5208" spans="1:14" hidden="1" x14ac:dyDescent="0.3">
      <c r="A5208" s="1" t="s">
        <v>3197</v>
      </c>
      <c r="B5208" s="1" t="s">
        <v>802</v>
      </c>
      <c r="C5208" s="1" t="s">
        <v>3198</v>
      </c>
      <c r="D5208" s="1" t="s">
        <v>1242</v>
      </c>
      <c r="E5208" s="1" t="s">
        <v>1243</v>
      </c>
      <c r="F5208" s="1" t="s">
        <v>1244</v>
      </c>
      <c r="G5208" s="1" t="s">
        <v>3182</v>
      </c>
      <c r="H5208">
        <v>2013</v>
      </c>
      <c r="I5208">
        <v>2013</v>
      </c>
      <c r="J5208">
        <f t="shared" si="162"/>
        <v>1</v>
      </c>
      <c r="K5208" s="1" t="s">
        <v>741</v>
      </c>
      <c r="L5208" s="1" t="s">
        <v>666</v>
      </c>
      <c r="M5208">
        <f t="shared" si="163"/>
        <v>13</v>
      </c>
      <c r="N5208" t="s">
        <v>650</v>
      </c>
    </row>
    <row r="5209" spans="1:14" hidden="1" x14ac:dyDescent="0.3">
      <c r="A5209" s="1" t="s">
        <v>3199</v>
      </c>
      <c r="B5209" s="1" t="s">
        <v>802</v>
      </c>
      <c r="C5209" s="1" t="s">
        <v>3200</v>
      </c>
      <c r="D5209" s="1" t="s">
        <v>1242</v>
      </c>
      <c r="E5209" s="1" t="s">
        <v>1243</v>
      </c>
      <c r="F5209" s="1" t="s">
        <v>1244</v>
      </c>
      <c r="G5209" s="1" t="s">
        <v>3182</v>
      </c>
      <c r="H5209">
        <v>2014</v>
      </c>
      <c r="I5209">
        <v>2014</v>
      </c>
      <c r="J5209">
        <f t="shared" si="162"/>
        <v>1</v>
      </c>
      <c r="K5209" s="1" t="s">
        <v>741</v>
      </c>
      <c r="L5209" s="1" t="s">
        <v>666</v>
      </c>
      <c r="M5209">
        <f t="shared" si="163"/>
        <v>12</v>
      </c>
      <c r="N5209" t="s">
        <v>650</v>
      </c>
    </row>
    <row r="5210" spans="1:14" hidden="1" x14ac:dyDescent="0.3">
      <c r="A5210" s="1" t="s">
        <v>3201</v>
      </c>
      <c r="B5210" s="1" t="s">
        <v>802</v>
      </c>
      <c r="C5210" s="1" t="s">
        <v>3202</v>
      </c>
      <c r="D5210" s="1" t="s">
        <v>1242</v>
      </c>
      <c r="E5210" s="1" t="s">
        <v>1243</v>
      </c>
      <c r="F5210" s="1" t="s">
        <v>1244</v>
      </c>
      <c r="G5210" s="1" t="s">
        <v>3182</v>
      </c>
      <c r="H5210">
        <v>2014</v>
      </c>
      <c r="I5210">
        <v>2014</v>
      </c>
      <c r="J5210">
        <f t="shared" si="162"/>
        <v>1</v>
      </c>
      <c r="K5210" s="1" t="s">
        <v>741</v>
      </c>
      <c r="L5210" s="1" t="s">
        <v>666</v>
      </c>
      <c r="M5210">
        <f t="shared" si="163"/>
        <v>12</v>
      </c>
      <c r="N5210" t="s">
        <v>650</v>
      </c>
    </row>
    <row r="5211" spans="1:14" hidden="1" x14ac:dyDescent="0.3">
      <c r="A5211" s="1" t="s">
        <v>3203</v>
      </c>
      <c r="B5211" s="1" t="s">
        <v>802</v>
      </c>
      <c r="C5211" s="1" t="s">
        <v>3204</v>
      </c>
      <c r="D5211" s="1" t="s">
        <v>1242</v>
      </c>
      <c r="E5211" s="1" t="s">
        <v>1243</v>
      </c>
      <c r="F5211" s="1" t="s">
        <v>1244</v>
      </c>
      <c r="G5211" s="1" t="s">
        <v>3182</v>
      </c>
      <c r="H5211">
        <v>2014</v>
      </c>
      <c r="I5211">
        <v>2014</v>
      </c>
      <c r="J5211">
        <f t="shared" si="162"/>
        <v>1</v>
      </c>
      <c r="K5211" s="1" t="s">
        <v>741</v>
      </c>
      <c r="L5211" s="1" t="s">
        <v>666</v>
      </c>
      <c r="M5211">
        <f t="shared" si="163"/>
        <v>12</v>
      </c>
      <c r="N5211" t="s">
        <v>650</v>
      </c>
    </row>
    <row r="5212" spans="1:14" hidden="1" x14ac:dyDescent="0.3">
      <c r="A5212" s="1" t="s">
        <v>3205</v>
      </c>
      <c r="B5212" s="1" t="s">
        <v>802</v>
      </c>
      <c r="C5212" s="1" t="s">
        <v>3206</v>
      </c>
      <c r="D5212" s="1" t="s">
        <v>1242</v>
      </c>
      <c r="E5212" s="1" t="s">
        <v>1243</v>
      </c>
      <c r="F5212" s="1" t="s">
        <v>1244</v>
      </c>
      <c r="G5212" s="1" t="s">
        <v>3182</v>
      </c>
      <c r="H5212">
        <v>2012</v>
      </c>
      <c r="I5212">
        <v>2012</v>
      </c>
      <c r="J5212">
        <f t="shared" si="162"/>
        <v>1</v>
      </c>
      <c r="K5212" s="1" t="s">
        <v>741</v>
      </c>
      <c r="L5212" s="1" t="s">
        <v>666</v>
      </c>
      <c r="M5212">
        <f t="shared" si="163"/>
        <v>14</v>
      </c>
      <c r="N5212" t="s">
        <v>650</v>
      </c>
    </row>
    <row r="5213" spans="1:14" hidden="1" x14ac:dyDescent="0.3">
      <c r="A5213" s="1" t="s">
        <v>3207</v>
      </c>
      <c r="B5213" s="1" t="s">
        <v>802</v>
      </c>
      <c r="C5213" s="1" t="s">
        <v>3208</v>
      </c>
      <c r="D5213" s="1" t="s">
        <v>1242</v>
      </c>
      <c r="E5213" s="1" t="s">
        <v>1243</v>
      </c>
      <c r="F5213" s="1" t="s">
        <v>1244</v>
      </c>
      <c r="G5213" s="1" t="s">
        <v>3182</v>
      </c>
      <c r="H5213">
        <v>2016</v>
      </c>
      <c r="I5213">
        <v>2016</v>
      </c>
      <c r="J5213">
        <f t="shared" si="162"/>
        <v>1</v>
      </c>
      <c r="K5213" s="1" t="s">
        <v>741</v>
      </c>
      <c r="L5213" s="1" t="s">
        <v>666</v>
      </c>
      <c r="M5213">
        <f t="shared" si="163"/>
        <v>10</v>
      </c>
      <c r="N5213" t="s">
        <v>650</v>
      </c>
    </row>
    <row r="5214" spans="1:14" hidden="1" x14ac:dyDescent="0.3">
      <c r="A5214" s="1" t="s">
        <v>3209</v>
      </c>
      <c r="B5214" s="1" t="s">
        <v>802</v>
      </c>
      <c r="C5214" s="1" t="s">
        <v>3210</v>
      </c>
      <c r="D5214" s="1" t="s">
        <v>1242</v>
      </c>
      <c r="E5214" s="1" t="s">
        <v>1243</v>
      </c>
      <c r="F5214" s="1" t="s">
        <v>1244</v>
      </c>
      <c r="G5214" s="1" t="s">
        <v>3182</v>
      </c>
      <c r="H5214">
        <v>2016</v>
      </c>
      <c r="I5214">
        <v>2016</v>
      </c>
      <c r="J5214">
        <f t="shared" si="162"/>
        <v>1</v>
      </c>
      <c r="K5214" s="1" t="s">
        <v>741</v>
      </c>
      <c r="L5214" s="1" t="s">
        <v>666</v>
      </c>
      <c r="M5214">
        <f t="shared" si="163"/>
        <v>10</v>
      </c>
      <c r="N5214" t="s">
        <v>650</v>
      </c>
    </row>
    <row r="5215" spans="1:14" hidden="1" x14ac:dyDescent="0.3">
      <c r="A5215" s="1" t="s">
        <v>3211</v>
      </c>
      <c r="B5215" s="1" t="s">
        <v>802</v>
      </c>
      <c r="C5215" s="1" t="s">
        <v>3212</v>
      </c>
      <c r="D5215" s="1" t="s">
        <v>1242</v>
      </c>
      <c r="E5215" s="1" t="s">
        <v>1243</v>
      </c>
      <c r="F5215" s="1" t="s">
        <v>1244</v>
      </c>
      <c r="G5215" s="1" t="s">
        <v>3182</v>
      </c>
      <c r="H5215">
        <v>2005</v>
      </c>
      <c r="I5215">
        <v>2005</v>
      </c>
      <c r="J5215">
        <f t="shared" si="162"/>
        <v>1</v>
      </c>
      <c r="K5215" s="1" t="s">
        <v>741</v>
      </c>
      <c r="L5215" s="1" t="s">
        <v>666</v>
      </c>
      <c r="M5215">
        <f t="shared" si="163"/>
        <v>21</v>
      </c>
      <c r="N5215" t="s">
        <v>650</v>
      </c>
    </row>
    <row r="5216" spans="1:14" hidden="1" x14ac:dyDescent="0.3">
      <c r="A5216" s="1" t="s">
        <v>3213</v>
      </c>
      <c r="B5216" s="1" t="s">
        <v>802</v>
      </c>
      <c r="C5216" s="1" t="s">
        <v>3214</v>
      </c>
      <c r="D5216" s="1" t="s">
        <v>1242</v>
      </c>
      <c r="E5216" s="1" t="s">
        <v>1243</v>
      </c>
      <c r="F5216" s="1" t="s">
        <v>1244</v>
      </c>
      <c r="G5216" s="1" t="s">
        <v>3182</v>
      </c>
      <c r="H5216">
        <v>2005</v>
      </c>
      <c r="I5216">
        <v>2005</v>
      </c>
      <c r="J5216">
        <f t="shared" si="162"/>
        <v>1</v>
      </c>
      <c r="K5216" s="1" t="s">
        <v>741</v>
      </c>
      <c r="L5216" s="1" t="s">
        <v>666</v>
      </c>
      <c r="M5216">
        <f t="shared" si="163"/>
        <v>21</v>
      </c>
      <c r="N5216" t="s">
        <v>650</v>
      </c>
    </row>
    <row r="5217" spans="1:14" hidden="1" x14ac:dyDescent="0.3">
      <c r="A5217" s="1" t="s">
        <v>3215</v>
      </c>
      <c r="B5217" s="1" t="s">
        <v>802</v>
      </c>
      <c r="C5217" s="1" t="s">
        <v>3216</v>
      </c>
      <c r="D5217" s="1" t="s">
        <v>1242</v>
      </c>
      <c r="E5217" s="1" t="s">
        <v>1243</v>
      </c>
      <c r="F5217" s="1" t="s">
        <v>1244</v>
      </c>
      <c r="G5217" s="1" t="s">
        <v>3182</v>
      </c>
      <c r="H5217">
        <v>2003</v>
      </c>
      <c r="I5217">
        <v>2003</v>
      </c>
      <c r="J5217">
        <f t="shared" si="162"/>
        <v>1</v>
      </c>
      <c r="K5217" s="1" t="s">
        <v>741</v>
      </c>
      <c r="L5217" s="1" t="s">
        <v>666</v>
      </c>
      <c r="M5217">
        <f t="shared" si="163"/>
        <v>23</v>
      </c>
      <c r="N5217" t="s">
        <v>650</v>
      </c>
    </row>
    <row r="5218" spans="1:14" hidden="1" x14ac:dyDescent="0.3">
      <c r="A5218" s="1" t="s">
        <v>3217</v>
      </c>
      <c r="B5218" s="1" t="s">
        <v>802</v>
      </c>
      <c r="C5218" s="1" t="s">
        <v>3218</v>
      </c>
      <c r="D5218" s="1" t="s">
        <v>1242</v>
      </c>
      <c r="E5218" s="1" t="s">
        <v>1243</v>
      </c>
      <c r="F5218" s="1" t="s">
        <v>1244</v>
      </c>
      <c r="G5218" s="1" t="s">
        <v>3182</v>
      </c>
      <c r="H5218">
        <v>2009</v>
      </c>
      <c r="I5218">
        <v>2009</v>
      </c>
      <c r="J5218">
        <f t="shared" si="162"/>
        <v>1</v>
      </c>
      <c r="K5218" s="1" t="s">
        <v>741</v>
      </c>
      <c r="L5218" s="1" t="s">
        <v>666</v>
      </c>
      <c r="M5218">
        <f t="shared" si="163"/>
        <v>17</v>
      </c>
      <c r="N5218" t="s">
        <v>650</v>
      </c>
    </row>
    <row r="5219" spans="1:14" hidden="1" x14ac:dyDescent="0.3">
      <c r="A5219" s="1" t="s">
        <v>3219</v>
      </c>
      <c r="B5219" s="1" t="s">
        <v>802</v>
      </c>
      <c r="C5219" s="1" t="s">
        <v>3220</v>
      </c>
      <c r="D5219" s="1" t="s">
        <v>1242</v>
      </c>
      <c r="E5219" s="1" t="s">
        <v>1243</v>
      </c>
      <c r="F5219" s="1" t="s">
        <v>1244</v>
      </c>
      <c r="G5219" s="1" t="s">
        <v>3182</v>
      </c>
      <c r="H5219">
        <v>2016</v>
      </c>
      <c r="I5219">
        <v>2016</v>
      </c>
      <c r="J5219">
        <f t="shared" si="162"/>
        <v>1</v>
      </c>
      <c r="K5219" s="1" t="s">
        <v>741</v>
      </c>
      <c r="L5219" s="1" t="s">
        <v>666</v>
      </c>
      <c r="M5219">
        <f t="shared" si="163"/>
        <v>10</v>
      </c>
      <c r="N5219" t="s">
        <v>650</v>
      </c>
    </row>
    <row r="5220" spans="1:14" hidden="1" x14ac:dyDescent="0.3">
      <c r="A5220" s="1" t="s">
        <v>3221</v>
      </c>
      <c r="B5220" s="1" t="s">
        <v>802</v>
      </c>
      <c r="C5220" s="1" t="s">
        <v>3222</v>
      </c>
      <c r="D5220" s="1" t="s">
        <v>1242</v>
      </c>
      <c r="E5220" s="1" t="s">
        <v>1243</v>
      </c>
      <c r="F5220" s="1" t="s">
        <v>1244</v>
      </c>
      <c r="G5220" s="1" t="s">
        <v>3182</v>
      </c>
      <c r="H5220">
        <v>2010</v>
      </c>
      <c r="I5220">
        <v>2010</v>
      </c>
      <c r="J5220">
        <f t="shared" si="162"/>
        <v>1</v>
      </c>
      <c r="K5220" s="1" t="s">
        <v>741</v>
      </c>
      <c r="L5220" s="1" t="s">
        <v>666</v>
      </c>
      <c r="M5220">
        <f t="shared" si="163"/>
        <v>16</v>
      </c>
      <c r="N5220" t="s">
        <v>650</v>
      </c>
    </row>
    <row r="5221" spans="1:14" hidden="1" x14ac:dyDescent="0.3">
      <c r="A5221" s="1" t="s">
        <v>3223</v>
      </c>
      <c r="B5221" s="1" t="s">
        <v>802</v>
      </c>
      <c r="C5221" s="1" t="s">
        <v>3224</v>
      </c>
      <c r="D5221" s="1" t="s">
        <v>1242</v>
      </c>
      <c r="E5221" s="1" t="s">
        <v>1243</v>
      </c>
      <c r="F5221" s="1" t="s">
        <v>1244</v>
      </c>
      <c r="G5221" s="1" t="s">
        <v>3182</v>
      </c>
      <c r="H5221">
        <v>2011</v>
      </c>
      <c r="I5221">
        <v>2011</v>
      </c>
      <c r="J5221">
        <f t="shared" si="162"/>
        <v>1</v>
      </c>
      <c r="K5221" s="1" t="s">
        <v>741</v>
      </c>
      <c r="L5221" s="1" t="s">
        <v>666</v>
      </c>
      <c r="M5221">
        <f t="shared" si="163"/>
        <v>15</v>
      </c>
      <c r="N5221" t="s">
        <v>650</v>
      </c>
    </row>
    <row r="5222" spans="1:14" hidden="1" x14ac:dyDescent="0.3">
      <c r="A5222" s="1" t="s">
        <v>3225</v>
      </c>
      <c r="B5222" s="1" t="s">
        <v>802</v>
      </c>
      <c r="C5222" s="1" t="s">
        <v>3226</v>
      </c>
      <c r="D5222" s="1" t="s">
        <v>1242</v>
      </c>
      <c r="E5222" s="1" t="s">
        <v>1243</v>
      </c>
      <c r="F5222" s="1" t="s">
        <v>1244</v>
      </c>
      <c r="G5222" s="1" t="s">
        <v>3182</v>
      </c>
      <c r="H5222">
        <v>2010</v>
      </c>
      <c r="I5222">
        <v>2010</v>
      </c>
      <c r="J5222">
        <f t="shared" si="162"/>
        <v>1</v>
      </c>
      <c r="K5222" s="1" t="s">
        <v>741</v>
      </c>
      <c r="L5222" s="1" t="s">
        <v>666</v>
      </c>
      <c r="M5222">
        <f t="shared" si="163"/>
        <v>16</v>
      </c>
      <c r="N5222" t="s">
        <v>650</v>
      </c>
    </row>
    <row r="5223" spans="1:14" hidden="1" x14ac:dyDescent="0.3">
      <c r="A5223" t="s">
        <v>11391</v>
      </c>
      <c r="B5223" t="s">
        <v>802</v>
      </c>
      <c r="C5223" t="s">
        <v>11392</v>
      </c>
      <c r="E5223" s="1" t="e">
        <v>#N/A</v>
      </c>
      <c r="F5223" s="1" t="e">
        <v>#N/A</v>
      </c>
      <c r="G5223" s="1" t="s">
        <v>12813</v>
      </c>
      <c r="H5223">
        <v>2024</v>
      </c>
      <c r="I5223">
        <v>2026</v>
      </c>
      <c r="J5223">
        <f t="shared" si="162"/>
        <v>3</v>
      </c>
      <c r="K5223" s="1" t="s">
        <v>741</v>
      </c>
      <c r="L5223" s="1" t="s">
        <v>666</v>
      </c>
      <c r="M5223">
        <f t="shared" si="163"/>
        <v>0</v>
      </c>
    </row>
    <row r="5224" spans="1:14" hidden="1" x14ac:dyDescent="0.3">
      <c r="A5224" s="1" t="s">
        <v>3227</v>
      </c>
      <c r="B5224" s="1" t="s">
        <v>802</v>
      </c>
      <c r="C5224" s="1" t="s">
        <v>3228</v>
      </c>
      <c r="D5224" s="1" t="s">
        <v>1242</v>
      </c>
      <c r="E5224" s="1" t="s">
        <v>1243</v>
      </c>
      <c r="F5224" s="1" t="s">
        <v>1244</v>
      </c>
      <c r="G5224" s="1" t="s">
        <v>3182</v>
      </c>
      <c r="H5224">
        <v>2021</v>
      </c>
      <c r="I5224">
        <v>2021</v>
      </c>
      <c r="J5224">
        <f t="shared" si="162"/>
        <v>1</v>
      </c>
      <c r="K5224" s="1" t="s">
        <v>741</v>
      </c>
      <c r="L5224" s="1" t="s">
        <v>666</v>
      </c>
      <c r="M5224">
        <f t="shared" si="163"/>
        <v>5</v>
      </c>
      <c r="N5224" t="s">
        <v>650</v>
      </c>
    </row>
    <row r="5225" spans="1:14" hidden="1" x14ac:dyDescent="0.3">
      <c r="A5225" s="1" t="s">
        <v>3229</v>
      </c>
      <c r="B5225" s="1" t="s">
        <v>802</v>
      </c>
      <c r="C5225" s="1" t="s">
        <v>3230</v>
      </c>
      <c r="D5225" s="1" t="s">
        <v>1242</v>
      </c>
      <c r="E5225" s="1" t="s">
        <v>1243</v>
      </c>
      <c r="F5225" s="1" t="s">
        <v>1244</v>
      </c>
      <c r="G5225" s="1" t="s">
        <v>3182</v>
      </c>
      <c r="H5225">
        <v>2021</v>
      </c>
      <c r="I5225">
        <v>2021</v>
      </c>
      <c r="J5225">
        <f t="shared" si="162"/>
        <v>1</v>
      </c>
      <c r="K5225" s="1" t="s">
        <v>741</v>
      </c>
      <c r="L5225" s="1" t="s">
        <v>666</v>
      </c>
      <c r="M5225">
        <f t="shared" si="163"/>
        <v>5</v>
      </c>
      <c r="N5225" t="s">
        <v>650</v>
      </c>
    </row>
    <row r="5226" spans="1:14" hidden="1" x14ac:dyDescent="0.3">
      <c r="A5226" s="1" t="s">
        <v>3231</v>
      </c>
      <c r="B5226" s="1" t="s">
        <v>802</v>
      </c>
      <c r="C5226" s="1" t="s">
        <v>3232</v>
      </c>
      <c r="D5226" s="1" t="s">
        <v>1242</v>
      </c>
      <c r="E5226" s="1" t="s">
        <v>1243</v>
      </c>
      <c r="F5226" s="1" t="s">
        <v>1244</v>
      </c>
      <c r="G5226" s="1" t="s">
        <v>3182</v>
      </c>
      <c r="H5226">
        <v>2021</v>
      </c>
      <c r="I5226">
        <v>2021</v>
      </c>
      <c r="J5226">
        <f t="shared" si="162"/>
        <v>1</v>
      </c>
      <c r="K5226" s="1" t="s">
        <v>741</v>
      </c>
      <c r="L5226" s="1" t="s">
        <v>666</v>
      </c>
      <c r="M5226">
        <f t="shared" si="163"/>
        <v>5</v>
      </c>
      <c r="N5226" t="s">
        <v>650</v>
      </c>
    </row>
    <row r="5227" spans="1:14" hidden="1" x14ac:dyDescent="0.3">
      <c r="A5227" s="1" t="s">
        <v>3233</v>
      </c>
      <c r="B5227" s="1" t="s">
        <v>802</v>
      </c>
      <c r="C5227" s="1" t="s">
        <v>3234</v>
      </c>
      <c r="D5227" s="1" t="s">
        <v>1242</v>
      </c>
      <c r="E5227" s="1" t="s">
        <v>1243</v>
      </c>
      <c r="F5227" s="1" t="s">
        <v>1244</v>
      </c>
      <c r="G5227" s="1" t="s">
        <v>3182</v>
      </c>
      <c r="H5227">
        <v>2021</v>
      </c>
      <c r="I5227">
        <v>2021</v>
      </c>
      <c r="J5227">
        <f t="shared" si="162"/>
        <v>1</v>
      </c>
      <c r="K5227" s="1" t="s">
        <v>741</v>
      </c>
      <c r="L5227" s="1" t="s">
        <v>666</v>
      </c>
      <c r="M5227">
        <f t="shared" si="163"/>
        <v>5</v>
      </c>
      <c r="N5227" t="s">
        <v>650</v>
      </c>
    </row>
    <row r="5228" spans="1:14" hidden="1" x14ac:dyDescent="0.3">
      <c r="A5228" s="1" t="s">
        <v>3235</v>
      </c>
      <c r="B5228" s="1" t="s">
        <v>802</v>
      </c>
      <c r="C5228" s="1" t="s">
        <v>3236</v>
      </c>
      <c r="D5228" s="1" t="s">
        <v>1242</v>
      </c>
      <c r="E5228" s="1" t="s">
        <v>1243</v>
      </c>
      <c r="F5228" s="1" t="s">
        <v>1244</v>
      </c>
      <c r="G5228" s="1" t="s">
        <v>3182</v>
      </c>
      <c r="H5228">
        <v>2019</v>
      </c>
      <c r="I5228">
        <v>2019</v>
      </c>
      <c r="J5228">
        <f t="shared" si="162"/>
        <v>1</v>
      </c>
      <c r="K5228" s="1" t="s">
        <v>741</v>
      </c>
      <c r="L5228" s="1" t="s">
        <v>666</v>
      </c>
      <c r="M5228">
        <f t="shared" si="163"/>
        <v>7</v>
      </c>
      <c r="N5228" t="s">
        <v>650</v>
      </c>
    </row>
    <row r="5229" spans="1:14" hidden="1" x14ac:dyDescent="0.3">
      <c r="A5229" s="1" t="s">
        <v>3237</v>
      </c>
      <c r="B5229" s="1" t="s">
        <v>802</v>
      </c>
      <c r="C5229" s="1" t="s">
        <v>3238</v>
      </c>
      <c r="D5229" s="1" t="s">
        <v>1242</v>
      </c>
      <c r="E5229" s="1" t="s">
        <v>1243</v>
      </c>
      <c r="F5229" s="1" t="s">
        <v>1244</v>
      </c>
      <c r="G5229" s="1" t="s">
        <v>3182</v>
      </c>
      <c r="H5229">
        <v>2019</v>
      </c>
      <c r="I5229">
        <v>2019</v>
      </c>
      <c r="J5229">
        <f t="shared" si="162"/>
        <v>1</v>
      </c>
      <c r="K5229" s="1" t="s">
        <v>741</v>
      </c>
      <c r="L5229" s="1" t="s">
        <v>666</v>
      </c>
      <c r="M5229">
        <f t="shared" si="163"/>
        <v>7</v>
      </c>
      <c r="N5229" t="s">
        <v>650</v>
      </c>
    </row>
    <row r="5230" spans="1:14" hidden="1" x14ac:dyDescent="0.3">
      <c r="A5230" s="1" t="s">
        <v>3239</v>
      </c>
      <c r="B5230" s="1" t="s">
        <v>802</v>
      </c>
      <c r="C5230" s="1" t="s">
        <v>3240</v>
      </c>
      <c r="D5230" s="1" t="s">
        <v>1242</v>
      </c>
      <c r="E5230" s="1" t="s">
        <v>1243</v>
      </c>
      <c r="F5230" s="1" t="s">
        <v>1244</v>
      </c>
      <c r="G5230" s="1" t="s">
        <v>3182</v>
      </c>
      <c r="H5230">
        <v>1999</v>
      </c>
      <c r="I5230">
        <v>1999</v>
      </c>
      <c r="J5230">
        <f t="shared" si="162"/>
        <v>1</v>
      </c>
      <c r="K5230" s="1" t="s">
        <v>741</v>
      </c>
      <c r="L5230" s="1" t="s">
        <v>666</v>
      </c>
      <c r="M5230">
        <f t="shared" si="163"/>
        <v>27</v>
      </c>
      <c r="N5230" t="s">
        <v>640</v>
      </c>
    </row>
    <row r="5231" spans="1:14" hidden="1" x14ac:dyDescent="0.3">
      <c r="A5231" s="1" t="s">
        <v>3241</v>
      </c>
      <c r="B5231" s="1" t="s">
        <v>802</v>
      </c>
      <c r="C5231" s="1" t="s">
        <v>3242</v>
      </c>
      <c r="D5231" s="1" t="s">
        <v>1242</v>
      </c>
      <c r="E5231" s="1" t="s">
        <v>1243</v>
      </c>
      <c r="F5231" s="1" t="s">
        <v>1244</v>
      </c>
      <c r="G5231" s="1" t="s">
        <v>3182</v>
      </c>
      <c r="H5231">
        <v>1999</v>
      </c>
      <c r="I5231">
        <v>1999</v>
      </c>
      <c r="J5231">
        <f t="shared" si="162"/>
        <v>1</v>
      </c>
      <c r="K5231" s="1" t="s">
        <v>741</v>
      </c>
      <c r="L5231" s="1" t="s">
        <v>666</v>
      </c>
      <c r="M5231">
        <f t="shared" si="163"/>
        <v>27</v>
      </c>
      <c r="N5231" t="s">
        <v>640</v>
      </c>
    </row>
    <row r="5232" spans="1:14" hidden="1" x14ac:dyDescent="0.3">
      <c r="A5232" s="1" t="s">
        <v>3243</v>
      </c>
      <c r="B5232" s="1" t="s">
        <v>802</v>
      </c>
      <c r="C5232" s="1" t="s">
        <v>3244</v>
      </c>
      <c r="D5232" s="1" t="s">
        <v>1242</v>
      </c>
      <c r="E5232" s="1" t="s">
        <v>1243</v>
      </c>
      <c r="F5232" s="1" t="s">
        <v>1244</v>
      </c>
      <c r="G5232" s="1" t="s">
        <v>3182</v>
      </c>
      <c r="H5232">
        <v>2021</v>
      </c>
      <c r="I5232">
        <v>2021</v>
      </c>
      <c r="J5232">
        <f t="shared" si="162"/>
        <v>1</v>
      </c>
      <c r="K5232" s="1" t="s">
        <v>741</v>
      </c>
      <c r="L5232" s="1" t="s">
        <v>666</v>
      </c>
      <c r="M5232">
        <f t="shared" si="163"/>
        <v>5</v>
      </c>
      <c r="N5232" t="s">
        <v>650</v>
      </c>
    </row>
    <row r="5233" spans="1:14" hidden="1" x14ac:dyDescent="0.3">
      <c r="A5233" t="s">
        <v>11393</v>
      </c>
      <c r="B5233" t="s">
        <v>802</v>
      </c>
      <c r="C5233" t="s">
        <v>11394</v>
      </c>
      <c r="E5233" s="1" t="e">
        <v>#N/A</v>
      </c>
      <c r="F5233" s="1" t="e">
        <v>#N/A</v>
      </c>
      <c r="G5233" s="1" t="s">
        <v>12813</v>
      </c>
      <c r="H5233">
        <v>2024</v>
      </c>
      <c r="I5233">
        <v>2026</v>
      </c>
      <c r="J5233">
        <f t="shared" si="162"/>
        <v>3</v>
      </c>
      <c r="K5233" s="1" t="s">
        <v>741</v>
      </c>
      <c r="L5233" s="1" t="s">
        <v>666</v>
      </c>
      <c r="M5233">
        <f t="shared" si="163"/>
        <v>0</v>
      </c>
    </row>
    <row r="5234" spans="1:14" hidden="1" x14ac:dyDescent="0.3">
      <c r="A5234" s="1" t="s">
        <v>3245</v>
      </c>
      <c r="B5234" s="1" t="s">
        <v>802</v>
      </c>
      <c r="C5234" s="1" t="s">
        <v>3246</v>
      </c>
      <c r="D5234" s="1" t="s">
        <v>1242</v>
      </c>
      <c r="E5234" s="1" t="s">
        <v>1243</v>
      </c>
      <c r="F5234" s="1" t="s">
        <v>1244</v>
      </c>
      <c r="G5234" s="1" t="s">
        <v>3182</v>
      </c>
      <c r="H5234">
        <v>2022</v>
      </c>
      <c r="I5234">
        <v>2022</v>
      </c>
      <c r="J5234">
        <f t="shared" si="162"/>
        <v>1</v>
      </c>
      <c r="K5234" s="1" t="s">
        <v>741</v>
      </c>
      <c r="L5234" s="1" t="s">
        <v>666</v>
      </c>
      <c r="M5234">
        <f t="shared" si="163"/>
        <v>4</v>
      </c>
      <c r="N5234" t="s">
        <v>650</v>
      </c>
    </row>
    <row r="5235" spans="1:14" hidden="1" x14ac:dyDescent="0.3">
      <c r="A5235" s="1" t="s">
        <v>3247</v>
      </c>
      <c r="B5235" s="1" t="s">
        <v>802</v>
      </c>
      <c r="C5235" s="1" t="s">
        <v>3248</v>
      </c>
      <c r="D5235" s="1" t="s">
        <v>1242</v>
      </c>
      <c r="E5235" s="1" t="s">
        <v>1243</v>
      </c>
      <c r="F5235" s="1" t="s">
        <v>1244</v>
      </c>
      <c r="G5235" s="1" t="s">
        <v>3182</v>
      </c>
      <c r="H5235">
        <v>2011</v>
      </c>
      <c r="I5235">
        <v>2011</v>
      </c>
      <c r="J5235">
        <f t="shared" si="162"/>
        <v>1</v>
      </c>
      <c r="K5235" s="1" t="s">
        <v>741</v>
      </c>
      <c r="L5235" s="1" t="s">
        <v>666</v>
      </c>
      <c r="M5235">
        <f t="shared" si="163"/>
        <v>15</v>
      </c>
      <c r="N5235" t="s">
        <v>650</v>
      </c>
    </row>
    <row r="5236" spans="1:14" hidden="1" x14ac:dyDescent="0.3">
      <c r="A5236" s="1" t="s">
        <v>3249</v>
      </c>
      <c r="B5236" s="1" t="s">
        <v>802</v>
      </c>
      <c r="C5236" s="1" t="s">
        <v>3250</v>
      </c>
      <c r="D5236" s="1" t="s">
        <v>1242</v>
      </c>
      <c r="E5236" s="1" t="s">
        <v>1243</v>
      </c>
      <c r="F5236" s="1" t="s">
        <v>1244</v>
      </c>
      <c r="G5236" s="1" t="s">
        <v>3182</v>
      </c>
      <c r="H5236">
        <v>2013</v>
      </c>
      <c r="I5236">
        <v>2013</v>
      </c>
      <c r="J5236">
        <f t="shared" si="162"/>
        <v>1</v>
      </c>
      <c r="K5236" s="1" t="s">
        <v>741</v>
      </c>
      <c r="L5236" s="1" t="s">
        <v>666</v>
      </c>
      <c r="M5236">
        <f t="shared" si="163"/>
        <v>13</v>
      </c>
      <c r="N5236" t="s">
        <v>650</v>
      </c>
    </row>
    <row r="5237" spans="1:14" hidden="1" x14ac:dyDescent="0.3">
      <c r="A5237" s="1" t="s">
        <v>3251</v>
      </c>
      <c r="B5237" s="1" t="s">
        <v>802</v>
      </c>
      <c r="C5237" s="1" t="s">
        <v>3252</v>
      </c>
      <c r="D5237" s="1" t="s">
        <v>1242</v>
      </c>
      <c r="E5237" s="1" t="s">
        <v>1243</v>
      </c>
      <c r="F5237" s="1" t="s">
        <v>1244</v>
      </c>
      <c r="G5237" s="1" t="s">
        <v>3182</v>
      </c>
      <c r="H5237">
        <v>2006</v>
      </c>
      <c r="I5237">
        <v>2006</v>
      </c>
      <c r="J5237">
        <f t="shared" si="162"/>
        <v>1</v>
      </c>
      <c r="K5237" s="1" t="s">
        <v>741</v>
      </c>
      <c r="L5237" s="1" t="s">
        <v>666</v>
      </c>
      <c r="M5237">
        <f t="shared" si="163"/>
        <v>20</v>
      </c>
      <c r="N5237" t="s">
        <v>650</v>
      </c>
    </row>
    <row r="5238" spans="1:14" hidden="1" x14ac:dyDescent="0.3">
      <c r="A5238" s="1" t="s">
        <v>3253</v>
      </c>
      <c r="B5238" s="1" t="s">
        <v>802</v>
      </c>
      <c r="C5238" s="1" t="s">
        <v>3254</v>
      </c>
      <c r="D5238" s="1" t="s">
        <v>1242</v>
      </c>
      <c r="E5238" s="1" t="s">
        <v>1243</v>
      </c>
      <c r="F5238" s="1" t="s">
        <v>1244</v>
      </c>
      <c r="G5238" s="1" t="s">
        <v>3182</v>
      </c>
      <c r="H5238">
        <v>2006</v>
      </c>
      <c r="I5238">
        <v>2006</v>
      </c>
      <c r="J5238">
        <f t="shared" si="162"/>
        <v>1</v>
      </c>
      <c r="K5238" s="1" t="s">
        <v>741</v>
      </c>
      <c r="L5238" s="1" t="s">
        <v>666</v>
      </c>
      <c r="M5238">
        <f t="shared" si="163"/>
        <v>20</v>
      </c>
      <c r="N5238" t="s">
        <v>650</v>
      </c>
    </row>
    <row r="5239" spans="1:14" hidden="1" x14ac:dyDescent="0.3">
      <c r="A5239" s="1" t="s">
        <v>3255</v>
      </c>
      <c r="B5239" s="1" t="s">
        <v>802</v>
      </c>
      <c r="C5239" s="1" t="s">
        <v>3256</v>
      </c>
      <c r="D5239" s="1" t="s">
        <v>1242</v>
      </c>
      <c r="E5239" s="1" t="s">
        <v>1243</v>
      </c>
      <c r="F5239" s="1" t="s">
        <v>1244</v>
      </c>
      <c r="G5239" s="1" t="s">
        <v>3182</v>
      </c>
      <c r="H5239">
        <v>2013</v>
      </c>
      <c r="I5239">
        <v>2013</v>
      </c>
      <c r="J5239">
        <f t="shared" si="162"/>
        <v>1</v>
      </c>
      <c r="K5239" s="1" t="s">
        <v>741</v>
      </c>
      <c r="L5239" s="1" t="s">
        <v>666</v>
      </c>
      <c r="M5239">
        <f t="shared" si="163"/>
        <v>13</v>
      </c>
      <c r="N5239" t="s">
        <v>650</v>
      </c>
    </row>
    <row r="5240" spans="1:14" hidden="1" x14ac:dyDescent="0.3">
      <c r="A5240" s="1" t="s">
        <v>3257</v>
      </c>
      <c r="B5240" s="1" t="s">
        <v>802</v>
      </c>
      <c r="C5240" s="1" t="s">
        <v>3258</v>
      </c>
      <c r="D5240" s="1" t="s">
        <v>1242</v>
      </c>
      <c r="E5240" s="1" t="s">
        <v>1243</v>
      </c>
      <c r="F5240" s="1" t="s">
        <v>1244</v>
      </c>
      <c r="G5240" s="1" t="s">
        <v>3182</v>
      </c>
      <c r="H5240">
        <v>2013</v>
      </c>
      <c r="I5240">
        <v>2013</v>
      </c>
      <c r="J5240">
        <f t="shared" si="162"/>
        <v>1</v>
      </c>
      <c r="K5240" s="1" t="s">
        <v>741</v>
      </c>
      <c r="L5240" s="1" t="s">
        <v>666</v>
      </c>
      <c r="M5240">
        <f t="shared" si="163"/>
        <v>13</v>
      </c>
      <c r="N5240" t="s">
        <v>650</v>
      </c>
    </row>
    <row r="5241" spans="1:14" hidden="1" x14ac:dyDescent="0.3">
      <c r="A5241" s="1" t="s">
        <v>3259</v>
      </c>
      <c r="B5241" s="1" t="s">
        <v>802</v>
      </c>
      <c r="C5241" s="1" t="s">
        <v>3260</v>
      </c>
      <c r="D5241" s="1" t="s">
        <v>1242</v>
      </c>
      <c r="E5241" s="1" t="s">
        <v>1243</v>
      </c>
      <c r="F5241" s="1" t="s">
        <v>1244</v>
      </c>
      <c r="G5241" s="1" t="s">
        <v>3182</v>
      </c>
      <c r="H5241">
        <v>2013</v>
      </c>
      <c r="I5241">
        <v>2013</v>
      </c>
      <c r="J5241">
        <f t="shared" si="162"/>
        <v>1</v>
      </c>
      <c r="K5241" s="1" t="s">
        <v>741</v>
      </c>
      <c r="L5241" s="1" t="s">
        <v>666</v>
      </c>
      <c r="M5241">
        <f t="shared" si="163"/>
        <v>13</v>
      </c>
      <c r="N5241" t="s">
        <v>650</v>
      </c>
    </row>
    <row r="5242" spans="1:14" hidden="1" x14ac:dyDescent="0.3">
      <c r="A5242" s="1" t="s">
        <v>3261</v>
      </c>
      <c r="B5242" s="1" t="s">
        <v>802</v>
      </c>
      <c r="C5242" s="1" t="s">
        <v>3262</v>
      </c>
      <c r="D5242" s="1" t="s">
        <v>1242</v>
      </c>
      <c r="E5242" s="1" t="s">
        <v>1243</v>
      </c>
      <c r="F5242" s="1" t="s">
        <v>1244</v>
      </c>
      <c r="G5242" s="1" t="s">
        <v>3182</v>
      </c>
      <c r="H5242">
        <v>2014</v>
      </c>
      <c r="I5242">
        <v>2014</v>
      </c>
      <c r="J5242">
        <f t="shared" si="162"/>
        <v>1</v>
      </c>
      <c r="K5242" s="1" t="s">
        <v>741</v>
      </c>
      <c r="L5242" s="1" t="s">
        <v>666</v>
      </c>
      <c r="M5242">
        <f t="shared" si="163"/>
        <v>12</v>
      </c>
      <c r="N5242" t="s">
        <v>650</v>
      </c>
    </row>
    <row r="5243" spans="1:14" hidden="1" x14ac:dyDescent="0.3">
      <c r="A5243" s="1" t="s">
        <v>3263</v>
      </c>
      <c r="B5243" s="1" t="s">
        <v>802</v>
      </c>
      <c r="C5243" s="1" t="s">
        <v>3264</v>
      </c>
      <c r="D5243" s="1" t="s">
        <v>1242</v>
      </c>
      <c r="E5243" s="1" t="s">
        <v>1243</v>
      </c>
      <c r="F5243" s="1" t="s">
        <v>1244</v>
      </c>
      <c r="G5243" s="1" t="s">
        <v>3182</v>
      </c>
      <c r="H5243">
        <v>1999</v>
      </c>
      <c r="I5243">
        <v>1999</v>
      </c>
      <c r="J5243">
        <f t="shared" si="162"/>
        <v>1</v>
      </c>
      <c r="K5243" s="1" t="s">
        <v>741</v>
      </c>
      <c r="L5243" s="1" t="s">
        <v>666</v>
      </c>
      <c r="M5243">
        <f t="shared" si="163"/>
        <v>27</v>
      </c>
      <c r="N5243" t="s">
        <v>640</v>
      </c>
    </row>
    <row r="5244" spans="1:14" hidden="1" x14ac:dyDescent="0.3">
      <c r="A5244" s="1" t="s">
        <v>3265</v>
      </c>
      <c r="B5244" s="1" t="s">
        <v>802</v>
      </c>
      <c r="C5244" s="1" t="s">
        <v>3266</v>
      </c>
      <c r="D5244" s="1" t="s">
        <v>1242</v>
      </c>
      <c r="E5244" s="1" t="s">
        <v>1243</v>
      </c>
      <c r="F5244" s="1" t="s">
        <v>1244</v>
      </c>
      <c r="G5244" s="1" t="s">
        <v>3182</v>
      </c>
      <c r="H5244">
        <v>2005</v>
      </c>
      <c r="I5244">
        <v>2005</v>
      </c>
      <c r="J5244">
        <f t="shared" si="162"/>
        <v>1</v>
      </c>
      <c r="K5244" s="1" t="s">
        <v>741</v>
      </c>
      <c r="L5244" s="1" t="s">
        <v>666</v>
      </c>
      <c r="M5244">
        <f t="shared" si="163"/>
        <v>21</v>
      </c>
      <c r="N5244" t="s">
        <v>650</v>
      </c>
    </row>
    <row r="5245" spans="1:14" hidden="1" x14ac:dyDescent="0.3">
      <c r="A5245" s="1" t="s">
        <v>3267</v>
      </c>
      <c r="B5245" s="1" t="s">
        <v>802</v>
      </c>
      <c r="C5245" s="1" t="s">
        <v>3268</v>
      </c>
      <c r="D5245" s="1" t="s">
        <v>1242</v>
      </c>
      <c r="E5245" s="1" t="s">
        <v>1243</v>
      </c>
      <c r="F5245" s="1" t="s">
        <v>1244</v>
      </c>
      <c r="G5245" s="1" t="s">
        <v>3182</v>
      </c>
      <c r="H5245">
        <v>2001</v>
      </c>
      <c r="I5245">
        <v>2001</v>
      </c>
      <c r="J5245">
        <f t="shared" si="162"/>
        <v>1</v>
      </c>
      <c r="K5245" s="1" t="s">
        <v>741</v>
      </c>
      <c r="L5245" s="1" t="s">
        <v>666</v>
      </c>
      <c r="M5245">
        <f t="shared" si="163"/>
        <v>25</v>
      </c>
      <c r="N5245" t="s">
        <v>640</v>
      </c>
    </row>
    <row r="5246" spans="1:14" hidden="1" x14ac:dyDescent="0.3">
      <c r="A5246" t="s">
        <v>11395</v>
      </c>
      <c r="B5246" t="s">
        <v>802</v>
      </c>
      <c r="C5246" t="s">
        <v>11396</v>
      </c>
      <c r="E5246" s="1" t="e">
        <v>#N/A</v>
      </c>
      <c r="F5246" s="1" t="e">
        <v>#N/A</v>
      </c>
      <c r="G5246" s="1" t="s">
        <v>12813</v>
      </c>
      <c r="H5246">
        <v>2024</v>
      </c>
      <c r="I5246">
        <v>2026</v>
      </c>
      <c r="J5246">
        <f t="shared" si="162"/>
        <v>3</v>
      </c>
      <c r="K5246" s="1" t="s">
        <v>741</v>
      </c>
      <c r="L5246" s="1" t="s">
        <v>666</v>
      </c>
      <c r="M5246">
        <f t="shared" si="163"/>
        <v>0</v>
      </c>
    </row>
    <row r="5247" spans="1:14" hidden="1" x14ac:dyDescent="0.3">
      <c r="A5247" t="s">
        <v>11397</v>
      </c>
      <c r="B5247" t="s">
        <v>802</v>
      </c>
      <c r="C5247" t="s">
        <v>11398</v>
      </c>
      <c r="E5247" s="1" t="e">
        <v>#N/A</v>
      </c>
      <c r="F5247" s="1" t="e">
        <v>#N/A</v>
      </c>
      <c r="G5247" s="1" t="s">
        <v>12813</v>
      </c>
      <c r="H5247">
        <v>2025</v>
      </c>
      <c r="I5247">
        <v>2026</v>
      </c>
      <c r="J5247">
        <f t="shared" si="162"/>
        <v>2</v>
      </c>
      <c r="K5247" s="1" t="s">
        <v>741</v>
      </c>
      <c r="L5247" s="1" t="s">
        <v>666</v>
      </c>
      <c r="M5247">
        <f t="shared" si="163"/>
        <v>0</v>
      </c>
    </row>
    <row r="5248" spans="1:14" hidden="1" x14ac:dyDescent="0.3">
      <c r="A5248" s="1" t="s">
        <v>3269</v>
      </c>
      <c r="B5248" s="1" t="s">
        <v>802</v>
      </c>
      <c r="C5248" s="1" t="s">
        <v>3270</v>
      </c>
      <c r="D5248" s="1" t="s">
        <v>1242</v>
      </c>
      <c r="E5248" s="1" t="s">
        <v>1243</v>
      </c>
      <c r="F5248" s="1" t="s">
        <v>1244</v>
      </c>
      <c r="G5248" s="1" t="s">
        <v>3182</v>
      </c>
      <c r="H5248">
        <v>2021</v>
      </c>
      <c r="I5248">
        <v>2021</v>
      </c>
      <c r="J5248">
        <f t="shared" si="162"/>
        <v>1</v>
      </c>
      <c r="K5248" s="1" t="s">
        <v>741</v>
      </c>
      <c r="L5248" s="1" t="s">
        <v>666</v>
      </c>
      <c r="M5248">
        <f t="shared" si="163"/>
        <v>5</v>
      </c>
      <c r="N5248" t="s">
        <v>650</v>
      </c>
    </row>
    <row r="5249" spans="1:14" hidden="1" x14ac:dyDescent="0.3">
      <c r="A5249" s="1" t="s">
        <v>3271</v>
      </c>
      <c r="B5249" s="1" t="s">
        <v>802</v>
      </c>
      <c r="C5249" s="1" t="s">
        <v>3272</v>
      </c>
      <c r="D5249" s="1" t="s">
        <v>1242</v>
      </c>
      <c r="E5249" s="1" t="s">
        <v>1243</v>
      </c>
      <c r="F5249" s="1" t="s">
        <v>1244</v>
      </c>
      <c r="G5249" s="1" t="s">
        <v>3182</v>
      </c>
      <c r="H5249">
        <v>2022</v>
      </c>
      <c r="I5249">
        <v>2022</v>
      </c>
      <c r="J5249">
        <f t="shared" si="162"/>
        <v>1</v>
      </c>
      <c r="K5249" s="1" t="s">
        <v>741</v>
      </c>
      <c r="L5249" s="1" t="s">
        <v>666</v>
      </c>
      <c r="M5249">
        <f t="shared" si="163"/>
        <v>4</v>
      </c>
      <c r="N5249" t="s">
        <v>650</v>
      </c>
    </row>
    <row r="5250" spans="1:14" hidden="1" x14ac:dyDescent="0.3">
      <c r="A5250" s="1" t="s">
        <v>3273</v>
      </c>
      <c r="B5250" s="1" t="s">
        <v>802</v>
      </c>
      <c r="C5250" s="1" t="s">
        <v>3274</v>
      </c>
      <c r="D5250" s="1" t="s">
        <v>1242</v>
      </c>
      <c r="E5250" s="1" t="s">
        <v>1243</v>
      </c>
      <c r="F5250" s="1" t="s">
        <v>1244</v>
      </c>
      <c r="G5250" s="1" t="s">
        <v>3182</v>
      </c>
      <c r="H5250">
        <v>2010</v>
      </c>
      <c r="I5250">
        <v>2010</v>
      </c>
      <c r="J5250">
        <f t="shared" si="162"/>
        <v>1</v>
      </c>
      <c r="K5250" s="1" t="s">
        <v>741</v>
      </c>
      <c r="L5250" s="1" t="s">
        <v>666</v>
      </c>
      <c r="M5250">
        <f t="shared" si="163"/>
        <v>16</v>
      </c>
      <c r="N5250" t="s">
        <v>650</v>
      </c>
    </row>
    <row r="5251" spans="1:14" hidden="1" x14ac:dyDescent="0.3">
      <c r="A5251" s="1" t="s">
        <v>3275</v>
      </c>
      <c r="B5251" s="1" t="s">
        <v>802</v>
      </c>
      <c r="C5251" s="1" t="s">
        <v>3276</v>
      </c>
      <c r="D5251" s="1" t="s">
        <v>1242</v>
      </c>
      <c r="E5251" s="1" t="s">
        <v>1243</v>
      </c>
      <c r="F5251" s="1" t="s">
        <v>1244</v>
      </c>
      <c r="G5251" s="1" t="s">
        <v>3182</v>
      </c>
      <c r="H5251">
        <v>2010</v>
      </c>
      <c r="I5251">
        <v>2010</v>
      </c>
      <c r="J5251">
        <f t="shared" si="162"/>
        <v>1</v>
      </c>
      <c r="K5251" s="1" t="s">
        <v>741</v>
      </c>
      <c r="L5251" s="1" t="s">
        <v>666</v>
      </c>
      <c r="M5251">
        <f t="shared" si="163"/>
        <v>16</v>
      </c>
      <c r="N5251" t="s">
        <v>650</v>
      </c>
    </row>
    <row r="5252" spans="1:14" hidden="1" x14ac:dyDescent="0.3">
      <c r="A5252" s="1" t="s">
        <v>3277</v>
      </c>
      <c r="B5252" s="1" t="s">
        <v>802</v>
      </c>
      <c r="C5252" s="1" t="s">
        <v>3278</v>
      </c>
      <c r="D5252" s="1" t="s">
        <v>1242</v>
      </c>
      <c r="E5252" s="1" t="s">
        <v>1243</v>
      </c>
      <c r="F5252" s="1" t="s">
        <v>1244</v>
      </c>
      <c r="G5252" s="1" t="s">
        <v>3182</v>
      </c>
      <c r="H5252">
        <v>2006</v>
      </c>
      <c r="I5252">
        <v>2006</v>
      </c>
      <c r="J5252">
        <f t="shared" si="162"/>
        <v>1</v>
      </c>
      <c r="K5252" s="1" t="s">
        <v>741</v>
      </c>
      <c r="L5252" s="1" t="s">
        <v>666</v>
      </c>
      <c r="M5252">
        <f t="shared" si="163"/>
        <v>20</v>
      </c>
      <c r="N5252" t="s">
        <v>650</v>
      </c>
    </row>
    <row r="5253" spans="1:14" hidden="1" x14ac:dyDescent="0.3">
      <c r="A5253" s="1" t="s">
        <v>3279</v>
      </c>
      <c r="B5253" s="1" t="s">
        <v>802</v>
      </c>
      <c r="C5253" s="1" t="s">
        <v>3280</v>
      </c>
      <c r="D5253" s="1" t="s">
        <v>1242</v>
      </c>
      <c r="E5253" s="1" t="s">
        <v>1243</v>
      </c>
      <c r="F5253" s="1" t="s">
        <v>1244</v>
      </c>
      <c r="G5253" s="1" t="s">
        <v>3182</v>
      </c>
      <c r="H5253">
        <v>2001</v>
      </c>
      <c r="I5253">
        <v>2001</v>
      </c>
      <c r="J5253">
        <f t="shared" si="162"/>
        <v>1</v>
      </c>
      <c r="K5253" s="1" t="s">
        <v>741</v>
      </c>
      <c r="L5253" s="1" t="s">
        <v>666</v>
      </c>
      <c r="M5253">
        <f t="shared" si="163"/>
        <v>25</v>
      </c>
      <c r="N5253" t="s">
        <v>640</v>
      </c>
    </row>
    <row r="5254" spans="1:14" hidden="1" x14ac:dyDescent="0.3">
      <c r="A5254" s="1" t="s">
        <v>3281</v>
      </c>
      <c r="B5254" s="1" t="s">
        <v>802</v>
      </c>
      <c r="C5254" s="1" t="s">
        <v>3282</v>
      </c>
      <c r="D5254" s="1" t="s">
        <v>1242</v>
      </c>
      <c r="E5254" s="1" t="s">
        <v>1243</v>
      </c>
      <c r="F5254" s="1" t="s">
        <v>1244</v>
      </c>
      <c r="G5254" s="1" t="s">
        <v>3182</v>
      </c>
      <c r="H5254">
        <v>2002</v>
      </c>
      <c r="I5254">
        <v>2002</v>
      </c>
      <c r="J5254">
        <f t="shared" ref="J5254:J5317" si="164">1+(I5254-H5254)</f>
        <v>1</v>
      </c>
      <c r="K5254" s="1" t="s">
        <v>741</v>
      </c>
      <c r="L5254" s="1" t="s">
        <v>666</v>
      </c>
      <c r="M5254">
        <f t="shared" ref="M5254:M5317" si="165">IF(I5254=0,0,$B$2-I5254)</f>
        <v>24</v>
      </c>
      <c r="N5254" t="s">
        <v>650</v>
      </c>
    </row>
    <row r="5255" spans="1:14" hidden="1" x14ac:dyDescent="0.3">
      <c r="A5255" s="1" t="s">
        <v>3283</v>
      </c>
      <c r="B5255" s="1" t="s">
        <v>802</v>
      </c>
      <c r="C5255" s="1" t="s">
        <v>3284</v>
      </c>
      <c r="D5255" s="1" t="s">
        <v>1242</v>
      </c>
      <c r="E5255" s="1" t="s">
        <v>1243</v>
      </c>
      <c r="F5255" s="1" t="s">
        <v>1244</v>
      </c>
      <c r="G5255" s="1" t="s">
        <v>3182</v>
      </c>
      <c r="H5255">
        <v>2003</v>
      </c>
      <c r="I5255">
        <v>2003</v>
      </c>
      <c r="J5255">
        <f t="shared" si="164"/>
        <v>1</v>
      </c>
      <c r="K5255" s="1" t="s">
        <v>741</v>
      </c>
      <c r="L5255" s="1" t="s">
        <v>666</v>
      </c>
      <c r="M5255">
        <f t="shared" si="165"/>
        <v>23</v>
      </c>
      <c r="N5255" t="s">
        <v>650</v>
      </c>
    </row>
    <row r="5256" spans="1:14" hidden="1" x14ac:dyDescent="0.3">
      <c r="A5256" s="1" t="s">
        <v>3285</v>
      </c>
      <c r="B5256" s="1" t="s">
        <v>802</v>
      </c>
      <c r="C5256" s="1" t="s">
        <v>3286</v>
      </c>
      <c r="D5256" s="1" t="s">
        <v>1242</v>
      </c>
      <c r="E5256" s="1" t="s">
        <v>1243</v>
      </c>
      <c r="F5256" s="1" t="s">
        <v>1244</v>
      </c>
      <c r="G5256" s="1" t="s">
        <v>3182</v>
      </c>
      <c r="H5256">
        <v>2003</v>
      </c>
      <c r="I5256">
        <v>2003</v>
      </c>
      <c r="J5256">
        <f t="shared" si="164"/>
        <v>1</v>
      </c>
      <c r="K5256" s="1" t="s">
        <v>741</v>
      </c>
      <c r="L5256" s="1" t="s">
        <v>666</v>
      </c>
      <c r="M5256">
        <f t="shared" si="165"/>
        <v>23</v>
      </c>
      <c r="N5256" t="s">
        <v>650</v>
      </c>
    </row>
    <row r="5257" spans="1:14" hidden="1" x14ac:dyDescent="0.3">
      <c r="A5257" s="1" t="s">
        <v>3287</v>
      </c>
      <c r="B5257" s="1" t="s">
        <v>802</v>
      </c>
      <c r="C5257" s="1" t="s">
        <v>3288</v>
      </c>
      <c r="D5257" s="1" t="s">
        <v>1242</v>
      </c>
      <c r="E5257" s="1" t="s">
        <v>1243</v>
      </c>
      <c r="F5257" s="1" t="s">
        <v>1244</v>
      </c>
      <c r="G5257" s="1" t="s">
        <v>3182</v>
      </c>
      <c r="H5257">
        <v>2010</v>
      </c>
      <c r="I5257">
        <v>2010</v>
      </c>
      <c r="J5257">
        <f t="shared" si="164"/>
        <v>1</v>
      </c>
      <c r="K5257" s="1" t="s">
        <v>741</v>
      </c>
      <c r="L5257" s="1" t="s">
        <v>666</v>
      </c>
      <c r="M5257">
        <f t="shared" si="165"/>
        <v>16</v>
      </c>
      <c r="N5257" t="s">
        <v>650</v>
      </c>
    </row>
    <row r="5258" spans="1:14" hidden="1" x14ac:dyDescent="0.3">
      <c r="A5258" s="1" t="s">
        <v>3289</v>
      </c>
      <c r="B5258" s="1" t="s">
        <v>802</v>
      </c>
      <c r="C5258" s="1" t="s">
        <v>3290</v>
      </c>
      <c r="D5258" s="1" t="s">
        <v>1242</v>
      </c>
      <c r="E5258" s="1" t="s">
        <v>1243</v>
      </c>
      <c r="F5258" s="1" t="s">
        <v>1244</v>
      </c>
      <c r="G5258" s="1" t="s">
        <v>3182</v>
      </c>
      <c r="H5258">
        <v>2011</v>
      </c>
      <c r="I5258">
        <v>2011</v>
      </c>
      <c r="J5258">
        <f t="shared" si="164"/>
        <v>1</v>
      </c>
      <c r="K5258" s="1" t="s">
        <v>741</v>
      </c>
      <c r="L5258" s="1" t="s">
        <v>666</v>
      </c>
      <c r="M5258">
        <f t="shared" si="165"/>
        <v>15</v>
      </c>
      <c r="N5258" t="s">
        <v>650</v>
      </c>
    </row>
    <row r="5259" spans="1:14" hidden="1" x14ac:dyDescent="0.3">
      <c r="A5259" s="1" t="s">
        <v>3291</v>
      </c>
      <c r="B5259" s="1" t="s">
        <v>802</v>
      </c>
      <c r="C5259" s="1" t="s">
        <v>3292</v>
      </c>
      <c r="D5259" s="1" t="s">
        <v>1242</v>
      </c>
      <c r="E5259" s="1" t="s">
        <v>1243</v>
      </c>
      <c r="F5259" s="1" t="s">
        <v>1244</v>
      </c>
      <c r="G5259" s="1" t="s">
        <v>3182</v>
      </c>
      <c r="H5259">
        <v>2012</v>
      </c>
      <c r="I5259">
        <v>2012</v>
      </c>
      <c r="J5259">
        <f t="shared" si="164"/>
        <v>1</v>
      </c>
      <c r="K5259" s="1" t="s">
        <v>741</v>
      </c>
      <c r="L5259" s="1" t="s">
        <v>666</v>
      </c>
      <c r="M5259">
        <f t="shared" si="165"/>
        <v>14</v>
      </c>
      <c r="N5259" t="s">
        <v>650</v>
      </c>
    </row>
    <row r="5260" spans="1:14" hidden="1" x14ac:dyDescent="0.3">
      <c r="A5260" s="1" t="s">
        <v>3293</v>
      </c>
      <c r="B5260" s="1" t="s">
        <v>802</v>
      </c>
      <c r="C5260" s="1" t="s">
        <v>3294</v>
      </c>
      <c r="D5260" s="1" t="s">
        <v>1242</v>
      </c>
      <c r="E5260" s="1" t="s">
        <v>1243</v>
      </c>
      <c r="F5260" s="1" t="s">
        <v>1244</v>
      </c>
      <c r="G5260" s="1" t="s">
        <v>3182</v>
      </c>
      <c r="H5260">
        <v>2015</v>
      </c>
      <c r="I5260">
        <v>2015</v>
      </c>
      <c r="J5260">
        <f t="shared" si="164"/>
        <v>1</v>
      </c>
      <c r="K5260" s="1" t="s">
        <v>741</v>
      </c>
      <c r="L5260" s="1" t="s">
        <v>666</v>
      </c>
      <c r="M5260">
        <f t="shared" si="165"/>
        <v>11</v>
      </c>
      <c r="N5260" t="s">
        <v>650</v>
      </c>
    </row>
    <row r="5261" spans="1:14" hidden="1" x14ac:dyDescent="0.3">
      <c r="A5261" s="1" t="s">
        <v>3295</v>
      </c>
      <c r="B5261" s="1" t="s">
        <v>802</v>
      </c>
      <c r="C5261" s="1" t="s">
        <v>3296</v>
      </c>
      <c r="D5261" s="1" t="s">
        <v>1242</v>
      </c>
      <c r="E5261" s="1" t="s">
        <v>1243</v>
      </c>
      <c r="F5261" s="1" t="s">
        <v>1244</v>
      </c>
      <c r="G5261" s="1" t="s">
        <v>3182</v>
      </c>
      <c r="H5261">
        <v>2015</v>
      </c>
      <c r="I5261">
        <v>2015</v>
      </c>
      <c r="J5261">
        <f t="shared" si="164"/>
        <v>1</v>
      </c>
      <c r="K5261" s="1" t="s">
        <v>741</v>
      </c>
      <c r="L5261" s="1" t="s">
        <v>666</v>
      </c>
      <c r="M5261">
        <f t="shared" si="165"/>
        <v>11</v>
      </c>
      <c r="N5261" t="s">
        <v>650</v>
      </c>
    </row>
    <row r="5262" spans="1:14" hidden="1" x14ac:dyDescent="0.3">
      <c r="A5262" s="1" t="s">
        <v>3297</v>
      </c>
      <c r="B5262" s="1" t="s">
        <v>802</v>
      </c>
      <c r="C5262" s="1" t="s">
        <v>3298</v>
      </c>
      <c r="D5262" s="1" t="s">
        <v>1242</v>
      </c>
      <c r="E5262" s="1" t="s">
        <v>1243</v>
      </c>
      <c r="F5262" s="1" t="s">
        <v>1244</v>
      </c>
      <c r="G5262" s="1" t="s">
        <v>3182</v>
      </c>
      <c r="H5262">
        <v>2015</v>
      </c>
      <c r="I5262">
        <v>2015</v>
      </c>
      <c r="J5262">
        <f t="shared" si="164"/>
        <v>1</v>
      </c>
      <c r="K5262" s="1" t="s">
        <v>741</v>
      </c>
      <c r="L5262" s="1" t="s">
        <v>666</v>
      </c>
      <c r="M5262">
        <f t="shared" si="165"/>
        <v>11</v>
      </c>
      <c r="N5262" t="s">
        <v>650</v>
      </c>
    </row>
    <row r="5263" spans="1:14" hidden="1" x14ac:dyDescent="0.3">
      <c r="A5263" s="1" t="s">
        <v>3299</v>
      </c>
      <c r="B5263" s="1" t="s">
        <v>802</v>
      </c>
      <c r="C5263" s="1" t="s">
        <v>3300</v>
      </c>
      <c r="D5263" s="1" t="s">
        <v>1242</v>
      </c>
      <c r="E5263" s="1" t="s">
        <v>1243</v>
      </c>
      <c r="F5263" s="1" t="s">
        <v>1244</v>
      </c>
      <c r="G5263" s="1" t="s">
        <v>3182</v>
      </c>
      <c r="H5263">
        <v>2017</v>
      </c>
      <c r="I5263">
        <v>2017</v>
      </c>
      <c r="J5263">
        <f t="shared" si="164"/>
        <v>1</v>
      </c>
      <c r="K5263" s="1" t="s">
        <v>741</v>
      </c>
      <c r="L5263" s="1" t="s">
        <v>666</v>
      </c>
      <c r="M5263">
        <f t="shared" si="165"/>
        <v>9</v>
      </c>
      <c r="N5263" t="s">
        <v>650</v>
      </c>
    </row>
    <row r="5264" spans="1:14" hidden="1" x14ac:dyDescent="0.3">
      <c r="A5264" s="1" t="s">
        <v>3301</v>
      </c>
      <c r="B5264" s="1" t="s">
        <v>802</v>
      </c>
      <c r="C5264" s="1" t="s">
        <v>3302</v>
      </c>
      <c r="D5264" s="1" t="s">
        <v>1242</v>
      </c>
      <c r="E5264" s="1" t="s">
        <v>1243</v>
      </c>
      <c r="F5264" s="1" t="s">
        <v>1244</v>
      </c>
      <c r="G5264" s="1" t="s">
        <v>3182</v>
      </c>
      <c r="H5264">
        <v>1999</v>
      </c>
      <c r="I5264">
        <v>1999</v>
      </c>
      <c r="J5264">
        <f t="shared" si="164"/>
        <v>1</v>
      </c>
      <c r="K5264" s="1" t="s">
        <v>741</v>
      </c>
      <c r="L5264" s="1" t="s">
        <v>666</v>
      </c>
      <c r="M5264">
        <f t="shared" si="165"/>
        <v>27</v>
      </c>
      <c r="N5264" t="s">
        <v>640</v>
      </c>
    </row>
    <row r="5265" spans="1:14" hidden="1" x14ac:dyDescent="0.3">
      <c r="A5265" s="1" t="s">
        <v>3303</v>
      </c>
      <c r="B5265" s="1" t="s">
        <v>802</v>
      </c>
      <c r="C5265" s="1" t="s">
        <v>3304</v>
      </c>
      <c r="D5265" s="1" t="s">
        <v>1242</v>
      </c>
      <c r="E5265" s="1" t="s">
        <v>1243</v>
      </c>
      <c r="F5265" s="1" t="s">
        <v>1244</v>
      </c>
      <c r="G5265" s="1" t="s">
        <v>3182</v>
      </c>
      <c r="H5265">
        <v>1999</v>
      </c>
      <c r="I5265">
        <v>1999</v>
      </c>
      <c r="J5265">
        <f t="shared" si="164"/>
        <v>1</v>
      </c>
      <c r="K5265" s="1" t="s">
        <v>741</v>
      </c>
      <c r="L5265" s="1" t="s">
        <v>666</v>
      </c>
      <c r="M5265">
        <f t="shared" si="165"/>
        <v>27</v>
      </c>
      <c r="N5265" t="s">
        <v>640</v>
      </c>
    </row>
    <row r="5266" spans="1:14" x14ac:dyDescent="0.3">
      <c r="A5266" t="s">
        <v>11167</v>
      </c>
      <c r="B5266" t="s">
        <v>10997</v>
      </c>
      <c r="C5266" t="s">
        <v>11168</v>
      </c>
      <c r="E5266" s="1" t="s">
        <v>6076</v>
      </c>
      <c r="F5266" s="1" t="s">
        <v>6076</v>
      </c>
      <c r="G5266" s="1" t="s">
        <v>12796</v>
      </c>
      <c r="H5266">
        <v>1996</v>
      </c>
      <c r="I5266">
        <v>2001</v>
      </c>
      <c r="J5266">
        <f t="shared" si="164"/>
        <v>6</v>
      </c>
      <c r="K5266" s="1" t="s">
        <v>6076</v>
      </c>
      <c r="L5266" s="1" t="s">
        <v>6076</v>
      </c>
      <c r="M5266">
        <f t="shared" si="165"/>
        <v>25</v>
      </c>
    </row>
    <row r="5267" spans="1:14" x14ac:dyDescent="0.3">
      <c r="A5267" t="s">
        <v>11169</v>
      </c>
      <c r="B5267" t="s">
        <v>10997</v>
      </c>
      <c r="C5267" t="s">
        <v>11170</v>
      </c>
      <c r="E5267" s="1" t="s">
        <v>6076</v>
      </c>
      <c r="F5267" s="1" t="s">
        <v>6076</v>
      </c>
      <c r="G5267" s="1" t="s">
        <v>12796</v>
      </c>
      <c r="H5267">
        <v>1996</v>
      </c>
      <c r="I5267">
        <v>1998</v>
      </c>
      <c r="J5267">
        <f t="shared" si="164"/>
        <v>3</v>
      </c>
      <c r="K5267" s="1" t="s">
        <v>6076</v>
      </c>
      <c r="L5267" s="1" t="s">
        <v>6076</v>
      </c>
      <c r="M5267">
        <f t="shared" si="165"/>
        <v>28</v>
      </c>
    </row>
    <row r="5268" spans="1:14" x14ac:dyDescent="0.3">
      <c r="A5268" t="s">
        <v>11171</v>
      </c>
      <c r="B5268" t="s">
        <v>10997</v>
      </c>
      <c r="C5268" t="s">
        <v>11172</v>
      </c>
      <c r="E5268" s="1" t="s">
        <v>6076</v>
      </c>
      <c r="F5268" s="1" t="s">
        <v>6076</v>
      </c>
      <c r="G5268" s="1" t="s">
        <v>12796</v>
      </c>
      <c r="H5268">
        <v>1995</v>
      </c>
      <c r="I5268">
        <v>2000</v>
      </c>
      <c r="J5268">
        <f t="shared" si="164"/>
        <v>6</v>
      </c>
      <c r="K5268" s="1" t="s">
        <v>6076</v>
      </c>
      <c r="L5268" s="1" t="s">
        <v>6076</v>
      </c>
      <c r="M5268">
        <f t="shared" si="165"/>
        <v>26</v>
      </c>
    </row>
    <row r="5269" spans="1:14" x14ac:dyDescent="0.3">
      <c r="A5269" t="s">
        <v>11173</v>
      </c>
      <c r="B5269" t="s">
        <v>10997</v>
      </c>
      <c r="C5269" t="s">
        <v>11174</v>
      </c>
      <c r="E5269" s="1" t="s">
        <v>6076</v>
      </c>
      <c r="F5269" s="1" t="s">
        <v>6076</v>
      </c>
      <c r="G5269" s="1" t="s">
        <v>12796</v>
      </c>
      <c r="H5269">
        <v>1996</v>
      </c>
      <c r="I5269">
        <v>1999</v>
      </c>
      <c r="J5269">
        <f t="shared" si="164"/>
        <v>4</v>
      </c>
      <c r="K5269" s="1" t="s">
        <v>6076</v>
      </c>
      <c r="L5269" s="1" t="s">
        <v>6076</v>
      </c>
      <c r="M5269">
        <f t="shared" si="165"/>
        <v>27</v>
      </c>
    </row>
    <row r="5270" spans="1:14" x14ac:dyDescent="0.3">
      <c r="A5270" s="1" t="s">
        <v>10059</v>
      </c>
      <c r="B5270" s="1" t="s">
        <v>795</v>
      </c>
      <c r="C5270" s="1" t="s">
        <v>10060</v>
      </c>
      <c r="D5270" s="1" t="s">
        <v>1395</v>
      </c>
      <c r="E5270" s="1" t="s">
        <v>6076</v>
      </c>
      <c r="F5270" s="1" t="s">
        <v>6076</v>
      </c>
      <c r="G5270" s="1" t="s">
        <v>10061</v>
      </c>
      <c r="H5270">
        <v>1993</v>
      </c>
      <c r="I5270">
        <v>2015</v>
      </c>
      <c r="J5270">
        <f t="shared" si="164"/>
        <v>23</v>
      </c>
      <c r="K5270" s="1" t="s">
        <v>6076</v>
      </c>
      <c r="L5270" s="1" t="s">
        <v>6076</v>
      </c>
      <c r="M5270">
        <f t="shared" si="165"/>
        <v>11</v>
      </c>
      <c r="N5270" t="s">
        <v>650</v>
      </c>
    </row>
    <row r="5271" spans="1:14" x14ac:dyDescent="0.3">
      <c r="A5271" s="1" t="s">
        <v>10062</v>
      </c>
      <c r="B5271" s="1" t="s">
        <v>4665</v>
      </c>
      <c r="C5271" s="1" t="s">
        <v>10063</v>
      </c>
      <c r="D5271" s="1" t="s">
        <v>644</v>
      </c>
      <c r="E5271" s="1" t="s">
        <v>6076</v>
      </c>
      <c r="F5271" s="1" t="s">
        <v>6076</v>
      </c>
      <c r="G5271" s="1" t="s">
        <v>9914</v>
      </c>
      <c r="H5271">
        <v>1994</v>
      </c>
      <c r="I5271">
        <v>1995</v>
      </c>
      <c r="J5271">
        <f t="shared" si="164"/>
        <v>2</v>
      </c>
      <c r="K5271" s="1" t="s">
        <v>6076</v>
      </c>
      <c r="L5271" s="1" t="s">
        <v>6076</v>
      </c>
      <c r="M5271">
        <f t="shared" si="165"/>
        <v>31</v>
      </c>
      <c r="N5271" t="s">
        <v>640</v>
      </c>
    </row>
    <row r="5272" spans="1:14" x14ac:dyDescent="0.3">
      <c r="A5272" s="1" t="s">
        <v>10064</v>
      </c>
      <c r="B5272" s="1" t="s">
        <v>1205</v>
      </c>
      <c r="C5272" s="1" t="s">
        <v>10065</v>
      </c>
      <c r="D5272" s="1" t="s">
        <v>3850</v>
      </c>
      <c r="E5272" s="1" t="s">
        <v>6076</v>
      </c>
      <c r="F5272" s="1" t="s">
        <v>6076</v>
      </c>
      <c r="G5272" s="1" t="s">
        <v>10066</v>
      </c>
      <c r="H5272">
        <v>1993</v>
      </c>
      <c r="I5272">
        <v>2007</v>
      </c>
      <c r="J5272">
        <f t="shared" si="164"/>
        <v>15</v>
      </c>
      <c r="K5272" s="1" t="s">
        <v>6076</v>
      </c>
      <c r="L5272" s="1" t="s">
        <v>6076</v>
      </c>
      <c r="M5272">
        <f t="shared" si="165"/>
        <v>19</v>
      </c>
      <c r="N5272" t="s">
        <v>640</v>
      </c>
    </row>
    <row r="5273" spans="1:14" x14ac:dyDescent="0.3">
      <c r="A5273" s="1" t="s">
        <v>10067</v>
      </c>
      <c r="B5273" s="1" t="s">
        <v>795</v>
      </c>
      <c r="C5273" s="1" t="s">
        <v>10068</v>
      </c>
      <c r="D5273" s="1" t="s">
        <v>738</v>
      </c>
      <c r="E5273" s="1" t="s">
        <v>6076</v>
      </c>
      <c r="F5273" s="1" t="s">
        <v>6076</v>
      </c>
      <c r="G5273" s="1" t="s">
        <v>10069</v>
      </c>
      <c r="H5273">
        <v>1993</v>
      </c>
      <c r="I5273">
        <v>1996</v>
      </c>
      <c r="J5273">
        <f t="shared" si="164"/>
        <v>4</v>
      </c>
      <c r="K5273" s="1" t="s">
        <v>6076</v>
      </c>
      <c r="L5273" s="1" t="s">
        <v>6076</v>
      </c>
      <c r="M5273">
        <f t="shared" si="165"/>
        <v>30</v>
      </c>
      <c r="N5273" t="s">
        <v>640</v>
      </c>
    </row>
    <row r="5274" spans="1:14" x14ac:dyDescent="0.3">
      <c r="A5274" s="1" t="s">
        <v>10070</v>
      </c>
      <c r="B5274" s="1" t="s">
        <v>795</v>
      </c>
      <c r="C5274" s="1" t="s">
        <v>10071</v>
      </c>
      <c r="D5274" s="1" t="s">
        <v>738</v>
      </c>
      <c r="E5274" s="1" t="s">
        <v>6076</v>
      </c>
      <c r="F5274" s="1" t="s">
        <v>6076</v>
      </c>
      <c r="G5274" s="1" t="s">
        <v>10069</v>
      </c>
      <c r="H5274">
        <v>1994</v>
      </c>
      <c r="I5274">
        <v>1994</v>
      </c>
      <c r="J5274">
        <f t="shared" si="164"/>
        <v>1</v>
      </c>
      <c r="K5274" s="1" t="s">
        <v>6076</v>
      </c>
      <c r="L5274" s="1" t="s">
        <v>6076</v>
      </c>
      <c r="M5274">
        <f t="shared" si="165"/>
        <v>32</v>
      </c>
      <c r="N5274" t="s">
        <v>640</v>
      </c>
    </row>
    <row r="5275" spans="1:14" x14ac:dyDescent="0.3">
      <c r="A5275" s="1" t="s">
        <v>10072</v>
      </c>
      <c r="B5275" s="1" t="s">
        <v>795</v>
      </c>
      <c r="C5275" s="1" t="s">
        <v>10073</v>
      </c>
      <c r="D5275" s="1" t="s">
        <v>738</v>
      </c>
      <c r="E5275" s="1" t="s">
        <v>6076</v>
      </c>
      <c r="F5275" s="1" t="s">
        <v>6076</v>
      </c>
      <c r="G5275" s="1" t="s">
        <v>10069</v>
      </c>
      <c r="H5275">
        <v>1994</v>
      </c>
      <c r="I5275">
        <v>1995</v>
      </c>
      <c r="J5275">
        <f t="shared" si="164"/>
        <v>2</v>
      </c>
      <c r="K5275" s="1" t="s">
        <v>6076</v>
      </c>
      <c r="L5275" s="1" t="s">
        <v>6076</v>
      </c>
      <c r="M5275">
        <f t="shared" si="165"/>
        <v>31</v>
      </c>
      <c r="N5275" t="s">
        <v>640</v>
      </c>
    </row>
    <row r="5276" spans="1:14" x14ac:dyDescent="0.3">
      <c r="A5276" s="1" t="s">
        <v>10074</v>
      </c>
      <c r="B5276" s="1" t="s">
        <v>795</v>
      </c>
      <c r="C5276" s="1" t="s">
        <v>10075</v>
      </c>
      <c r="D5276" s="1" t="s">
        <v>738</v>
      </c>
      <c r="E5276" s="1" t="s">
        <v>6076</v>
      </c>
      <c r="F5276" s="1" t="s">
        <v>6076</v>
      </c>
      <c r="G5276" s="1" t="s">
        <v>10069</v>
      </c>
      <c r="H5276">
        <v>1993</v>
      </c>
      <c r="I5276">
        <v>1996</v>
      </c>
      <c r="J5276">
        <f t="shared" si="164"/>
        <v>4</v>
      </c>
      <c r="K5276" s="1" t="s">
        <v>6076</v>
      </c>
      <c r="L5276" s="1" t="s">
        <v>6076</v>
      </c>
      <c r="M5276">
        <f t="shared" si="165"/>
        <v>30</v>
      </c>
      <c r="N5276" t="s">
        <v>640</v>
      </c>
    </row>
    <row r="5277" spans="1:14" x14ac:dyDescent="0.3">
      <c r="A5277" s="1" t="s">
        <v>10076</v>
      </c>
      <c r="B5277" s="1" t="s">
        <v>795</v>
      </c>
      <c r="C5277" s="1" t="s">
        <v>10077</v>
      </c>
      <c r="D5277" s="1" t="s">
        <v>738</v>
      </c>
      <c r="E5277" s="1" t="s">
        <v>6076</v>
      </c>
      <c r="F5277" s="1" t="s">
        <v>6076</v>
      </c>
      <c r="G5277" s="1" t="s">
        <v>10069</v>
      </c>
      <c r="H5277">
        <v>1994</v>
      </c>
      <c r="I5277">
        <v>1996</v>
      </c>
      <c r="J5277">
        <f t="shared" si="164"/>
        <v>3</v>
      </c>
      <c r="K5277" s="1" t="s">
        <v>6076</v>
      </c>
      <c r="L5277" s="1" t="s">
        <v>6076</v>
      </c>
      <c r="M5277">
        <f t="shared" si="165"/>
        <v>30</v>
      </c>
      <c r="N5277" t="s">
        <v>640</v>
      </c>
    </row>
    <row r="5278" spans="1:14" x14ac:dyDescent="0.3">
      <c r="A5278" s="1" t="s">
        <v>10078</v>
      </c>
      <c r="B5278" s="1" t="s">
        <v>7986</v>
      </c>
      <c r="C5278" s="1" t="s">
        <v>10079</v>
      </c>
      <c r="D5278" s="1" t="s">
        <v>746</v>
      </c>
      <c r="E5278" s="1" t="s">
        <v>6076</v>
      </c>
      <c r="F5278" s="1" t="s">
        <v>6076</v>
      </c>
      <c r="G5278" s="1" t="s">
        <v>10080</v>
      </c>
      <c r="H5278">
        <v>1992</v>
      </c>
      <c r="I5278">
        <v>1998</v>
      </c>
      <c r="J5278">
        <f t="shared" si="164"/>
        <v>7</v>
      </c>
      <c r="K5278" s="1" t="s">
        <v>6076</v>
      </c>
      <c r="L5278" s="1" t="s">
        <v>6076</v>
      </c>
      <c r="M5278">
        <f t="shared" si="165"/>
        <v>28</v>
      </c>
    </row>
    <row r="5279" spans="1:14" x14ac:dyDescent="0.3">
      <c r="A5279" s="1" t="s">
        <v>10081</v>
      </c>
      <c r="B5279" s="1" t="s">
        <v>4665</v>
      </c>
      <c r="C5279" s="1" t="s">
        <v>10082</v>
      </c>
      <c r="D5279" s="1" t="s">
        <v>746</v>
      </c>
      <c r="E5279" s="1" t="s">
        <v>6076</v>
      </c>
      <c r="F5279" s="1" t="s">
        <v>6076</v>
      </c>
      <c r="G5279" s="1" t="s">
        <v>4667</v>
      </c>
      <c r="H5279">
        <v>1993</v>
      </c>
      <c r="I5279">
        <v>1995</v>
      </c>
      <c r="J5279">
        <f t="shared" si="164"/>
        <v>3</v>
      </c>
      <c r="K5279" s="1" t="s">
        <v>6076</v>
      </c>
      <c r="L5279" s="1" t="s">
        <v>6076</v>
      </c>
      <c r="M5279">
        <f t="shared" si="165"/>
        <v>31</v>
      </c>
      <c r="N5279" t="s">
        <v>640</v>
      </c>
    </row>
    <row r="5280" spans="1:14" x14ac:dyDescent="0.3">
      <c r="A5280" s="1" t="s">
        <v>10083</v>
      </c>
      <c r="B5280" s="1" t="s">
        <v>4665</v>
      </c>
      <c r="C5280" s="1" t="s">
        <v>10084</v>
      </c>
      <c r="D5280" s="1" t="s">
        <v>746</v>
      </c>
      <c r="E5280" s="1" t="s">
        <v>6076</v>
      </c>
      <c r="F5280" s="1" t="s">
        <v>6076</v>
      </c>
      <c r="G5280" s="1" t="s">
        <v>4667</v>
      </c>
      <c r="H5280">
        <v>1991</v>
      </c>
      <c r="I5280">
        <v>1995</v>
      </c>
      <c r="J5280">
        <f t="shared" si="164"/>
        <v>5</v>
      </c>
      <c r="K5280" s="1" t="s">
        <v>6076</v>
      </c>
      <c r="L5280" s="1" t="s">
        <v>6076</v>
      </c>
      <c r="M5280">
        <f t="shared" si="165"/>
        <v>31</v>
      </c>
      <c r="N5280" t="s">
        <v>640</v>
      </c>
    </row>
    <row r="5281" spans="1:14" x14ac:dyDescent="0.3">
      <c r="A5281" s="1" t="s">
        <v>10085</v>
      </c>
      <c r="B5281" s="1" t="s">
        <v>4665</v>
      </c>
      <c r="C5281" s="1" t="s">
        <v>10086</v>
      </c>
      <c r="D5281" s="1" t="s">
        <v>746</v>
      </c>
      <c r="E5281" s="1" t="s">
        <v>6076</v>
      </c>
      <c r="F5281" s="1" t="s">
        <v>6076</v>
      </c>
      <c r="G5281" s="1" t="s">
        <v>4667</v>
      </c>
      <c r="H5281">
        <v>1993</v>
      </c>
      <c r="I5281">
        <v>1994</v>
      </c>
      <c r="J5281">
        <f t="shared" si="164"/>
        <v>2</v>
      </c>
      <c r="K5281" s="1" t="s">
        <v>6076</v>
      </c>
      <c r="L5281" s="1" t="s">
        <v>6076</v>
      </c>
      <c r="M5281">
        <f t="shared" si="165"/>
        <v>32</v>
      </c>
      <c r="N5281" t="s">
        <v>640</v>
      </c>
    </row>
    <row r="5282" spans="1:14" x14ac:dyDescent="0.3">
      <c r="A5282" s="1" t="s">
        <v>10087</v>
      </c>
      <c r="B5282" s="1" t="s">
        <v>4665</v>
      </c>
      <c r="C5282" s="1" t="s">
        <v>10088</v>
      </c>
      <c r="D5282" s="1" t="s">
        <v>746</v>
      </c>
      <c r="E5282" s="1" t="s">
        <v>6076</v>
      </c>
      <c r="F5282" s="1" t="s">
        <v>6076</v>
      </c>
      <c r="G5282" s="1" t="s">
        <v>4667</v>
      </c>
      <c r="H5282">
        <v>1991</v>
      </c>
      <c r="I5282">
        <v>1999</v>
      </c>
      <c r="J5282">
        <f t="shared" si="164"/>
        <v>9</v>
      </c>
      <c r="K5282" s="1" t="s">
        <v>6076</v>
      </c>
      <c r="L5282" s="1" t="s">
        <v>6076</v>
      </c>
      <c r="M5282">
        <f t="shared" si="165"/>
        <v>27</v>
      </c>
      <c r="N5282" t="s">
        <v>640</v>
      </c>
    </row>
    <row r="5283" spans="1:14" x14ac:dyDescent="0.3">
      <c r="A5283" s="1" t="s">
        <v>10089</v>
      </c>
      <c r="B5283" s="1" t="s">
        <v>4665</v>
      </c>
      <c r="C5283" s="1" t="s">
        <v>10090</v>
      </c>
      <c r="D5283" s="1" t="s">
        <v>746</v>
      </c>
      <c r="E5283" s="1" t="s">
        <v>6076</v>
      </c>
      <c r="F5283" s="1" t="s">
        <v>6076</v>
      </c>
      <c r="G5283" s="1" t="s">
        <v>4667</v>
      </c>
      <c r="H5283">
        <v>1991</v>
      </c>
      <c r="I5283">
        <v>1995</v>
      </c>
      <c r="J5283">
        <f t="shared" si="164"/>
        <v>5</v>
      </c>
      <c r="K5283" s="1" t="s">
        <v>6076</v>
      </c>
      <c r="L5283" s="1" t="s">
        <v>6076</v>
      </c>
      <c r="M5283">
        <f t="shared" si="165"/>
        <v>31</v>
      </c>
      <c r="N5283" t="s">
        <v>640</v>
      </c>
    </row>
    <row r="5284" spans="1:14" x14ac:dyDescent="0.3">
      <c r="A5284" s="1" t="s">
        <v>10091</v>
      </c>
      <c r="B5284" s="1" t="s">
        <v>4665</v>
      </c>
      <c r="C5284" s="1" t="s">
        <v>10092</v>
      </c>
      <c r="D5284" s="1" t="s">
        <v>746</v>
      </c>
      <c r="E5284" s="1" t="s">
        <v>6076</v>
      </c>
      <c r="F5284" s="1" t="s">
        <v>6076</v>
      </c>
      <c r="G5284" s="1" t="s">
        <v>4667</v>
      </c>
      <c r="H5284">
        <v>1991</v>
      </c>
      <c r="I5284">
        <v>1994</v>
      </c>
      <c r="J5284">
        <f t="shared" si="164"/>
        <v>4</v>
      </c>
      <c r="K5284" s="1" t="s">
        <v>6076</v>
      </c>
      <c r="L5284" s="1" t="s">
        <v>6076</v>
      </c>
      <c r="M5284">
        <f t="shared" si="165"/>
        <v>32</v>
      </c>
      <c r="N5284" t="s">
        <v>640</v>
      </c>
    </row>
    <row r="5285" spans="1:14" hidden="1" x14ac:dyDescent="0.3">
      <c r="A5285" s="1" t="s">
        <v>4664</v>
      </c>
      <c r="B5285" s="1" t="s">
        <v>4665</v>
      </c>
      <c r="C5285" s="1" t="s">
        <v>4666</v>
      </c>
      <c r="D5285" s="1" t="s">
        <v>746</v>
      </c>
      <c r="E5285" s="1" t="s">
        <v>747</v>
      </c>
      <c r="F5285" s="1" t="s">
        <v>748</v>
      </c>
      <c r="G5285" s="1" t="s">
        <v>4667</v>
      </c>
      <c r="H5285">
        <v>2015</v>
      </c>
      <c r="I5285">
        <v>2015</v>
      </c>
      <c r="J5285">
        <f t="shared" si="164"/>
        <v>1</v>
      </c>
      <c r="K5285" s="1" t="s">
        <v>3665</v>
      </c>
      <c r="L5285" s="1" t="s">
        <v>4668</v>
      </c>
      <c r="M5285">
        <f t="shared" si="165"/>
        <v>11</v>
      </c>
      <c r="N5285" t="s">
        <v>650</v>
      </c>
    </row>
    <row r="5286" spans="1:14" hidden="1" x14ac:dyDescent="0.3">
      <c r="A5286" s="1" t="s">
        <v>4669</v>
      </c>
      <c r="B5286" s="1" t="s">
        <v>4665</v>
      </c>
      <c r="C5286" s="1" t="s">
        <v>4670</v>
      </c>
      <c r="D5286" s="1" t="s">
        <v>746</v>
      </c>
      <c r="E5286" s="1" t="s">
        <v>747</v>
      </c>
      <c r="F5286" s="1" t="s">
        <v>748</v>
      </c>
      <c r="G5286" s="1" t="s">
        <v>4667</v>
      </c>
      <c r="H5286">
        <v>2015</v>
      </c>
      <c r="I5286">
        <v>2015</v>
      </c>
      <c r="J5286">
        <f t="shared" si="164"/>
        <v>1</v>
      </c>
      <c r="K5286" s="1" t="s">
        <v>3665</v>
      </c>
      <c r="L5286" s="1" t="s">
        <v>4668</v>
      </c>
      <c r="M5286">
        <f t="shared" si="165"/>
        <v>11</v>
      </c>
      <c r="N5286" t="s">
        <v>650</v>
      </c>
    </row>
    <row r="5287" spans="1:14" x14ac:dyDescent="0.3">
      <c r="A5287" s="1" t="s">
        <v>10093</v>
      </c>
      <c r="B5287" s="1" t="s">
        <v>2154</v>
      </c>
      <c r="C5287" s="1" t="s">
        <v>10094</v>
      </c>
      <c r="D5287" s="1" t="s">
        <v>738</v>
      </c>
      <c r="E5287" s="1" t="s">
        <v>6076</v>
      </c>
      <c r="F5287" s="1" t="s">
        <v>6076</v>
      </c>
      <c r="G5287" s="1" t="s">
        <v>10018</v>
      </c>
      <c r="H5287">
        <v>1991</v>
      </c>
      <c r="I5287">
        <v>1994</v>
      </c>
      <c r="J5287">
        <f t="shared" si="164"/>
        <v>4</v>
      </c>
      <c r="K5287" s="1" t="s">
        <v>6076</v>
      </c>
      <c r="L5287" s="1" t="s">
        <v>6076</v>
      </c>
      <c r="M5287">
        <f t="shared" si="165"/>
        <v>32</v>
      </c>
      <c r="N5287" t="s">
        <v>640</v>
      </c>
    </row>
    <row r="5288" spans="1:14" hidden="1" x14ac:dyDescent="0.3">
      <c r="A5288" s="1" t="s">
        <v>5763</v>
      </c>
      <c r="B5288" s="1" t="s">
        <v>4665</v>
      </c>
      <c r="C5288" s="1" t="s">
        <v>5764</v>
      </c>
      <c r="D5288" s="1" t="s">
        <v>1395</v>
      </c>
      <c r="E5288" s="1" t="s">
        <v>1396</v>
      </c>
      <c r="F5288" s="1" t="s">
        <v>1397</v>
      </c>
      <c r="G5288" s="1" t="s">
        <v>5765</v>
      </c>
      <c r="H5288">
        <v>2008</v>
      </c>
      <c r="I5288">
        <v>2015</v>
      </c>
      <c r="J5288">
        <f t="shared" si="164"/>
        <v>8</v>
      </c>
      <c r="K5288" s="1" t="s">
        <v>4668</v>
      </c>
      <c r="L5288" s="1" t="s">
        <v>798</v>
      </c>
      <c r="M5288">
        <f t="shared" si="165"/>
        <v>11</v>
      </c>
      <c r="N5288" t="s">
        <v>650</v>
      </c>
    </row>
    <row r="5289" spans="1:14" hidden="1" x14ac:dyDescent="0.3">
      <c r="A5289" s="1" t="s">
        <v>5766</v>
      </c>
      <c r="B5289" s="1" t="s">
        <v>4665</v>
      </c>
      <c r="C5289" s="1" t="s">
        <v>5767</v>
      </c>
      <c r="D5289" s="1" t="s">
        <v>1395</v>
      </c>
      <c r="E5289" s="1" t="s">
        <v>1396</v>
      </c>
      <c r="F5289" s="1" t="s">
        <v>1397</v>
      </c>
      <c r="G5289" s="1" t="s">
        <v>5765</v>
      </c>
      <c r="H5289">
        <v>2008</v>
      </c>
      <c r="I5289">
        <v>2015</v>
      </c>
      <c r="J5289">
        <f t="shared" si="164"/>
        <v>8</v>
      </c>
      <c r="K5289" s="1" t="s">
        <v>4668</v>
      </c>
      <c r="L5289" s="1" t="s">
        <v>798</v>
      </c>
      <c r="M5289">
        <f t="shared" si="165"/>
        <v>11</v>
      </c>
      <c r="N5289" t="s">
        <v>650</v>
      </c>
    </row>
    <row r="5290" spans="1:14" hidden="1" x14ac:dyDescent="0.3">
      <c r="A5290" s="1" t="s">
        <v>5768</v>
      </c>
      <c r="B5290" s="1" t="s">
        <v>4665</v>
      </c>
      <c r="C5290" s="1" t="s">
        <v>5769</v>
      </c>
      <c r="D5290" s="1" t="s">
        <v>1395</v>
      </c>
      <c r="E5290" s="1" t="s">
        <v>1396</v>
      </c>
      <c r="F5290" s="1" t="s">
        <v>1397</v>
      </c>
      <c r="G5290" s="1" t="s">
        <v>5765</v>
      </c>
      <c r="H5290">
        <v>2015</v>
      </c>
      <c r="I5290">
        <v>2016</v>
      </c>
      <c r="J5290">
        <f t="shared" si="164"/>
        <v>2</v>
      </c>
      <c r="K5290" s="1" t="s">
        <v>4668</v>
      </c>
      <c r="L5290" s="1" t="s">
        <v>798</v>
      </c>
      <c r="M5290">
        <f t="shared" si="165"/>
        <v>10</v>
      </c>
      <c r="N5290" t="s">
        <v>650</v>
      </c>
    </row>
    <row r="5291" spans="1:14" hidden="1" x14ac:dyDescent="0.3">
      <c r="A5291" s="1" t="s">
        <v>5770</v>
      </c>
      <c r="B5291" s="1" t="s">
        <v>4665</v>
      </c>
      <c r="C5291" s="1" t="s">
        <v>5771</v>
      </c>
      <c r="D5291" s="1" t="s">
        <v>1395</v>
      </c>
      <c r="E5291" s="1" t="s">
        <v>1396</v>
      </c>
      <c r="F5291" s="1" t="s">
        <v>1397</v>
      </c>
      <c r="G5291" s="1" t="s">
        <v>5765</v>
      </c>
      <c r="H5291">
        <v>2016</v>
      </c>
      <c r="I5291">
        <v>2016</v>
      </c>
      <c r="J5291">
        <f t="shared" si="164"/>
        <v>1</v>
      </c>
      <c r="K5291" s="1" t="s">
        <v>4668</v>
      </c>
      <c r="L5291" s="1" t="s">
        <v>798</v>
      </c>
      <c r="M5291">
        <f t="shared" si="165"/>
        <v>10</v>
      </c>
      <c r="N5291" t="s">
        <v>650</v>
      </c>
    </row>
    <row r="5292" spans="1:14" hidden="1" x14ac:dyDescent="0.3">
      <c r="A5292" s="1" t="s">
        <v>5772</v>
      </c>
      <c r="B5292" s="1" t="s">
        <v>4665</v>
      </c>
      <c r="C5292" s="1" t="s">
        <v>5773</v>
      </c>
      <c r="D5292" s="1" t="s">
        <v>1395</v>
      </c>
      <c r="E5292" s="1" t="s">
        <v>1396</v>
      </c>
      <c r="F5292" s="1" t="s">
        <v>1397</v>
      </c>
      <c r="G5292" s="1" t="s">
        <v>5765</v>
      </c>
      <c r="H5292">
        <v>2015</v>
      </c>
      <c r="I5292">
        <v>2017</v>
      </c>
      <c r="J5292">
        <f t="shared" si="164"/>
        <v>3</v>
      </c>
      <c r="K5292" s="1" t="s">
        <v>4668</v>
      </c>
      <c r="L5292" s="1" t="s">
        <v>798</v>
      </c>
      <c r="M5292">
        <f t="shared" si="165"/>
        <v>9</v>
      </c>
      <c r="N5292" t="s">
        <v>650</v>
      </c>
    </row>
    <row r="5293" spans="1:14" hidden="1" x14ac:dyDescent="0.3">
      <c r="A5293" s="1" t="s">
        <v>5774</v>
      </c>
      <c r="B5293" s="1" t="s">
        <v>4665</v>
      </c>
      <c r="C5293" s="1" t="s">
        <v>5775</v>
      </c>
      <c r="D5293" s="1" t="s">
        <v>1395</v>
      </c>
      <c r="E5293" s="1" t="s">
        <v>1396</v>
      </c>
      <c r="F5293" s="1" t="s">
        <v>1397</v>
      </c>
      <c r="G5293" s="1" t="s">
        <v>5765</v>
      </c>
      <c r="H5293">
        <v>2015</v>
      </c>
      <c r="I5293">
        <v>2016</v>
      </c>
      <c r="J5293">
        <f t="shared" si="164"/>
        <v>2</v>
      </c>
      <c r="K5293" s="1" t="s">
        <v>4668</v>
      </c>
      <c r="L5293" s="1" t="s">
        <v>798</v>
      </c>
      <c r="M5293">
        <f t="shared" si="165"/>
        <v>10</v>
      </c>
      <c r="N5293" t="s">
        <v>650</v>
      </c>
    </row>
    <row r="5294" spans="1:14" x14ac:dyDescent="0.3">
      <c r="A5294" s="1" t="s">
        <v>10095</v>
      </c>
      <c r="B5294" s="1" t="s">
        <v>795</v>
      </c>
      <c r="C5294" s="1" t="s">
        <v>10096</v>
      </c>
      <c r="D5294" s="1" t="s">
        <v>1242</v>
      </c>
      <c r="E5294" s="1" t="s">
        <v>6076</v>
      </c>
      <c r="F5294" s="1" t="s">
        <v>6076</v>
      </c>
      <c r="G5294" s="1" t="s">
        <v>10097</v>
      </c>
      <c r="H5294">
        <v>1991</v>
      </c>
      <c r="I5294">
        <v>1992</v>
      </c>
      <c r="J5294">
        <f t="shared" si="164"/>
        <v>2</v>
      </c>
      <c r="K5294" s="1" t="s">
        <v>6076</v>
      </c>
      <c r="L5294" s="1" t="s">
        <v>6076</v>
      </c>
      <c r="M5294">
        <f t="shared" si="165"/>
        <v>34</v>
      </c>
      <c r="N5294" t="s">
        <v>640</v>
      </c>
    </row>
    <row r="5295" spans="1:14" hidden="1" x14ac:dyDescent="0.3">
      <c r="A5295" s="1" t="s">
        <v>3305</v>
      </c>
      <c r="B5295" s="1" t="s">
        <v>12756</v>
      </c>
      <c r="C5295" s="1" t="s">
        <v>3306</v>
      </c>
      <c r="D5295" s="1" t="s">
        <v>738</v>
      </c>
      <c r="E5295" s="1" t="s">
        <v>739</v>
      </c>
      <c r="F5295" s="1" t="s">
        <v>781</v>
      </c>
      <c r="G5295" s="1" t="s">
        <v>3307</v>
      </c>
      <c r="H5295">
        <v>2011</v>
      </c>
      <c r="I5295">
        <v>2011</v>
      </c>
      <c r="J5295">
        <f t="shared" si="164"/>
        <v>1</v>
      </c>
      <c r="K5295" s="1" t="s">
        <v>741</v>
      </c>
      <c r="L5295" s="1" t="s">
        <v>666</v>
      </c>
      <c r="M5295">
        <f t="shared" si="165"/>
        <v>15</v>
      </c>
      <c r="N5295" t="s">
        <v>650</v>
      </c>
    </row>
    <row r="5296" spans="1:14" hidden="1" x14ac:dyDescent="0.3">
      <c r="A5296" s="1" t="s">
        <v>3308</v>
      </c>
      <c r="B5296" s="1" t="s">
        <v>12756</v>
      </c>
      <c r="C5296" s="1" t="s">
        <v>3309</v>
      </c>
      <c r="D5296" s="1" t="s">
        <v>738</v>
      </c>
      <c r="E5296" s="1" t="s">
        <v>739</v>
      </c>
      <c r="F5296" s="1" t="s">
        <v>781</v>
      </c>
      <c r="G5296" s="1" t="s">
        <v>3307</v>
      </c>
      <c r="H5296">
        <v>2009</v>
      </c>
      <c r="I5296">
        <v>2013</v>
      </c>
      <c r="J5296">
        <f t="shared" si="164"/>
        <v>5</v>
      </c>
      <c r="K5296" s="1" t="s">
        <v>741</v>
      </c>
      <c r="L5296" s="1" t="s">
        <v>666</v>
      </c>
      <c r="M5296">
        <f t="shared" si="165"/>
        <v>13</v>
      </c>
      <c r="N5296" t="s">
        <v>650</v>
      </c>
    </row>
    <row r="5297" spans="1:14" hidden="1" x14ac:dyDescent="0.3">
      <c r="A5297" s="1" t="s">
        <v>3310</v>
      </c>
      <c r="B5297" s="1" t="s">
        <v>12756</v>
      </c>
      <c r="C5297" s="1" t="s">
        <v>3311</v>
      </c>
      <c r="D5297" s="1" t="s">
        <v>738</v>
      </c>
      <c r="E5297" s="1" t="s">
        <v>739</v>
      </c>
      <c r="F5297" s="1" t="s">
        <v>781</v>
      </c>
      <c r="G5297" s="1" t="s">
        <v>3307</v>
      </c>
      <c r="H5297">
        <v>2010</v>
      </c>
      <c r="I5297">
        <v>2010</v>
      </c>
      <c r="J5297">
        <f t="shared" si="164"/>
        <v>1</v>
      </c>
      <c r="K5297" s="1" t="s">
        <v>741</v>
      </c>
      <c r="L5297" s="1" t="s">
        <v>666</v>
      </c>
      <c r="M5297">
        <f t="shared" si="165"/>
        <v>16</v>
      </c>
      <c r="N5297" t="s">
        <v>650</v>
      </c>
    </row>
    <row r="5298" spans="1:14" hidden="1" x14ac:dyDescent="0.3">
      <c r="A5298" s="1" t="s">
        <v>3312</v>
      </c>
      <c r="B5298" s="1" t="s">
        <v>12756</v>
      </c>
      <c r="C5298" s="1" t="s">
        <v>3313</v>
      </c>
      <c r="D5298" s="1" t="s">
        <v>738</v>
      </c>
      <c r="E5298" s="1" t="s">
        <v>739</v>
      </c>
      <c r="F5298" s="1" t="s">
        <v>781</v>
      </c>
      <c r="G5298" s="1" t="s">
        <v>3307</v>
      </c>
      <c r="H5298">
        <v>2009</v>
      </c>
      <c r="I5298">
        <v>2013</v>
      </c>
      <c r="J5298">
        <f t="shared" si="164"/>
        <v>5</v>
      </c>
      <c r="K5298" s="1" t="s">
        <v>741</v>
      </c>
      <c r="L5298" s="1" t="s">
        <v>666</v>
      </c>
      <c r="M5298">
        <f t="shared" si="165"/>
        <v>13</v>
      </c>
      <c r="N5298" t="s">
        <v>650</v>
      </c>
    </row>
    <row r="5299" spans="1:14" x14ac:dyDescent="0.3">
      <c r="A5299" s="1" t="s">
        <v>10098</v>
      </c>
      <c r="B5299" s="1" t="s">
        <v>5289</v>
      </c>
      <c r="C5299" s="1" t="s">
        <v>10099</v>
      </c>
      <c r="D5299" s="1" t="s">
        <v>644</v>
      </c>
      <c r="E5299" s="1" t="s">
        <v>6076</v>
      </c>
      <c r="F5299" s="1" t="s">
        <v>6076</v>
      </c>
      <c r="G5299" s="1" t="s">
        <v>10100</v>
      </c>
      <c r="H5299">
        <v>2012</v>
      </c>
      <c r="I5299">
        <v>2014</v>
      </c>
      <c r="J5299">
        <f t="shared" si="164"/>
        <v>3</v>
      </c>
      <c r="K5299" s="1" t="s">
        <v>6076</v>
      </c>
      <c r="L5299" s="1" t="s">
        <v>6076</v>
      </c>
      <c r="M5299">
        <f t="shared" si="165"/>
        <v>12</v>
      </c>
      <c r="N5299" t="s">
        <v>650</v>
      </c>
    </row>
    <row r="5300" spans="1:14" x14ac:dyDescent="0.3">
      <c r="A5300" s="1" t="s">
        <v>10101</v>
      </c>
      <c r="B5300" s="1" t="s">
        <v>1205</v>
      </c>
      <c r="C5300" s="1" t="s">
        <v>10102</v>
      </c>
      <c r="D5300" s="1" t="s">
        <v>1242</v>
      </c>
      <c r="E5300" s="1" t="s">
        <v>6076</v>
      </c>
      <c r="F5300" s="1" t="s">
        <v>6076</v>
      </c>
      <c r="G5300" s="1" t="s">
        <v>5189</v>
      </c>
      <c r="H5300">
        <v>1994</v>
      </c>
      <c r="I5300">
        <v>1995</v>
      </c>
      <c r="J5300">
        <f t="shared" si="164"/>
        <v>2</v>
      </c>
      <c r="K5300" s="1" t="s">
        <v>6076</v>
      </c>
      <c r="L5300" s="1" t="s">
        <v>6076</v>
      </c>
      <c r="M5300">
        <f t="shared" si="165"/>
        <v>31</v>
      </c>
      <c r="N5300" t="s">
        <v>640</v>
      </c>
    </row>
    <row r="5301" spans="1:14" x14ac:dyDescent="0.3">
      <c r="A5301" s="1" t="s">
        <v>10103</v>
      </c>
      <c r="B5301" s="1" t="s">
        <v>5289</v>
      </c>
      <c r="C5301" s="1" t="s">
        <v>10104</v>
      </c>
      <c r="D5301" s="1" t="s">
        <v>746</v>
      </c>
      <c r="E5301" s="1" t="s">
        <v>6076</v>
      </c>
      <c r="F5301" s="1" t="s">
        <v>6076</v>
      </c>
      <c r="G5301" s="1" t="s">
        <v>8462</v>
      </c>
      <c r="H5301">
        <v>2018</v>
      </c>
      <c r="I5301">
        <v>2022</v>
      </c>
      <c r="J5301">
        <f t="shared" si="164"/>
        <v>5</v>
      </c>
      <c r="K5301" s="1" t="s">
        <v>6076</v>
      </c>
      <c r="L5301" s="1" t="s">
        <v>6076</v>
      </c>
      <c r="M5301">
        <f t="shared" si="165"/>
        <v>4</v>
      </c>
      <c r="N5301" t="s">
        <v>650</v>
      </c>
    </row>
    <row r="5302" spans="1:14" x14ac:dyDescent="0.3">
      <c r="A5302" s="1" t="s">
        <v>10105</v>
      </c>
      <c r="B5302" s="1" t="s">
        <v>5289</v>
      </c>
      <c r="C5302" s="1" t="s">
        <v>10106</v>
      </c>
      <c r="D5302" s="1" t="s">
        <v>746</v>
      </c>
      <c r="E5302" s="1" t="s">
        <v>6076</v>
      </c>
      <c r="F5302" s="1" t="s">
        <v>6076</v>
      </c>
      <c r="G5302" s="1" t="s">
        <v>8462</v>
      </c>
      <c r="H5302">
        <v>2018</v>
      </c>
      <c r="I5302">
        <v>2023</v>
      </c>
      <c r="J5302">
        <f t="shared" si="164"/>
        <v>6</v>
      </c>
      <c r="K5302" s="1" t="s">
        <v>6076</v>
      </c>
      <c r="L5302" s="1" t="s">
        <v>6076</v>
      </c>
      <c r="M5302">
        <f t="shared" si="165"/>
        <v>3</v>
      </c>
      <c r="N5302" t="s">
        <v>650</v>
      </c>
    </row>
    <row r="5303" spans="1:14" x14ac:dyDescent="0.3">
      <c r="A5303" s="1" t="s">
        <v>10107</v>
      </c>
      <c r="B5303" s="1" t="s">
        <v>5289</v>
      </c>
      <c r="C5303" s="1" t="s">
        <v>10108</v>
      </c>
      <c r="D5303" s="1" t="s">
        <v>746</v>
      </c>
      <c r="E5303" s="1" t="s">
        <v>6076</v>
      </c>
      <c r="F5303" s="1" t="s">
        <v>6076</v>
      </c>
      <c r="G5303" s="1" t="s">
        <v>8462</v>
      </c>
      <c r="H5303">
        <v>2021</v>
      </c>
      <c r="I5303">
        <v>2022</v>
      </c>
      <c r="J5303">
        <f t="shared" si="164"/>
        <v>2</v>
      </c>
      <c r="K5303" s="1" t="s">
        <v>6076</v>
      </c>
      <c r="L5303" s="1" t="s">
        <v>6076</v>
      </c>
      <c r="M5303">
        <f t="shared" si="165"/>
        <v>4</v>
      </c>
      <c r="N5303" t="s">
        <v>650</v>
      </c>
    </row>
    <row r="5304" spans="1:14" x14ac:dyDescent="0.3">
      <c r="A5304" s="1" t="s">
        <v>10109</v>
      </c>
      <c r="B5304" s="1" t="s">
        <v>5289</v>
      </c>
      <c r="C5304" s="1" t="s">
        <v>10110</v>
      </c>
      <c r="D5304" s="1" t="s">
        <v>746</v>
      </c>
      <c r="E5304" s="1" t="s">
        <v>6076</v>
      </c>
      <c r="F5304" s="1" t="s">
        <v>6076</v>
      </c>
      <c r="G5304" s="1" t="s">
        <v>8462</v>
      </c>
      <c r="H5304">
        <v>2021</v>
      </c>
      <c r="I5304">
        <v>2022</v>
      </c>
      <c r="J5304">
        <f t="shared" si="164"/>
        <v>2</v>
      </c>
      <c r="K5304" s="1" t="s">
        <v>6076</v>
      </c>
      <c r="L5304" s="1" t="s">
        <v>6076</v>
      </c>
      <c r="M5304">
        <f t="shared" si="165"/>
        <v>4</v>
      </c>
      <c r="N5304" t="s">
        <v>650</v>
      </c>
    </row>
    <row r="5305" spans="1:14" x14ac:dyDescent="0.3">
      <c r="A5305" s="1" t="s">
        <v>10111</v>
      </c>
      <c r="B5305" s="1" t="s">
        <v>5289</v>
      </c>
      <c r="C5305" s="1" t="s">
        <v>10112</v>
      </c>
      <c r="D5305" s="1" t="s">
        <v>1395</v>
      </c>
      <c r="E5305" s="1" t="s">
        <v>6076</v>
      </c>
      <c r="F5305" s="1" t="s">
        <v>6076</v>
      </c>
      <c r="G5305" s="1" t="s">
        <v>10113</v>
      </c>
      <c r="H5305">
        <v>2017</v>
      </c>
      <c r="I5305">
        <v>2019</v>
      </c>
      <c r="J5305">
        <f t="shared" si="164"/>
        <v>3</v>
      </c>
      <c r="K5305" s="1" t="s">
        <v>6076</v>
      </c>
      <c r="L5305" s="1" t="s">
        <v>6076</v>
      </c>
      <c r="M5305">
        <f t="shared" si="165"/>
        <v>7</v>
      </c>
      <c r="N5305" t="s">
        <v>650</v>
      </c>
    </row>
    <row r="5306" spans="1:14" x14ac:dyDescent="0.3">
      <c r="A5306" s="1" t="s">
        <v>10114</v>
      </c>
      <c r="B5306" s="1" t="s">
        <v>5289</v>
      </c>
      <c r="C5306" s="1" t="s">
        <v>10115</v>
      </c>
      <c r="D5306" s="1" t="s">
        <v>1395</v>
      </c>
      <c r="E5306" s="1" t="s">
        <v>6076</v>
      </c>
      <c r="F5306" s="1" t="s">
        <v>6076</v>
      </c>
      <c r="G5306" s="1" t="s">
        <v>10113</v>
      </c>
      <c r="H5306">
        <v>2015</v>
      </c>
      <c r="I5306">
        <v>2018</v>
      </c>
      <c r="J5306">
        <f t="shared" si="164"/>
        <v>4</v>
      </c>
      <c r="K5306" s="1" t="s">
        <v>6076</v>
      </c>
      <c r="L5306" s="1" t="s">
        <v>6076</v>
      </c>
      <c r="M5306">
        <f t="shared" si="165"/>
        <v>8</v>
      </c>
      <c r="N5306" t="s">
        <v>650</v>
      </c>
    </row>
    <row r="5307" spans="1:14" x14ac:dyDescent="0.3">
      <c r="A5307" s="1" t="s">
        <v>10116</v>
      </c>
      <c r="B5307" s="1" t="s">
        <v>5289</v>
      </c>
      <c r="C5307" s="1" t="s">
        <v>10117</v>
      </c>
      <c r="D5307" s="1" t="s">
        <v>1395</v>
      </c>
      <c r="E5307" s="1" t="s">
        <v>6076</v>
      </c>
      <c r="F5307" s="1" t="s">
        <v>6076</v>
      </c>
      <c r="G5307" s="1" t="s">
        <v>10118</v>
      </c>
      <c r="H5307">
        <v>2017</v>
      </c>
      <c r="I5307">
        <v>2022</v>
      </c>
      <c r="J5307">
        <f t="shared" si="164"/>
        <v>6</v>
      </c>
      <c r="K5307" s="1" t="s">
        <v>6076</v>
      </c>
      <c r="L5307" s="1" t="s">
        <v>6076</v>
      </c>
      <c r="M5307">
        <f t="shared" si="165"/>
        <v>4</v>
      </c>
      <c r="N5307" t="s">
        <v>650</v>
      </c>
    </row>
    <row r="5308" spans="1:14" x14ac:dyDescent="0.3">
      <c r="A5308" s="1" t="s">
        <v>10119</v>
      </c>
      <c r="B5308" s="1" t="s">
        <v>5289</v>
      </c>
      <c r="C5308" s="1" t="s">
        <v>10120</v>
      </c>
      <c r="D5308" s="1" t="s">
        <v>1395</v>
      </c>
      <c r="E5308" s="1" t="s">
        <v>6076</v>
      </c>
      <c r="F5308" s="1" t="s">
        <v>6076</v>
      </c>
      <c r="G5308" s="1" t="s">
        <v>10118</v>
      </c>
      <c r="H5308">
        <v>2021</v>
      </c>
      <c r="I5308">
        <v>2022</v>
      </c>
      <c r="J5308">
        <f t="shared" si="164"/>
        <v>2</v>
      </c>
      <c r="K5308" s="1" t="s">
        <v>6076</v>
      </c>
      <c r="L5308" s="1" t="s">
        <v>6076</v>
      </c>
      <c r="M5308">
        <f t="shared" si="165"/>
        <v>4</v>
      </c>
      <c r="N5308" t="s">
        <v>650</v>
      </c>
    </row>
    <row r="5309" spans="1:14" x14ac:dyDescent="0.3">
      <c r="A5309" s="1" t="s">
        <v>10121</v>
      </c>
      <c r="B5309" s="1" t="s">
        <v>5289</v>
      </c>
      <c r="C5309" s="1" t="s">
        <v>10122</v>
      </c>
      <c r="D5309" s="1" t="s">
        <v>1395</v>
      </c>
      <c r="E5309" s="1" t="s">
        <v>6076</v>
      </c>
      <c r="F5309" s="1" t="s">
        <v>6076</v>
      </c>
      <c r="G5309" s="1" t="s">
        <v>10123</v>
      </c>
      <c r="H5309">
        <v>2014</v>
      </c>
      <c r="I5309">
        <v>2016</v>
      </c>
      <c r="J5309">
        <f t="shared" si="164"/>
        <v>3</v>
      </c>
      <c r="K5309" s="1" t="s">
        <v>6076</v>
      </c>
      <c r="L5309" s="1" t="s">
        <v>6076</v>
      </c>
      <c r="M5309">
        <f t="shared" si="165"/>
        <v>10</v>
      </c>
      <c r="N5309" t="s">
        <v>650</v>
      </c>
    </row>
    <row r="5310" spans="1:14" x14ac:dyDescent="0.3">
      <c r="A5310" s="1" t="s">
        <v>10124</v>
      </c>
      <c r="B5310" s="1" t="s">
        <v>5289</v>
      </c>
      <c r="C5310" s="1" t="s">
        <v>10125</v>
      </c>
      <c r="D5310" s="1" t="s">
        <v>1395</v>
      </c>
      <c r="E5310" s="1" t="s">
        <v>6076</v>
      </c>
      <c r="F5310" s="1" t="s">
        <v>6076</v>
      </c>
      <c r="G5310" s="1" t="s">
        <v>10126</v>
      </c>
      <c r="H5310">
        <v>2019</v>
      </c>
      <c r="I5310">
        <v>2021</v>
      </c>
      <c r="J5310">
        <f t="shared" si="164"/>
        <v>3</v>
      </c>
      <c r="K5310" s="1" t="s">
        <v>6076</v>
      </c>
      <c r="L5310" s="1" t="s">
        <v>6076</v>
      </c>
      <c r="M5310">
        <f t="shared" si="165"/>
        <v>5</v>
      </c>
      <c r="N5310" t="s">
        <v>650</v>
      </c>
    </row>
    <row r="5311" spans="1:14" x14ac:dyDescent="0.3">
      <c r="A5311" s="1" t="s">
        <v>10127</v>
      </c>
      <c r="B5311" s="1" t="s">
        <v>5289</v>
      </c>
      <c r="C5311" s="1" t="s">
        <v>10128</v>
      </c>
      <c r="D5311" s="1" t="s">
        <v>1395</v>
      </c>
      <c r="E5311" s="1" t="s">
        <v>6076</v>
      </c>
      <c r="F5311" s="1" t="s">
        <v>6076</v>
      </c>
      <c r="G5311" s="1" t="s">
        <v>10126</v>
      </c>
      <c r="H5311">
        <v>2019</v>
      </c>
      <c r="I5311">
        <v>2022</v>
      </c>
      <c r="J5311">
        <f t="shared" si="164"/>
        <v>4</v>
      </c>
      <c r="K5311" s="1" t="s">
        <v>6076</v>
      </c>
      <c r="L5311" s="1" t="s">
        <v>6076</v>
      </c>
      <c r="M5311">
        <f t="shared" si="165"/>
        <v>4</v>
      </c>
      <c r="N5311" t="s">
        <v>650</v>
      </c>
    </row>
    <row r="5312" spans="1:14" x14ac:dyDescent="0.3">
      <c r="A5312" s="1" t="s">
        <v>10129</v>
      </c>
      <c r="B5312" s="1" t="s">
        <v>5289</v>
      </c>
      <c r="C5312" s="1" t="s">
        <v>10130</v>
      </c>
      <c r="D5312" s="1" t="s">
        <v>644</v>
      </c>
      <c r="E5312" s="1" t="s">
        <v>6076</v>
      </c>
      <c r="F5312" s="1" t="s">
        <v>6076</v>
      </c>
      <c r="G5312" s="1" t="s">
        <v>10131</v>
      </c>
      <c r="H5312">
        <v>2013</v>
      </c>
      <c r="I5312">
        <v>2018</v>
      </c>
      <c r="J5312">
        <f t="shared" si="164"/>
        <v>6</v>
      </c>
      <c r="K5312" s="1" t="s">
        <v>6076</v>
      </c>
      <c r="L5312" s="1" t="s">
        <v>6076</v>
      </c>
      <c r="M5312">
        <f t="shared" si="165"/>
        <v>8</v>
      </c>
      <c r="N5312" t="s">
        <v>650</v>
      </c>
    </row>
    <row r="5313" spans="1:14" x14ac:dyDescent="0.3">
      <c r="A5313" s="1" t="s">
        <v>10132</v>
      </c>
      <c r="B5313" s="1" t="s">
        <v>5289</v>
      </c>
      <c r="C5313" s="1" t="s">
        <v>10133</v>
      </c>
      <c r="D5313" s="1" t="s">
        <v>1395</v>
      </c>
      <c r="E5313" s="1" t="s">
        <v>6076</v>
      </c>
      <c r="F5313" s="1" t="s">
        <v>6076</v>
      </c>
      <c r="G5313" s="1" t="s">
        <v>10134</v>
      </c>
      <c r="H5313">
        <v>2018</v>
      </c>
      <c r="I5313">
        <v>2022</v>
      </c>
      <c r="J5313">
        <f t="shared" si="164"/>
        <v>5</v>
      </c>
      <c r="K5313" s="1" t="s">
        <v>6076</v>
      </c>
      <c r="L5313" s="1" t="s">
        <v>6076</v>
      </c>
      <c r="M5313">
        <f t="shared" si="165"/>
        <v>4</v>
      </c>
      <c r="N5313" t="s">
        <v>650</v>
      </c>
    </row>
    <row r="5314" spans="1:14" x14ac:dyDescent="0.3">
      <c r="A5314" t="s">
        <v>11029</v>
      </c>
      <c r="B5314" t="s">
        <v>10996</v>
      </c>
      <c r="C5314" t="s">
        <v>11030</v>
      </c>
      <c r="E5314" s="1" t="s">
        <v>6076</v>
      </c>
      <c r="F5314" s="1" t="s">
        <v>6076</v>
      </c>
      <c r="G5314" s="1" t="s">
        <v>12781</v>
      </c>
      <c r="H5314">
        <v>2022</v>
      </c>
      <c r="I5314">
        <v>2026</v>
      </c>
      <c r="J5314">
        <f t="shared" si="164"/>
        <v>5</v>
      </c>
      <c r="K5314" s="1" t="s">
        <v>6076</v>
      </c>
      <c r="L5314" s="1" t="s">
        <v>6076</v>
      </c>
      <c r="M5314">
        <f t="shared" si="165"/>
        <v>0</v>
      </c>
    </row>
    <row r="5315" spans="1:14" x14ac:dyDescent="0.3">
      <c r="A5315" t="s">
        <v>11550</v>
      </c>
      <c r="B5315" t="s">
        <v>10999</v>
      </c>
      <c r="C5315" t="s">
        <v>11551</v>
      </c>
      <c r="E5315" s="1" t="s">
        <v>6076</v>
      </c>
      <c r="F5315" s="1" t="s">
        <v>6076</v>
      </c>
      <c r="G5315" s="1" t="s">
        <v>12834</v>
      </c>
      <c r="H5315">
        <v>2025</v>
      </c>
      <c r="I5315">
        <v>2026</v>
      </c>
      <c r="J5315">
        <f t="shared" si="164"/>
        <v>2</v>
      </c>
      <c r="K5315" s="1" t="s">
        <v>6076</v>
      </c>
      <c r="L5315" s="1" t="s">
        <v>6076</v>
      </c>
      <c r="M5315">
        <f t="shared" si="165"/>
        <v>0</v>
      </c>
    </row>
    <row r="5316" spans="1:14" hidden="1" x14ac:dyDescent="0.3">
      <c r="A5316" s="1" t="s">
        <v>5776</v>
      </c>
      <c r="B5316" s="1" t="s">
        <v>810</v>
      </c>
      <c r="C5316" s="1" t="s">
        <v>5777</v>
      </c>
      <c r="D5316" s="1" t="s">
        <v>1395</v>
      </c>
      <c r="E5316" s="1" t="s">
        <v>3905</v>
      </c>
      <c r="F5316" s="1" t="s">
        <v>3906</v>
      </c>
      <c r="G5316" s="1" t="s">
        <v>5778</v>
      </c>
      <c r="H5316">
        <v>2022</v>
      </c>
      <c r="I5316">
        <v>2022</v>
      </c>
      <c r="J5316">
        <f t="shared" si="164"/>
        <v>1</v>
      </c>
      <c r="K5316" s="1" t="s">
        <v>4668</v>
      </c>
      <c r="L5316" s="1" t="s">
        <v>666</v>
      </c>
      <c r="M5316">
        <f t="shared" si="165"/>
        <v>4</v>
      </c>
      <c r="N5316" t="s">
        <v>650</v>
      </c>
    </row>
    <row r="5317" spans="1:14" hidden="1" x14ac:dyDescent="0.3">
      <c r="A5317" s="1" t="s">
        <v>5779</v>
      </c>
      <c r="B5317" s="1" t="s">
        <v>810</v>
      </c>
      <c r="C5317" s="1" t="s">
        <v>5780</v>
      </c>
      <c r="D5317" s="1" t="s">
        <v>1395</v>
      </c>
      <c r="E5317" s="1" t="s">
        <v>3905</v>
      </c>
      <c r="F5317" s="1" t="s">
        <v>3906</v>
      </c>
      <c r="G5317" s="1" t="s">
        <v>5778</v>
      </c>
      <c r="H5317">
        <v>2022</v>
      </c>
      <c r="I5317">
        <v>2022</v>
      </c>
      <c r="J5317">
        <f t="shared" si="164"/>
        <v>1</v>
      </c>
      <c r="K5317" s="1" t="s">
        <v>4668</v>
      </c>
      <c r="L5317" s="1" t="s">
        <v>666</v>
      </c>
      <c r="M5317">
        <f t="shared" si="165"/>
        <v>4</v>
      </c>
      <c r="N5317" t="s">
        <v>650</v>
      </c>
    </row>
    <row r="5318" spans="1:14" hidden="1" x14ac:dyDescent="0.3">
      <c r="A5318" s="1" t="s">
        <v>5781</v>
      </c>
      <c r="B5318" s="1" t="s">
        <v>810</v>
      </c>
      <c r="C5318" s="1" t="s">
        <v>5782</v>
      </c>
      <c r="D5318" s="1" t="s">
        <v>1395</v>
      </c>
      <c r="E5318" s="1" t="s">
        <v>3905</v>
      </c>
      <c r="F5318" s="1" t="s">
        <v>3906</v>
      </c>
      <c r="G5318" s="1" t="s">
        <v>5778</v>
      </c>
      <c r="H5318">
        <v>2022</v>
      </c>
      <c r="I5318">
        <v>2022</v>
      </c>
      <c r="J5318">
        <f t="shared" ref="J5318:J5381" si="166">1+(I5318-H5318)</f>
        <v>1</v>
      </c>
      <c r="K5318" s="1" t="s">
        <v>4668</v>
      </c>
      <c r="L5318" s="1" t="s">
        <v>666</v>
      </c>
      <c r="M5318">
        <f t="shared" ref="M5318:M5381" si="167">IF(I5318=0,0,$B$2-I5318)</f>
        <v>4</v>
      </c>
      <c r="N5318" t="s">
        <v>650</v>
      </c>
    </row>
    <row r="5319" spans="1:14" x14ac:dyDescent="0.3">
      <c r="A5319" s="1" t="s">
        <v>10135</v>
      </c>
      <c r="B5319" s="1" t="s">
        <v>1451</v>
      </c>
      <c r="C5319" s="1" t="s">
        <v>10136</v>
      </c>
      <c r="D5319" s="1" t="s">
        <v>738</v>
      </c>
      <c r="E5319" s="1" t="s">
        <v>6076</v>
      </c>
      <c r="F5319" s="1" t="s">
        <v>6076</v>
      </c>
      <c r="G5319" s="1" t="s">
        <v>10137</v>
      </c>
      <c r="H5319">
        <v>1992</v>
      </c>
      <c r="I5319">
        <v>1995</v>
      </c>
      <c r="J5319">
        <f t="shared" si="166"/>
        <v>4</v>
      </c>
      <c r="K5319" s="1" t="s">
        <v>6076</v>
      </c>
      <c r="L5319" s="1" t="s">
        <v>6076</v>
      </c>
      <c r="M5319">
        <f t="shared" si="167"/>
        <v>31</v>
      </c>
      <c r="N5319" t="s">
        <v>640</v>
      </c>
    </row>
    <row r="5320" spans="1:14" x14ac:dyDescent="0.3">
      <c r="A5320" s="1" t="s">
        <v>10138</v>
      </c>
      <c r="B5320" s="1" t="s">
        <v>1451</v>
      </c>
      <c r="C5320" s="1" t="s">
        <v>10139</v>
      </c>
      <c r="D5320" s="1" t="s">
        <v>738</v>
      </c>
      <c r="E5320" s="1" t="s">
        <v>6076</v>
      </c>
      <c r="F5320" s="1" t="s">
        <v>6076</v>
      </c>
      <c r="G5320" s="1" t="s">
        <v>10137</v>
      </c>
      <c r="H5320">
        <v>1991</v>
      </c>
      <c r="I5320">
        <v>1995</v>
      </c>
      <c r="J5320">
        <f t="shared" si="166"/>
        <v>5</v>
      </c>
      <c r="K5320" s="1" t="s">
        <v>6076</v>
      </c>
      <c r="L5320" s="1" t="s">
        <v>6076</v>
      </c>
      <c r="M5320">
        <f t="shared" si="167"/>
        <v>31</v>
      </c>
      <c r="N5320" t="s">
        <v>640</v>
      </c>
    </row>
    <row r="5321" spans="1:14" x14ac:dyDescent="0.3">
      <c r="A5321" s="1" t="s">
        <v>10140</v>
      </c>
      <c r="B5321" s="1" t="s">
        <v>1451</v>
      </c>
      <c r="C5321" s="1" t="s">
        <v>10141</v>
      </c>
      <c r="D5321" s="1" t="s">
        <v>738</v>
      </c>
      <c r="E5321" s="1" t="s">
        <v>6076</v>
      </c>
      <c r="F5321" s="1" t="s">
        <v>6076</v>
      </c>
      <c r="G5321" s="1" t="s">
        <v>10137</v>
      </c>
      <c r="H5321">
        <v>1991</v>
      </c>
      <c r="I5321">
        <v>1998</v>
      </c>
      <c r="J5321">
        <f t="shared" si="166"/>
        <v>8</v>
      </c>
      <c r="K5321" s="1" t="s">
        <v>6076</v>
      </c>
      <c r="L5321" s="1" t="s">
        <v>6076</v>
      </c>
      <c r="M5321">
        <f t="shared" si="167"/>
        <v>28</v>
      </c>
      <c r="N5321" t="s">
        <v>640</v>
      </c>
    </row>
    <row r="5322" spans="1:14" x14ac:dyDescent="0.3">
      <c r="A5322" s="1" t="s">
        <v>10142</v>
      </c>
      <c r="B5322" s="1" t="s">
        <v>1451</v>
      </c>
      <c r="C5322" s="1" t="s">
        <v>10143</v>
      </c>
      <c r="D5322" s="1" t="s">
        <v>738</v>
      </c>
      <c r="E5322" s="1" t="s">
        <v>6076</v>
      </c>
      <c r="F5322" s="1" t="s">
        <v>6076</v>
      </c>
      <c r="G5322" s="1" t="s">
        <v>10137</v>
      </c>
      <c r="H5322">
        <v>1994</v>
      </c>
      <c r="I5322">
        <v>1995</v>
      </c>
      <c r="J5322">
        <f t="shared" si="166"/>
        <v>2</v>
      </c>
      <c r="K5322" s="1" t="s">
        <v>6076</v>
      </c>
      <c r="L5322" s="1" t="s">
        <v>6076</v>
      </c>
      <c r="M5322">
        <f t="shared" si="167"/>
        <v>31</v>
      </c>
      <c r="N5322" t="s">
        <v>640</v>
      </c>
    </row>
    <row r="5323" spans="1:14" x14ac:dyDescent="0.3">
      <c r="A5323" s="1" t="s">
        <v>10144</v>
      </c>
      <c r="B5323" s="1" t="s">
        <v>1451</v>
      </c>
      <c r="C5323" s="1" t="s">
        <v>10145</v>
      </c>
      <c r="D5323" s="1" t="s">
        <v>738</v>
      </c>
      <c r="E5323" s="1" t="s">
        <v>6076</v>
      </c>
      <c r="F5323" s="1" t="s">
        <v>6076</v>
      </c>
      <c r="G5323" s="1" t="s">
        <v>10137</v>
      </c>
      <c r="H5323">
        <v>1991</v>
      </c>
      <c r="I5323">
        <v>1993</v>
      </c>
      <c r="J5323">
        <f t="shared" si="166"/>
        <v>3</v>
      </c>
      <c r="K5323" s="1" t="s">
        <v>6076</v>
      </c>
      <c r="L5323" s="1" t="s">
        <v>6076</v>
      </c>
      <c r="M5323">
        <f t="shared" si="167"/>
        <v>33</v>
      </c>
      <c r="N5323" t="s">
        <v>640</v>
      </c>
    </row>
    <row r="5324" spans="1:14" hidden="1" x14ac:dyDescent="0.3">
      <c r="A5324" s="1" t="s">
        <v>4671</v>
      </c>
      <c r="B5324" s="1" t="s">
        <v>810</v>
      </c>
      <c r="C5324" s="1" t="s">
        <v>4672</v>
      </c>
      <c r="D5324" s="1" t="s">
        <v>1395</v>
      </c>
      <c r="E5324" s="1" t="s">
        <v>1396</v>
      </c>
      <c r="F5324" s="1" t="s">
        <v>1397</v>
      </c>
      <c r="G5324" s="1" t="s">
        <v>4673</v>
      </c>
      <c r="H5324">
        <v>2020</v>
      </c>
      <c r="I5324">
        <v>2022</v>
      </c>
      <c r="J5324">
        <f t="shared" si="166"/>
        <v>3</v>
      </c>
      <c r="K5324" s="1" t="s">
        <v>3665</v>
      </c>
      <c r="L5324" s="1" t="s">
        <v>666</v>
      </c>
      <c r="M5324">
        <f t="shared" si="167"/>
        <v>4</v>
      </c>
      <c r="N5324" t="s">
        <v>650</v>
      </c>
    </row>
    <row r="5325" spans="1:14" hidden="1" x14ac:dyDescent="0.3">
      <c r="A5325" s="1" t="s">
        <v>4674</v>
      </c>
      <c r="B5325" s="1" t="s">
        <v>810</v>
      </c>
      <c r="C5325" s="1" t="s">
        <v>4675</v>
      </c>
      <c r="D5325" s="1" t="s">
        <v>1395</v>
      </c>
      <c r="E5325" s="1" t="s">
        <v>1396</v>
      </c>
      <c r="F5325" s="1" t="s">
        <v>1397</v>
      </c>
      <c r="G5325" s="1" t="s">
        <v>4673</v>
      </c>
      <c r="H5325">
        <v>2020</v>
      </c>
      <c r="I5325">
        <v>2022</v>
      </c>
      <c r="J5325">
        <f t="shared" si="166"/>
        <v>3</v>
      </c>
      <c r="K5325" s="1" t="s">
        <v>3665</v>
      </c>
      <c r="L5325" s="1" t="s">
        <v>666</v>
      </c>
      <c r="M5325">
        <f t="shared" si="167"/>
        <v>4</v>
      </c>
      <c r="N5325" t="s">
        <v>650</v>
      </c>
    </row>
    <row r="5326" spans="1:14" hidden="1" x14ac:dyDescent="0.3">
      <c r="A5326" s="1" t="s">
        <v>4676</v>
      </c>
      <c r="B5326" s="1" t="s">
        <v>810</v>
      </c>
      <c r="C5326" s="1" t="s">
        <v>4677</v>
      </c>
      <c r="D5326" s="1" t="s">
        <v>1395</v>
      </c>
      <c r="E5326" s="1" t="s">
        <v>1396</v>
      </c>
      <c r="F5326" s="1" t="s">
        <v>1397</v>
      </c>
      <c r="G5326" s="1" t="s">
        <v>4673</v>
      </c>
      <c r="H5326">
        <v>2020</v>
      </c>
      <c r="I5326">
        <v>2022</v>
      </c>
      <c r="J5326">
        <f t="shared" si="166"/>
        <v>3</v>
      </c>
      <c r="K5326" s="1" t="s">
        <v>3665</v>
      </c>
      <c r="L5326" s="1" t="s">
        <v>666</v>
      </c>
      <c r="M5326">
        <f t="shared" si="167"/>
        <v>4</v>
      </c>
      <c r="N5326" t="s">
        <v>650</v>
      </c>
    </row>
    <row r="5327" spans="1:14" hidden="1" x14ac:dyDescent="0.3">
      <c r="A5327" t="s">
        <v>12736</v>
      </c>
      <c r="B5327" t="s">
        <v>810</v>
      </c>
      <c r="C5327" t="s">
        <v>12737</v>
      </c>
      <c r="E5327" s="1" t="e">
        <v>#N/A</v>
      </c>
      <c r="F5327" s="1" t="e">
        <v>#N/A</v>
      </c>
      <c r="G5327" s="1" t="s">
        <v>12902</v>
      </c>
      <c r="H5327">
        <v>2025</v>
      </c>
      <c r="I5327">
        <v>2026</v>
      </c>
      <c r="J5327">
        <f t="shared" si="166"/>
        <v>2</v>
      </c>
      <c r="K5327" s="1" t="s">
        <v>3665</v>
      </c>
      <c r="L5327" s="1" t="s">
        <v>666</v>
      </c>
      <c r="M5327">
        <f t="shared" si="167"/>
        <v>0</v>
      </c>
    </row>
    <row r="5328" spans="1:14" hidden="1" x14ac:dyDescent="0.3">
      <c r="A5328" s="1" t="s">
        <v>4678</v>
      </c>
      <c r="B5328" s="1" t="s">
        <v>810</v>
      </c>
      <c r="C5328" s="1" t="s">
        <v>4679</v>
      </c>
      <c r="D5328" s="1" t="s">
        <v>1395</v>
      </c>
      <c r="E5328" s="1" t="s">
        <v>1396</v>
      </c>
      <c r="F5328" s="1" t="s">
        <v>1397</v>
      </c>
      <c r="G5328" s="1" t="s">
        <v>4673</v>
      </c>
      <c r="H5328">
        <v>2020</v>
      </c>
      <c r="I5328">
        <v>2022</v>
      </c>
      <c r="J5328">
        <f t="shared" si="166"/>
        <v>3</v>
      </c>
      <c r="K5328" s="1" t="s">
        <v>3665</v>
      </c>
      <c r="L5328" s="1" t="s">
        <v>666</v>
      </c>
      <c r="M5328">
        <f t="shared" si="167"/>
        <v>4</v>
      </c>
      <c r="N5328" t="s">
        <v>650</v>
      </c>
    </row>
    <row r="5329" spans="1:14" hidden="1" x14ac:dyDescent="0.3">
      <c r="A5329" s="1" t="s">
        <v>4680</v>
      </c>
      <c r="B5329" s="1" t="s">
        <v>810</v>
      </c>
      <c r="C5329" s="1" t="s">
        <v>4681</v>
      </c>
      <c r="D5329" s="1" t="s">
        <v>1395</v>
      </c>
      <c r="E5329" s="1" t="s">
        <v>1396</v>
      </c>
      <c r="F5329" s="1" t="s">
        <v>1397</v>
      </c>
      <c r="G5329" s="1" t="s">
        <v>4673</v>
      </c>
      <c r="H5329">
        <v>2020</v>
      </c>
      <c r="I5329">
        <v>2022</v>
      </c>
      <c r="J5329">
        <f t="shared" si="166"/>
        <v>3</v>
      </c>
      <c r="K5329" s="1" t="s">
        <v>3665</v>
      </c>
      <c r="L5329" s="1" t="s">
        <v>666</v>
      </c>
      <c r="M5329">
        <f t="shared" si="167"/>
        <v>4</v>
      </c>
      <c r="N5329" t="s">
        <v>650</v>
      </c>
    </row>
    <row r="5330" spans="1:14" x14ac:dyDescent="0.3">
      <c r="A5330" s="1" t="s">
        <v>10146</v>
      </c>
      <c r="B5330" s="1" t="s">
        <v>802</v>
      </c>
      <c r="C5330" s="1" t="s">
        <v>10147</v>
      </c>
      <c r="D5330" s="1" t="s">
        <v>738</v>
      </c>
      <c r="E5330" s="1" t="s">
        <v>6076</v>
      </c>
      <c r="F5330" s="1" t="s">
        <v>6076</v>
      </c>
      <c r="G5330" s="1" t="s">
        <v>10148</v>
      </c>
      <c r="H5330">
        <v>1994</v>
      </c>
      <c r="I5330">
        <v>1994</v>
      </c>
      <c r="J5330">
        <f t="shared" si="166"/>
        <v>1</v>
      </c>
      <c r="K5330" s="1" t="s">
        <v>6076</v>
      </c>
      <c r="L5330" s="1" t="s">
        <v>6076</v>
      </c>
      <c r="M5330">
        <f t="shared" si="167"/>
        <v>32</v>
      </c>
      <c r="N5330" t="s">
        <v>640</v>
      </c>
    </row>
    <row r="5331" spans="1:14" x14ac:dyDescent="0.3">
      <c r="A5331" s="1" t="s">
        <v>10149</v>
      </c>
      <c r="B5331" s="1" t="s">
        <v>802</v>
      </c>
      <c r="C5331" s="1" t="s">
        <v>10150</v>
      </c>
      <c r="D5331" s="1" t="s">
        <v>738</v>
      </c>
      <c r="E5331" s="1" t="s">
        <v>6076</v>
      </c>
      <c r="F5331" s="1" t="s">
        <v>6076</v>
      </c>
      <c r="G5331" s="1" t="s">
        <v>10148</v>
      </c>
      <c r="H5331">
        <v>1994</v>
      </c>
      <c r="I5331">
        <v>1994</v>
      </c>
      <c r="J5331">
        <f t="shared" si="166"/>
        <v>1</v>
      </c>
      <c r="K5331" s="1" t="s">
        <v>6076</v>
      </c>
      <c r="L5331" s="1" t="s">
        <v>6076</v>
      </c>
      <c r="M5331">
        <f t="shared" si="167"/>
        <v>32</v>
      </c>
      <c r="N5331" t="s">
        <v>640</v>
      </c>
    </row>
    <row r="5332" spans="1:14" x14ac:dyDescent="0.3">
      <c r="A5332" s="1" t="s">
        <v>10151</v>
      </c>
      <c r="B5332" s="1" t="s">
        <v>802</v>
      </c>
      <c r="C5332" s="1" t="s">
        <v>10152</v>
      </c>
      <c r="D5332" s="1" t="s">
        <v>738</v>
      </c>
      <c r="E5332" s="1" t="s">
        <v>6076</v>
      </c>
      <c r="F5332" s="1" t="s">
        <v>6076</v>
      </c>
      <c r="G5332" s="1" t="s">
        <v>10148</v>
      </c>
      <c r="H5332">
        <v>1999</v>
      </c>
      <c r="I5332">
        <v>1999</v>
      </c>
      <c r="J5332">
        <f t="shared" si="166"/>
        <v>1</v>
      </c>
      <c r="K5332" s="1" t="s">
        <v>6076</v>
      </c>
      <c r="L5332" s="1" t="s">
        <v>6076</v>
      </c>
      <c r="M5332">
        <f t="shared" si="167"/>
        <v>27</v>
      </c>
      <c r="N5332" t="s">
        <v>640</v>
      </c>
    </row>
    <row r="5333" spans="1:14" x14ac:dyDescent="0.3">
      <c r="A5333" s="1" t="s">
        <v>10153</v>
      </c>
      <c r="B5333" s="1" t="s">
        <v>802</v>
      </c>
      <c r="C5333" s="1" t="s">
        <v>10154</v>
      </c>
      <c r="D5333" s="1" t="s">
        <v>738</v>
      </c>
      <c r="E5333" s="1" t="s">
        <v>6076</v>
      </c>
      <c r="F5333" s="1" t="s">
        <v>6076</v>
      </c>
      <c r="G5333" s="1" t="s">
        <v>10148</v>
      </c>
      <c r="H5333">
        <v>1999</v>
      </c>
      <c r="I5333">
        <v>1999</v>
      </c>
      <c r="J5333">
        <f t="shared" si="166"/>
        <v>1</v>
      </c>
      <c r="K5333" s="1" t="s">
        <v>6076</v>
      </c>
      <c r="L5333" s="1" t="s">
        <v>6076</v>
      </c>
      <c r="M5333">
        <f t="shared" si="167"/>
        <v>27</v>
      </c>
      <c r="N5333" t="s">
        <v>640</v>
      </c>
    </row>
    <row r="5334" spans="1:14" x14ac:dyDescent="0.3">
      <c r="A5334" s="1" t="s">
        <v>10155</v>
      </c>
      <c r="B5334" s="1" t="s">
        <v>802</v>
      </c>
      <c r="C5334" s="1" t="s">
        <v>10156</v>
      </c>
      <c r="D5334" s="1" t="s">
        <v>738</v>
      </c>
      <c r="E5334" s="1" t="s">
        <v>6076</v>
      </c>
      <c r="F5334" s="1" t="s">
        <v>6076</v>
      </c>
      <c r="G5334" s="1" t="s">
        <v>10148</v>
      </c>
      <c r="H5334">
        <v>1996</v>
      </c>
      <c r="I5334">
        <v>1996</v>
      </c>
      <c r="J5334">
        <f t="shared" si="166"/>
        <v>1</v>
      </c>
      <c r="K5334" s="1" t="s">
        <v>6076</v>
      </c>
      <c r="L5334" s="1" t="s">
        <v>6076</v>
      </c>
      <c r="M5334">
        <f t="shared" si="167"/>
        <v>30</v>
      </c>
      <c r="N5334" t="s">
        <v>640</v>
      </c>
    </row>
    <row r="5335" spans="1:14" x14ac:dyDescent="0.3">
      <c r="A5335" s="1" t="s">
        <v>10157</v>
      </c>
      <c r="B5335" s="1" t="s">
        <v>802</v>
      </c>
      <c r="C5335" s="1" t="s">
        <v>10158</v>
      </c>
      <c r="D5335" s="1" t="s">
        <v>738</v>
      </c>
      <c r="E5335" s="1" t="s">
        <v>6076</v>
      </c>
      <c r="F5335" s="1" t="s">
        <v>6076</v>
      </c>
      <c r="G5335" s="1" t="s">
        <v>10148</v>
      </c>
      <c r="H5335">
        <v>1993</v>
      </c>
      <c r="I5335">
        <v>1993</v>
      </c>
      <c r="J5335">
        <f t="shared" si="166"/>
        <v>1</v>
      </c>
      <c r="K5335" s="1" t="s">
        <v>6076</v>
      </c>
      <c r="L5335" s="1" t="s">
        <v>6076</v>
      </c>
      <c r="M5335">
        <f t="shared" si="167"/>
        <v>33</v>
      </c>
      <c r="N5335" t="s">
        <v>640</v>
      </c>
    </row>
    <row r="5336" spans="1:14" x14ac:dyDescent="0.3">
      <c r="A5336" s="1" t="s">
        <v>10159</v>
      </c>
      <c r="B5336" s="1" t="s">
        <v>802</v>
      </c>
      <c r="C5336" s="1" t="s">
        <v>10160</v>
      </c>
      <c r="D5336" s="1" t="s">
        <v>738</v>
      </c>
      <c r="E5336" s="1" t="s">
        <v>6076</v>
      </c>
      <c r="F5336" s="1" t="s">
        <v>6076</v>
      </c>
      <c r="G5336" s="1" t="s">
        <v>10148</v>
      </c>
      <c r="H5336">
        <v>1992</v>
      </c>
      <c r="I5336">
        <v>1992</v>
      </c>
      <c r="J5336">
        <f t="shared" si="166"/>
        <v>1</v>
      </c>
      <c r="K5336" s="1" t="s">
        <v>6076</v>
      </c>
      <c r="L5336" s="1" t="s">
        <v>6076</v>
      </c>
      <c r="M5336">
        <f t="shared" si="167"/>
        <v>34</v>
      </c>
      <c r="N5336" t="s">
        <v>640</v>
      </c>
    </row>
    <row r="5337" spans="1:14" x14ac:dyDescent="0.3">
      <c r="A5337" s="1" t="s">
        <v>10159</v>
      </c>
      <c r="B5337" s="1" t="s">
        <v>802</v>
      </c>
      <c r="C5337" s="1" t="s">
        <v>10160</v>
      </c>
      <c r="D5337" s="1" t="s">
        <v>738</v>
      </c>
      <c r="E5337" s="1" t="s">
        <v>6076</v>
      </c>
      <c r="F5337" s="1" t="s">
        <v>6076</v>
      </c>
      <c r="G5337" s="1" t="s">
        <v>10148</v>
      </c>
      <c r="H5337">
        <v>1992</v>
      </c>
      <c r="I5337">
        <v>1992</v>
      </c>
      <c r="J5337">
        <f t="shared" si="166"/>
        <v>1</v>
      </c>
      <c r="K5337" s="1" t="s">
        <v>6076</v>
      </c>
      <c r="L5337" s="1" t="s">
        <v>6076</v>
      </c>
      <c r="M5337">
        <f t="shared" si="167"/>
        <v>34</v>
      </c>
      <c r="N5337" t="s">
        <v>640</v>
      </c>
    </row>
    <row r="5338" spans="1:14" x14ac:dyDescent="0.3">
      <c r="A5338" s="1" t="s">
        <v>10161</v>
      </c>
      <c r="B5338" s="1" t="s">
        <v>802</v>
      </c>
      <c r="C5338" s="1" t="s">
        <v>10162</v>
      </c>
      <c r="D5338" s="1" t="s">
        <v>738</v>
      </c>
      <c r="E5338" s="1" t="s">
        <v>6076</v>
      </c>
      <c r="F5338" s="1" t="s">
        <v>6076</v>
      </c>
      <c r="G5338" s="1" t="s">
        <v>10148</v>
      </c>
      <c r="H5338">
        <v>1995</v>
      </c>
      <c r="I5338">
        <v>1995</v>
      </c>
      <c r="J5338">
        <f t="shared" si="166"/>
        <v>1</v>
      </c>
      <c r="K5338" s="1" t="s">
        <v>6076</v>
      </c>
      <c r="L5338" s="1" t="s">
        <v>6076</v>
      </c>
      <c r="M5338">
        <f t="shared" si="167"/>
        <v>31</v>
      </c>
      <c r="N5338" t="s">
        <v>640</v>
      </c>
    </row>
    <row r="5339" spans="1:14" x14ac:dyDescent="0.3">
      <c r="A5339" s="1" t="s">
        <v>10163</v>
      </c>
      <c r="B5339" s="1" t="s">
        <v>802</v>
      </c>
      <c r="C5339" s="1" t="s">
        <v>10164</v>
      </c>
      <c r="D5339" s="1" t="s">
        <v>738</v>
      </c>
      <c r="E5339" s="1" t="s">
        <v>6076</v>
      </c>
      <c r="F5339" s="1" t="s">
        <v>6076</v>
      </c>
      <c r="G5339" s="1" t="s">
        <v>10148</v>
      </c>
      <c r="H5339">
        <v>1995</v>
      </c>
      <c r="I5339">
        <v>1995</v>
      </c>
      <c r="J5339">
        <f t="shared" si="166"/>
        <v>1</v>
      </c>
      <c r="K5339" s="1" t="s">
        <v>6076</v>
      </c>
      <c r="L5339" s="1" t="s">
        <v>6076</v>
      </c>
      <c r="M5339">
        <f t="shared" si="167"/>
        <v>31</v>
      </c>
      <c r="N5339" t="s">
        <v>640</v>
      </c>
    </row>
    <row r="5340" spans="1:14" x14ac:dyDescent="0.3">
      <c r="A5340" s="1" t="s">
        <v>10165</v>
      </c>
      <c r="B5340" s="1" t="s">
        <v>802</v>
      </c>
      <c r="C5340" s="1" t="s">
        <v>10166</v>
      </c>
      <c r="D5340" s="1" t="s">
        <v>738</v>
      </c>
      <c r="E5340" s="1" t="s">
        <v>6076</v>
      </c>
      <c r="F5340" s="1" t="s">
        <v>6076</v>
      </c>
      <c r="G5340" s="1" t="s">
        <v>10148</v>
      </c>
      <c r="H5340">
        <v>1996</v>
      </c>
      <c r="I5340">
        <v>1996</v>
      </c>
      <c r="J5340">
        <f t="shared" si="166"/>
        <v>1</v>
      </c>
      <c r="K5340" s="1" t="s">
        <v>6076</v>
      </c>
      <c r="L5340" s="1" t="s">
        <v>6076</v>
      </c>
      <c r="M5340">
        <f t="shared" si="167"/>
        <v>30</v>
      </c>
      <c r="N5340" t="s">
        <v>640</v>
      </c>
    </row>
    <row r="5341" spans="1:14" x14ac:dyDescent="0.3">
      <c r="A5341" s="1" t="s">
        <v>10167</v>
      </c>
      <c r="B5341" s="1" t="s">
        <v>802</v>
      </c>
      <c r="C5341" s="1" t="s">
        <v>10168</v>
      </c>
      <c r="D5341" s="1" t="s">
        <v>738</v>
      </c>
      <c r="E5341" s="1" t="s">
        <v>6076</v>
      </c>
      <c r="F5341" s="1" t="s">
        <v>6076</v>
      </c>
      <c r="G5341" s="1" t="s">
        <v>10148</v>
      </c>
      <c r="H5341">
        <v>1996</v>
      </c>
      <c r="I5341">
        <v>1996</v>
      </c>
      <c r="J5341">
        <f t="shared" si="166"/>
        <v>1</v>
      </c>
      <c r="K5341" s="1" t="s">
        <v>6076</v>
      </c>
      <c r="L5341" s="1" t="s">
        <v>6076</v>
      </c>
      <c r="M5341">
        <f t="shared" si="167"/>
        <v>30</v>
      </c>
      <c r="N5341" t="s">
        <v>640</v>
      </c>
    </row>
    <row r="5342" spans="1:14" x14ac:dyDescent="0.3">
      <c r="A5342" s="1" t="s">
        <v>10169</v>
      </c>
      <c r="B5342" s="1" t="s">
        <v>802</v>
      </c>
      <c r="C5342" s="1" t="s">
        <v>10170</v>
      </c>
      <c r="D5342" s="1" t="s">
        <v>738</v>
      </c>
      <c r="E5342" s="1" t="s">
        <v>6076</v>
      </c>
      <c r="F5342" s="1" t="s">
        <v>6076</v>
      </c>
      <c r="G5342" s="1" t="s">
        <v>10148</v>
      </c>
      <c r="H5342">
        <v>1994</v>
      </c>
      <c r="I5342">
        <v>1994</v>
      </c>
      <c r="J5342">
        <f t="shared" si="166"/>
        <v>1</v>
      </c>
      <c r="K5342" s="1" t="s">
        <v>6076</v>
      </c>
      <c r="L5342" s="1" t="s">
        <v>6076</v>
      </c>
      <c r="M5342">
        <f t="shared" si="167"/>
        <v>32</v>
      </c>
      <c r="N5342" t="s">
        <v>640</v>
      </c>
    </row>
    <row r="5343" spans="1:14" hidden="1" x14ac:dyDescent="0.3">
      <c r="A5343" t="s">
        <v>12738</v>
      </c>
      <c r="B5343" t="s">
        <v>810</v>
      </c>
      <c r="C5343" t="s">
        <v>12739</v>
      </c>
      <c r="E5343" s="1" t="e">
        <v>#N/A</v>
      </c>
      <c r="F5343" s="1" t="e">
        <v>#N/A</v>
      </c>
      <c r="G5343" s="1" t="s">
        <v>12888</v>
      </c>
      <c r="H5343">
        <v>2025</v>
      </c>
      <c r="I5343">
        <v>2026</v>
      </c>
      <c r="J5343">
        <f t="shared" si="166"/>
        <v>2</v>
      </c>
      <c r="K5343" s="1" t="s">
        <v>12913</v>
      </c>
      <c r="L5343" s="1" t="s">
        <v>649</v>
      </c>
      <c r="M5343">
        <f t="shared" si="167"/>
        <v>0</v>
      </c>
    </row>
    <row r="5344" spans="1:14" hidden="1" x14ac:dyDescent="0.3">
      <c r="A5344" t="s">
        <v>12740</v>
      </c>
      <c r="B5344" t="s">
        <v>810</v>
      </c>
      <c r="C5344" t="s">
        <v>12741</v>
      </c>
      <c r="E5344" s="1" t="e">
        <v>#N/A</v>
      </c>
      <c r="F5344" s="1" t="e">
        <v>#N/A</v>
      </c>
      <c r="G5344" s="1" t="s">
        <v>12888</v>
      </c>
      <c r="H5344">
        <v>2025</v>
      </c>
      <c r="I5344">
        <v>2026</v>
      </c>
      <c r="J5344">
        <f t="shared" si="166"/>
        <v>2</v>
      </c>
      <c r="K5344" s="1" t="s">
        <v>12913</v>
      </c>
      <c r="L5344" s="1" t="s">
        <v>649</v>
      </c>
      <c r="M5344">
        <f t="shared" si="167"/>
        <v>0</v>
      </c>
    </row>
    <row r="5345" spans="1:14" hidden="1" x14ac:dyDescent="0.3">
      <c r="A5345" t="s">
        <v>12742</v>
      </c>
      <c r="B5345" t="s">
        <v>810</v>
      </c>
      <c r="C5345" t="s">
        <v>12743</v>
      </c>
      <c r="E5345" s="1" t="e">
        <v>#N/A</v>
      </c>
      <c r="F5345" s="1" t="e">
        <v>#N/A</v>
      </c>
      <c r="G5345" s="1" t="s">
        <v>12888</v>
      </c>
      <c r="H5345">
        <v>2025</v>
      </c>
      <c r="I5345">
        <v>2026</v>
      </c>
      <c r="J5345">
        <f t="shared" si="166"/>
        <v>2</v>
      </c>
      <c r="K5345" s="1" t="s">
        <v>12913</v>
      </c>
      <c r="L5345" s="1" t="s">
        <v>649</v>
      </c>
      <c r="M5345">
        <f t="shared" si="167"/>
        <v>0</v>
      </c>
    </row>
    <row r="5346" spans="1:14" hidden="1" x14ac:dyDescent="0.3">
      <c r="A5346" t="s">
        <v>12744</v>
      </c>
      <c r="B5346" t="s">
        <v>810</v>
      </c>
      <c r="C5346" t="s">
        <v>12745</v>
      </c>
      <c r="E5346" s="1" t="e">
        <v>#N/A</v>
      </c>
      <c r="F5346" s="1" t="e">
        <v>#N/A</v>
      </c>
      <c r="G5346" s="1" t="s">
        <v>12888</v>
      </c>
      <c r="H5346">
        <v>2025</v>
      </c>
      <c r="I5346">
        <v>2026</v>
      </c>
      <c r="J5346">
        <f t="shared" si="166"/>
        <v>2</v>
      </c>
      <c r="K5346" s="1" t="s">
        <v>12913</v>
      </c>
      <c r="L5346" s="1" t="s">
        <v>649</v>
      </c>
      <c r="M5346">
        <f t="shared" si="167"/>
        <v>0</v>
      </c>
    </row>
    <row r="5347" spans="1:14" x14ac:dyDescent="0.3">
      <c r="A5347" s="1" t="s">
        <v>10171</v>
      </c>
      <c r="B5347" s="1" t="s">
        <v>1849</v>
      </c>
      <c r="C5347" s="1" t="s">
        <v>10172</v>
      </c>
      <c r="D5347" s="1" t="s">
        <v>1395</v>
      </c>
      <c r="E5347" s="1" t="s">
        <v>6076</v>
      </c>
      <c r="F5347" s="1" t="s">
        <v>6076</v>
      </c>
      <c r="G5347" s="1" t="s">
        <v>10173</v>
      </c>
      <c r="H5347">
        <v>2003</v>
      </c>
      <c r="I5347">
        <v>2006</v>
      </c>
      <c r="J5347">
        <f t="shared" si="166"/>
        <v>4</v>
      </c>
      <c r="K5347" s="1" t="s">
        <v>6076</v>
      </c>
      <c r="L5347" s="1" t="s">
        <v>6076</v>
      </c>
      <c r="M5347">
        <f t="shared" si="167"/>
        <v>20</v>
      </c>
      <c r="N5347" t="s">
        <v>640</v>
      </c>
    </row>
    <row r="5348" spans="1:14" x14ac:dyDescent="0.3">
      <c r="A5348" s="1" t="s">
        <v>10174</v>
      </c>
      <c r="B5348" s="1" t="s">
        <v>1849</v>
      </c>
      <c r="C5348" s="1" t="s">
        <v>10175</v>
      </c>
      <c r="D5348" s="1" t="s">
        <v>1395</v>
      </c>
      <c r="E5348" s="1" t="s">
        <v>6076</v>
      </c>
      <c r="F5348" s="1" t="s">
        <v>6076</v>
      </c>
      <c r="G5348" s="1" t="s">
        <v>10173</v>
      </c>
      <c r="H5348">
        <v>2003</v>
      </c>
      <c r="I5348">
        <v>2006</v>
      </c>
      <c r="J5348">
        <f t="shared" si="166"/>
        <v>4</v>
      </c>
      <c r="K5348" s="1" t="s">
        <v>6076</v>
      </c>
      <c r="L5348" s="1" t="s">
        <v>6076</v>
      </c>
      <c r="M5348">
        <f t="shared" si="167"/>
        <v>20</v>
      </c>
      <c r="N5348" t="s">
        <v>640</v>
      </c>
    </row>
    <row r="5349" spans="1:14" x14ac:dyDescent="0.3">
      <c r="A5349" s="1" t="s">
        <v>10176</v>
      </c>
      <c r="B5349" s="1" t="s">
        <v>1849</v>
      </c>
      <c r="C5349" s="1" t="s">
        <v>10177</v>
      </c>
      <c r="D5349" s="1" t="s">
        <v>1395</v>
      </c>
      <c r="E5349" s="1" t="s">
        <v>6076</v>
      </c>
      <c r="F5349" s="1" t="s">
        <v>6076</v>
      </c>
      <c r="G5349" s="1" t="s">
        <v>10173</v>
      </c>
      <c r="H5349">
        <v>2005</v>
      </c>
      <c r="I5349">
        <v>2006</v>
      </c>
      <c r="J5349">
        <f t="shared" si="166"/>
        <v>2</v>
      </c>
      <c r="K5349" s="1" t="s">
        <v>6076</v>
      </c>
      <c r="L5349" s="1" t="s">
        <v>6076</v>
      </c>
      <c r="M5349">
        <f t="shared" si="167"/>
        <v>20</v>
      </c>
      <c r="N5349" t="s">
        <v>640</v>
      </c>
    </row>
    <row r="5350" spans="1:14" x14ac:dyDescent="0.3">
      <c r="A5350" s="1" t="s">
        <v>10178</v>
      </c>
      <c r="B5350" s="1" t="s">
        <v>2154</v>
      </c>
      <c r="C5350" s="1" t="s">
        <v>10179</v>
      </c>
      <c r="D5350" s="1" t="s">
        <v>1395</v>
      </c>
      <c r="E5350" s="1" t="s">
        <v>6076</v>
      </c>
      <c r="F5350" s="1" t="s">
        <v>6076</v>
      </c>
      <c r="G5350" s="1" t="s">
        <v>10180</v>
      </c>
      <c r="H5350">
        <v>1996</v>
      </c>
      <c r="I5350">
        <v>1997</v>
      </c>
      <c r="J5350">
        <f t="shared" si="166"/>
        <v>2</v>
      </c>
      <c r="K5350" s="1" t="s">
        <v>6076</v>
      </c>
      <c r="L5350" s="1" t="s">
        <v>6076</v>
      </c>
      <c r="M5350">
        <f t="shared" si="167"/>
        <v>29</v>
      </c>
      <c r="N5350" t="s">
        <v>640</v>
      </c>
    </row>
    <row r="5351" spans="1:14" x14ac:dyDescent="0.3">
      <c r="A5351" s="1" t="s">
        <v>10181</v>
      </c>
      <c r="B5351" s="1" t="s">
        <v>2154</v>
      </c>
      <c r="C5351" s="1" t="s">
        <v>10182</v>
      </c>
      <c r="D5351" s="1" t="s">
        <v>1395</v>
      </c>
      <c r="E5351" s="1" t="s">
        <v>6076</v>
      </c>
      <c r="F5351" s="1" t="s">
        <v>6076</v>
      </c>
      <c r="G5351" s="1" t="s">
        <v>10180</v>
      </c>
      <c r="H5351">
        <v>1996</v>
      </c>
      <c r="I5351">
        <v>1997</v>
      </c>
      <c r="J5351">
        <f t="shared" si="166"/>
        <v>2</v>
      </c>
      <c r="K5351" s="1" t="s">
        <v>6076</v>
      </c>
      <c r="L5351" s="1" t="s">
        <v>6076</v>
      </c>
      <c r="M5351">
        <f t="shared" si="167"/>
        <v>29</v>
      </c>
      <c r="N5351" t="s">
        <v>640</v>
      </c>
    </row>
    <row r="5352" spans="1:14" x14ac:dyDescent="0.3">
      <c r="A5352" s="1" t="s">
        <v>10183</v>
      </c>
      <c r="B5352" s="1" t="s">
        <v>1451</v>
      </c>
      <c r="C5352" s="1" t="s">
        <v>10184</v>
      </c>
      <c r="D5352" s="1" t="s">
        <v>1395</v>
      </c>
      <c r="E5352" s="1" t="s">
        <v>6076</v>
      </c>
      <c r="F5352" s="1" t="s">
        <v>6076</v>
      </c>
      <c r="G5352" s="1" t="s">
        <v>10185</v>
      </c>
      <c r="H5352">
        <v>2021</v>
      </c>
      <c r="I5352">
        <v>2022</v>
      </c>
      <c r="J5352">
        <f t="shared" si="166"/>
        <v>2</v>
      </c>
      <c r="K5352" s="1" t="s">
        <v>6076</v>
      </c>
      <c r="L5352" s="1" t="s">
        <v>6076</v>
      </c>
      <c r="M5352">
        <f t="shared" si="167"/>
        <v>4</v>
      </c>
      <c r="N5352" t="s">
        <v>650</v>
      </c>
    </row>
    <row r="5353" spans="1:14" x14ac:dyDescent="0.3">
      <c r="A5353" s="1" t="s">
        <v>10186</v>
      </c>
      <c r="B5353" s="1" t="s">
        <v>1451</v>
      </c>
      <c r="C5353" s="1" t="s">
        <v>10187</v>
      </c>
      <c r="D5353" s="1" t="s">
        <v>1395</v>
      </c>
      <c r="E5353" s="1" t="s">
        <v>6076</v>
      </c>
      <c r="F5353" s="1" t="s">
        <v>6076</v>
      </c>
      <c r="G5353" s="1" t="s">
        <v>10185</v>
      </c>
      <c r="H5353">
        <v>2021</v>
      </c>
      <c r="I5353">
        <v>2022</v>
      </c>
      <c r="J5353">
        <f t="shared" si="166"/>
        <v>2</v>
      </c>
      <c r="K5353" s="1" t="s">
        <v>6076</v>
      </c>
      <c r="L5353" s="1" t="s">
        <v>6076</v>
      </c>
      <c r="M5353">
        <f t="shared" si="167"/>
        <v>4</v>
      </c>
      <c r="N5353" t="s">
        <v>650</v>
      </c>
    </row>
    <row r="5354" spans="1:14" x14ac:dyDescent="0.3">
      <c r="A5354" s="1" t="s">
        <v>10188</v>
      </c>
      <c r="B5354" s="1" t="s">
        <v>1451</v>
      </c>
      <c r="C5354" s="1" t="s">
        <v>10189</v>
      </c>
      <c r="D5354" s="1" t="s">
        <v>738</v>
      </c>
      <c r="E5354" s="1" t="s">
        <v>6076</v>
      </c>
      <c r="F5354" s="1" t="s">
        <v>6076</v>
      </c>
      <c r="G5354" s="1" t="s">
        <v>10137</v>
      </c>
      <c r="H5354">
        <v>1990</v>
      </c>
      <c r="I5354">
        <v>1995</v>
      </c>
      <c r="J5354">
        <f t="shared" si="166"/>
        <v>6</v>
      </c>
      <c r="K5354" s="1" t="s">
        <v>6076</v>
      </c>
      <c r="L5354" s="1" t="s">
        <v>6076</v>
      </c>
      <c r="M5354">
        <f t="shared" si="167"/>
        <v>31</v>
      </c>
      <c r="N5354" t="s">
        <v>640</v>
      </c>
    </row>
    <row r="5355" spans="1:14" hidden="1" x14ac:dyDescent="0.3">
      <c r="A5355" s="1" t="s">
        <v>6044</v>
      </c>
      <c r="B5355" s="1" t="s">
        <v>3790</v>
      </c>
      <c r="C5355" s="1" t="s">
        <v>6045</v>
      </c>
      <c r="D5355" s="1" t="s">
        <v>746</v>
      </c>
      <c r="E5355" s="1" t="s">
        <v>747</v>
      </c>
      <c r="F5355" s="1" t="s">
        <v>6046</v>
      </c>
      <c r="G5355" s="1" t="s">
        <v>4684</v>
      </c>
      <c r="H5355">
        <v>2019</v>
      </c>
      <c r="I5355">
        <v>2022</v>
      </c>
      <c r="J5355">
        <f t="shared" si="166"/>
        <v>4</v>
      </c>
      <c r="K5355" s="1" t="s">
        <v>5909</v>
      </c>
      <c r="L5355" s="1" t="s">
        <v>798</v>
      </c>
      <c r="M5355">
        <f t="shared" si="167"/>
        <v>4</v>
      </c>
      <c r="N5355" t="s">
        <v>650</v>
      </c>
    </row>
    <row r="5356" spans="1:14" hidden="1" x14ac:dyDescent="0.3">
      <c r="A5356" s="1" t="s">
        <v>6047</v>
      </c>
      <c r="B5356" s="1" t="s">
        <v>3790</v>
      </c>
      <c r="C5356" s="1" t="s">
        <v>6048</v>
      </c>
      <c r="D5356" s="1" t="s">
        <v>746</v>
      </c>
      <c r="E5356" s="1" t="s">
        <v>747</v>
      </c>
      <c r="F5356" s="1" t="s">
        <v>6046</v>
      </c>
      <c r="G5356" s="1" t="s">
        <v>4684</v>
      </c>
      <c r="H5356">
        <v>2018</v>
      </c>
      <c r="I5356">
        <v>2019</v>
      </c>
      <c r="J5356">
        <f t="shared" si="166"/>
        <v>2</v>
      </c>
      <c r="K5356" s="1" t="s">
        <v>5909</v>
      </c>
      <c r="L5356" s="1" t="s">
        <v>798</v>
      </c>
      <c r="M5356">
        <f t="shared" si="167"/>
        <v>7</v>
      </c>
      <c r="N5356" t="s">
        <v>650</v>
      </c>
    </row>
    <row r="5357" spans="1:14" hidden="1" x14ac:dyDescent="0.3">
      <c r="A5357" s="1" t="s">
        <v>6049</v>
      </c>
      <c r="B5357" s="1" t="s">
        <v>3790</v>
      </c>
      <c r="C5357" s="1" t="s">
        <v>6050</v>
      </c>
      <c r="D5357" s="1" t="s">
        <v>746</v>
      </c>
      <c r="E5357" s="1" t="s">
        <v>747</v>
      </c>
      <c r="F5357" s="1" t="s">
        <v>6046</v>
      </c>
      <c r="G5357" s="1" t="s">
        <v>4684</v>
      </c>
      <c r="H5357">
        <v>2021</v>
      </c>
      <c r="I5357">
        <v>2022</v>
      </c>
      <c r="J5357">
        <f t="shared" si="166"/>
        <v>2</v>
      </c>
      <c r="K5357" s="1" t="s">
        <v>5909</v>
      </c>
      <c r="L5357" s="1" t="s">
        <v>798</v>
      </c>
      <c r="M5357">
        <f t="shared" si="167"/>
        <v>4</v>
      </c>
      <c r="N5357" t="s">
        <v>650</v>
      </c>
    </row>
    <row r="5358" spans="1:14" hidden="1" x14ac:dyDescent="0.3">
      <c r="A5358" s="1" t="s">
        <v>6051</v>
      </c>
      <c r="B5358" s="1" t="s">
        <v>3790</v>
      </c>
      <c r="C5358" s="1" t="s">
        <v>6052</v>
      </c>
      <c r="D5358" s="1" t="s">
        <v>746</v>
      </c>
      <c r="E5358" s="1" t="s">
        <v>747</v>
      </c>
      <c r="F5358" s="1" t="s">
        <v>6046</v>
      </c>
      <c r="G5358" s="1" t="s">
        <v>4684</v>
      </c>
      <c r="H5358">
        <v>2019</v>
      </c>
      <c r="I5358">
        <v>2022</v>
      </c>
      <c r="J5358">
        <f t="shared" si="166"/>
        <v>4</v>
      </c>
      <c r="K5358" s="1" t="s">
        <v>5909</v>
      </c>
      <c r="L5358" s="1" t="s">
        <v>798</v>
      </c>
      <c r="M5358">
        <f t="shared" si="167"/>
        <v>4</v>
      </c>
      <c r="N5358" t="s">
        <v>650</v>
      </c>
    </row>
    <row r="5359" spans="1:14" hidden="1" x14ac:dyDescent="0.3">
      <c r="A5359" s="1" t="s">
        <v>6053</v>
      </c>
      <c r="B5359" s="1" t="s">
        <v>3790</v>
      </c>
      <c r="C5359" s="1" t="s">
        <v>6054</v>
      </c>
      <c r="D5359" s="1" t="s">
        <v>746</v>
      </c>
      <c r="E5359" s="1" t="s">
        <v>747</v>
      </c>
      <c r="F5359" s="1" t="s">
        <v>6046</v>
      </c>
      <c r="G5359" s="1" t="s">
        <v>4684</v>
      </c>
      <c r="H5359">
        <v>2019</v>
      </c>
      <c r="I5359">
        <v>2022</v>
      </c>
      <c r="J5359">
        <f t="shared" si="166"/>
        <v>4</v>
      </c>
      <c r="K5359" s="1" t="s">
        <v>5909</v>
      </c>
      <c r="L5359" s="1" t="s">
        <v>798</v>
      </c>
      <c r="M5359">
        <f t="shared" si="167"/>
        <v>4</v>
      </c>
      <c r="N5359" t="s">
        <v>650</v>
      </c>
    </row>
    <row r="5360" spans="1:14" hidden="1" x14ac:dyDescent="0.3">
      <c r="A5360" s="1" t="s">
        <v>6055</v>
      </c>
      <c r="B5360" s="1" t="s">
        <v>3790</v>
      </c>
      <c r="C5360" s="1" t="s">
        <v>6056</v>
      </c>
      <c r="D5360" s="1" t="s">
        <v>746</v>
      </c>
      <c r="E5360" s="1" t="s">
        <v>747</v>
      </c>
      <c r="F5360" s="1" t="s">
        <v>6046</v>
      </c>
      <c r="G5360" s="1" t="s">
        <v>4684</v>
      </c>
      <c r="H5360">
        <v>2022</v>
      </c>
      <c r="I5360">
        <v>2022</v>
      </c>
      <c r="J5360">
        <f t="shared" si="166"/>
        <v>1</v>
      </c>
      <c r="K5360" s="1" t="s">
        <v>5909</v>
      </c>
      <c r="L5360" s="1" t="s">
        <v>798</v>
      </c>
      <c r="M5360">
        <f t="shared" si="167"/>
        <v>4</v>
      </c>
      <c r="N5360" t="s">
        <v>650</v>
      </c>
    </row>
    <row r="5361" spans="1:14" hidden="1" x14ac:dyDescent="0.3">
      <c r="A5361" s="1" t="s">
        <v>6057</v>
      </c>
      <c r="B5361" s="1" t="s">
        <v>3790</v>
      </c>
      <c r="C5361" s="1" t="s">
        <v>6058</v>
      </c>
      <c r="D5361" s="1" t="s">
        <v>746</v>
      </c>
      <c r="E5361" s="1" t="s">
        <v>747</v>
      </c>
      <c r="F5361" s="1" t="s">
        <v>6046</v>
      </c>
      <c r="G5361" s="1" t="s">
        <v>4684</v>
      </c>
      <c r="H5361">
        <v>2013</v>
      </c>
      <c r="I5361">
        <v>2015</v>
      </c>
      <c r="J5361">
        <f t="shared" si="166"/>
        <v>3</v>
      </c>
      <c r="K5361" s="1" t="s">
        <v>5909</v>
      </c>
      <c r="L5361" s="1" t="s">
        <v>798</v>
      </c>
      <c r="M5361">
        <f t="shared" si="167"/>
        <v>11</v>
      </c>
      <c r="N5361" t="s">
        <v>650</v>
      </c>
    </row>
    <row r="5362" spans="1:14" hidden="1" x14ac:dyDescent="0.3">
      <c r="A5362" s="1" t="s">
        <v>6059</v>
      </c>
      <c r="B5362" s="1" t="s">
        <v>3790</v>
      </c>
      <c r="C5362" s="1" t="s">
        <v>6060</v>
      </c>
      <c r="D5362" s="1" t="s">
        <v>746</v>
      </c>
      <c r="E5362" s="1" t="s">
        <v>747</v>
      </c>
      <c r="F5362" s="1" t="s">
        <v>6046</v>
      </c>
      <c r="G5362" s="1" t="s">
        <v>4684</v>
      </c>
      <c r="H5362">
        <v>2009</v>
      </c>
      <c r="I5362">
        <v>2015</v>
      </c>
      <c r="J5362">
        <f t="shared" si="166"/>
        <v>7</v>
      </c>
      <c r="K5362" s="1" t="s">
        <v>5909</v>
      </c>
      <c r="L5362" s="1" t="s">
        <v>798</v>
      </c>
      <c r="M5362">
        <f t="shared" si="167"/>
        <v>11</v>
      </c>
      <c r="N5362" t="s">
        <v>650</v>
      </c>
    </row>
    <row r="5363" spans="1:14" hidden="1" x14ac:dyDescent="0.3">
      <c r="A5363" s="1" t="s">
        <v>6061</v>
      </c>
      <c r="B5363" s="1" t="s">
        <v>3790</v>
      </c>
      <c r="C5363" s="1" t="s">
        <v>6062</v>
      </c>
      <c r="D5363" s="1" t="s">
        <v>746</v>
      </c>
      <c r="E5363" s="1" t="s">
        <v>747</v>
      </c>
      <c r="F5363" s="1" t="s">
        <v>6046</v>
      </c>
      <c r="G5363" s="1" t="s">
        <v>4684</v>
      </c>
      <c r="H5363">
        <v>2022</v>
      </c>
      <c r="I5363">
        <v>2022</v>
      </c>
      <c r="J5363">
        <f t="shared" si="166"/>
        <v>1</v>
      </c>
      <c r="K5363" s="1" t="s">
        <v>5909</v>
      </c>
      <c r="L5363" s="1" t="s">
        <v>798</v>
      </c>
      <c r="M5363">
        <f t="shared" si="167"/>
        <v>4</v>
      </c>
      <c r="N5363" t="s">
        <v>650</v>
      </c>
    </row>
    <row r="5364" spans="1:14" hidden="1" x14ac:dyDescent="0.3">
      <c r="A5364" s="1" t="s">
        <v>6063</v>
      </c>
      <c r="B5364" s="1" t="s">
        <v>3790</v>
      </c>
      <c r="C5364" s="1" t="s">
        <v>6064</v>
      </c>
      <c r="D5364" s="1" t="s">
        <v>746</v>
      </c>
      <c r="E5364" s="1" t="s">
        <v>747</v>
      </c>
      <c r="F5364" s="1" t="s">
        <v>6046</v>
      </c>
      <c r="G5364" s="1" t="s">
        <v>4684</v>
      </c>
      <c r="H5364">
        <v>2022</v>
      </c>
      <c r="I5364">
        <v>2022</v>
      </c>
      <c r="J5364">
        <f t="shared" si="166"/>
        <v>1</v>
      </c>
      <c r="K5364" s="1" t="s">
        <v>5909</v>
      </c>
      <c r="L5364" s="1" t="s">
        <v>798</v>
      </c>
      <c r="M5364">
        <f t="shared" si="167"/>
        <v>4</v>
      </c>
      <c r="N5364" t="s">
        <v>650</v>
      </c>
    </row>
    <row r="5365" spans="1:14" hidden="1" x14ac:dyDescent="0.3">
      <c r="A5365" t="s">
        <v>11041</v>
      </c>
      <c r="B5365" t="s">
        <v>3790</v>
      </c>
      <c r="C5365" t="s">
        <v>11042</v>
      </c>
      <c r="E5365" s="1" t="e">
        <v>#N/A</v>
      </c>
      <c r="F5365" s="1" t="e">
        <v>#N/A</v>
      </c>
      <c r="G5365" s="1" t="s">
        <v>12784</v>
      </c>
      <c r="H5365">
        <v>2023</v>
      </c>
      <c r="I5365">
        <v>2024</v>
      </c>
      <c r="J5365">
        <f t="shared" si="166"/>
        <v>2</v>
      </c>
      <c r="K5365" s="1" t="s">
        <v>12912</v>
      </c>
      <c r="L5365" s="1" t="s">
        <v>12912</v>
      </c>
      <c r="M5365">
        <f t="shared" si="167"/>
        <v>2</v>
      </c>
    </row>
    <row r="5366" spans="1:14" hidden="1" x14ac:dyDescent="0.3">
      <c r="A5366" s="1" t="s">
        <v>4682</v>
      </c>
      <c r="B5366" s="1" t="s">
        <v>3790</v>
      </c>
      <c r="C5366" s="1" t="s">
        <v>4683</v>
      </c>
      <c r="D5366" s="1" t="s">
        <v>1395</v>
      </c>
      <c r="E5366" s="1" t="s">
        <v>1396</v>
      </c>
      <c r="F5366" s="1" t="s">
        <v>1397</v>
      </c>
      <c r="G5366" s="1" t="s">
        <v>4684</v>
      </c>
      <c r="H5366">
        <v>2023</v>
      </c>
      <c r="I5366">
        <v>2023</v>
      </c>
      <c r="J5366">
        <f t="shared" si="166"/>
        <v>1</v>
      </c>
      <c r="K5366" s="1" t="s">
        <v>3665</v>
      </c>
      <c r="L5366" s="1" t="s">
        <v>649</v>
      </c>
      <c r="M5366">
        <f t="shared" si="167"/>
        <v>3</v>
      </c>
      <c r="N5366" t="s">
        <v>650</v>
      </c>
    </row>
    <row r="5367" spans="1:14" hidden="1" x14ac:dyDescent="0.3">
      <c r="A5367" t="s">
        <v>11043</v>
      </c>
      <c r="B5367" t="s">
        <v>3790</v>
      </c>
      <c r="C5367" t="s">
        <v>11044</v>
      </c>
      <c r="E5367" s="1" t="e">
        <v>#N/A</v>
      </c>
      <c r="F5367" s="1" t="e">
        <v>#N/A</v>
      </c>
      <c r="G5367" s="1" t="s">
        <v>12784</v>
      </c>
      <c r="H5367">
        <v>2024</v>
      </c>
      <c r="I5367">
        <v>2026</v>
      </c>
      <c r="J5367">
        <f t="shared" si="166"/>
        <v>3</v>
      </c>
      <c r="K5367" s="1" t="s">
        <v>12912</v>
      </c>
      <c r="L5367" s="1" t="s">
        <v>12912</v>
      </c>
      <c r="M5367">
        <f t="shared" si="167"/>
        <v>0</v>
      </c>
    </row>
    <row r="5368" spans="1:14" hidden="1" x14ac:dyDescent="0.3">
      <c r="A5368" t="s">
        <v>11045</v>
      </c>
      <c r="B5368" t="s">
        <v>3790</v>
      </c>
      <c r="C5368" t="s">
        <v>11046</v>
      </c>
      <c r="E5368" s="1" t="e">
        <v>#N/A</v>
      </c>
      <c r="F5368" s="1" t="e">
        <v>#N/A</v>
      </c>
      <c r="G5368" s="1" t="s">
        <v>12784</v>
      </c>
      <c r="H5368">
        <v>2024</v>
      </c>
      <c r="I5368">
        <v>2026</v>
      </c>
      <c r="J5368">
        <f t="shared" si="166"/>
        <v>3</v>
      </c>
      <c r="K5368" s="1" t="s">
        <v>12912</v>
      </c>
      <c r="L5368" s="1" t="s">
        <v>12912</v>
      </c>
      <c r="M5368">
        <f t="shared" si="167"/>
        <v>0</v>
      </c>
    </row>
    <row r="5369" spans="1:14" hidden="1" x14ac:dyDescent="0.3">
      <c r="A5369" s="1" t="s">
        <v>4685</v>
      </c>
      <c r="B5369" s="1" t="s">
        <v>3790</v>
      </c>
      <c r="C5369" s="1" t="s">
        <v>4686</v>
      </c>
      <c r="D5369" s="1" t="s">
        <v>1395</v>
      </c>
      <c r="E5369" s="1" t="s">
        <v>1396</v>
      </c>
      <c r="F5369" s="1" t="s">
        <v>1397</v>
      </c>
      <c r="G5369" s="1" t="s">
        <v>4684</v>
      </c>
      <c r="H5369">
        <v>2019</v>
      </c>
      <c r="I5369">
        <v>2022</v>
      </c>
      <c r="J5369">
        <f t="shared" si="166"/>
        <v>4</v>
      </c>
      <c r="K5369" s="1" t="s">
        <v>3665</v>
      </c>
      <c r="L5369" s="1" t="s">
        <v>649</v>
      </c>
      <c r="M5369">
        <f t="shared" si="167"/>
        <v>4</v>
      </c>
      <c r="N5369" t="s">
        <v>650</v>
      </c>
    </row>
    <row r="5370" spans="1:14" hidden="1" x14ac:dyDescent="0.3">
      <c r="A5370" s="1" t="s">
        <v>4687</v>
      </c>
      <c r="B5370" s="1" t="s">
        <v>3790</v>
      </c>
      <c r="C5370" s="1" t="s">
        <v>4688</v>
      </c>
      <c r="D5370" s="1" t="s">
        <v>1395</v>
      </c>
      <c r="E5370" s="1" t="s">
        <v>1396</v>
      </c>
      <c r="F5370" s="1" t="s">
        <v>1397</v>
      </c>
      <c r="G5370" s="1" t="s">
        <v>4684</v>
      </c>
      <c r="H5370">
        <v>2019</v>
      </c>
      <c r="I5370">
        <v>2022</v>
      </c>
      <c r="J5370">
        <f t="shared" si="166"/>
        <v>4</v>
      </c>
      <c r="K5370" s="1" t="s">
        <v>3665</v>
      </c>
      <c r="L5370" s="1" t="s">
        <v>649</v>
      </c>
      <c r="M5370">
        <f t="shared" si="167"/>
        <v>4</v>
      </c>
      <c r="N5370" t="s">
        <v>650</v>
      </c>
    </row>
    <row r="5371" spans="1:14" hidden="1" x14ac:dyDescent="0.3">
      <c r="A5371" t="s">
        <v>11047</v>
      </c>
      <c r="B5371" t="s">
        <v>3790</v>
      </c>
      <c r="C5371" t="s">
        <v>11048</v>
      </c>
      <c r="E5371" s="1" t="e">
        <v>#N/A</v>
      </c>
      <c r="F5371" s="1" t="e">
        <v>#N/A</v>
      </c>
      <c r="G5371" s="1" t="s">
        <v>12784</v>
      </c>
      <c r="H5371">
        <v>2022</v>
      </c>
      <c r="I5371">
        <v>2026</v>
      </c>
      <c r="J5371">
        <f t="shared" si="166"/>
        <v>5</v>
      </c>
      <c r="K5371" s="1" t="s">
        <v>12912</v>
      </c>
      <c r="L5371" s="1" t="s">
        <v>12912</v>
      </c>
      <c r="M5371">
        <f t="shared" si="167"/>
        <v>0</v>
      </c>
    </row>
    <row r="5372" spans="1:14" hidden="1" x14ac:dyDescent="0.3">
      <c r="A5372" s="1" t="s">
        <v>4689</v>
      </c>
      <c r="B5372" s="1" t="s">
        <v>3790</v>
      </c>
      <c r="C5372" s="1" t="s">
        <v>4690</v>
      </c>
      <c r="D5372" s="1" t="s">
        <v>1395</v>
      </c>
      <c r="E5372" s="1" t="s">
        <v>3905</v>
      </c>
      <c r="F5372" s="1" t="s">
        <v>3906</v>
      </c>
      <c r="G5372" s="1" t="s">
        <v>4684</v>
      </c>
      <c r="H5372">
        <v>2022</v>
      </c>
      <c r="I5372">
        <v>2022</v>
      </c>
      <c r="J5372">
        <f t="shared" si="166"/>
        <v>1</v>
      </c>
      <c r="K5372" s="1" t="s">
        <v>3665</v>
      </c>
      <c r="L5372" s="1" t="s">
        <v>649</v>
      </c>
      <c r="M5372">
        <f t="shared" si="167"/>
        <v>4</v>
      </c>
      <c r="N5372" t="s">
        <v>650</v>
      </c>
    </row>
    <row r="5373" spans="1:14" hidden="1" x14ac:dyDescent="0.3">
      <c r="A5373" t="s">
        <v>11049</v>
      </c>
      <c r="B5373" t="s">
        <v>3790</v>
      </c>
      <c r="C5373" t="s">
        <v>11050</v>
      </c>
      <c r="E5373" s="1" t="e">
        <v>#N/A</v>
      </c>
      <c r="F5373" s="1" t="e">
        <v>#N/A</v>
      </c>
      <c r="G5373" s="1" t="s">
        <v>12784</v>
      </c>
      <c r="H5373">
        <v>2024</v>
      </c>
      <c r="I5373">
        <v>2026</v>
      </c>
      <c r="J5373">
        <f t="shared" si="166"/>
        <v>3</v>
      </c>
      <c r="K5373" s="1" t="s">
        <v>12912</v>
      </c>
      <c r="L5373" s="1" t="s">
        <v>12912</v>
      </c>
      <c r="M5373">
        <f t="shared" si="167"/>
        <v>0</v>
      </c>
    </row>
    <row r="5374" spans="1:14" hidden="1" x14ac:dyDescent="0.3">
      <c r="A5374" t="s">
        <v>11051</v>
      </c>
      <c r="B5374" t="s">
        <v>3790</v>
      </c>
      <c r="C5374" t="s">
        <v>11052</v>
      </c>
      <c r="E5374" s="1" t="e">
        <v>#N/A</v>
      </c>
      <c r="F5374" s="1" t="e">
        <v>#N/A</v>
      </c>
      <c r="G5374" s="1" t="s">
        <v>12784</v>
      </c>
      <c r="H5374">
        <v>2023</v>
      </c>
      <c r="I5374">
        <v>2026</v>
      </c>
      <c r="J5374">
        <f t="shared" si="166"/>
        <v>4</v>
      </c>
      <c r="K5374" s="1" t="s">
        <v>12912</v>
      </c>
      <c r="L5374" s="1" t="s">
        <v>12912</v>
      </c>
      <c r="M5374">
        <f t="shared" si="167"/>
        <v>0</v>
      </c>
    </row>
    <row r="5375" spans="1:14" hidden="1" x14ac:dyDescent="0.3">
      <c r="A5375" t="s">
        <v>11053</v>
      </c>
      <c r="B5375" t="s">
        <v>3790</v>
      </c>
      <c r="C5375" t="s">
        <v>11054</v>
      </c>
      <c r="E5375" s="1" t="e">
        <v>#N/A</v>
      </c>
      <c r="F5375" s="1" t="e">
        <v>#N/A</v>
      </c>
      <c r="G5375" s="1" t="s">
        <v>12784</v>
      </c>
      <c r="H5375">
        <v>2025</v>
      </c>
      <c r="I5375">
        <v>2026</v>
      </c>
      <c r="J5375">
        <f t="shared" si="166"/>
        <v>2</v>
      </c>
      <c r="K5375" s="1" t="s">
        <v>12912</v>
      </c>
      <c r="L5375" s="1" t="s">
        <v>12912</v>
      </c>
      <c r="M5375">
        <f t="shared" si="167"/>
        <v>0</v>
      </c>
    </row>
    <row r="5376" spans="1:14" hidden="1" x14ac:dyDescent="0.3">
      <c r="A5376" s="1" t="s">
        <v>4691</v>
      </c>
      <c r="B5376" s="1" t="s">
        <v>3790</v>
      </c>
      <c r="C5376" s="1" t="s">
        <v>4692</v>
      </c>
      <c r="D5376" s="1" t="s">
        <v>1395</v>
      </c>
      <c r="E5376" s="1" t="s">
        <v>3905</v>
      </c>
      <c r="F5376" s="1" t="s">
        <v>3906</v>
      </c>
      <c r="G5376" s="1" t="s">
        <v>4684</v>
      </c>
      <c r="H5376">
        <v>2019</v>
      </c>
      <c r="I5376">
        <v>2022</v>
      </c>
      <c r="J5376">
        <f t="shared" si="166"/>
        <v>4</v>
      </c>
      <c r="K5376" s="1" t="s">
        <v>3665</v>
      </c>
      <c r="L5376" s="1" t="s">
        <v>649</v>
      </c>
      <c r="M5376">
        <f t="shared" si="167"/>
        <v>4</v>
      </c>
      <c r="N5376" t="s">
        <v>650</v>
      </c>
    </row>
    <row r="5377" spans="1:14" hidden="1" x14ac:dyDescent="0.3">
      <c r="A5377" s="1" t="s">
        <v>4693</v>
      </c>
      <c r="B5377" s="1" t="s">
        <v>3790</v>
      </c>
      <c r="C5377" s="1" t="s">
        <v>4694</v>
      </c>
      <c r="D5377" s="1" t="s">
        <v>1395</v>
      </c>
      <c r="E5377" s="1" t="s">
        <v>3905</v>
      </c>
      <c r="F5377" s="1" t="s">
        <v>3906</v>
      </c>
      <c r="G5377" s="1" t="s">
        <v>4684</v>
      </c>
      <c r="H5377">
        <v>2019</v>
      </c>
      <c r="I5377">
        <v>2022</v>
      </c>
      <c r="J5377">
        <f t="shared" si="166"/>
        <v>4</v>
      </c>
      <c r="K5377" s="1" t="s">
        <v>3665</v>
      </c>
      <c r="L5377" s="1" t="s">
        <v>649</v>
      </c>
      <c r="M5377">
        <f t="shared" si="167"/>
        <v>4</v>
      </c>
      <c r="N5377" t="s">
        <v>650</v>
      </c>
    </row>
    <row r="5378" spans="1:14" hidden="1" x14ac:dyDescent="0.3">
      <c r="A5378" t="s">
        <v>11055</v>
      </c>
      <c r="B5378" t="s">
        <v>3790</v>
      </c>
      <c r="C5378" t="s">
        <v>11056</v>
      </c>
      <c r="E5378" s="1" t="e">
        <v>#N/A</v>
      </c>
      <c r="F5378" s="1" t="e">
        <v>#N/A</v>
      </c>
      <c r="G5378" s="1" t="s">
        <v>12784</v>
      </c>
      <c r="H5378">
        <v>2023</v>
      </c>
      <c r="I5378">
        <v>2024</v>
      </c>
      <c r="J5378">
        <f t="shared" si="166"/>
        <v>2</v>
      </c>
      <c r="K5378" s="1" t="s">
        <v>12912</v>
      </c>
      <c r="L5378" s="1" t="s">
        <v>12912</v>
      </c>
      <c r="M5378">
        <f t="shared" si="167"/>
        <v>2</v>
      </c>
    </row>
    <row r="5379" spans="1:14" hidden="1" x14ac:dyDescent="0.3">
      <c r="A5379" t="s">
        <v>11057</v>
      </c>
      <c r="B5379" t="s">
        <v>3790</v>
      </c>
      <c r="C5379" t="s">
        <v>11058</v>
      </c>
      <c r="E5379" s="1" t="e">
        <v>#N/A</v>
      </c>
      <c r="F5379" s="1" t="e">
        <v>#N/A</v>
      </c>
      <c r="G5379" s="1" t="s">
        <v>12784</v>
      </c>
      <c r="H5379">
        <v>2023</v>
      </c>
      <c r="I5379">
        <v>2025</v>
      </c>
      <c r="J5379">
        <f t="shared" si="166"/>
        <v>3</v>
      </c>
      <c r="K5379" s="1" t="s">
        <v>12912</v>
      </c>
      <c r="L5379" s="1" t="s">
        <v>12912</v>
      </c>
      <c r="M5379">
        <f t="shared" si="167"/>
        <v>1</v>
      </c>
    </row>
    <row r="5380" spans="1:14" hidden="1" x14ac:dyDescent="0.3">
      <c r="A5380" t="s">
        <v>11059</v>
      </c>
      <c r="B5380" t="s">
        <v>3790</v>
      </c>
      <c r="C5380" t="s">
        <v>11060</v>
      </c>
      <c r="E5380" s="1" t="e">
        <v>#N/A</v>
      </c>
      <c r="F5380" s="1" t="e">
        <v>#N/A</v>
      </c>
      <c r="G5380" s="1" t="s">
        <v>12784</v>
      </c>
      <c r="H5380">
        <v>2022</v>
      </c>
      <c r="I5380">
        <v>2026</v>
      </c>
      <c r="J5380">
        <f t="shared" si="166"/>
        <v>5</v>
      </c>
      <c r="K5380" s="1" t="s">
        <v>12912</v>
      </c>
      <c r="L5380" s="1" t="s">
        <v>12912</v>
      </c>
      <c r="M5380">
        <f t="shared" si="167"/>
        <v>0</v>
      </c>
    </row>
    <row r="5381" spans="1:14" hidden="1" x14ac:dyDescent="0.3">
      <c r="A5381" t="s">
        <v>11061</v>
      </c>
      <c r="B5381" t="s">
        <v>3790</v>
      </c>
      <c r="C5381" t="s">
        <v>11062</v>
      </c>
      <c r="E5381" s="1" t="e">
        <v>#N/A</v>
      </c>
      <c r="F5381" s="1" t="e">
        <v>#N/A</v>
      </c>
      <c r="G5381" s="1" t="s">
        <v>12784</v>
      </c>
      <c r="H5381">
        <v>2025</v>
      </c>
      <c r="I5381">
        <v>2026</v>
      </c>
      <c r="J5381">
        <f t="shared" si="166"/>
        <v>2</v>
      </c>
      <c r="K5381" s="1" t="s">
        <v>12912</v>
      </c>
      <c r="L5381" s="1" t="s">
        <v>12912</v>
      </c>
      <c r="M5381">
        <f t="shared" si="167"/>
        <v>0</v>
      </c>
    </row>
    <row r="5382" spans="1:14" hidden="1" x14ac:dyDescent="0.3">
      <c r="A5382" s="1" t="s">
        <v>4695</v>
      </c>
      <c r="B5382" s="1" t="s">
        <v>3790</v>
      </c>
      <c r="C5382" s="1" t="s">
        <v>4696</v>
      </c>
      <c r="D5382" s="1" t="s">
        <v>1395</v>
      </c>
      <c r="E5382" s="1" t="s">
        <v>3905</v>
      </c>
      <c r="F5382" s="1" t="s">
        <v>3906</v>
      </c>
      <c r="G5382" s="1" t="s">
        <v>4684</v>
      </c>
      <c r="H5382">
        <v>2021</v>
      </c>
      <c r="I5382">
        <v>2022</v>
      </c>
      <c r="J5382">
        <f t="shared" ref="J5382:J5445" si="168">1+(I5382-H5382)</f>
        <v>2</v>
      </c>
      <c r="K5382" s="1" t="s">
        <v>3665</v>
      </c>
      <c r="L5382" s="1" t="s">
        <v>649</v>
      </c>
      <c r="M5382">
        <f t="shared" ref="M5382:M5445" si="169">IF(I5382=0,0,$B$2-I5382)</f>
        <v>4</v>
      </c>
      <c r="N5382" t="s">
        <v>650</v>
      </c>
    </row>
    <row r="5383" spans="1:14" x14ac:dyDescent="0.3">
      <c r="A5383" s="1" t="s">
        <v>10190</v>
      </c>
      <c r="B5383" s="1" t="s">
        <v>795</v>
      </c>
      <c r="C5383" s="1" t="s">
        <v>10191</v>
      </c>
      <c r="D5383" s="1" t="s">
        <v>746</v>
      </c>
      <c r="E5383" s="1" t="s">
        <v>6076</v>
      </c>
      <c r="F5383" s="1" t="s">
        <v>6076</v>
      </c>
      <c r="G5383" s="1" t="s">
        <v>10192</v>
      </c>
      <c r="H5383">
        <v>1998</v>
      </c>
      <c r="I5383">
        <v>1999</v>
      </c>
      <c r="J5383">
        <f t="shared" si="168"/>
        <v>2</v>
      </c>
      <c r="K5383" s="1" t="s">
        <v>6076</v>
      </c>
      <c r="L5383" s="1" t="s">
        <v>6076</v>
      </c>
      <c r="M5383">
        <f t="shared" si="169"/>
        <v>27</v>
      </c>
      <c r="N5383" t="s">
        <v>640</v>
      </c>
    </row>
    <row r="5384" spans="1:14" x14ac:dyDescent="0.3">
      <c r="A5384" s="1" t="s">
        <v>10193</v>
      </c>
      <c r="B5384" s="1" t="s">
        <v>795</v>
      </c>
      <c r="C5384" s="1" t="s">
        <v>10194</v>
      </c>
      <c r="D5384" s="1" t="s">
        <v>746</v>
      </c>
      <c r="E5384" s="1" t="s">
        <v>6076</v>
      </c>
      <c r="F5384" s="1" t="s">
        <v>6076</v>
      </c>
      <c r="G5384" s="1" t="s">
        <v>10192</v>
      </c>
      <c r="H5384">
        <v>1998</v>
      </c>
      <c r="I5384">
        <v>1999</v>
      </c>
      <c r="J5384">
        <f t="shared" si="168"/>
        <v>2</v>
      </c>
      <c r="K5384" s="1" t="s">
        <v>6076</v>
      </c>
      <c r="L5384" s="1" t="s">
        <v>6076</v>
      </c>
      <c r="M5384">
        <f t="shared" si="169"/>
        <v>27</v>
      </c>
      <c r="N5384" t="s">
        <v>640</v>
      </c>
    </row>
    <row r="5385" spans="1:14" hidden="1" x14ac:dyDescent="0.3">
      <c r="A5385" s="1" t="s">
        <v>5783</v>
      </c>
      <c r="B5385" s="1" t="s">
        <v>810</v>
      </c>
      <c r="C5385" s="1" t="s">
        <v>5784</v>
      </c>
      <c r="D5385" s="1" t="s">
        <v>1395</v>
      </c>
      <c r="E5385" s="1" t="s">
        <v>3905</v>
      </c>
      <c r="F5385" s="1" t="s">
        <v>3906</v>
      </c>
      <c r="G5385" s="1" t="s">
        <v>5785</v>
      </c>
      <c r="H5385">
        <v>2017</v>
      </c>
      <c r="I5385">
        <v>2017</v>
      </c>
      <c r="J5385">
        <f t="shared" si="168"/>
        <v>1</v>
      </c>
      <c r="K5385" s="1" t="s">
        <v>4668</v>
      </c>
      <c r="L5385" s="1" t="s">
        <v>666</v>
      </c>
      <c r="M5385">
        <f t="shared" si="169"/>
        <v>9</v>
      </c>
      <c r="N5385" t="s">
        <v>650</v>
      </c>
    </row>
    <row r="5386" spans="1:14" hidden="1" x14ac:dyDescent="0.3">
      <c r="A5386" s="1" t="s">
        <v>5786</v>
      </c>
      <c r="B5386" s="1" t="s">
        <v>810</v>
      </c>
      <c r="C5386" s="1" t="s">
        <v>5787</v>
      </c>
      <c r="D5386" s="1" t="s">
        <v>1395</v>
      </c>
      <c r="E5386" s="1" t="s">
        <v>3905</v>
      </c>
      <c r="F5386" s="1" t="s">
        <v>3906</v>
      </c>
      <c r="G5386" s="1" t="s">
        <v>5785</v>
      </c>
      <c r="H5386">
        <v>2009</v>
      </c>
      <c r="I5386">
        <v>2016</v>
      </c>
      <c r="J5386">
        <f t="shared" si="168"/>
        <v>8</v>
      </c>
      <c r="K5386" s="1" t="s">
        <v>4668</v>
      </c>
      <c r="L5386" s="1" t="s">
        <v>666</v>
      </c>
      <c r="M5386">
        <f t="shared" si="169"/>
        <v>10</v>
      </c>
      <c r="N5386" t="s">
        <v>650</v>
      </c>
    </row>
    <row r="5387" spans="1:14" hidden="1" x14ac:dyDescent="0.3">
      <c r="A5387" s="1" t="s">
        <v>5788</v>
      </c>
      <c r="B5387" s="1" t="s">
        <v>810</v>
      </c>
      <c r="C5387" s="1" t="s">
        <v>5789</v>
      </c>
      <c r="D5387" s="1" t="s">
        <v>1395</v>
      </c>
      <c r="E5387" s="1" t="s">
        <v>3905</v>
      </c>
      <c r="F5387" s="1" t="s">
        <v>3906</v>
      </c>
      <c r="G5387" s="1" t="s">
        <v>5785</v>
      </c>
      <c r="H5387">
        <v>2018</v>
      </c>
      <c r="I5387">
        <v>2022</v>
      </c>
      <c r="J5387">
        <f t="shared" si="168"/>
        <v>5</v>
      </c>
      <c r="K5387" s="1" t="s">
        <v>4668</v>
      </c>
      <c r="L5387" s="1" t="s">
        <v>666</v>
      </c>
      <c r="M5387">
        <f t="shared" si="169"/>
        <v>4</v>
      </c>
      <c r="N5387" t="s">
        <v>650</v>
      </c>
    </row>
    <row r="5388" spans="1:14" hidden="1" x14ac:dyDescent="0.3">
      <c r="A5388" s="1" t="s">
        <v>5790</v>
      </c>
      <c r="B5388" s="1" t="s">
        <v>810</v>
      </c>
      <c r="C5388" s="1" t="s">
        <v>5791</v>
      </c>
      <c r="D5388" s="1" t="s">
        <v>1395</v>
      </c>
      <c r="E5388" s="1" t="s">
        <v>3905</v>
      </c>
      <c r="F5388" s="1" t="s">
        <v>3906</v>
      </c>
      <c r="G5388" s="1" t="s">
        <v>5785</v>
      </c>
      <c r="H5388">
        <v>2018</v>
      </c>
      <c r="I5388">
        <v>2022</v>
      </c>
      <c r="J5388">
        <f t="shared" si="168"/>
        <v>5</v>
      </c>
      <c r="K5388" s="1" t="s">
        <v>4668</v>
      </c>
      <c r="L5388" s="1" t="s">
        <v>666</v>
      </c>
      <c r="M5388">
        <f t="shared" si="169"/>
        <v>4</v>
      </c>
      <c r="N5388" t="s">
        <v>650</v>
      </c>
    </row>
    <row r="5389" spans="1:14" hidden="1" x14ac:dyDescent="0.3">
      <c r="A5389" t="s">
        <v>12746</v>
      </c>
      <c r="B5389" t="s">
        <v>810</v>
      </c>
      <c r="C5389" t="s">
        <v>12747</v>
      </c>
      <c r="E5389" s="1" t="e">
        <v>#N/A</v>
      </c>
      <c r="F5389" s="1" t="e">
        <v>#N/A</v>
      </c>
      <c r="G5389" s="1" t="s">
        <v>5785</v>
      </c>
      <c r="H5389">
        <v>2024</v>
      </c>
      <c r="I5389">
        <v>2026</v>
      </c>
      <c r="J5389">
        <f t="shared" si="168"/>
        <v>3</v>
      </c>
      <c r="K5389" s="1" t="s">
        <v>4668</v>
      </c>
      <c r="L5389" s="1" t="s">
        <v>666</v>
      </c>
      <c r="M5389">
        <f t="shared" si="169"/>
        <v>0</v>
      </c>
    </row>
    <row r="5390" spans="1:14" hidden="1" x14ac:dyDescent="0.3">
      <c r="A5390" s="1" t="s">
        <v>5792</v>
      </c>
      <c r="B5390" s="1" t="s">
        <v>810</v>
      </c>
      <c r="C5390" s="1" t="s">
        <v>5793</v>
      </c>
      <c r="D5390" s="1" t="s">
        <v>1395</v>
      </c>
      <c r="E5390" s="1" t="s">
        <v>3905</v>
      </c>
      <c r="F5390" s="1" t="s">
        <v>3906</v>
      </c>
      <c r="G5390" s="1" t="s">
        <v>5785</v>
      </c>
      <c r="H5390">
        <v>2018</v>
      </c>
      <c r="I5390">
        <v>2022</v>
      </c>
      <c r="J5390">
        <f t="shared" si="168"/>
        <v>5</v>
      </c>
      <c r="K5390" s="1" t="s">
        <v>4668</v>
      </c>
      <c r="L5390" s="1" t="s">
        <v>666</v>
      </c>
      <c r="M5390">
        <f t="shared" si="169"/>
        <v>4</v>
      </c>
      <c r="N5390" t="s">
        <v>650</v>
      </c>
    </row>
    <row r="5391" spans="1:14" hidden="1" x14ac:dyDescent="0.3">
      <c r="A5391" s="1" t="s">
        <v>4697</v>
      </c>
      <c r="B5391" s="1" t="s">
        <v>2154</v>
      </c>
      <c r="C5391" s="1" t="s">
        <v>4698</v>
      </c>
      <c r="D5391" s="1" t="s">
        <v>746</v>
      </c>
      <c r="E5391" s="1" t="s">
        <v>1358</v>
      </c>
      <c r="F5391" s="1" t="s">
        <v>1359</v>
      </c>
      <c r="G5391" s="1" t="s">
        <v>4699</v>
      </c>
      <c r="H5391">
        <v>2008</v>
      </c>
      <c r="I5391">
        <v>2009</v>
      </c>
      <c r="J5391">
        <f t="shared" si="168"/>
        <v>2</v>
      </c>
      <c r="K5391" s="1" t="s">
        <v>3665</v>
      </c>
      <c r="L5391" s="1" t="s">
        <v>798</v>
      </c>
      <c r="M5391">
        <f t="shared" si="169"/>
        <v>17</v>
      </c>
      <c r="N5391" t="s">
        <v>640</v>
      </c>
    </row>
    <row r="5392" spans="1:14" hidden="1" x14ac:dyDescent="0.3">
      <c r="A5392" s="1" t="s">
        <v>4700</v>
      </c>
      <c r="B5392" s="1" t="s">
        <v>2154</v>
      </c>
      <c r="C5392" s="1" t="s">
        <v>4701</v>
      </c>
      <c r="D5392" s="1" t="s">
        <v>746</v>
      </c>
      <c r="E5392" s="1" t="s">
        <v>1358</v>
      </c>
      <c r="F5392" s="1" t="s">
        <v>1359</v>
      </c>
      <c r="G5392" s="1" t="s">
        <v>4699</v>
      </c>
      <c r="H5392">
        <v>2008</v>
      </c>
      <c r="I5392">
        <v>2013</v>
      </c>
      <c r="J5392">
        <f t="shared" si="168"/>
        <v>6</v>
      </c>
      <c r="K5392" s="1" t="s">
        <v>3665</v>
      </c>
      <c r="L5392" s="1" t="s">
        <v>798</v>
      </c>
      <c r="M5392">
        <f t="shared" si="169"/>
        <v>13</v>
      </c>
      <c r="N5392" t="s">
        <v>650</v>
      </c>
    </row>
    <row r="5393" spans="1:14" hidden="1" x14ac:dyDescent="0.3">
      <c r="A5393" s="1" t="s">
        <v>4702</v>
      </c>
      <c r="B5393" s="1" t="s">
        <v>2154</v>
      </c>
      <c r="C5393" s="1" t="s">
        <v>4703</v>
      </c>
      <c r="D5393" s="1" t="s">
        <v>738</v>
      </c>
      <c r="E5393" s="1" t="s">
        <v>812</v>
      </c>
      <c r="F5393" s="1" t="s">
        <v>813</v>
      </c>
      <c r="G5393" s="1" t="s">
        <v>4699</v>
      </c>
      <c r="H5393">
        <v>2011</v>
      </c>
      <c r="I5393">
        <v>2013</v>
      </c>
      <c r="J5393">
        <f t="shared" si="168"/>
        <v>3</v>
      </c>
      <c r="K5393" s="1" t="s">
        <v>3665</v>
      </c>
      <c r="L5393" s="1" t="s">
        <v>798</v>
      </c>
      <c r="M5393">
        <f t="shared" si="169"/>
        <v>13</v>
      </c>
      <c r="N5393" t="s">
        <v>650</v>
      </c>
    </row>
    <row r="5394" spans="1:14" hidden="1" x14ac:dyDescent="0.3">
      <c r="A5394" s="1" t="s">
        <v>4704</v>
      </c>
      <c r="B5394" s="1" t="s">
        <v>2154</v>
      </c>
      <c r="C5394" s="1" t="s">
        <v>4705</v>
      </c>
      <c r="D5394" s="1" t="s">
        <v>738</v>
      </c>
      <c r="E5394" s="1" t="s">
        <v>812</v>
      </c>
      <c r="F5394" s="1" t="s">
        <v>813</v>
      </c>
      <c r="G5394" s="1" t="s">
        <v>4699</v>
      </c>
      <c r="H5394">
        <v>2013</v>
      </c>
      <c r="I5394">
        <v>2013</v>
      </c>
      <c r="J5394">
        <f t="shared" si="168"/>
        <v>1</v>
      </c>
      <c r="K5394" s="1" t="s">
        <v>3665</v>
      </c>
      <c r="L5394" s="1" t="s">
        <v>798</v>
      </c>
      <c r="M5394">
        <f t="shared" si="169"/>
        <v>13</v>
      </c>
      <c r="N5394" t="s">
        <v>650</v>
      </c>
    </row>
    <row r="5395" spans="1:14" hidden="1" x14ac:dyDescent="0.3">
      <c r="A5395" s="1" t="s">
        <v>4706</v>
      </c>
      <c r="B5395" s="1" t="s">
        <v>2154</v>
      </c>
      <c r="C5395" s="1" t="s">
        <v>4707</v>
      </c>
      <c r="D5395" s="1" t="s">
        <v>746</v>
      </c>
      <c r="E5395" s="1" t="s">
        <v>1358</v>
      </c>
      <c r="F5395" s="1" t="s">
        <v>1359</v>
      </c>
      <c r="G5395" s="1" t="s">
        <v>4699</v>
      </c>
      <c r="H5395">
        <v>2008</v>
      </c>
      <c r="I5395">
        <v>2009</v>
      </c>
      <c r="J5395">
        <f t="shared" si="168"/>
        <v>2</v>
      </c>
      <c r="K5395" s="1" t="s">
        <v>3665</v>
      </c>
      <c r="L5395" s="1" t="s">
        <v>666</v>
      </c>
      <c r="M5395">
        <f t="shared" si="169"/>
        <v>17</v>
      </c>
      <c r="N5395" t="s">
        <v>640</v>
      </c>
    </row>
    <row r="5396" spans="1:14" hidden="1" x14ac:dyDescent="0.3">
      <c r="A5396" s="1" t="s">
        <v>4708</v>
      </c>
      <c r="B5396" s="1" t="s">
        <v>2154</v>
      </c>
      <c r="C5396" s="1" t="s">
        <v>4709</v>
      </c>
      <c r="D5396" s="1" t="s">
        <v>746</v>
      </c>
      <c r="E5396" s="1" t="s">
        <v>1358</v>
      </c>
      <c r="F5396" s="1" t="s">
        <v>1359</v>
      </c>
      <c r="G5396" s="1" t="s">
        <v>4699</v>
      </c>
      <c r="H5396">
        <v>2008</v>
      </c>
      <c r="I5396">
        <v>2013</v>
      </c>
      <c r="J5396">
        <f t="shared" si="168"/>
        <v>6</v>
      </c>
      <c r="K5396" s="1" t="s">
        <v>3665</v>
      </c>
      <c r="L5396" s="1" t="s">
        <v>666</v>
      </c>
      <c r="M5396">
        <f t="shared" si="169"/>
        <v>13</v>
      </c>
      <c r="N5396" t="s">
        <v>650</v>
      </c>
    </row>
    <row r="5397" spans="1:14" x14ac:dyDescent="0.3">
      <c r="A5397" s="1" t="s">
        <v>10195</v>
      </c>
      <c r="B5397" s="1" t="s">
        <v>802</v>
      </c>
      <c r="C5397" s="1" t="s">
        <v>10196</v>
      </c>
      <c r="D5397" s="1" t="s">
        <v>738</v>
      </c>
      <c r="E5397" s="1" t="s">
        <v>6076</v>
      </c>
      <c r="F5397" s="1" t="s">
        <v>6076</v>
      </c>
      <c r="G5397" s="1" t="s">
        <v>10197</v>
      </c>
      <c r="H5397">
        <v>1993</v>
      </c>
      <c r="I5397">
        <v>1993</v>
      </c>
      <c r="J5397">
        <f t="shared" si="168"/>
        <v>1</v>
      </c>
      <c r="K5397" s="1" t="s">
        <v>6076</v>
      </c>
      <c r="L5397" s="1" t="s">
        <v>6076</v>
      </c>
      <c r="M5397">
        <f t="shared" si="169"/>
        <v>33</v>
      </c>
      <c r="N5397" t="s">
        <v>640</v>
      </c>
    </row>
    <row r="5398" spans="1:14" x14ac:dyDescent="0.3">
      <c r="A5398" s="1" t="s">
        <v>10198</v>
      </c>
      <c r="B5398" s="1" t="s">
        <v>802</v>
      </c>
      <c r="C5398" s="1" t="s">
        <v>10199</v>
      </c>
      <c r="D5398" s="1" t="s">
        <v>738</v>
      </c>
      <c r="E5398" s="1" t="s">
        <v>6076</v>
      </c>
      <c r="F5398" s="1" t="s">
        <v>6076</v>
      </c>
      <c r="G5398" s="1" t="s">
        <v>10197</v>
      </c>
      <c r="H5398">
        <v>1996</v>
      </c>
      <c r="I5398">
        <v>1996</v>
      </c>
      <c r="J5398">
        <f t="shared" si="168"/>
        <v>1</v>
      </c>
      <c r="K5398" s="1" t="s">
        <v>6076</v>
      </c>
      <c r="L5398" s="1" t="s">
        <v>6076</v>
      </c>
      <c r="M5398">
        <f t="shared" si="169"/>
        <v>30</v>
      </c>
      <c r="N5398" t="s">
        <v>640</v>
      </c>
    </row>
    <row r="5399" spans="1:14" x14ac:dyDescent="0.3">
      <c r="A5399" s="1" t="s">
        <v>10200</v>
      </c>
      <c r="B5399" s="1" t="s">
        <v>802</v>
      </c>
      <c r="C5399" s="1" t="s">
        <v>10201</v>
      </c>
      <c r="D5399" s="1" t="s">
        <v>738</v>
      </c>
      <c r="E5399" s="1" t="s">
        <v>6076</v>
      </c>
      <c r="F5399" s="1" t="s">
        <v>6076</v>
      </c>
      <c r="G5399" s="1" t="s">
        <v>10197</v>
      </c>
      <c r="H5399">
        <v>1995</v>
      </c>
      <c r="I5399">
        <v>1995</v>
      </c>
      <c r="J5399">
        <f t="shared" si="168"/>
        <v>1</v>
      </c>
      <c r="K5399" s="1" t="s">
        <v>6076</v>
      </c>
      <c r="L5399" s="1" t="s">
        <v>6076</v>
      </c>
      <c r="M5399">
        <f t="shared" si="169"/>
        <v>31</v>
      </c>
      <c r="N5399" t="s">
        <v>640</v>
      </c>
    </row>
    <row r="5400" spans="1:14" x14ac:dyDescent="0.3">
      <c r="A5400" s="1" t="s">
        <v>10202</v>
      </c>
      <c r="B5400" s="1" t="s">
        <v>802</v>
      </c>
      <c r="C5400" s="1" t="s">
        <v>10203</v>
      </c>
      <c r="D5400" s="1" t="s">
        <v>738</v>
      </c>
      <c r="E5400" s="1" t="s">
        <v>6076</v>
      </c>
      <c r="F5400" s="1" t="s">
        <v>6076</v>
      </c>
      <c r="G5400" s="1" t="s">
        <v>10197</v>
      </c>
      <c r="H5400">
        <v>1994</v>
      </c>
      <c r="I5400">
        <v>1994</v>
      </c>
      <c r="J5400">
        <f t="shared" si="168"/>
        <v>1</v>
      </c>
      <c r="K5400" s="1" t="s">
        <v>6076</v>
      </c>
      <c r="L5400" s="1" t="s">
        <v>6076</v>
      </c>
      <c r="M5400">
        <f t="shared" si="169"/>
        <v>32</v>
      </c>
      <c r="N5400" t="s">
        <v>640</v>
      </c>
    </row>
    <row r="5401" spans="1:14" hidden="1" x14ac:dyDescent="0.3">
      <c r="A5401" t="s">
        <v>11399</v>
      </c>
      <c r="B5401" t="s">
        <v>802</v>
      </c>
      <c r="C5401" t="s">
        <v>11400</v>
      </c>
      <c r="E5401" s="1" t="e">
        <v>#N/A</v>
      </c>
      <c r="F5401" s="1" t="e">
        <v>#N/A</v>
      </c>
      <c r="G5401" s="1" t="s">
        <v>12814</v>
      </c>
      <c r="H5401">
        <v>2024</v>
      </c>
      <c r="I5401">
        <v>2026</v>
      </c>
      <c r="J5401">
        <f t="shared" si="168"/>
        <v>3</v>
      </c>
      <c r="K5401" s="1" t="s">
        <v>12912</v>
      </c>
      <c r="L5401" s="1" t="s">
        <v>12912</v>
      </c>
      <c r="M5401">
        <f t="shared" si="169"/>
        <v>0</v>
      </c>
    </row>
    <row r="5402" spans="1:14" hidden="1" x14ac:dyDescent="0.3">
      <c r="A5402" t="s">
        <v>11401</v>
      </c>
      <c r="B5402" t="s">
        <v>802</v>
      </c>
      <c r="C5402" t="s">
        <v>11402</v>
      </c>
      <c r="E5402" s="1" t="e">
        <v>#N/A</v>
      </c>
      <c r="F5402" s="1" t="e">
        <v>#N/A</v>
      </c>
      <c r="G5402" s="1" t="s">
        <v>12814</v>
      </c>
      <c r="H5402">
        <v>2024</v>
      </c>
      <c r="I5402">
        <v>2026</v>
      </c>
      <c r="J5402">
        <f t="shared" si="168"/>
        <v>3</v>
      </c>
      <c r="K5402" s="1" t="s">
        <v>12912</v>
      </c>
      <c r="L5402" s="1" t="s">
        <v>12912</v>
      </c>
      <c r="M5402">
        <f t="shared" si="169"/>
        <v>0</v>
      </c>
    </row>
    <row r="5403" spans="1:14" hidden="1" x14ac:dyDescent="0.3">
      <c r="A5403" t="s">
        <v>11403</v>
      </c>
      <c r="B5403" t="s">
        <v>802</v>
      </c>
      <c r="C5403" t="s">
        <v>11404</v>
      </c>
      <c r="E5403" s="1" t="e">
        <v>#N/A</v>
      </c>
      <c r="F5403" s="1" t="e">
        <v>#N/A</v>
      </c>
      <c r="G5403" s="1" t="s">
        <v>12814</v>
      </c>
      <c r="H5403">
        <v>2024</v>
      </c>
      <c r="I5403">
        <v>2026</v>
      </c>
      <c r="J5403">
        <f t="shared" si="168"/>
        <v>3</v>
      </c>
      <c r="K5403" s="1" t="s">
        <v>12912</v>
      </c>
      <c r="L5403" s="1" t="s">
        <v>12912</v>
      </c>
      <c r="M5403">
        <f t="shared" si="169"/>
        <v>0</v>
      </c>
    </row>
    <row r="5404" spans="1:14" hidden="1" x14ac:dyDescent="0.3">
      <c r="A5404" s="1" t="s">
        <v>5794</v>
      </c>
      <c r="B5404" s="1" t="s">
        <v>802</v>
      </c>
      <c r="C5404" s="1" t="s">
        <v>5795</v>
      </c>
      <c r="D5404" s="1" t="s">
        <v>1242</v>
      </c>
      <c r="E5404" s="1" t="s">
        <v>4250</v>
      </c>
      <c r="F5404" s="1" t="s">
        <v>4251</v>
      </c>
      <c r="G5404" s="1" t="s">
        <v>5796</v>
      </c>
      <c r="H5404">
        <v>2018</v>
      </c>
      <c r="I5404">
        <v>2018</v>
      </c>
      <c r="J5404">
        <f t="shared" si="168"/>
        <v>1</v>
      </c>
      <c r="K5404" s="1" t="s">
        <v>4668</v>
      </c>
      <c r="L5404" s="1" t="s">
        <v>798</v>
      </c>
      <c r="M5404">
        <f t="shared" si="169"/>
        <v>8</v>
      </c>
      <c r="N5404" t="s">
        <v>650</v>
      </c>
    </row>
    <row r="5405" spans="1:14" hidden="1" x14ac:dyDescent="0.3">
      <c r="A5405" s="1" t="s">
        <v>5797</v>
      </c>
      <c r="B5405" s="1" t="s">
        <v>802</v>
      </c>
      <c r="C5405" s="1" t="s">
        <v>5798</v>
      </c>
      <c r="D5405" s="1" t="s">
        <v>1242</v>
      </c>
      <c r="E5405" s="1" t="s">
        <v>4250</v>
      </c>
      <c r="F5405" s="1" t="s">
        <v>4251</v>
      </c>
      <c r="G5405" s="1" t="s">
        <v>5796</v>
      </c>
      <c r="H5405">
        <v>2022</v>
      </c>
      <c r="I5405">
        <v>2022</v>
      </c>
      <c r="J5405">
        <f t="shared" si="168"/>
        <v>1</v>
      </c>
      <c r="K5405" s="1" t="s">
        <v>4668</v>
      </c>
      <c r="L5405" s="1" t="s">
        <v>798</v>
      </c>
      <c r="M5405">
        <f t="shared" si="169"/>
        <v>4</v>
      </c>
      <c r="N5405" t="s">
        <v>650</v>
      </c>
    </row>
    <row r="5406" spans="1:14" hidden="1" x14ac:dyDescent="0.3">
      <c r="A5406" s="1" t="s">
        <v>5799</v>
      </c>
      <c r="B5406" s="1" t="s">
        <v>802</v>
      </c>
      <c r="C5406" s="1" t="s">
        <v>5800</v>
      </c>
      <c r="D5406" s="1" t="s">
        <v>1242</v>
      </c>
      <c r="E5406" s="1" t="s">
        <v>4250</v>
      </c>
      <c r="F5406" s="1" t="s">
        <v>4251</v>
      </c>
      <c r="G5406" s="1" t="s">
        <v>5796</v>
      </c>
      <c r="H5406">
        <v>2019</v>
      </c>
      <c r="I5406">
        <v>2019</v>
      </c>
      <c r="J5406">
        <f t="shared" si="168"/>
        <v>1</v>
      </c>
      <c r="K5406" s="1" t="s">
        <v>4668</v>
      </c>
      <c r="L5406" s="1" t="s">
        <v>798</v>
      </c>
      <c r="M5406">
        <f t="shared" si="169"/>
        <v>7</v>
      </c>
      <c r="N5406" t="s">
        <v>650</v>
      </c>
    </row>
    <row r="5407" spans="1:14" hidden="1" x14ac:dyDescent="0.3">
      <c r="A5407" s="1" t="s">
        <v>5801</v>
      </c>
      <c r="B5407" s="1" t="s">
        <v>802</v>
      </c>
      <c r="C5407" s="1" t="s">
        <v>5802</v>
      </c>
      <c r="D5407" s="1" t="s">
        <v>1242</v>
      </c>
      <c r="E5407" s="1" t="s">
        <v>4250</v>
      </c>
      <c r="F5407" s="1" t="s">
        <v>4251</v>
      </c>
      <c r="G5407" s="1" t="s">
        <v>5796</v>
      </c>
      <c r="H5407">
        <v>2020</v>
      </c>
      <c r="I5407">
        <v>2020</v>
      </c>
      <c r="J5407">
        <f t="shared" si="168"/>
        <v>1</v>
      </c>
      <c r="K5407" s="1" t="s">
        <v>4668</v>
      </c>
      <c r="L5407" s="1" t="s">
        <v>798</v>
      </c>
      <c r="M5407">
        <f t="shared" si="169"/>
        <v>6</v>
      </c>
      <c r="N5407" t="s">
        <v>650</v>
      </c>
    </row>
    <row r="5408" spans="1:14" hidden="1" x14ac:dyDescent="0.3">
      <c r="A5408" s="1" t="s">
        <v>5803</v>
      </c>
      <c r="B5408" s="1" t="s">
        <v>802</v>
      </c>
      <c r="C5408" s="1" t="s">
        <v>5804</v>
      </c>
      <c r="D5408" s="1" t="s">
        <v>1242</v>
      </c>
      <c r="E5408" s="1" t="s">
        <v>4250</v>
      </c>
      <c r="F5408" s="1" t="s">
        <v>4251</v>
      </c>
      <c r="G5408" s="1" t="s">
        <v>5796</v>
      </c>
      <c r="H5408">
        <v>2020</v>
      </c>
      <c r="I5408">
        <v>2020</v>
      </c>
      <c r="J5408">
        <f t="shared" si="168"/>
        <v>1</v>
      </c>
      <c r="K5408" s="1" t="s">
        <v>4668</v>
      </c>
      <c r="L5408" s="1" t="s">
        <v>798</v>
      </c>
      <c r="M5408">
        <f t="shared" si="169"/>
        <v>6</v>
      </c>
      <c r="N5408" t="s">
        <v>650</v>
      </c>
    </row>
    <row r="5409" spans="1:14" hidden="1" x14ac:dyDescent="0.3">
      <c r="A5409" s="1" t="s">
        <v>5805</v>
      </c>
      <c r="B5409" s="1" t="s">
        <v>802</v>
      </c>
      <c r="C5409" s="1" t="s">
        <v>5806</v>
      </c>
      <c r="D5409" s="1" t="s">
        <v>1242</v>
      </c>
      <c r="E5409" s="1" t="s">
        <v>4250</v>
      </c>
      <c r="F5409" s="1" t="s">
        <v>4251</v>
      </c>
      <c r="G5409" s="1" t="s">
        <v>5796</v>
      </c>
      <c r="H5409">
        <v>2022</v>
      </c>
      <c r="I5409">
        <v>2022</v>
      </c>
      <c r="J5409">
        <f t="shared" si="168"/>
        <v>1</v>
      </c>
      <c r="K5409" s="1" t="s">
        <v>4668</v>
      </c>
      <c r="L5409" s="1" t="s">
        <v>798</v>
      </c>
      <c r="M5409">
        <f t="shared" si="169"/>
        <v>4</v>
      </c>
      <c r="N5409" t="s">
        <v>650</v>
      </c>
    </row>
    <row r="5410" spans="1:14" hidden="1" x14ac:dyDescent="0.3">
      <c r="A5410" s="1" t="s">
        <v>5807</v>
      </c>
      <c r="B5410" s="1" t="s">
        <v>802</v>
      </c>
      <c r="C5410" s="1" t="s">
        <v>5808</v>
      </c>
      <c r="D5410" s="1" t="s">
        <v>1242</v>
      </c>
      <c r="E5410" s="1" t="s">
        <v>4250</v>
      </c>
      <c r="F5410" s="1" t="s">
        <v>4251</v>
      </c>
      <c r="G5410" s="1" t="s">
        <v>5796</v>
      </c>
      <c r="H5410">
        <v>2016</v>
      </c>
      <c r="I5410">
        <v>2016</v>
      </c>
      <c r="J5410">
        <f t="shared" si="168"/>
        <v>1</v>
      </c>
      <c r="K5410" s="1" t="s">
        <v>4668</v>
      </c>
      <c r="L5410" s="1" t="s">
        <v>798</v>
      </c>
      <c r="M5410">
        <f t="shared" si="169"/>
        <v>10</v>
      </c>
      <c r="N5410" t="s">
        <v>650</v>
      </c>
    </row>
    <row r="5411" spans="1:14" hidden="1" x14ac:dyDescent="0.3">
      <c r="A5411" s="1" t="s">
        <v>5809</v>
      </c>
      <c r="B5411" s="1" t="s">
        <v>802</v>
      </c>
      <c r="C5411" s="1" t="s">
        <v>5810</v>
      </c>
      <c r="D5411" s="1" t="s">
        <v>1242</v>
      </c>
      <c r="E5411" s="1" t="s">
        <v>4250</v>
      </c>
      <c r="F5411" s="1" t="s">
        <v>4251</v>
      </c>
      <c r="G5411" s="1" t="s">
        <v>5796</v>
      </c>
      <c r="H5411">
        <v>2016</v>
      </c>
      <c r="I5411">
        <v>2016</v>
      </c>
      <c r="J5411">
        <f t="shared" si="168"/>
        <v>1</v>
      </c>
      <c r="K5411" s="1" t="s">
        <v>4668</v>
      </c>
      <c r="L5411" s="1" t="s">
        <v>798</v>
      </c>
      <c r="M5411">
        <f t="shared" si="169"/>
        <v>10</v>
      </c>
      <c r="N5411" t="s">
        <v>650</v>
      </c>
    </row>
    <row r="5412" spans="1:14" hidden="1" x14ac:dyDescent="0.3">
      <c r="A5412" s="1" t="s">
        <v>5811</v>
      </c>
      <c r="B5412" s="1" t="s">
        <v>802</v>
      </c>
      <c r="C5412" s="1" t="s">
        <v>5812</v>
      </c>
      <c r="D5412" s="1" t="s">
        <v>1242</v>
      </c>
      <c r="E5412" s="1" t="s">
        <v>4250</v>
      </c>
      <c r="F5412" s="1" t="s">
        <v>4251</v>
      </c>
      <c r="G5412" s="1" t="s">
        <v>5796</v>
      </c>
      <c r="H5412">
        <v>2018</v>
      </c>
      <c r="I5412">
        <v>2018</v>
      </c>
      <c r="J5412">
        <f t="shared" si="168"/>
        <v>1</v>
      </c>
      <c r="K5412" s="1" t="s">
        <v>4668</v>
      </c>
      <c r="L5412" s="1" t="s">
        <v>798</v>
      </c>
      <c r="M5412">
        <f t="shared" si="169"/>
        <v>8</v>
      </c>
      <c r="N5412" t="s">
        <v>650</v>
      </c>
    </row>
    <row r="5413" spans="1:14" hidden="1" x14ac:dyDescent="0.3">
      <c r="A5413" s="1" t="s">
        <v>5813</v>
      </c>
      <c r="B5413" s="1" t="s">
        <v>802</v>
      </c>
      <c r="C5413" s="1" t="s">
        <v>5814</v>
      </c>
      <c r="D5413" s="1" t="s">
        <v>1242</v>
      </c>
      <c r="E5413" s="1" t="s">
        <v>4250</v>
      </c>
      <c r="F5413" s="1" t="s">
        <v>4251</v>
      </c>
      <c r="G5413" s="1" t="s">
        <v>5796</v>
      </c>
      <c r="H5413">
        <v>2016</v>
      </c>
      <c r="I5413">
        <v>2016</v>
      </c>
      <c r="J5413">
        <f t="shared" si="168"/>
        <v>1</v>
      </c>
      <c r="K5413" s="1" t="s">
        <v>4668</v>
      </c>
      <c r="L5413" s="1" t="s">
        <v>798</v>
      </c>
      <c r="M5413">
        <f t="shared" si="169"/>
        <v>10</v>
      </c>
      <c r="N5413" t="s">
        <v>650</v>
      </c>
    </row>
    <row r="5414" spans="1:14" hidden="1" x14ac:dyDescent="0.3">
      <c r="A5414" s="1" t="s">
        <v>5815</v>
      </c>
      <c r="B5414" s="1" t="s">
        <v>802</v>
      </c>
      <c r="C5414" s="1" t="s">
        <v>5816</v>
      </c>
      <c r="D5414" s="1" t="s">
        <v>1242</v>
      </c>
      <c r="E5414" s="1" t="s">
        <v>4250</v>
      </c>
      <c r="F5414" s="1" t="s">
        <v>4251</v>
      </c>
      <c r="G5414" s="1" t="s">
        <v>5796</v>
      </c>
      <c r="H5414">
        <v>2017</v>
      </c>
      <c r="I5414">
        <v>2017</v>
      </c>
      <c r="J5414">
        <f t="shared" si="168"/>
        <v>1</v>
      </c>
      <c r="K5414" s="1" t="s">
        <v>4668</v>
      </c>
      <c r="L5414" s="1" t="s">
        <v>798</v>
      </c>
      <c r="M5414">
        <f t="shared" si="169"/>
        <v>9</v>
      </c>
      <c r="N5414" t="s">
        <v>650</v>
      </c>
    </row>
    <row r="5415" spans="1:14" hidden="1" x14ac:dyDescent="0.3">
      <c r="A5415" s="1" t="s">
        <v>5817</v>
      </c>
      <c r="B5415" s="1" t="s">
        <v>802</v>
      </c>
      <c r="C5415" s="1" t="s">
        <v>5818</v>
      </c>
      <c r="D5415" s="1" t="s">
        <v>1242</v>
      </c>
      <c r="E5415" s="1" t="s">
        <v>4250</v>
      </c>
      <c r="F5415" s="1" t="s">
        <v>4251</v>
      </c>
      <c r="G5415" s="1" t="s">
        <v>5796</v>
      </c>
      <c r="H5415">
        <v>2018</v>
      </c>
      <c r="I5415">
        <v>2018</v>
      </c>
      <c r="J5415">
        <f t="shared" si="168"/>
        <v>1</v>
      </c>
      <c r="K5415" s="1" t="s">
        <v>4668</v>
      </c>
      <c r="L5415" s="1" t="s">
        <v>798</v>
      </c>
      <c r="M5415">
        <f t="shared" si="169"/>
        <v>8</v>
      </c>
      <c r="N5415" t="s">
        <v>650</v>
      </c>
    </row>
    <row r="5416" spans="1:14" hidden="1" x14ac:dyDescent="0.3">
      <c r="A5416" s="1" t="s">
        <v>5819</v>
      </c>
      <c r="B5416" s="1" t="s">
        <v>802</v>
      </c>
      <c r="C5416" s="1" t="s">
        <v>5820</v>
      </c>
      <c r="D5416" s="1" t="s">
        <v>1242</v>
      </c>
      <c r="E5416" s="1" t="s">
        <v>4250</v>
      </c>
      <c r="F5416" s="1" t="s">
        <v>4251</v>
      </c>
      <c r="G5416" s="1" t="s">
        <v>5796</v>
      </c>
      <c r="H5416">
        <v>2018</v>
      </c>
      <c r="I5416">
        <v>2018</v>
      </c>
      <c r="J5416">
        <f t="shared" si="168"/>
        <v>1</v>
      </c>
      <c r="K5416" s="1" t="s">
        <v>4668</v>
      </c>
      <c r="L5416" s="1" t="s">
        <v>798</v>
      </c>
      <c r="M5416">
        <f t="shared" si="169"/>
        <v>8</v>
      </c>
      <c r="N5416" t="s">
        <v>650</v>
      </c>
    </row>
    <row r="5417" spans="1:14" hidden="1" x14ac:dyDescent="0.3">
      <c r="A5417" s="1" t="s">
        <v>5821</v>
      </c>
      <c r="B5417" s="1" t="s">
        <v>802</v>
      </c>
      <c r="C5417" s="1" t="s">
        <v>5822</v>
      </c>
      <c r="D5417" s="1" t="s">
        <v>1242</v>
      </c>
      <c r="E5417" s="1" t="s">
        <v>4250</v>
      </c>
      <c r="F5417" s="1" t="s">
        <v>4251</v>
      </c>
      <c r="G5417" s="1" t="s">
        <v>5796</v>
      </c>
      <c r="H5417">
        <v>2017</v>
      </c>
      <c r="I5417">
        <v>2017</v>
      </c>
      <c r="J5417">
        <f t="shared" si="168"/>
        <v>1</v>
      </c>
      <c r="K5417" s="1" t="s">
        <v>4668</v>
      </c>
      <c r="L5417" s="1" t="s">
        <v>798</v>
      </c>
      <c r="M5417">
        <f t="shared" si="169"/>
        <v>9</v>
      </c>
      <c r="N5417" t="s">
        <v>650</v>
      </c>
    </row>
    <row r="5418" spans="1:14" hidden="1" x14ac:dyDescent="0.3">
      <c r="A5418" s="1" t="s">
        <v>5823</v>
      </c>
      <c r="B5418" s="1" t="s">
        <v>802</v>
      </c>
      <c r="C5418" s="1" t="s">
        <v>5824</v>
      </c>
      <c r="D5418" s="1" t="s">
        <v>1242</v>
      </c>
      <c r="E5418" s="1" t="s">
        <v>4250</v>
      </c>
      <c r="F5418" s="1" t="s">
        <v>4251</v>
      </c>
      <c r="G5418" s="1" t="s">
        <v>5796</v>
      </c>
      <c r="H5418">
        <v>2017</v>
      </c>
      <c r="I5418">
        <v>2017</v>
      </c>
      <c r="J5418">
        <f t="shared" si="168"/>
        <v>1</v>
      </c>
      <c r="K5418" s="1" t="s">
        <v>4668</v>
      </c>
      <c r="L5418" s="1" t="s">
        <v>798</v>
      </c>
      <c r="M5418">
        <f t="shared" si="169"/>
        <v>9</v>
      </c>
      <c r="N5418" t="s">
        <v>650</v>
      </c>
    </row>
    <row r="5419" spans="1:14" hidden="1" x14ac:dyDescent="0.3">
      <c r="A5419" s="1" t="s">
        <v>5825</v>
      </c>
      <c r="B5419" s="1" t="s">
        <v>802</v>
      </c>
      <c r="C5419" s="1" t="s">
        <v>5826</v>
      </c>
      <c r="D5419" s="1" t="s">
        <v>1242</v>
      </c>
      <c r="E5419" s="1" t="s">
        <v>4250</v>
      </c>
      <c r="F5419" s="1" t="s">
        <v>4251</v>
      </c>
      <c r="G5419" s="1" t="s">
        <v>5796</v>
      </c>
      <c r="H5419">
        <v>2019</v>
      </c>
      <c r="I5419">
        <v>2019</v>
      </c>
      <c r="J5419">
        <f t="shared" si="168"/>
        <v>1</v>
      </c>
      <c r="K5419" s="1" t="s">
        <v>4668</v>
      </c>
      <c r="L5419" s="1" t="s">
        <v>798</v>
      </c>
      <c r="M5419">
        <f t="shared" si="169"/>
        <v>7</v>
      </c>
      <c r="N5419" t="s">
        <v>650</v>
      </c>
    </row>
    <row r="5420" spans="1:14" hidden="1" x14ac:dyDescent="0.3">
      <c r="A5420" t="s">
        <v>11405</v>
      </c>
      <c r="B5420" t="s">
        <v>802</v>
      </c>
      <c r="C5420" t="s">
        <v>11406</v>
      </c>
      <c r="E5420" s="1" t="e">
        <v>#N/A</v>
      </c>
      <c r="F5420" s="1" t="e">
        <v>#N/A</v>
      </c>
      <c r="G5420" s="1" t="s">
        <v>12815</v>
      </c>
      <c r="H5420">
        <v>2025</v>
      </c>
      <c r="I5420">
        <v>2026</v>
      </c>
      <c r="J5420">
        <f t="shared" si="168"/>
        <v>2</v>
      </c>
      <c r="K5420" s="1" t="s">
        <v>4668</v>
      </c>
      <c r="L5420" s="1" t="s">
        <v>798</v>
      </c>
      <c r="M5420">
        <f t="shared" si="169"/>
        <v>0</v>
      </c>
    </row>
    <row r="5421" spans="1:14" hidden="1" x14ac:dyDescent="0.3">
      <c r="A5421" t="s">
        <v>11407</v>
      </c>
      <c r="B5421" t="s">
        <v>802</v>
      </c>
      <c r="C5421" t="s">
        <v>11408</v>
      </c>
      <c r="E5421" s="1" t="e">
        <v>#N/A</v>
      </c>
      <c r="F5421" s="1" t="e">
        <v>#N/A</v>
      </c>
      <c r="G5421" s="1" t="s">
        <v>12815</v>
      </c>
      <c r="H5421">
        <v>2025</v>
      </c>
      <c r="I5421">
        <v>2026</v>
      </c>
      <c r="J5421">
        <f t="shared" si="168"/>
        <v>2</v>
      </c>
      <c r="K5421" s="1" t="s">
        <v>4668</v>
      </c>
      <c r="L5421" s="1" t="s">
        <v>798</v>
      </c>
      <c r="M5421">
        <f t="shared" si="169"/>
        <v>0</v>
      </c>
    </row>
    <row r="5422" spans="1:14" hidden="1" x14ac:dyDescent="0.3">
      <c r="A5422" s="1" t="s">
        <v>5827</v>
      </c>
      <c r="B5422" s="1" t="s">
        <v>802</v>
      </c>
      <c r="C5422" s="1" t="s">
        <v>5828</v>
      </c>
      <c r="D5422" s="1" t="s">
        <v>1242</v>
      </c>
      <c r="E5422" s="1" t="s">
        <v>4250</v>
      </c>
      <c r="F5422" s="1" t="s">
        <v>4251</v>
      </c>
      <c r="G5422" s="1" t="s">
        <v>5796</v>
      </c>
      <c r="H5422">
        <v>2020</v>
      </c>
      <c r="I5422">
        <v>2020</v>
      </c>
      <c r="J5422">
        <f t="shared" si="168"/>
        <v>1</v>
      </c>
      <c r="K5422" s="1" t="s">
        <v>4668</v>
      </c>
      <c r="L5422" s="1" t="s">
        <v>798</v>
      </c>
      <c r="M5422">
        <f t="shared" si="169"/>
        <v>6</v>
      </c>
      <c r="N5422" t="s">
        <v>650</v>
      </c>
    </row>
    <row r="5423" spans="1:14" hidden="1" x14ac:dyDescent="0.3">
      <c r="A5423" t="s">
        <v>11409</v>
      </c>
      <c r="B5423" t="s">
        <v>802</v>
      </c>
      <c r="C5423" t="s">
        <v>11410</v>
      </c>
      <c r="E5423" s="1" t="e">
        <v>#N/A</v>
      </c>
      <c r="F5423" s="1" t="e">
        <v>#N/A</v>
      </c>
      <c r="G5423" s="1" t="s">
        <v>12815</v>
      </c>
      <c r="H5423">
        <v>2025</v>
      </c>
      <c r="I5423">
        <v>2026</v>
      </c>
      <c r="J5423">
        <f t="shared" si="168"/>
        <v>2</v>
      </c>
      <c r="K5423" s="1" t="s">
        <v>4668</v>
      </c>
      <c r="L5423" s="1" t="s">
        <v>798</v>
      </c>
      <c r="M5423">
        <f t="shared" si="169"/>
        <v>0</v>
      </c>
    </row>
    <row r="5424" spans="1:14" hidden="1" x14ac:dyDescent="0.3">
      <c r="A5424" s="1" t="s">
        <v>5829</v>
      </c>
      <c r="B5424" s="1" t="s">
        <v>802</v>
      </c>
      <c r="C5424" s="1" t="s">
        <v>5830</v>
      </c>
      <c r="D5424" s="1" t="s">
        <v>1242</v>
      </c>
      <c r="E5424" s="1" t="s">
        <v>4250</v>
      </c>
      <c r="F5424" s="1" t="s">
        <v>4251</v>
      </c>
      <c r="G5424" s="1" t="s">
        <v>5796</v>
      </c>
      <c r="H5424">
        <v>2022</v>
      </c>
      <c r="I5424">
        <v>2022</v>
      </c>
      <c r="J5424">
        <f t="shared" si="168"/>
        <v>1</v>
      </c>
      <c r="K5424" s="1" t="s">
        <v>4668</v>
      </c>
      <c r="L5424" s="1" t="s">
        <v>798</v>
      </c>
      <c r="M5424">
        <f t="shared" si="169"/>
        <v>4</v>
      </c>
      <c r="N5424" t="s">
        <v>650</v>
      </c>
    </row>
    <row r="5425" spans="1:14" hidden="1" x14ac:dyDescent="0.3">
      <c r="A5425" s="1" t="s">
        <v>5831</v>
      </c>
      <c r="B5425" s="1" t="s">
        <v>802</v>
      </c>
      <c r="C5425" s="1" t="s">
        <v>5832</v>
      </c>
      <c r="D5425" s="1" t="s">
        <v>1242</v>
      </c>
      <c r="E5425" s="1" t="s">
        <v>4250</v>
      </c>
      <c r="F5425" s="1" t="s">
        <v>4251</v>
      </c>
      <c r="G5425" s="1" t="s">
        <v>5796</v>
      </c>
      <c r="H5425">
        <v>2016</v>
      </c>
      <c r="I5425">
        <v>2016</v>
      </c>
      <c r="J5425">
        <f t="shared" si="168"/>
        <v>1</v>
      </c>
      <c r="K5425" s="1" t="s">
        <v>4668</v>
      </c>
      <c r="L5425" s="1" t="s">
        <v>798</v>
      </c>
      <c r="M5425">
        <f t="shared" si="169"/>
        <v>10</v>
      </c>
      <c r="N5425" t="s">
        <v>650</v>
      </c>
    </row>
    <row r="5426" spans="1:14" hidden="1" x14ac:dyDescent="0.3">
      <c r="A5426" t="s">
        <v>11411</v>
      </c>
      <c r="B5426" t="s">
        <v>802</v>
      </c>
      <c r="C5426" t="s">
        <v>11412</v>
      </c>
      <c r="E5426" s="1" t="e">
        <v>#N/A</v>
      </c>
      <c r="F5426" s="1" t="e">
        <v>#N/A</v>
      </c>
      <c r="G5426" s="1" t="s">
        <v>12815</v>
      </c>
      <c r="H5426">
        <v>2025</v>
      </c>
      <c r="I5426">
        <v>2026</v>
      </c>
      <c r="J5426">
        <f t="shared" si="168"/>
        <v>2</v>
      </c>
      <c r="K5426" s="1" t="s">
        <v>4668</v>
      </c>
      <c r="L5426" s="1" t="s">
        <v>798</v>
      </c>
      <c r="M5426">
        <f t="shared" si="169"/>
        <v>0</v>
      </c>
    </row>
    <row r="5427" spans="1:14" hidden="1" x14ac:dyDescent="0.3">
      <c r="A5427" s="1" t="s">
        <v>5833</v>
      </c>
      <c r="B5427" s="1" t="s">
        <v>802</v>
      </c>
      <c r="C5427" s="1" t="s">
        <v>5834</v>
      </c>
      <c r="D5427" s="1" t="s">
        <v>1242</v>
      </c>
      <c r="E5427" s="1" t="s">
        <v>4250</v>
      </c>
      <c r="F5427" s="1" t="s">
        <v>4251</v>
      </c>
      <c r="G5427" s="1" t="s">
        <v>5796</v>
      </c>
      <c r="H5427">
        <v>2019</v>
      </c>
      <c r="I5427">
        <v>2019</v>
      </c>
      <c r="J5427">
        <f t="shared" si="168"/>
        <v>1</v>
      </c>
      <c r="K5427" s="1" t="s">
        <v>4668</v>
      </c>
      <c r="L5427" s="1" t="s">
        <v>798</v>
      </c>
      <c r="M5427">
        <f t="shared" si="169"/>
        <v>7</v>
      </c>
      <c r="N5427" t="s">
        <v>650</v>
      </c>
    </row>
    <row r="5428" spans="1:14" x14ac:dyDescent="0.3">
      <c r="A5428" s="1" t="s">
        <v>10204</v>
      </c>
      <c r="B5428" s="1" t="s">
        <v>810</v>
      </c>
      <c r="C5428" s="1" t="s">
        <v>10205</v>
      </c>
      <c r="D5428" s="1" t="s">
        <v>1395</v>
      </c>
      <c r="E5428" s="1" t="s">
        <v>6076</v>
      </c>
      <c r="F5428" s="1" t="s">
        <v>6076</v>
      </c>
      <c r="G5428" s="1" t="s">
        <v>10206</v>
      </c>
      <c r="H5428">
        <v>2006</v>
      </c>
      <c r="I5428">
        <v>2008</v>
      </c>
      <c r="J5428">
        <f t="shared" si="168"/>
        <v>3</v>
      </c>
      <c r="K5428" s="1" t="s">
        <v>6076</v>
      </c>
      <c r="L5428" s="1" t="s">
        <v>6076</v>
      </c>
      <c r="M5428">
        <f t="shared" si="169"/>
        <v>18</v>
      </c>
      <c r="N5428" t="s">
        <v>640</v>
      </c>
    </row>
    <row r="5429" spans="1:14" x14ac:dyDescent="0.3">
      <c r="A5429" s="1" t="s">
        <v>10207</v>
      </c>
      <c r="B5429" s="1" t="s">
        <v>810</v>
      </c>
      <c r="C5429" s="1" t="s">
        <v>10208</v>
      </c>
      <c r="D5429" s="1" t="s">
        <v>1395</v>
      </c>
      <c r="E5429" s="1" t="s">
        <v>6076</v>
      </c>
      <c r="F5429" s="1" t="s">
        <v>6076</v>
      </c>
      <c r="G5429" s="1" t="s">
        <v>10206</v>
      </c>
      <c r="H5429">
        <v>2007</v>
      </c>
      <c r="I5429">
        <v>2007</v>
      </c>
      <c r="J5429">
        <f t="shared" si="168"/>
        <v>1</v>
      </c>
      <c r="K5429" s="1" t="s">
        <v>6076</v>
      </c>
      <c r="L5429" s="1" t="s">
        <v>6076</v>
      </c>
      <c r="M5429">
        <f t="shared" si="169"/>
        <v>19</v>
      </c>
      <c r="N5429" t="s">
        <v>640</v>
      </c>
    </row>
    <row r="5430" spans="1:14" x14ac:dyDescent="0.3">
      <c r="A5430" s="1" t="s">
        <v>10209</v>
      </c>
      <c r="B5430" s="1" t="s">
        <v>810</v>
      </c>
      <c r="C5430" s="1" t="s">
        <v>10210</v>
      </c>
      <c r="D5430" s="1" t="s">
        <v>1395</v>
      </c>
      <c r="E5430" s="1" t="s">
        <v>6076</v>
      </c>
      <c r="F5430" s="1" t="s">
        <v>6076</v>
      </c>
      <c r="G5430" s="1" t="s">
        <v>10206</v>
      </c>
      <c r="H5430">
        <v>2004</v>
      </c>
      <c r="I5430">
        <v>2016</v>
      </c>
      <c r="J5430">
        <f t="shared" si="168"/>
        <v>13</v>
      </c>
      <c r="K5430" s="1" t="s">
        <v>6076</v>
      </c>
      <c r="L5430" s="1" t="s">
        <v>6076</v>
      </c>
      <c r="M5430">
        <f t="shared" si="169"/>
        <v>10</v>
      </c>
      <c r="N5430" t="s">
        <v>650</v>
      </c>
    </row>
    <row r="5431" spans="1:14" x14ac:dyDescent="0.3">
      <c r="A5431" s="1" t="s">
        <v>10211</v>
      </c>
      <c r="B5431" s="1" t="s">
        <v>810</v>
      </c>
      <c r="C5431" s="1" t="s">
        <v>10212</v>
      </c>
      <c r="D5431" s="1" t="s">
        <v>1395</v>
      </c>
      <c r="E5431" s="1" t="s">
        <v>6076</v>
      </c>
      <c r="F5431" s="1" t="s">
        <v>6076</v>
      </c>
      <c r="G5431" s="1" t="s">
        <v>10206</v>
      </c>
      <c r="H5431">
        <v>2015</v>
      </c>
      <c r="I5431">
        <v>2018</v>
      </c>
      <c r="J5431">
        <f t="shared" si="168"/>
        <v>4</v>
      </c>
      <c r="K5431" s="1" t="s">
        <v>6076</v>
      </c>
      <c r="L5431" s="1" t="s">
        <v>6076</v>
      </c>
      <c r="M5431">
        <f t="shared" si="169"/>
        <v>8</v>
      </c>
      <c r="N5431" t="s">
        <v>650</v>
      </c>
    </row>
    <row r="5432" spans="1:14" x14ac:dyDescent="0.3">
      <c r="A5432" t="s">
        <v>11175</v>
      </c>
      <c r="B5432" t="s">
        <v>10997</v>
      </c>
      <c r="C5432" t="s">
        <v>11176</v>
      </c>
      <c r="E5432" s="1" t="s">
        <v>6076</v>
      </c>
      <c r="F5432" s="1" t="s">
        <v>6076</v>
      </c>
      <c r="G5432" s="1" t="s">
        <v>12797</v>
      </c>
      <c r="H5432">
        <v>2008</v>
      </c>
      <c r="I5432">
        <v>2015</v>
      </c>
      <c r="J5432">
        <f t="shared" si="168"/>
        <v>8</v>
      </c>
      <c r="K5432" s="1" t="s">
        <v>6076</v>
      </c>
      <c r="L5432" s="1" t="s">
        <v>6076</v>
      </c>
      <c r="M5432">
        <f t="shared" si="169"/>
        <v>11</v>
      </c>
    </row>
    <row r="5433" spans="1:14" x14ac:dyDescent="0.3">
      <c r="A5433" t="s">
        <v>11177</v>
      </c>
      <c r="B5433" t="s">
        <v>10997</v>
      </c>
      <c r="C5433" t="s">
        <v>11178</v>
      </c>
      <c r="E5433" s="1" t="s">
        <v>6076</v>
      </c>
      <c r="F5433" s="1" t="s">
        <v>6076</v>
      </c>
      <c r="G5433" s="1" t="s">
        <v>12797</v>
      </c>
      <c r="H5433">
        <v>2012</v>
      </c>
      <c r="I5433">
        <v>2014</v>
      </c>
      <c r="J5433">
        <f t="shared" si="168"/>
        <v>3</v>
      </c>
      <c r="K5433" s="1" t="s">
        <v>6076</v>
      </c>
      <c r="L5433" s="1" t="s">
        <v>6076</v>
      </c>
      <c r="M5433">
        <f t="shared" si="169"/>
        <v>12</v>
      </c>
    </row>
    <row r="5434" spans="1:14" hidden="1" x14ac:dyDescent="0.3">
      <c r="A5434" s="1" t="s">
        <v>3314</v>
      </c>
      <c r="B5434" s="1" t="s">
        <v>795</v>
      </c>
      <c r="C5434" s="1" t="s">
        <v>3315</v>
      </c>
      <c r="D5434" s="1" t="s">
        <v>1395</v>
      </c>
      <c r="E5434" s="1" t="s">
        <v>1396</v>
      </c>
      <c r="F5434" s="1" t="s">
        <v>1397</v>
      </c>
      <c r="G5434" s="1" t="s">
        <v>3316</v>
      </c>
      <c r="H5434">
        <v>2021</v>
      </c>
      <c r="I5434">
        <v>2022</v>
      </c>
      <c r="J5434">
        <f t="shared" si="168"/>
        <v>2</v>
      </c>
      <c r="K5434" s="1" t="s">
        <v>741</v>
      </c>
      <c r="L5434" s="1" t="s">
        <v>798</v>
      </c>
      <c r="M5434">
        <f t="shared" si="169"/>
        <v>4</v>
      </c>
      <c r="N5434" t="s">
        <v>650</v>
      </c>
    </row>
    <row r="5435" spans="1:14" hidden="1" x14ac:dyDescent="0.3">
      <c r="A5435" s="1" t="s">
        <v>3317</v>
      </c>
      <c r="B5435" s="1" t="s">
        <v>795</v>
      </c>
      <c r="C5435" s="1" t="s">
        <v>3318</v>
      </c>
      <c r="D5435" s="1" t="s">
        <v>1395</v>
      </c>
      <c r="E5435" s="1" t="s">
        <v>1396</v>
      </c>
      <c r="F5435" s="1" t="s">
        <v>1397</v>
      </c>
      <c r="G5435" s="1" t="s">
        <v>3316</v>
      </c>
      <c r="H5435">
        <v>2020</v>
      </c>
      <c r="I5435">
        <v>2022</v>
      </c>
      <c r="J5435">
        <f t="shared" si="168"/>
        <v>3</v>
      </c>
      <c r="K5435" s="1" t="s">
        <v>741</v>
      </c>
      <c r="L5435" s="1" t="s">
        <v>798</v>
      </c>
      <c r="M5435">
        <f t="shared" si="169"/>
        <v>4</v>
      </c>
      <c r="N5435" t="s">
        <v>650</v>
      </c>
    </row>
    <row r="5436" spans="1:14" hidden="1" x14ac:dyDescent="0.3">
      <c r="A5436" s="1" t="s">
        <v>3319</v>
      </c>
      <c r="B5436" s="1" t="s">
        <v>795</v>
      </c>
      <c r="C5436" s="1" t="s">
        <v>3320</v>
      </c>
      <c r="D5436" s="1" t="s">
        <v>1395</v>
      </c>
      <c r="E5436" s="1" t="s">
        <v>1396</v>
      </c>
      <c r="F5436" s="1" t="s">
        <v>1397</v>
      </c>
      <c r="G5436" s="1" t="s">
        <v>3316</v>
      </c>
      <c r="H5436">
        <v>2020</v>
      </c>
      <c r="I5436">
        <v>2022</v>
      </c>
      <c r="J5436">
        <f t="shared" si="168"/>
        <v>3</v>
      </c>
      <c r="K5436" s="1" t="s">
        <v>741</v>
      </c>
      <c r="L5436" s="1" t="s">
        <v>798</v>
      </c>
      <c r="M5436">
        <f t="shared" si="169"/>
        <v>4</v>
      </c>
      <c r="N5436" t="s">
        <v>650</v>
      </c>
    </row>
    <row r="5437" spans="1:14" hidden="1" x14ac:dyDescent="0.3">
      <c r="A5437" t="s">
        <v>11107</v>
      </c>
      <c r="B5437" t="s">
        <v>795</v>
      </c>
      <c r="C5437" t="s">
        <v>11108</v>
      </c>
      <c r="E5437" s="1" t="e">
        <v>#N/A</v>
      </c>
      <c r="F5437" s="1" t="e">
        <v>#N/A</v>
      </c>
      <c r="G5437" s="1" t="s">
        <v>3316</v>
      </c>
      <c r="H5437">
        <v>2025</v>
      </c>
      <c r="I5437">
        <v>2026</v>
      </c>
      <c r="J5437">
        <f t="shared" si="168"/>
        <v>2</v>
      </c>
      <c r="K5437" s="1" t="s">
        <v>741</v>
      </c>
      <c r="L5437" s="1" t="s">
        <v>798</v>
      </c>
      <c r="M5437">
        <f t="shared" si="169"/>
        <v>0</v>
      </c>
    </row>
    <row r="5438" spans="1:14" hidden="1" x14ac:dyDescent="0.3">
      <c r="A5438" s="1" t="s">
        <v>5835</v>
      </c>
      <c r="B5438" s="1" t="s">
        <v>795</v>
      </c>
      <c r="C5438" s="1" t="s">
        <v>5836</v>
      </c>
      <c r="D5438" s="1" t="s">
        <v>1395</v>
      </c>
      <c r="E5438" s="1" t="s">
        <v>1396</v>
      </c>
      <c r="F5438" s="1" t="s">
        <v>1397</v>
      </c>
      <c r="G5438" s="1" t="s">
        <v>3316</v>
      </c>
      <c r="H5438">
        <v>2007</v>
      </c>
      <c r="I5438">
        <v>2009</v>
      </c>
      <c r="J5438">
        <f t="shared" si="168"/>
        <v>3</v>
      </c>
      <c r="K5438" s="1" t="s">
        <v>4668</v>
      </c>
      <c r="L5438" s="1" t="s">
        <v>798</v>
      </c>
      <c r="M5438">
        <f t="shared" si="169"/>
        <v>17</v>
      </c>
      <c r="N5438" t="s">
        <v>650</v>
      </c>
    </row>
    <row r="5439" spans="1:14" hidden="1" x14ac:dyDescent="0.3">
      <c r="A5439" s="1" t="s">
        <v>5837</v>
      </c>
      <c r="B5439" s="1" t="s">
        <v>795</v>
      </c>
      <c r="C5439" s="1" t="s">
        <v>5838</v>
      </c>
      <c r="D5439" s="1" t="s">
        <v>1395</v>
      </c>
      <c r="E5439" s="1" t="s">
        <v>1396</v>
      </c>
      <c r="F5439" s="1" t="s">
        <v>1397</v>
      </c>
      <c r="G5439" s="1" t="s">
        <v>3316</v>
      </c>
      <c r="H5439">
        <v>1999</v>
      </c>
      <c r="I5439">
        <v>2004</v>
      </c>
      <c r="J5439">
        <f t="shared" si="168"/>
        <v>6</v>
      </c>
      <c r="K5439" s="1" t="s">
        <v>4668</v>
      </c>
      <c r="L5439" s="1" t="s">
        <v>798</v>
      </c>
      <c r="M5439">
        <f t="shared" si="169"/>
        <v>22</v>
      </c>
      <c r="N5439" t="s">
        <v>640</v>
      </c>
    </row>
    <row r="5440" spans="1:14" hidden="1" x14ac:dyDescent="0.3">
      <c r="A5440" s="1" t="s">
        <v>5839</v>
      </c>
      <c r="B5440" s="1" t="s">
        <v>795</v>
      </c>
      <c r="C5440" s="1" t="s">
        <v>5840</v>
      </c>
      <c r="D5440" s="1" t="s">
        <v>1395</v>
      </c>
      <c r="E5440" s="1" t="s">
        <v>1396</v>
      </c>
      <c r="F5440" s="1" t="s">
        <v>1397</v>
      </c>
      <c r="G5440" s="1" t="s">
        <v>3316</v>
      </c>
      <c r="H5440">
        <v>2014</v>
      </c>
      <c r="I5440">
        <v>2014</v>
      </c>
      <c r="J5440">
        <f t="shared" si="168"/>
        <v>1</v>
      </c>
      <c r="K5440" s="1" t="s">
        <v>4668</v>
      </c>
      <c r="L5440" s="1" t="s">
        <v>798</v>
      </c>
      <c r="M5440">
        <f t="shared" si="169"/>
        <v>12</v>
      </c>
      <c r="N5440" t="s">
        <v>650</v>
      </c>
    </row>
    <row r="5441" spans="1:14" hidden="1" x14ac:dyDescent="0.3">
      <c r="A5441" s="1" t="s">
        <v>3321</v>
      </c>
      <c r="B5441" s="1" t="s">
        <v>795</v>
      </c>
      <c r="C5441" s="1" t="s">
        <v>3322</v>
      </c>
      <c r="D5441" s="1" t="s">
        <v>1395</v>
      </c>
      <c r="E5441" s="1" t="s">
        <v>1396</v>
      </c>
      <c r="F5441" s="1" t="s">
        <v>1397</v>
      </c>
      <c r="G5441" s="1" t="s">
        <v>3316</v>
      </c>
      <c r="H5441">
        <v>2020</v>
      </c>
      <c r="I5441">
        <v>2022</v>
      </c>
      <c r="J5441">
        <f t="shared" si="168"/>
        <v>3</v>
      </c>
      <c r="K5441" s="1" t="s">
        <v>741</v>
      </c>
      <c r="L5441" s="1" t="s">
        <v>798</v>
      </c>
      <c r="M5441">
        <f t="shared" si="169"/>
        <v>4</v>
      </c>
      <c r="N5441" t="s">
        <v>650</v>
      </c>
    </row>
    <row r="5442" spans="1:14" hidden="1" x14ac:dyDescent="0.3">
      <c r="A5442" s="1" t="s">
        <v>3323</v>
      </c>
      <c r="B5442" s="1" t="s">
        <v>795</v>
      </c>
      <c r="C5442" s="1" t="s">
        <v>3324</v>
      </c>
      <c r="D5442" s="1" t="s">
        <v>1395</v>
      </c>
      <c r="E5442" s="1" t="s">
        <v>1396</v>
      </c>
      <c r="F5442" s="1" t="s">
        <v>1397</v>
      </c>
      <c r="G5442" s="1" t="s">
        <v>3316</v>
      </c>
      <c r="H5442">
        <v>2017</v>
      </c>
      <c r="I5442">
        <v>2022</v>
      </c>
      <c r="J5442">
        <f t="shared" si="168"/>
        <v>6</v>
      </c>
      <c r="K5442" s="1" t="s">
        <v>741</v>
      </c>
      <c r="L5442" s="1" t="s">
        <v>798</v>
      </c>
      <c r="M5442">
        <f t="shared" si="169"/>
        <v>4</v>
      </c>
      <c r="N5442" t="s">
        <v>650</v>
      </c>
    </row>
    <row r="5443" spans="1:14" hidden="1" x14ac:dyDescent="0.3">
      <c r="A5443" s="1" t="s">
        <v>3325</v>
      </c>
      <c r="B5443" s="1" t="s">
        <v>795</v>
      </c>
      <c r="C5443" s="1" t="s">
        <v>3326</v>
      </c>
      <c r="D5443" s="1" t="s">
        <v>1395</v>
      </c>
      <c r="E5443" s="1" t="s">
        <v>1396</v>
      </c>
      <c r="F5443" s="1" t="s">
        <v>1397</v>
      </c>
      <c r="G5443" s="1" t="s">
        <v>3316</v>
      </c>
      <c r="H5443">
        <v>2016</v>
      </c>
      <c r="I5443">
        <v>2016</v>
      </c>
      <c r="J5443">
        <f t="shared" si="168"/>
        <v>1</v>
      </c>
      <c r="K5443" s="1" t="s">
        <v>741</v>
      </c>
      <c r="L5443" s="1" t="s">
        <v>798</v>
      </c>
      <c r="M5443">
        <f t="shared" si="169"/>
        <v>10</v>
      </c>
      <c r="N5443" t="s">
        <v>650</v>
      </c>
    </row>
    <row r="5444" spans="1:14" hidden="1" x14ac:dyDescent="0.3">
      <c r="A5444" s="1" t="s">
        <v>3327</v>
      </c>
      <c r="B5444" s="1" t="s">
        <v>795</v>
      </c>
      <c r="C5444" s="1" t="s">
        <v>3328</v>
      </c>
      <c r="D5444" s="1" t="s">
        <v>1395</v>
      </c>
      <c r="E5444" s="1" t="s">
        <v>1396</v>
      </c>
      <c r="F5444" s="1" t="s">
        <v>1397</v>
      </c>
      <c r="G5444" s="1" t="s">
        <v>3316</v>
      </c>
      <c r="H5444">
        <v>2021</v>
      </c>
      <c r="I5444">
        <v>2022</v>
      </c>
      <c r="J5444">
        <f t="shared" si="168"/>
        <v>2</v>
      </c>
      <c r="K5444" s="1" t="s">
        <v>741</v>
      </c>
      <c r="L5444" s="1" t="s">
        <v>798</v>
      </c>
      <c r="M5444">
        <f t="shared" si="169"/>
        <v>4</v>
      </c>
      <c r="N5444" t="s">
        <v>650</v>
      </c>
    </row>
    <row r="5445" spans="1:14" hidden="1" x14ac:dyDescent="0.3">
      <c r="A5445" s="1" t="s">
        <v>3329</v>
      </c>
      <c r="B5445" s="1" t="s">
        <v>795</v>
      </c>
      <c r="C5445" s="1" t="s">
        <v>3330</v>
      </c>
      <c r="D5445" s="1" t="s">
        <v>1395</v>
      </c>
      <c r="E5445" s="1" t="s">
        <v>1396</v>
      </c>
      <c r="F5445" s="1" t="s">
        <v>1397</v>
      </c>
      <c r="G5445" s="1" t="s">
        <v>3316</v>
      </c>
      <c r="H5445">
        <v>2020</v>
      </c>
      <c r="I5445">
        <v>2021</v>
      </c>
      <c r="J5445">
        <f t="shared" si="168"/>
        <v>2</v>
      </c>
      <c r="K5445" s="1" t="s">
        <v>741</v>
      </c>
      <c r="L5445" s="1" t="s">
        <v>798</v>
      </c>
      <c r="M5445">
        <f t="shared" si="169"/>
        <v>5</v>
      </c>
      <c r="N5445" t="s">
        <v>650</v>
      </c>
    </row>
    <row r="5446" spans="1:14" hidden="1" x14ac:dyDescent="0.3">
      <c r="A5446" s="1" t="s">
        <v>3331</v>
      </c>
      <c r="B5446" s="1" t="s">
        <v>795</v>
      </c>
      <c r="C5446" s="1" t="s">
        <v>3332</v>
      </c>
      <c r="D5446" s="1" t="s">
        <v>1395</v>
      </c>
      <c r="E5446" s="1" t="s">
        <v>1396</v>
      </c>
      <c r="F5446" s="1" t="s">
        <v>1397</v>
      </c>
      <c r="G5446" s="1" t="s">
        <v>3316</v>
      </c>
      <c r="H5446">
        <v>2017</v>
      </c>
      <c r="I5446">
        <v>2017</v>
      </c>
      <c r="J5446">
        <f t="shared" ref="J5446:J5509" si="170">1+(I5446-H5446)</f>
        <v>1</v>
      </c>
      <c r="K5446" s="1" t="s">
        <v>741</v>
      </c>
      <c r="L5446" s="1" t="s">
        <v>798</v>
      </c>
      <c r="M5446">
        <f t="shared" ref="M5446:M5509" si="171">IF(I5446=0,0,$B$2-I5446)</f>
        <v>9</v>
      </c>
      <c r="N5446" t="s">
        <v>650</v>
      </c>
    </row>
    <row r="5447" spans="1:14" hidden="1" x14ac:dyDescent="0.3">
      <c r="A5447" s="1" t="s">
        <v>3333</v>
      </c>
      <c r="B5447" s="1" t="s">
        <v>795</v>
      </c>
      <c r="C5447" s="1" t="s">
        <v>3334</v>
      </c>
      <c r="D5447" s="1" t="s">
        <v>1395</v>
      </c>
      <c r="E5447" s="1" t="s">
        <v>1396</v>
      </c>
      <c r="F5447" s="1" t="s">
        <v>1397</v>
      </c>
      <c r="G5447" s="1" t="s">
        <v>3316</v>
      </c>
      <c r="H5447">
        <v>2014</v>
      </c>
      <c r="I5447">
        <v>2016</v>
      </c>
      <c r="J5447">
        <f t="shared" si="170"/>
        <v>3</v>
      </c>
      <c r="K5447" s="1" t="s">
        <v>741</v>
      </c>
      <c r="L5447" s="1" t="s">
        <v>798</v>
      </c>
      <c r="M5447">
        <f t="shared" si="171"/>
        <v>10</v>
      </c>
      <c r="N5447" t="s">
        <v>650</v>
      </c>
    </row>
    <row r="5448" spans="1:14" hidden="1" x14ac:dyDescent="0.3">
      <c r="A5448" t="s">
        <v>11109</v>
      </c>
      <c r="B5448" t="s">
        <v>795</v>
      </c>
      <c r="C5448" t="s">
        <v>11110</v>
      </c>
      <c r="E5448" s="1" t="e">
        <v>#N/A</v>
      </c>
      <c r="F5448" s="1" t="e">
        <v>#N/A</v>
      </c>
      <c r="G5448" s="1" t="s">
        <v>3316</v>
      </c>
      <c r="H5448">
        <v>2024</v>
      </c>
      <c r="I5448">
        <v>2024</v>
      </c>
      <c r="J5448">
        <f t="shared" si="170"/>
        <v>1</v>
      </c>
      <c r="K5448" s="1" t="s">
        <v>741</v>
      </c>
      <c r="L5448" s="1" t="s">
        <v>798</v>
      </c>
      <c r="M5448">
        <f t="shared" si="171"/>
        <v>2</v>
      </c>
    </row>
    <row r="5449" spans="1:14" hidden="1" x14ac:dyDescent="0.3">
      <c r="A5449" s="1" t="s">
        <v>3335</v>
      </c>
      <c r="B5449" s="1" t="s">
        <v>795</v>
      </c>
      <c r="C5449" s="1" t="s">
        <v>3336</v>
      </c>
      <c r="D5449" s="1" t="s">
        <v>1395</v>
      </c>
      <c r="E5449" s="1" t="s">
        <v>1396</v>
      </c>
      <c r="F5449" s="1" t="s">
        <v>1397</v>
      </c>
      <c r="G5449" s="1" t="s">
        <v>3316</v>
      </c>
      <c r="H5449">
        <v>2019</v>
      </c>
      <c r="I5449">
        <v>2019</v>
      </c>
      <c r="J5449">
        <f t="shared" si="170"/>
        <v>1</v>
      </c>
      <c r="K5449" s="1" t="s">
        <v>741</v>
      </c>
      <c r="L5449" s="1" t="s">
        <v>798</v>
      </c>
      <c r="M5449">
        <f t="shared" si="171"/>
        <v>7</v>
      </c>
      <c r="N5449" t="s">
        <v>650</v>
      </c>
    </row>
    <row r="5450" spans="1:14" hidden="1" x14ac:dyDescent="0.3">
      <c r="A5450" s="1" t="s">
        <v>3337</v>
      </c>
      <c r="B5450" s="1" t="s">
        <v>795</v>
      </c>
      <c r="C5450" s="1" t="s">
        <v>3338</v>
      </c>
      <c r="D5450" s="1" t="s">
        <v>1395</v>
      </c>
      <c r="E5450" s="1" t="s">
        <v>1396</v>
      </c>
      <c r="F5450" s="1" t="s">
        <v>1397</v>
      </c>
      <c r="G5450" s="1" t="s">
        <v>3316</v>
      </c>
      <c r="H5450">
        <v>2021</v>
      </c>
      <c r="I5450">
        <v>2022</v>
      </c>
      <c r="J5450">
        <f t="shared" si="170"/>
        <v>2</v>
      </c>
      <c r="K5450" s="1" t="s">
        <v>741</v>
      </c>
      <c r="L5450" s="1" t="s">
        <v>798</v>
      </c>
      <c r="M5450">
        <f t="shared" si="171"/>
        <v>4</v>
      </c>
      <c r="N5450" t="s">
        <v>650</v>
      </c>
    </row>
    <row r="5451" spans="1:14" hidden="1" x14ac:dyDescent="0.3">
      <c r="A5451" s="1" t="s">
        <v>3339</v>
      </c>
      <c r="B5451" s="1" t="s">
        <v>795</v>
      </c>
      <c r="C5451" s="1" t="s">
        <v>3340</v>
      </c>
      <c r="D5451" s="1" t="s">
        <v>1395</v>
      </c>
      <c r="E5451" s="1" t="s">
        <v>1396</v>
      </c>
      <c r="F5451" s="1" t="s">
        <v>1397</v>
      </c>
      <c r="G5451" s="1" t="s">
        <v>3316</v>
      </c>
      <c r="H5451">
        <v>2020</v>
      </c>
      <c r="I5451">
        <v>2022</v>
      </c>
      <c r="J5451">
        <f t="shared" si="170"/>
        <v>3</v>
      </c>
      <c r="K5451" s="1" t="s">
        <v>741</v>
      </c>
      <c r="L5451" s="1" t="s">
        <v>798</v>
      </c>
      <c r="M5451">
        <f t="shared" si="171"/>
        <v>4</v>
      </c>
      <c r="N5451" t="s">
        <v>650</v>
      </c>
    </row>
    <row r="5452" spans="1:14" hidden="1" x14ac:dyDescent="0.3">
      <c r="A5452" s="1" t="s">
        <v>3341</v>
      </c>
      <c r="B5452" s="1" t="s">
        <v>795</v>
      </c>
      <c r="C5452" s="1" t="s">
        <v>3342</v>
      </c>
      <c r="D5452" s="1" t="s">
        <v>1395</v>
      </c>
      <c r="E5452" s="1" t="s">
        <v>1396</v>
      </c>
      <c r="F5452" s="1" t="s">
        <v>1397</v>
      </c>
      <c r="G5452" s="1" t="s">
        <v>3316</v>
      </c>
      <c r="H5452">
        <v>2018</v>
      </c>
      <c r="I5452">
        <v>2022</v>
      </c>
      <c r="J5452">
        <f t="shared" si="170"/>
        <v>5</v>
      </c>
      <c r="K5452" s="1" t="s">
        <v>741</v>
      </c>
      <c r="L5452" s="1" t="s">
        <v>798</v>
      </c>
      <c r="M5452">
        <f t="shared" si="171"/>
        <v>4</v>
      </c>
      <c r="N5452" t="s">
        <v>650</v>
      </c>
    </row>
    <row r="5453" spans="1:14" hidden="1" x14ac:dyDescent="0.3">
      <c r="A5453" t="s">
        <v>11111</v>
      </c>
      <c r="B5453" t="s">
        <v>795</v>
      </c>
      <c r="C5453" t="s">
        <v>11112</v>
      </c>
      <c r="E5453" s="1" t="e">
        <v>#N/A</v>
      </c>
      <c r="F5453" s="1" t="e">
        <v>#N/A</v>
      </c>
      <c r="G5453" s="1" t="s">
        <v>3316</v>
      </c>
      <c r="H5453">
        <v>2024</v>
      </c>
      <c r="I5453">
        <v>2026</v>
      </c>
      <c r="J5453">
        <f t="shared" si="170"/>
        <v>3</v>
      </c>
      <c r="K5453" s="1" t="s">
        <v>741</v>
      </c>
      <c r="L5453" s="1" t="s">
        <v>798</v>
      </c>
      <c r="M5453">
        <f t="shared" si="171"/>
        <v>0</v>
      </c>
    </row>
    <row r="5454" spans="1:14" x14ac:dyDescent="0.3">
      <c r="A5454" s="1" t="s">
        <v>10213</v>
      </c>
      <c r="B5454" s="1" t="s">
        <v>795</v>
      </c>
      <c r="C5454" s="1" t="s">
        <v>10214</v>
      </c>
      <c r="D5454" s="1" t="s">
        <v>644</v>
      </c>
      <c r="E5454" s="1" t="s">
        <v>6076</v>
      </c>
      <c r="F5454" s="1" t="s">
        <v>6076</v>
      </c>
      <c r="G5454" s="1" t="s">
        <v>10215</v>
      </c>
      <c r="H5454">
        <v>1992</v>
      </c>
      <c r="I5454">
        <v>1998</v>
      </c>
      <c r="J5454">
        <f t="shared" si="170"/>
        <v>7</v>
      </c>
      <c r="K5454" s="1" t="s">
        <v>6076</v>
      </c>
      <c r="L5454" s="1" t="s">
        <v>6076</v>
      </c>
      <c r="M5454">
        <f t="shared" si="171"/>
        <v>28</v>
      </c>
      <c r="N5454" t="s">
        <v>640</v>
      </c>
    </row>
    <row r="5455" spans="1:14" x14ac:dyDescent="0.3">
      <c r="A5455" s="1" t="s">
        <v>10216</v>
      </c>
      <c r="B5455" s="1" t="s">
        <v>12756</v>
      </c>
      <c r="C5455" s="1" t="s">
        <v>10217</v>
      </c>
      <c r="D5455" s="1" t="s">
        <v>644</v>
      </c>
      <c r="E5455" s="1" t="s">
        <v>6076</v>
      </c>
      <c r="F5455" s="1" t="s">
        <v>6076</v>
      </c>
      <c r="G5455" s="1" t="s">
        <v>10215</v>
      </c>
      <c r="H5455">
        <v>2000</v>
      </c>
      <c r="I5455">
        <v>2002</v>
      </c>
      <c r="J5455">
        <f t="shared" si="170"/>
        <v>3</v>
      </c>
      <c r="K5455" s="1" t="s">
        <v>6076</v>
      </c>
      <c r="L5455" s="1" t="s">
        <v>6076</v>
      </c>
      <c r="M5455">
        <f t="shared" si="171"/>
        <v>24</v>
      </c>
      <c r="N5455" t="s">
        <v>640</v>
      </c>
    </row>
    <row r="5456" spans="1:14" x14ac:dyDescent="0.3">
      <c r="A5456" s="1" t="s">
        <v>10218</v>
      </c>
      <c r="B5456" s="1" t="s">
        <v>795</v>
      </c>
      <c r="C5456" s="1" t="s">
        <v>10219</v>
      </c>
      <c r="D5456" s="1" t="s">
        <v>644</v>
      </c>
      <c r="E5456" s="1" t="s">
        <v>6076</v>
      </c>
      <c r="F5456" s="1" t="s">
        <v>6076</v>
      </c>
      <c r="G5456" s="1" t="s">
        <v>10215</v>
      </c>
      <c r="H5456">
        <v>1992</v>
      </c>
      <c r="I5456">
        <v>1997</v>
      </c>
      <c r="J5456">
        <f t="shared" si="170"/>
        <v>6</v>
      </c>
      <c r="K5456" s="1" t="s">
        <v>6076</v>
      </c>
      <c r="L5456" s="1" t="s">
        <v>6076</v>
      </c>
      <c r="M5456">
        <f t="shared" si="171"/>
        <v>29</v>
      </c>
      <c r="N5456" t="s">
        <v>640</v>
      </c>
    </row>
    <row r="5457" spans="1:14" x14ac:dyDescent="0.3">
      <c r="A5457" s="1" t="s">
        <v>10220</v>
      </c>
      <c r="B5457" s="1" t="s">
        <v>795</v>
      </c>
      <c r="C5457" s="1" t="s">
        <v>10221</v>
      </c>
      <c r="D5457" s="1" t="s">
        <v>644</v>
      </c>
      <c r="E5457" s="1" t="s">
        <v>6076</v>
      </c>
      <c r="F5457" s="1" t="s">
        <v>6076</v>
      </c>
      <c r="G5457" s="1" t="s">
        <v>10215</v>
      </c>
      <c r="H5457">
        <v>1992</v>
      </c>
      <c r="I5457">
        <v>1998</v>
      </c>
      <c r="J5457">
        <f t="shared" si="170"/>
        <v>7</v>
      </c>
      <c r="K5457" s="1" t="s">
        <v>6076</v>
      </c>
      <c r="L5457" s="1" t="s">
        <v>6076</v>
      </c>
      <c r="M5457">
        <f t="shared" si="171"/>
        <v>28</v>
      </c>
      <c r="N5457" t="s">
        <v>640</v>
      </c>
    </row>
    <row r="5458" spans="1:14" x14ac:dyDescent="0.3">
      <c r="A5458" s="1" t="s">
        <v>10222</v>
      </c>
      <c r="B5458" s="1" t="s">
        <v>12756</v>
      </c>
      <c r="C5458" s="1" t="s">
        <v>10223</v>
      </c>
      <c r="D5458" s="1" t="s">
        <v>644</v>
      </c>
      <c r="E5458" s="1" t="s">
        <v>6076</v>
      </c>
      <c r="F5458" s="1" t="s">
        <v>6076</v>
      </c>
      <c r="G5458" s="1" t="s">
        <v>10215</v>
      </c>
      <c r="H5458">
        <v>1997</v>
      </c>
      <c r="I5458">
        <v>1999</v>
      </c>
      <c r="J5458">
        <f t="shared" si="170"/>
        <v>3</v>
      </c>
      <c r="K5458" s="1" t="s">
        <v>6076</v>
      </c>
      <c r="L5458" s="1" t="s">
        <v>6076</v>
      </c>
      <c r="M5458">
        <f t="shared" si="171"/>
        <v>27</v>
      </c>
      <c r="N5458" t="s">
        <v>640</v>
      </c>
    </row>
    <row r="5459" spans="1:14" x14ac:dyDescent="0.3">
      <c r="A5459" s="1" t="s">
        <v>10224</v>
      </c>
      <c r="B5459" s="1" t="s">
        <v>12756</v>
      </c>
      <c r="C5459" s="1" t="s">
        <v>10225</v>
      </c>
      <c r="D5459" s="1" t="s">
        <v>644</v>
      </c>
      <c r="E5459" s="1" t="s">
        <v>6076</v>
      </c>
      <c r="F5459" s="1" t="s">
        <v>6076</v>
      </c>
      <c r="G5459" s="1" t="s">
        <v>10215</v>
      </c>
      <c r="H5459">
        <v>1997</v>
      </c>
      <c r="I5459">
        <v>1998</v>
      </c>
      <c r="J5459">
        <f t="shared" si="170"/>
        <v>2</v>
      </c>
      <c r="K5459" s="1" t="s">
        <v>6076</v>
      </c>
      <c r="L5459" s="1" t="s">
        <v>6076</v>
      </c>
      <c r="M5459">
        <f t="shared" si="171"/>
        <v>28</v>
      </c>
      <c r="N5459" t="s">
        <v>640</v>
      </c>
    </row>
    <row r="5460" spans="1:14" x14ac:dyDescent="0.3">
      <c r="A5460" s="1" t="s">
        <v>10226</v>
      </c>
      <c r="B5460" s="1" t="s">
        <v>795</v>
      </c>
      <c r="C5460" s="1" t="s">
        <v>10227</v>
      </c>
      <c r="D5460" s="1" t="s">
        <v>644</v>
      </c>
      <c r="E5460" s="1" t="s">
        <v>6076</v>
      </c>
      <c r="F5460" s="1" t="s">
        <v>6076</v>
      </c>
      <c r="G5460" s="1" t="s">
        <v>10215</v>
      </c>
      <c r="H5460">
        <v>1994</v>
      </c>
      <c r="I5460">
        <v>1996</v>
      </c>
      <c r="J5460">
        <f t="shared" si="170"/>
        <v>3</v>
      </c>
      <c r="K5460" s="1" t="s">
        <v>6076</v>
      </c>
      <c r="L5460" s="1" t="s">
        <v>6076</v>
      </c>
      <c r="M5460">
        <f t="shared" si="171"/>
        <v>30</v>
      </c>
      <c r="N5460" t="s">
        <v>640</v>
      </c>
    </row>
    <row r="5461" spans="1:14" x14ac:dyDescent="0.3">
      <c r="A5461" s="1" t="s">
        <v>10228</v>
      </c>
      <c r="B5461" s="1" t="s">
        <v>795</v>
      </c>
      <c r="C5461" s="1" t="s">
        <v>10229</v>
      </c>
      <c r="D5461" s="1" t="s">
        <v>644</v>
      </c>
      <c r="E5461" s="1" t="s">
        <v>6076</v>
      </c>
      <c r="F5461" s="1" t="s">
        <v>6076</v>
      </c>
      <c r="G5461" s="1" t="s">
        <v>10215</v>
      </c>
      <c r="H5461">
        <v>1995</v>
      </c>
      <c r="I5461">
        <v>1996</v>
      </c>
      <c r="J5461">
        <f t="shared" si="170"/>
        <v>2</v>
      </c>
      <c r="K5461" s="1" t="s">
        <v>6076</v>
      </c>
      <c r="L5461" s="1" t="s">
        <v>6076</v>
      </c>
      <c r="M5461">
        <f t="shared" si="171"/>
        <v>30</v>
      </c>
      <c r="N5461" t="s">
        <v>640</v>
      </c>
    </row>
    <row r="5462" spans="1:14" x14ac:dyDescent="0.3">
      <c r="A5462" s="1" t="s">
        <v>10230</v>
      </c>
      <c r="B5462" s="1" t="s">
        <v>12756</v>
      </c>
      <c r="C5462" s="1" t="s">
        <v>10231</v>
      </c>
      <c r="D5462" s="1" t="s">
        <v>644</v>
      </c>
      <c r="E5462" s="1" t="s">
        <v>6076</v>
      </c>
      <c r="F5462" s="1" t="s">
        <v>6076</v>
      </c>
      <c r="G5462" s="1" t="s">
        <v>10215</v>
      </c>
      <c r="H5462">
        <v>1997</v>
      </c>
      <c r="I5462">
        <v>1998</v>
      </c>
      <c r="J5462">
        <f t="shared" si="170"/>
        <v>2</v>
      </c>
      <c r="K5462" s="1" t="s">
        <v>6076</v>
      </c>
      <c r="L5462" s="1" t="s">
        <v>6076</v>
      </c>
      <c r="M5462">
        <f t="shared" si="171"/>
        <v>28</v>
      </c>
      <c r="N5462" t="s">
        <v>640</v>
      </c>
    </row>
    <row r="5463" spans="1:14" hidden="1" x14ac:dyDescent="0.3">
      <c r="A5463" t="s">
        <v>11113</v>
      </c>
      <c r="B5463" t="s">
        <v>795</v>
      </c>
      <c r="C5463" t="s">
        <v>11114</v>
      </c>
      <c r="E5463" s="1" t="e">
        <v>#N/A</v>
      </c>
      <c r="F5463" s="1" t="e">
        <v>#N/A</v>
      </c>
      <c r="G5463" s="1" t="s">
        <v>12788</v>
      </c>
      <c r="H5463">
        <v>2025</v>
      </c>
      <c r="I5463">
        <v>2026</v>
      </c>
      <c r="J5463">
        <f t="shared" si="170"/>
        <v>2</v>
      </c>
      <c r="K5463" s="1" t="s">
        <v>4668</v>
      </c>
      <c r="L5463" s="1" t="s">
        <v>659</v>
      </c>
      <c r="M5463">
        <f t="shared" si="171"/>
        <v>0</v>
      </c>
    </row>
    <row r="5464" spans="1:14" hidden="1" x14ac:dyDescent="0.3">
      <c r="A5464" s="1" t="s">
        <v>5065</v>
      </c>
      <c r="B5464" s="1" t="s">
        <v>795</v>
      </c>
      <c r="C5464" s="1" t="s">
        <v>5066</v>
      </c>
      <c r="D5464" s="1" t="s">
        <v>1395</v>
      </c>
      <c r="E5464" s="1" t="s">
        <v>4087</v>
      </c>
      <c r="F5464" s="1" t="s">
        <v>4088</v>
      </c>
      <c r="G5464" s="1" t="s">
        <v>4089</v>
      </c>
      <c r="H5464">
        <v>2013</v>
      </c>
      <c r="I5464">
        <v>2019</v>
      </c>
      <c r="J5464">
        <f t="shared" si="170"/>
        <v>7</v>
      </c>
      <c r="K5464" s="1" t="s">
        <v>4668</v>
      </c>
      <c r="L5464" s="1" t="s">
        <v>649</v>
      </c>
      <c r="M5464">
        <f t="shared" si="171"/>
        <v>7</v>
      </c>
      <c r="N5464" t="s">
        <v>650</v>
      </c>
    </row>
    <row r="5465" spans="1:14" hidden="1" x14ac:dyDescent="0.3">
      <c r="A5465" s="1" t="s">
        <v>5067</v>
      </c>
      <c r="B5465" s="1" t="s">
        <v>795</v>
      </c>
      <c r="C5465" s="1" t="s">
        <v>5068</v>
      </c>
      <c r="D5465" s="1" t="s">
        <v>1395</v>
      </c>
      <c r="E5465" s="1" t="s">
        <v>4087</v>
      </c>
      <c r="F5465" s="1" t="s">
        <v>4088</v>
      </c>
      <c r="G5465" s="1" t="s">
        <v>4089</v>
      </c>
      <c r="H5465">
        <v>2013</v>
      </c>
      <c r="I5465">
        <v>2019</v>
      </c>
      <c r="J5465">
        <f t="shared" si="170"/>
        <v>7</v>
      </c>
      <c r="K5465" s="1" t="s">
        <v>4668</v>
      </c>
      <c r="L5465" s="1" t="s">
        <v>649</v>
      </c>
      <c r="M5465">
        <f t="shared" si="171"/>
        <v>7</v>
      </c>
      <c r="N5465" t="s">
        <v>650</v>
      </c>
    </row>
    <row r="5466" spans="1:14" hidden="1" x14ac:dyDescent="0.3">
      <c r="A5466" s="1" t="s">
        <v>4085</v>
      </c>
      <c r="B5466" s="1" t="s">
        <v>795</v>
      </c>
      <c r="C5466" s="1" t="s">
        <v>4086</v>
      </c>
      <c r="D5466" s="1" t="s">
        <v>1395</v>
      </c>
      <c r="E5466" s="1" t="s">
        <v>4087</v>
      </c>
      <c r="F5466" s="1" t="s">
        <v>4088</v>
      </c>
      <c r="G5466" s="1" t="s">
        <v>4089</v>
      </c>
      <c r="H5466">
        <v>2020</v>
      </c>
      <c r="I5466">
        <v>2022</v>
      </c>
      <c r="J5466">
        <f t="shared" si="170"/>
        <v>3</v>
      </c>
      <c r="K5466" s="1" t="s">
        <v>3665</v>
      </c>
      <c r="L5466" s="1" t="s">
        <v>649</v>
      </c>
      <c r="M5466">
        <f t="shared" si="171"/>
        <v>4</v>
      </c>
      <c r="N5466" t="s">
        <v>650</v>
      </c>
    </row>
    <row r="5467" spans="1:14" hidden="1" x14ac:dyDescent="0.3">
      <c r="A5467" s="1" t="s">
        <v>4090</v>
      </c>
      <c r="B5467" s="1" t="s">
        <v>795</v>
      </c>
      <c r="C5467" s="1" t="s">
        <v>4091</v>
      </c>
      <c r="D5467" s="1" t="s">
        <v>1395</v>
      </c>
      <c r="E5467" s="1" t="s">
        <v>4087</v>
      </c>
      <c r="F5467" s="1" t="s">
        <v>4088</v>
      </c>
      <c r="G5467" s="1" t="s">
        <v>4089</v>
      </c>
      <c r="H5467">
        <v>2020</v>
      </c>
      <c r="I5467">
        <v>2020</v>
      </c>
      <c r="J5467">
        <f t="shared" si="170"/>
        <v>1</v>
      </c>
      <c r="K5467" s="1" t="s">
        <v>3665</v>
      </c>
      <c r="L5467" s="1" t="s">
        <v>649</v>
      </c>
      <c r="M5467">
        <f t="shared" si="171"/>
        <v>6</v>
      </c>
      <c r="N5467" t="s">
        <v>650</v>
      </c>
    </row>
    <row r="5468" spans="1:14" x14ac:dyDescent="0.3">
      <c r="A5468" s="1" t="s">
        <v>10232</v>
      </c>
      <c r="B5468" s="1" t="s">
        <v>1849</v>
      </c>
      <c r="C5468" s="1" t="s">
        <v>10233</v>
      </c>
      <c r="D5468" s="1" t="s">
        <v>644</v>
      </c>
      <c r="E5468" s="1" t="s">
        <v>6076</v>
      </c>
      <c r="F5468" s="1" t="s">
        <v>6076</v>
      </c>
      <c r="G5468" s="1" t="s">
        <v>10234</v>
      </c>
      <c r="H5468">
        <v>2000</v>
      </c>
      <c r="I5468">
        <v>2001</v>
      </c>
      <c r="J5468">
        <f t="shared" si="170"/>
        <v>2</v>
      </c>
      <c r="K5468" s="1" t="s">
        <v>6076</v>
      </c>
      <c r="L5468" s="1" t="s">
        <v>6076</v>
      </c>
      <c r="M5468">
        <f t="shared" si="171"/>
        <v>25</v>
      </c>
      <c r="N5468" t="s">
        <v>640</v>
      </c>
    </row>
    <row r="5469" spans="1:14" hidden="1" x14ac:dyDescent="0.3">
      <c r="A5469" s="1" t="s">
        <v>10895</v>
      </c>
      <c r="B5469" s="1" t="s">
        <v>1451</v>
      </c>
      <c r="C5469" s="1" t="s">
        <v>10896</v>
      </c>
      <c r="D5469" s="1" t="s">
        <v>644</v>
      </c>
      <c r="E5469" s="1" t="s">
        <v>645</v>
      </c>
      <c r="F5469" s="1" t="s">
        <v>646</v>
      </c>
      <c r="G5469" s="1" t="s">
        <v>5843</v>
      </c>
      <c r="H5469">
        <v>2012</v>
      </c>
      <c r="I5469">
        <v>2014</v>
      </c>
      <c r="J5469">
        <f t="shared" si="170"/>
        <v>3</v>
      </c>
      <c r="K5469" s="1" t="s">
        <v>648</v>
      </c>
      <c r="L5469" s="1" t="s">
        <v>659</v>
      </c>
      <c r="M5469">
        <f t="shared" si="171"/>
        <v>12</v>
      </c>
      <c r="N5469" t="s">
        <v>650</v>
      </c>
    </row>
    <row r="5470" spans="1:14" hidden="1" x14ac:dyDescent="0.3">
      <c r="A5470" s="1" t="s">
        <v>5841</v>
      </c>
      <c r="B5470" s="1" t="s">
        <v>1451</v>
      </c>
      <c r="C5470" s="1" t="s">
        <v>5842</v>
      </c>
      <c r="D5470" s="1" t="s">
        <v>644</v>
      </c>
      <c r="E5470" s="1" t="s">
        <v>645</v>
      </c>
      <c r="F5470" s="1" t="s">
        <v>646</v>
      </c>
      <c r="G5470" s="1" t="s">
        <v>5843</v>
      </c>
      <c r="H5470">
        <v>2009</v>
      </c>
      <c r="I5470">
        <v>2011</v>
      </c>
      <c r="J5470">
        <f t="shared" si="170"/>
        <v>3</v>
      </c>
      <c r="K5470" s="1" t="s">
        <v>648</v>
      </c>
      <c r="L5470" s="1" t="s">
        <v>659</v>
      </c>
      <c r="M5470">
        <f t="shared" si="171"/>
        <v>15</v>
      </c>
      <c r="N5470" t="s">
        <v>650</v>
      </c>
    </row>
    <row r="5471" spans="1:14" hidden="1" x14ac:dyDescent="0.3">
      <c r="A5471" t="s">
        <v>11493</v>
      </c>
      <c r="B5471" t="s">
        <v>1451</v>
      </c>
      <c r="C5471" t="s">
        <v>11494</v>
      </c>
      <c r="E5471" s="1" t="e">
        <v>#N/A</v>
      </c>
      <c r="F5471" s="1" t="e">
        <v>#N/A</v>
      </c>
      <c r="G5471" s="1" t="s">
        <v>5843</v>
      </c>
      <c r="H5471">
        <v>2024</v>
      </c>
      <c r="I5471">
        <v>2026</v>
      </c>
      <c r="J5471">
        <f t="shared" si="170"/>
        <v>3</v>
      </c>
      <c r="K5471" s="1" t="s">
        <v>648</v>
      </c>
      <c r="L5471" s="1" t="s">
        <v>649</v>
      </c>
      <c r="M5471">
        <f t="shared" si="171"/>
        <v>0</v>
      </c>
    </row>
    <row r="5472" spans="1:14" hidden="1" x14ac:dyDescent="0.3">
      <c r="A5472" t="s">
        <v>11495</v>
      </c>
      <c r="B5472" t="s">
        <v>1451</v>
      </c>
      <c r="C5472" t="s">
        <v>11496</v>
      </c>
      <c r="E5472" s="1" t="e">
        <v>#N/A</v>
      </c>
      <c r="F5472" s="1" t="e">
        <v>#N/A</v>
      </c>
      <c r="G5472" s="1" t="s">
        <v>5843</v>
      </c>
      <c r="H5472">
        <v>2024</v>
      </c>
      <c r="I5472">
        <v>2026</v>
      </c>
      <c r="J5472">
        <f t="shared" si="170"/>
        <v>3</v>
      </c>
      <c r="K5472" s="1" t="s">
        <v>648</v>
      </c>
      <c r="L5472" s="1" t="s">
        <v>649</v>
      </c>
      <c r="M5472">
        <f t="shared" si="171"/>
        <v>0</v>
      </c>
    </row>
    <row r="5473" spans="1:14" hidden="1" x14ac:dyDescent="0.3">
      <c r="A5473" t="s">
        <v>11497</v>
      </c>
      <c r="B5473" t="s">
        <v>1451</v>
      </c>
      <c r="C5473" t="s">
        <v>11498</v>
      </c>
      <c r="E5473" s="1" t="e">
        <v>#N/A</v>
      </c>
      <c r="F5473" s="1" t="e">
        <v>#N/A</v>
      </c>
      <c r="G5473" s="1" t="s">
        <v>5843</v>
      </c>
      <c r="H5473">
        <v>2023</v>
      </c>
      <c r="I5473">
        <v>2026</v>
      </c>
      <c r="J5473">
        <f t="shared" si="170"/>
        <v>4</v>
      </c>
      <c r="K5473" s="1" t="s">
        <v>648</v>
      </c>
      <c r="L5473" s="1" t="s">
        <v>649</v>
      </c>
      <c r="M5473">
        <f t="shared" si="171"/>
        <v>0</v>
      </c>
    </row>
    <row r="5474" spans="1:14" hidden="1" x14ac:dyDescent="0.3">
      <c r="A5474" t="s">
        <v>11499</v>
      </c>
      <c r="B5474" t="s">
        <v>1451</v>
      </c>
      <c r="C5474" t="s">
        <v>11500</v>
      </c>
      <c r="E5474" s="1" t="e">
        <v>#N/A</v>
      </c>
      <c r="F5474" s="1" t="e">
        <v>#N/A</v>
      </c>
      <c r="G5474" s="1" t="s">
        <v>5843</v>
      </c>
      <c r="H5474">
        <v>2023</v>
      </c>
      <c r="I5474">
        <v>2026</v>
      </c>
      <c r="J5474">
        <f t="shared" si="170"/>
        <v>4</v>
      </c>
      <c r="K5474" s="1" t="s">
        <v>648</v>
      </c>
      <c r="L5474" s="1" t="s">
        <v>649</v>
      </c>
      <c r="M5474">
        <f t="shared" si="171"/>
        <v>0</v>
      </c>
    </row>
    <row r="5475" spans="1:14" hidden="1" x14ac:dyDescent="0.3">
      <c r="A5475" t="s">
        <v>11501</v>
      </c>
      <c r="B5475" t="s">
        <v>1451</v>
      </c>
      <c r="C5475" t="s">
        <v>11502</v>
      </c>
      <c r="E5475" s="1" t="e">
        <v>#N/A</v>
      </c>
      <c r="F5475" s="1" t="e">
        <v>#N/A</v>
      </c>
      <c r="G5475" s="1" t="s">
        <v>5843</v>
      </c>
      <c r="H5475">
        <v>2025</v>
      </c>
      <c r="I5475">
        <v>2026</v>
      </c>
      <c r="J5475">
        <f t="shared" si="170"/>
        <v>2</v>
      </c>
      <c r="K5475" s="1" t="s">
        <v>648</v>
      </c>
      <c r="L5475" s="1" t="s">
        <v>649</v>
      </c>
      <c r="M5475">
        <f t="shared" si="171"/>
        <v>0</v>
      </c>
    </row>
    <row r="5476" spans="1:14" hidden="1" x14ac:dyDescent="0.3">
      <c r="A5476" t="s">
        <v>11503</v>
      </c>
      <c r="B5476" t="s">
        <v>1451</v>
      </c>
      <c r="C5476" t="s">
        <v>11504</v>
      </c>
      <c r="E5476" s="1" t="e">
        <v>#N/A</v>
      </c>
      <c r="F5476" s="1" t="e">
        <v>#N/A</v>
      </c>
      <c r="G5476" s="1" t="s">
        <v>5843</v>
      </c>
      <c r="H5476">
        <v>2023</v>
      </c>
      <c r="I5476">
        <v>2026</v>
      </c>
      <c r="J5476">
        <f t="shared" si="170"/>
        <v>4</v>
      </c>
      <c r="K5476" s="1" t="s">
        <v>648</v>
      </c>
      <c r="L5476" s="1" t="s">
        <v>649</v>
      </c>
      <c r="M5476">
        <f t="shared" si="171"/>
        <v>0</v>
      </c>
    </row>
    <row r="5477" spans="1:14" hidden="1" x14ac:dyDescent="0.3">
      <c r="A5477" s="1" t="s">
        <v>10897</v>
      </c>
      <c r="B5477" s="1" t="s">
        <v>1451</v>
      </c>
      <c r="C5477" s="1" t="s">
        <v>10898</v>
      </c>
      <c r="D5477" s="1" t="s">
        <v>644</v>
      </c>
      <c r="E5477" s="1" t="s">
        <v>645</v>
      </c>
      <c r="F5477" s="1" t="s">
        <v>646</v>
      </c>
      <c r="G5477" s="1" t="s">
        <v>5843</v>
      </c>
      <c r="H5477">
        <v>2012</v>
      </c>
      <c r="I5477">
        <v>2012</v>
      </c>
      <c r="J5477">
        <f t="shared" si="170"/>
        <v>1</v>
      </c>
      <c r="K5477" s="1" t="s">
        <v>648</v>
      </c>
      <c r="L5477" s="1" t="s">
        <v>659</v>
      </c>
      <c r="M5477">
        <f t="shared" si="171"/>
        <v>14</v>
      </c>
      <c r="N5477" t="s">
        <v>650</v>
      </c>
    </row>
    <row r="5478" spans="1:14" hidden="1" x14ac:dyDescent="0.3">
      <c r="A5478" s="1" t="s">
        <v>10899</v>
      </c>
      <c r="B5478" s="1" t="s">
        <v>1451</v>
      </c>
      <c r="C5478" s="1" t="s">
        <v>10900</v>
      </c>
      <c r="D5478" s="1" t="s">
        <v>644</v>
      </c>
      <c r="E5478" s="1" t="s">
        <v>645</v>
      </c>
      <c r="F5478" s="1" t="s">
        <v>646</v>
      </c>
      <c r="G5478" s="1" t="s">
        <v>5843</v>
      </c>
      <c r="H5478">
        <v>2012</v>
      </c>
      <c r="I5478">
        <v>2014</v>
      </c>
      <c r="J5478">
        <f t="shared" si="170"/>
        <v>3</v>
      </c>
      <c r="K5478" s="1" t="s">
        <v>648</v>
      </c>
      <c r="L5478" s="1" t="s">
        <v>659</v>
      </c>
      <c r="M5478">
        <f t="shared" si="171"/>
        <v>12</v>
      </c>
      <c r="N5478" t="s">
        <v>650</v>
      </c>
    </row>
    <row r="5479" spans="1:14" hidden="1" x14ac:dyDescent="0.3">
      <c r="A5479" s="1" t="s">
        <v>10901</v>
      </c>
      <c r="B5479" s="1" t="s">
        <v>1451</v>
      </c>
      <c r="C5479" s="1" t="s">
        <v>10902</v>
      </c>
      <c r="D5479" s="1" t="s">
        <v>644</v>
      </c>
      <c r="E5479" s="1" t="s">
        <v>645</v>
      </c>
      <c r="F5479" s="1" t="s">
        <v>646</v>
      </c>
      <c r="G5479" s="1" t="s">
        <v>5843</v>
      </c>
      <c r="H5479">
        <v>2012</v>
      </c>
      <c r="I5479">
        <v>2014</v>
      </c>
      <c r="J5479">
        <f t="shared" si="170"/>
        <v>3</v>
      </c>
      <c r="K5479" s="1" t="s">
        <v>648</v>
      </c>
      <c r="L5479" s="1" t="s">
        <v>659</v>
      </c>
      <c r="M5479">
        <f t="shared" si="171"/>
        <v>12</v>
      </c>
      <c r="N5479" t="s">
        <v>650</v>
      </c>
    </row>
    <row r="5480" spans="1:14" hidden="1" x14ac:dyDescent="0.3">
      <c r="A5480" s="1" t="s">
        <v>10903</v>
      </c>
      <c r="B5480" s="1" t="s">
        <v>1451</v>
      </c>
      <c r="C5480" s="1" t="s">
        <v>10904</v>
      </c>
      <c r="D5480" s="1" t="s">
        <v>644</v>
      </c>
      <c r="E5480" s="1" t="s">
        <v>645</v>
      </c>
      <c r="F5480" s="1" t="s">
        <v>646</v>
      </c>
      <c r="G5480" s="1" t="s">
        <v>5843</v>
      </c>
      <c r="H5480">
        <v>2009</v>
      </c>
      <c r="I5480">
        <v>2011</v>
      </c>
      <c r="J5480">
        <f t="shared" si="170"/>
        <v>3</v>
      </c>
      <c r="K5480" s="1" t="s">
        <v>648</v>
      </c>
      <c r="L5480" s="1" t="s">
        <v>659</v>
      </c>
      <c r="M5480">
        <f t="shared" si="171"/>
        <v>15</v>
      </c>
      <c r="N5480" t="s">
        <v>650</v>
      </c>
    </row>
    <row r="5481" spans="1:14" hidden="1" x14ac:dyDescent="0.3">
      <c r="A5481" s="1" t="s">
        <v>10905</v>
      </c>
      <c r="B5481" s="1" t="s">
        <v>1451</v>
      </c>
      <c r="C5481" s="1" t="s">
        <v>10906</v>
      </c>
      <c r="D5481" s="1" t="s">
        <v>644</v>
      </c>
      <c r="E5481" s="1" t="s">
        <v>645</v>
      </c>
      <c r="F5481" s="1" t="s">
        <v>646</v>
      </c>
      <c r="G5481" s="1" t="s">
        <v>5843</v>
      </c>
      <c r="H5481">
        <v>2012</v>
      </c>
      <c r="I5481">
        <v>2014</v>
      </c>
      <c r="J5481">
        <f t="shared" si="170"/>
        <v>3</v>
      </c>
      <c r="K5481" s="1" t="s">
        <v>648</v>
      </c>
      <c r="L5481" s="1" t="s">
        <v>659</v>
      </c>
      <c r="M5481">
        <f t="shared" si="171"/>
        <v>12</v>
      </c>
      <c r="N5481" t="s">
        <v>650</v>
      </c>
    </row>
    <row r="5482" spans="1:14" hidden="1" x14ac:dyDescent="0.3">
      <c r="A5482" t="s">
        <v>11505</v>
      </c>
      <c r="B5482" t="s">
        <v>1451</v>
      </c>
      <c r="C5482" t="s">
        <v>11506</v>
      </c>
      <c r="E5482" s="1" t="e">
        <v>#N/A</v>
      </c>
      <c r="F5482" s="1" t="e">
        <v>#N/A</v>
      </c>
      <c r="G5482" s="1" t="s">
        <v>5843</v>
      </c>
      <c r="H5482">
        <v>2023</v>
      </c>
      <c r="I5482">
        <v>2026</v>
      </c>
      <c r="J5482">
        <f t="shared" si="170"/>
        <v>4</v>
      </c>
      <c r="K5482" s="1" t="s">
        <v>648</v>
      </c>
      <c r="L5482" s="1" t="s">
        <v>649</v>
      </c>
      <c r="M5482">
        <f t="shared" si="171"/>
        <v>0</v>
      </c>
    </row>
    <row r="5483" spans="1:14" hidden="1" x14ac:dyDescent="0.3">
      <c r="A5483" s="1" t="s">
        <v>10907</v>
      </c>
      <c r="B5483" s="1" t="s">
        <v>1451</v>
      </c>
      <c r="C5483" s="1" t="s">
        <v>10908</v>
      </c>
      <c r="D5483" s="1" t="s">
        <v>644</v>
      </c>
      <c r="E5483" s="1" t="s">
        <v>645</v>
      </c>
      <c r="F5483" s="1" t="s">
        <v>646</v>
      </c>
      <c r="G5483" s="1" t="s">
        <v>5843</v>
      </c>
      <c r="H5483">
        <v>2022</v>
      </c>
      <c r="I5483">
        <v>2022</v>
      </c>
      <c r="J5483">
        <f t="shared" si="170"/>
        <v>1</v>
      </c>
      <c r="K5483" s="1" t="s">
        <v>648</v>
      </c>
      <c r="L5483" s="1" t="s">
        <v>649</v>
      </c>
      <c r="M5483">
        <f t="shared" si="171"/>
        <v>4</v>
      </c>
      <c r="N5483" t="s">
        <v>650</v>
      </c>
    </row>
    <row r="5484" spans="1:14" hidden="1" x14ac:dyDescent="0.3">
      <c r="A5484" t="s">
        <v>11507</v>
      </c>
      <c r="B5484" t="s">
        <v>1451</v>
      </c>
      <c r="C5484" t="s">
        <v>11508</v>
      </c>
      <c r="E5484" s="1" t="e">
        <v>#N/A</v>
      </c>
      <c r="F5484" s="1" t="e">
        <v>#N/A</v>
      </c>
      <c r="G5484" s="1" t="s">
        <v>5843</v>
      </c>
      <c r="H5484">
        <v>2023</v>
      </c>
      <c r="I5484">
        <v>2026</v>
      </c>
      <c r="J5484">
        <f t="shared" si="170"/>
        <v>4</v>
      </c>
      <c r="K5484" s="1" t="s">
        <v>648</v>
      </c>
      <c r="L5484" s="1" t="s">
        <v>649</v>
      </c>
      <c r="M5484">
        <f t="shared" si="171"/>
        <v>0</v>
      </c>
    </row>
    <row r="5485" spans="1:14" hidden="1" x14ac:dyDescent="0.3">
      <c r="A5485" s="1" t="s">
        <v>10909</v>
      </c>
      <c r="B5485" s="1" t="s">
        <v>1451</v>
      </c>
      <c r="C5485" s="1" t="s">
        <v>10910</v>
      </c>
      <c r="D5485" s="1" t="s">
        <v>644</v>
      </c>
      <c r="E5485" s="1" t="s">
        <v>645</v>
      </c>
      <c r="F5485" s="1" t="s">
        <v>646</v>
      </c>
      <c r="G5485" s="1" t="s">
        <v>5843</v>
      </c>
      <c r="H5485">
        <v>2022</v>
      </c>
      <c r="I5485">
        <v>2022</v>
      </c>
      <c r="J5485">
        <f t="shared" si="170"/>
        <v>1</v>
      </c>
      <c r="K5485" s="1" t="s">
        <v>648</v>
      </c>
      <c r="L5485" s="1" t="s">
        <v>649</v>
      </c>
      <c r="M5485">
        <f t="shared" si="171"/>
        <v>4</v>
      </c>
      <c r="N5485" t="s">
        <v>650</v>
      </c>
    </row>
    <row r="5486" spans="1:14" hidden="1" x14ac:dyDescent="0.3">
      <c r="A5486" t="s">
        <v>11509</v>
      </c>
      <c r="B5486" t="s">
        <v>1451</v>
      </c>
      <c r="C5486" t="s">
        <v>11510</v>
      </c>
      <c r="E5486" s="1" t="e">
        <v>#N/A</v>
      </c>
      <c r="F5486" s="1" t="e">
        <v>#N/A</v>
      </c>
      <c r="G5486" s="1" t="s">
        <v>5843</v>
      </c>
      <c r="H5486">
        <v>2023</v>
      </c>
      <c r="I5486">
        <v>2026</v>
      </c>
      <c r="J5486">
        <f t="shared" si="170"/>
        <v>4</v>
      </c>
      <c r="K5486" s="1" t="s">
        <v>648</v>
      </c>
      <c r="L5486" s="1" t="s">
        <v>649</v>
      </c>
      <c r="M5486">
        <f t="shared" si="171"/>
        <v>0</v>
      </c>
    </row>
    <row r="5487" spans="1:14" hidden="1" x14ac:dyDescent="0.3">
      <c r="A5487" s="1" t="s">
        <v>10911</v>
      </c>
      <c r="B5487" s="1" t="s">
        <v>1451</v>
      </c>
      <c r="C5487" s="1" t="s">
        <v>10912</v>
      </c>
      <c r="D5487" s="1" t="s">
        <v>644</v>
      </c>
      <c r="E5487" s="1" t="s">
        <v>645</v>
      </c>
      <c r="F5487" s="1" t="s">
        <v>646</v>
      </c>
      <c r="G5487" s="1" t="s">
        <v>5843</v>
      </c>
      <c r="H5487">
        <v>2022</v>
      </c>
      <c r="I5487">
        <v>2022</v>
      </c>
      <c r="J5487">
        <f t="shared" si="170"/>
        <v>1</v>
      </c>
      <c r="K5487" s="1" t="s">
        <v>648</v>
      </c>
      <c r="L5487" s="1" t="s">
        <v>649</v>
      </c>
      <c r="M5487">
        <f t="shared" si="171"/>
        <v>4</v>
      </c>
      <c r="N5487" t="s">
        <v>650</v>
      </c>
    </row>
    <row r="5488" spans="1:14" hidden="1" x14ac:dyDescent="0.3">
      <c r="A5488" s="1" t="s">
        <v>10913</v>
      </c>
      <c r="B5488" s="1" t="s">
        <v>1451</v>
      </c>
      <c r="C5488" s="1" t="s">
        <v>10914</v>
      </c>
      <c r="D5488" s="1" t="s">
        <v>644</v>
      </c>
      <c r="E5488" s="1" t="s">
        <v>645</v>
      </c>
      <c r="F5488" s="1" t="s">
        <v>646</v>
      </c>
      <c r="G5488" s="1" t="s">
        <v>5843</v>
      </c>
      <c r="H5488">
        <v>2012</v>
      </c>
      <c r="I5488">
        <v>2014</v>
      </c>
      <c r="J5488">
        <f t="shared" si="170"/>
        <v>3</v>
      </c>
      <c r="K5488" s="1" t="s">
        <v>648</v>
      </c>
      <c r="L5488" s="1" t="s">
        <v>659</v>
      </c>
      <c r="M5488">
        <f t="shared" si="171"/>
        <v>12</v>
      </c>
      <c r="N5488" t="s">
        <v>650</v>
      </c>
    </row>
    <row r="5489" spans="1:14" hidden="1" x14ac:dyDescent="0.3">
      <c r="A5489" s="1" t="s">
        <v>10915</v>
      </c>
      <c r="B5489" s="1" t="s">
        <v>1451</v>
      </c>
      <c r="C5489" s="1" t="s">
        <v>10916</v>
      </c>
      <c r="D5489" s="1" t="s">
        <v>644</v>
      </c>
      <c r="E5489" s="1" t="s">
        <v>645</v>
      </c>
      <c r="F5489" s="1" t="s">
        <v>646</v>
      </c>
      <c r="G5489" s="1" t="s">
        <v>5843</v>
      </c>
      <c r="H5489">
        <v>2009</v>
      </c>
      <c r="I5489">
        <v>2011</v>
      </c>
      <c r="J5489">
        <f t="shared" si="170"/>
        <v>3</v>
      </c>
      <c r="K5489" s="1" t="s">
        <v>648</v>
      </c>
      <c r="L5489" s="1" t="s">
        <v>659</v>
      </c>
      <c r="M5489">
        <f t="shared" si="171"/>
        <v>15</v>
      </c>
      <c r="N5489" t="s">
        <v>650</v>
      </c>
    </row>
    <row r="5490" spans="1:14" x14ac:dyDescent="0.3">
      <c r="A5490" s="1" t="s">
        <v>10917</v>
      </c>
      <c r="B5490" s="1" t="s">
        <v>7986</v>
      </c>
      <c r="C5490" s="1" t="s">
        <v>10918</v>
      </c>
      <c r="D5490" s="1" t="s">
        <v>1395</v>
      </c>
      <c r="E5490" s="1" t="s">
        <v>6076</v>
      </c>
      <c r="F5490" s="1" t="s">
        <v>6076</v>
      </c>
      <c r="G5490" s="1" t="s">
        <v>10919</v>
      </c>
      <c r="H5490">
        <v>2008</v>
      </c>
      <c r="I5490">
        <v>2012</v>
      </c>
      <c r="J5490">
        <f t="shared" si="170"/>
        <v>5</v>
      </c>
      <c r="K5490" s="1" t="s">
        <v>6076</v>
      </c>
      <c r="L5490" s="1" t="s">
        <v>6076</v>
      </c>
      <c r="M5490">
        <f t="shared" si="171"/>
        <v>14</v>
      </c>
    </row>
    <row r="5491" spans="1:14" x14ac:dyDescent="0.3">
      <c r="A5491" t="s">
        <v>12092</v>
      </c>
      <c r="B5491" t="s">
        <v>4561</v>
      </c>
      <c r="C5491" t="s">
        <v>12093</v>
      </c>
      <c r="E5491" s="1" t="s">
        <v>6076</v>
      </c>
      <c r="F5491" s="1" t="s">
        <v>6076</v>
      </c>
      <c r="G5491" s="1" t="s">
        <v>12869</v>
      </c>
      <c r="H5491">
        <v>2025</v>
      </c>
      <c r="I5491">
        <v>2026</v>
      </c>
      <c r="J5491">
        <f t="shared" si="170"/>
        <v>2</v>
      </c>
      <c r="K5491" s="1" t="s">
        <v>6076</v>
      </c>
      <c r="L5491" s="1" t="s">
        <v>6076</v>
      </c>
      <c r="M5491">
        <f t="shared" si="171"/>
        <v>0</v>
      </c>
    </row>
    <row r="5492" spans="1:14" x14ac:dyDescent="0.3">
      <c r="A5492" t="s">
        <v>12094</v>
      </c>
      <c r="B5492" t="s">
        <v>4561</v>
      </c>
      <c r="C5492" t="s">
        <v>12095</v>
      </c>
      <c r="E5492" s="1" t="s">
        <v>6076</v>
      </c>
      <c r="F5492" s="1" t="s">
        <v>6076</v>
      </c>
      <c r="G5492" s="1" t="s">
        <v>12869</v>
      </c>
      <c r="H5492">
        <v>2025</v>
      </c>
      <c r="I5492">
        <v>2026</v>
      </c>
      <c r="J5492">
        <f t="shared" si="170"/>
        <v>2</v>
      </c>
      <c r="K5492" s="1" t="s">
        <v>6076</v>
      </c>
      <c r="L5492" s="1" t="s">
        <v>6076</v>
      </c>
      <c r="M5492">
        <f t="shared" si="171"/>
        <v>0</v>
      </c>
    </row>
    <row r="5493" spans="1:14" x14ac:dyDescent="0.3">
      <c r="A5493" t="s">
        <v>12096</v>
      </c>
      <c r="B5493" t="s">
        <v>4561</v>
      </c>
      <c r="C5493" t="s">
        <v>12097</v>
      </c>
      <c r="E5493" s="1" t="s">
        <v>6076</v>
      </c>
      <c r="F5493" s="1" t="s">
        <v>6076</v>
      </c>
      <c r="G5493" s="1" t="s">
        <v>12869</v>
      </c>
      <c r="H5493">
        <v>2025</v>
      </c>
      <c r="I5493">
        <v>2026</v>
      </c>
      <c r="J5493">
        <f t="shared" si="170"/>
        <v>2</v>
      </c>
      <c r="K5493" s="1" t="s">
        <v>6076</v>
      </c>
      <c r="L5493" s="1" t="s">
        <v>6076</v>
      </c>
      <c r="M5493">
        <f t="shared" si="171"/>
        <v>0</v>
      </c>
    </row>
    <row r="5494" spans="1:14" x14ac:dyDescent="0.3">
      <c r="A5494" t="s">
        <v>12098</v>
      </c>
      <c r="B5494" t="s">
        <v>4561</v>
      </c>
      <c r="C5494" t="s">
        <v>12099</v>
      </c>
      <c r="E5494" s="1" t="s">
        <v>6076</v>
      </c>
      <c r="F5494" s="1" t="s">
        <v>6076</v>
      </c>
      <c r="G5494" s="1" t="s">
        <v>12869</v>
      </c>
      <c r="H5494">
        <v>2025</v>
      </c>
      <c r="I5494">
        <v>2026</v>
      </c>
      <c r="J5494">
        <f t="shared" si="170"/>
        <v>2</v>
      </c>
      <c r="K5494" s="1" t="s">
        <v>6076</v>
      </c>
      <c r="L5494" s="1" t="s">
        <v>6076</v>
      </c>
      <c r="M5494">
        <f t="shared" si="171"/>
        <v>0</v>
      </c>
    </row>
    <row r="5495" spans="1:14" x14ac:dyDescent="0.3">
      <c r="A5495" t="s">
        <v>12100</v>
      </c>
      <c r="B5495" t="s">
        <v>4561</v>
      </c>
      <c r="C5495" t="s">
        <v>12101</v>
      </c>
      <c r="E5495" s="1" t="s">
        <v>6076</v>
      </c>
      <c r="F5495" s="1" t="s">
        <v>6076</v>
      </c>
      <c r="G5495" s="1" t="s">
        <v>12869</v>
      </c>
      <c r="H5495">
        <v>2025</v>
      </c>
      <c r="I5495">
        <v>2026</v>
      </c>
      <c r="J5495">
        <f t="shared" si="170"/>
        <v>2</v>
      </c>
      <c r="K5495" s="1" t="s">
        <v>6076</v>
      </c>
      <c r="L5495" s="1" t="s">
        <v>6076</v>
      </c>
      <c r="M5495">
        <f t="shared" si="171"/>
        <v>0</v>
      </c>
    </row>
    <row r="5496" spans="1:14" x14ac:dyDescent="0.3">
      <c r="A5496" t="s">
        <v>12102</v>
      </c>
      <c r="B5496" t="s">
        <v>4561</v>
      </c>
      <c r="C5496" t="s">
        <v>12103</v>
      </c>
      <c r="E5496" s="1" t="s">
        <v>6076</v>
      </c>
      <c r="F5496" s="1" t="s">
        <v>6076</v>
      </c>
      <c r="G5496" s="1" t="s">
        <v>12869</v>
      </c>
      <c r="H5496">
        <v>2025</v>
      </c>
      <c r="I5496">
        <v>2026</v>
      </c>
      <c r="J5496">
        <f t="shared" si="170"/>
        <v>2</v>
      </c>
      <c r="K5496" s="1" t="s">
        <v>6076</v>
      </c>
      <c r="L5496" s="1" t="s">
        <v>6076</v>
      </c>
      <c r="M5496">
        <f t="shared" si="171"/>
        <v>0</v>
      </c>
    </row>
    <row r="5497" spans="1:14" x14ac:dyDescent="0.3">
      <c r="A5497" s="1" t="s">
        <v>609</v>
      </c>
      <c r="B5497" s="1" t="s">
        <v>5940</v>
      </c>
      <c r="C5497" s="1" t="s">
        <v>610</v>
      </c>
      <c r="D5497" s="1" t="s">
        <v>3850</v>
      </c>
      <c r="E5497" s="1" t="s">
        <v>6076</v>
      </c>
      <c r="F5497" s="1" t="s">
        <v>6076</v>
      </c>
      <c r="G5497" s="1" t="s">
        <v>10235</v>
      </c>
      <c r="H5497">
        <v>2000</v>
      </c>
      <c r="I5497">
        <v>2006</v>
      </c>
      <c r="J5497">
        <f t="shared" si="170"/>
        <v>7</v>
      </c>
      <c r="K5497" s="1" t="s">
        <v>6076</v>
      </c>
      <c r="L5497" s="1" t="s">
        <v>6076</v>
      </c>
      <c r="M5497">
        <f t="shared" si="171"/>
        <v>20</v>
      </c>
    </row>
    <row r="5498" spans="1:14" x14ac:dyDescent="0.3">
      <c r="A5498" s="1" t="s">
        <v>611</v>
      </c>
      <c r="B5498" s="1" t="s">
        <v>5940</v>
      </c>
      <c r="C5498" s="1" t="s">
        <v>612</v>
      </c>
      <c r="D5498" s="1" t="s">
        <v>3850</v>
      </c>
      <c r="E5498" s="1" t="s">
        <v>6076</v>
      </c>
      <c r="F5498" s="1" t="s">
        <v>6076</v>
      </c>
      <c r="G5498" s="1" t="s">
        <v>10235</v>
      </c>
      <c r="H5498">
        <v>1999</v>
      </c>
      <c r="I5498">
        <v>2006</v>
      </c>
      <c r="J5498">
        <f t="shared" si="170"/>
        <v>8</v>
      </c>
      <c r="K5498" s="1" t="s">
        <v>6076</v>
      </c>
      <c r="L5498" s="1" t="s">
        <v>6076</v>
      </c>
      <c r="M5498">
        <f t="shared" si="171"/>
        <v>20</v>
      </c>
    </row>
    <row r="5499" spans="1:14" x14ac:dyDescent="0.3">
      <c r="A5499" s="1" t="s">
        <v>613</v>
      </c>
      <c r="B5499" s="1" t="s">
        <v>5940</v>
      </c>
      <c r="C5499" s="1" t="s">
        <v>614</v>
      </c>
      <c r="D5499" s="1" t="s">
        <v>3850</v>
      </c>
      <c r="E5499" s="1" t="s">
        <v>6076</v>
      </c>
      <c r="F5499" s="1" t="s">
        <v>6076</v>
      </c>
      <c r="G5499" s="1" t="s">
        <v>10235</v>
      </c>
      <c r="H5499">
        <v>2007</v>
      </c>
      <c r="I5499">
        <v>2018</v>
      </c>
      <c r="J5499">
        <f t="shared" si="170"/>
        <v>12</v>
      </c>
      <c r="K5499" s="1" t="s">
        <v>6076</v>
      </c>
      <c r="L5499" s="1" t="s">
        <v>6076</v>
      </c>
      <c r="M5499">
        <f t="shared" si="171"/>
        <v>8</v>
      </c>
    </row>
    <row r="5500" spans="1:14" x14ac:dyDescent="0.3">
      <c r="A5500" s="1" t="s">
        <v>615</v>
      </c>
      <c r="B5500" s="1" t="s">
        <v>5940</v>
      </c>
      <c r="C5500" s="1" t="s">
        <v>616</v>
      </c>
      <c r="D5500" s="1" t="s">
        <v>3850</v>
      </c>
      <c r="E5500" s="1" t="s">
        <v>6076</v>
      </c>
      <c r="F5500" s="1" t="s">
        <v>6076</v>
      </c>
      <c r="G5500" s="1" t="s">
        <v>10235</v>
      </c>
      <c r="H5500">
        <v>2013</v>
      </c>
      <c r="I5500">
        <v>2013</v>
      </c>
      <c r="J5500">
        <f t="shared" si="170"/>
        <v>1</v>
      </c>
      <c r="K5500" s="1" t="s">
        <v>6076</v>
      </c>
      <c r="L5500" s="1" t="s">
        <v>6076</v>
      </c>
      <c r="M5500">
        <f t="shared" si="171"/>
        <v>13</v>
      </c>
    </row>
    <row r="5501" spans="1:14" x14ac:dyDescent="0.3">
      <c r="A5501" s="1" t="s">
        <v>617</v>
      </c>
      <c r="B5501" s="1" t="s">
        <v>5940</v>
      </c>
      <c r="C5501" s="1" t="s">
        <v>618</v>
      </c>
      <c r="D5501" s="1" t="s">
        <v>3850</v>
      </c>
      <c r="E5501" s="1" t="s">
        <v>6076</v>
      </c>
      <c r="F5501" s="1" t="s">
        <v>6076</v>
      </c>
      <c r="G5501" s="1" t="s">
        <v>10235</v>
      </c>
      <c r="H5501">
        <v>2007</v>
      </c>
      <c r="I5501">
        <v>2018</v>
      </c>
      <c r="J5501">
        <f t="shared" si="170"/>
        <v>12</v>
      </c>
      <c r="K5501" s="1" t="s">
        <v>6076</v>
      </c>
      <c r="L5501" s="1" t="s">
        <v>6076</v>
      </c>
      <c r="M5501">
        <f t="shared" si="171"/>
        <v>8</v>
      </c>
    </row>
    <row r="5502" spans="1:14" x14ac:dyDescent="0.3">
      <c r="A5502" s="1" t="s">
        <v>619</v>
      </c>
      <c r="B5502" s="1" t="s">
        <v>5940</v>
      </c>
      <c r="C5502" s="1" t="s">
        <v>620</v>
      </c>
      <c r="D5502" s="1" t="s">
        <v>3850</v>
      </c>
      <c r="E5502" s="1" t="s">
        <v>6076</v>
      </c>
      <c r="F5502" s="1" t="s">
        <v>6076</v>
      </c>
      <c r="G5502" s="1" t="s">
        <v>10235</v>
      </c>
      <c r="H5502">
        <v>2012</v>
      </c>
      <c r="I5502">
        <v>2022</v>
      </c>
      <c r="J5502">
        <f t="shared" si="170"/>
        <v>11</v>
      </c>
      <c r="K5502" s="1" t="s">
        <v>6076</v>
      </c>
      <c r="L5502" s="1" t="s">
        <v>6076</v>
      </c>
      <c r="M5502">
        <f t="shared" si="171"/>
        <v>4</v>
      </c>
    </row>
    <row r="5503" spans="1:14" x14ac:dyDescent="0.3">
      <c r="A5503" s="1" t="s">
        <v>621</v>
      </c>
      <c r="B5503" s="1" t="s">
        <v>5940</v>
      </c>
      <c r="C5503" s="1" t="s">
        <v>622</v>
      </c>
      <c r="D5503" s="1" t="s">
        <v>3850</v>
      </c>
      <c r="E5503" s="1" t="s">
        <v>6076</v>
      </c>
      <c r="F5503" s="1" t="s">
        <v>6076</v>
      </c>
      <c r="G5503" s="1" t="s">
        <v>10235</v>
      </c>
      <c r="H5503">
        <v>2012</v>
      </c>
      <c r="I5503">
        <v>2014</v>
      </c>
      <c r="J5503">
        <f t="shared" si="170"/>
        <v>3</v>
      </c>
      <c r="K5503" s="1" t="s">
        <v>6076</v>
      </c>
      <c r="L5503" s="1" t="s">
        <v>6076</v>
      </c>
      <c r="M5503">
        <f t="shared" si="171"/>
        <v>12</v>
      </c>
    </row>
    <row r="5504" spans="1:14" x14ac:dyDescent="0.3">
      <c r="A5504" s="1" t="s">
        <v>623</v>
      </c>
      <c r="B5504" s="1" t="s">
        <v>5940</v>
      </c>
      <c r="C5504" s="1" t="s">
        <v>624</v>
      </c>
      <c r="D5504" s="1" t="s">
        <v>3850</v>
      </c>
      <c r="E5504" s="1" t="s">
        <v>6076</v>
      </c>
      <c r="F5504" s="1" t="s">
        <v>6076</v>
      </c>
      <c r="G5504" s="1" t="s">
        <v>10235</v>
      </c>
      <c r="H5504">
        <v>2010</v>
      </c>
      <c r="I5504">
        <v>2018</v>
      </c>
      <c r="J5504">
        <f t="shared" si="170"/>
        <v>9</v>
      </c>
      <c r="K5504" s="1" t="s">
        <v>6076</v>
      </c>
      <c r="L5504" s="1" t="s">
        <v>6076</v>
      </c>
      <c r="M5504">
        <f t="shared" si="171"/>
        <v>8</v>
      </c>
    </row>
    <row r="5505" spans="1:14" x14ac:dyDescent="0.3">
      <c r="A5505" s="1" t="s">
        <v>625</v>
      </c>
      <c r="B5505" s="1" t="s">
        <v>5940</v>
      </c>
      <c r="C5505" s="1" t="s">
        <v>626</v>
      </c>
      <c r="D5505" s="1" t="s">
        <v>3850</v>
      </c>
      <c r="E5505" s="1" t="s">
        <v>6076</v>
      </c>
      <c r="F5505" s="1" t="s">
        <v>6076</v>
      </c>
      <c r="G5505" s="1" t="s">
        <v>10235</v>
      </c>
      <c r="H5505">
        <v>2010</v>
      </c>
      <c r="I5505">
        <v>2018</v>
      </c>
      <c r="J5505">
        <f t="shared" si="170"/>
        <v>9</v>
      </c>
      <c r="K5505" s="1" t="s">
        <v>6076</v>
      </c>
      <c r="L5505" s="1" t="s">
        <v>6076</v>
      </c>
      <c r="M5505">
        <f t="shared" si="171"/>
        <v>8</v>
      </c>
    </row>
    <row r="5506" spans="1:14" hidden="1" x14ac:dyDescent="0.3">
      <c r="A5506" s="1" t="s">
        <v>4710</v>
      </c>
      <c r="B5506" s="1" t="s">
        <v>1849</v>
      </c>
      <c r="C5506" s="1" t="s">
        <v>4711</v>
      </c>
      <c r="D5506" s="1" t="s">
        <v>1395</v>
      </c>
      <c r="E5506" s="1" t="s">
        <v>1396</v>
      </c>
      <c r="F5506" s="1" t="s">
        <v>3906</v>
      </c>
      <c r="G5506" s="1" t="s">
        <v>4712</v>
      </c>
      <c r="H5506">
        <v>2005</v>
      </c>
      <c r="I5506">
        <v>2013</v>
      </c>
      <c r="J5506">
        <f t="shared" si="170"/>
        <v>9</v>
      </c>
      <c r="K5506" s="1" t="s">
        <v>3665</v>
      </c>
      <c r="L5506" s="1" t="s">
        <v>666</v>
      </c>
      <c r="M5506">
        <f t="shared" si="171"/>
        <v>13</v>
      </c>
      <c r="N5506" t="s">
        <v>650</v>
      </c>
    </row>
    <row r="5507" spans="1:14" hidden="1" x14ac:dyDescent="0.3">
      <c r="A5507" s="1" t="s">
        <v>4713</v>
      </c>
      <c r="B5507" s="1" t="s">
        <v>1849</v>
      </c>
      <c r="C5507" s="1" t="s">
        <v>4714</v>
      </c>
      <c r="D5507" s="1" t="s">
        <v>1395</v>
      </c>
      <c r="E5507" s="1" t="s">
        <v>1396</v>
      </c>
      <c r="F5507" s="1" t="s">
        <v>3906</v>
      </c>
      <c r="G5507" s="1" t="s">
        <v>4712</v>
      </c>
      <c r="H5507">
        <v>2005</v>
      </c>
      <c r="I5507">
        <v>2013</v>
      </c>
      <c r="J5507">
        <f t="shared" si="170"/>
        <v>9</v>
      </c>
      <c r="K5507" s="1" t="s">
        <v>3665</v>
      </c>
      <c r="L5507" s="1" t="s">
        <v>666</v>
      </c>
      <c r="M5507">
        <f t="shared" si="171"/>
        <v>13</v>
      </c>
      <c r="N5507" t="s">
        <v>650</v>
      </c>
    </row>
    <row r="5508" spans="1:14" hidden="1" x14ac:dyDescent="0.3">
      <c r="A5508" s="1" t="s">
        <v>4715</v>
      </c>
      <c r="B5508" s="1" t="s">
        <v>1849</v>
      </c>
      <c r="C5508" s="1" t="s">
        <v>4716</v>
      </c>
      <c r="D5508" s="1" t="s">
        <v>1395</v>
      </c>
      <c r="E5508" s="1" t="s">
        <v>1396</v>
      </c>
      <c r="F5508" s="1" t="s">
        <v>3906</v>
      </c>
      <c r="G5508" s="1" t="s">
        <v>4712</v>
      </c>
      <c r="H5508">
        <v>2013</v>
      </c>
      <c r="I5508">
        <v>2014</v>
      </c>
      <c r="J5508">
        <f t="shared" si="170"/>
        <v>2</v>
      </c>
      <c r="K5508" s="1" t="s">
        <v>3665</v>
      </c>
      <c r="L5508" s="1" t="s">
        <v>666</v>
      </c>
      <c r="M5508">
        <f t="shared" si="171"/>
        <v>12</v>
      </c>
      <c r="N5508" t="s">
        <v>650</v>
      </c>
    </row>
    <row r="5509" spans="1:14" hidden="1" x14ac:dyDescent="0.3">
      <c r="A5509" s="1" t="s">
        <v>4717</v>
      </c>
      <c r="B5509" s="1" t="s">
        <v>1849</v>
      </c>
      <c r="C5509" s="1" t="s">
        <v>4718</v>
      </c>
      <c r="D5509" s="1" t="s">
        <v>1395</v>
      </c>
      <c r="E5509" s="1" t="s">
        <v>1396</v>
      </c>
      <c r="F5509" s="1" t="s">
        <v>3906</v>
      </c>
      <c r="G5509" s="1" t="s">
        <v>4712</v>
      </c>
      <c r="H5509">
        <v>2005</v>
      </c>
      <c r="I5509">
        <v>2014</v>
      </c>
      <c r="J5509">
        <f t="shared" si="170"/>
        <v>10</v>
      </c>
      <c r="K5509" s="1" t="s">
        <v>3665</v>
      </c>
      <c r="L5509" s="1" t="s">
        <v>666</v>
      </c>
      <c r="M5509">
        <f t="shared" si="171"/>
        <v>12</v>
      </c>
      <c r="N5509" t="s">
        <v>650</v>
      </c>
    </row>
    <row r="5510" spans="1:14" x14ac:dyDescent="0.3">
      <c r="A5510" s="1" t="s">
        <v>10236</v>
      </c>
      <c r="B5510" s="1" t="s">
        <v>1849</v>
      </c>
      <c r="C5510" s="1" t="s">
        <v>10237</v>
      </c>
      <c r="D5510" s="1" t="s">
        <v>1395</v>
      </c>
      <c r="E5510" s="1" t="s">
        <v>6076</v>
      </c>
      <c r="F5510" s="1" t="s">
        <v>6076</v>
      </c>
      <c r="G5510" s="1" t="s">
        <v>4712</v>
      </c>
      <c r="H5510">
        <v>2005</v>
      </c>
      <c r="I5510">
        <v>2005</v>
      </c>
      <c r="J5510">
        <f t="shared" ref="J5510:J5573" si="172">1+(I5510-H5510)</f>
        <v>1</v>
      </c>
      <c r="K5510" s="1" t="s">
        <v>6076</v>
      </c>
      <c r="L5510" s="1" t="s">
        <v>6076</v>
      </c>
      <c r="M5510">
        <f t="shared" ref="M5510:M5573" si="173">IF(I5510=0,0,$B$2-I5510)</f>
        <v>21</v>
      </c>
      <c r="N5510" t="s">
        <v>650</v>
      </c>
    </row>
    <row r="5511" spans="1:14" x14ac:dyDescent="0.3">
      <c r="A5511" s="1" t="s">
        <v>10238</v>
      </c>
      <c r="B5511" s="1" t="s">
        <v>1849</v>
      </c>
      <c r="C5511" s="1" t="s">
        <v>10239</v>
      </c>
      <c r="D5511" s="1" t="s">
        <v>1395</v>
      </c>
      <c r="E5511" s="1" t="s">
        <v>6076</v>
      </c>
      <c r="F5511" s="1" t="s">
        <v>6076</v>
      </c>
      <c r="G5511" s="1" t="s">
        <v>4712</v>
      </c>
      <c r="H5511">
        <v>2005</v>
      </c>
      <c r="I5511">
        <v>2010</v>
      </c>
      <c r="J5511">
        <f t="shared" si="172"/>
        <v>6</v>
      </c>
      <c r="K5511" s="1" t="s">
        <v>6076</v>
      </c>
      <c r="L5511" s="1" t="s">
        <v>6076</v>
      </c>
      <c r="M5511">
        <f t="shared" si="173"/>
        <v>16</v>
      </c>
      <c r="N5511" t="s">
        <v>650</v>
      </c>
    </row>
    <row r="5512" spans="1:14" hidden="1" x14ac:dyDescent="0.3">
      <c r="A5512" s="1" t="s">
        <v>4719</v>
      </c>
      <c r="B5512" s="1" t="s">
        <v>1849</v>
      </c>
      <c r="C5512" s="1" t="s">
        <v>4720</v>
      </c>
      <c r="D5512" s="1" t="s">
        <v>1395</v>
      </c>
      <c r="E5512" s="1" t="s">
        <v>1396</v>
      </c>
      <c r="F5512" s="1" t="s">
        <v>3906</v>
      </c>
      <c r="G5512" s="1" t="s">
        <v>4712</v>
      </c>
      <c r="H5512">
        <v>2017</v>
      </c>
      <c r="I5512">
        <v>2017</v>
      </c>
      <c r="J5512">
        <f t="shared" si="172"/>
        <v>1</v>
      </c>
      <c r="K5512" s="1" t="s">
        <v>3665</v>
      </c>
      <c r="L5512" s="1" t="s">
        <v>666</v>
      </c>
      <c r="M5512">
        <f t="shared" si="173"/>
        <v>9</v>
      </c>
      <c r="N5512" t="s">
        <v>650</v>
      </c>
    </row>
    <row r="5513" spans="1:14" hidden="1" x14ac:dyDescent="0.3">
      <c r="A5513" s="1" t="s">
        <v>4721</v>
      </c>
      <c r="B5513" s="1" t="s">
        <v>1849</v>
      </c>
      <c r="C5513" s="1" t="s">
        <v>4722</v>
      </c>
      <c r="D5513" s="1" t="s">
        <v>1395</v>
      </c>
      <c r="E5513" s="1" t="s">
        <v>1396</v>
      </c>
      <c r="F5513" s="1" t="s">
        <v>3906</v>
      </c>
      <c r="G5513" s="1" t="s">
        <v>4712</v>
      </c>
      <c r="H5513">
        <v>2017</v>
      </c>
      <c r="I5513">
        <v>2019</v>
      </c>
      <c r="J5513">
        <f t="shared" si="172"/>
        <v>3</v>
      </c>
      <c r="K5513" s="1" t="s">
        <v>3665</v>
      </c>
      <c r="L5513" s="1" t="s">
        <v>666</v>
      </c>
      <c r="M5513">
        <f t="shared" si="173"/>
        <v>7</v>
      </c>
      <c r="N5513" t="s">
        <v>650</v>
      </c>
    </row>
    <row r="5514" spans="1:14" hidden="1" x14ac:dyDescent="0.3">
      <c r="A5514" s="1" t="s">
        <v>4723</v>
      </c>
      <c r="B5514" s="1" t="s">
        <v>1849</v>
      </c>
      <c r="C5514" s="1" t="s">
        <v>4724</v>
      </c>
      <c r="D5514" s="1" t="s">
        <v>1395</v>
      </c>
      <c r="E5514" s="1" t="s">
        <v>1396</v>
      </c>
      <c r="F5514" s="1" t="s">
        <v>3906</v>
      </c>
      <c r="G5514" s="1" t="s">
        <v>4712</v>
      </c>
      <c r="H5514">
        <v>2017</v>
      </c>
      <c r="I5514">
        <v>2019</v>
      </c>
      <c r="J5514">
        <f t="shared" si="172"/>
        <v>3</v>
      </c>
      <c r="K5514" s="1" t="s">
        <v>3665</v>
      </c>
      <c r="L5514" s="1" t="s">
        <v>666</v>
      </c>
      <c r="M5514">
        <f t="shared" si="173"/>
        <v>7</v>
      </c>
      <c r="N5514" t="s">
        <v>650</v>
      </c>
    </row>
    <row r="5515" spans="1:14" hidden="1" x14ac:dyDescent="0.3">
      <c r="A5515" s="1" t="s">
        <v>4725</v>
      </c>
      <c r="B5515" s="1" t="s">
        <v>1849</v>
      </c>
      <c r="C5515" s="1" t="s">
        <v>4726</v>
      </c>
      <c r="D5515" s="1" t="s">
        <v>1395</v>
      </c>
      <c r="E5515" s="1" t="s">
        <v>1396</v>
      </c>
      <c r="F5515" s="1" t="s">
        <v>3906</v>
      </c>
      <c r="G5515" s="1" t="s">
        <v>4712</v>
      </c>
      <c r="H5515">
        <v>2018</v>
      </c>
      <c r="I5515">
        <v>2022</v>
      </c>
      <c r="J5515">
        <f t="shared" si="172"/>
        <v>5</v>
      </c>
      <c r="K5515" s="1" t="s">
        <v>3665</v>
      </c>
      <c r="L5515" s="1" t="s">
        <v>666</v>
      </c>
      <c r="M5515">
        <f t="shared" si="173"/>
        <v>4</v>
      </c>
      <c r="N5515" t="s">
        <v>650</v>
      </c>
    </row>
    <row r="5516" spans="1:14" x14ac:dyDescent="0.3">
      <c r="A5516" s="1" t="s">
        <v>10240</v>
      </c>
      <c r="B5516" s="1" t="s">
        <v>12756</v>
      </c>
      <c r="C5516" s="1" t="s">
        <v>10241</v>
      </c>
      <c r="D5516" s="1" t="s">
        <v>746</v>
      </c>
      <c r="E5516" s="1" t="s">
        <v>6076</v>
      </c>
      <c r="F5516" s="1" t="s">
        <v>6076</v>
      </c>
      <c r="G5516" s="1" t="s">
        <v>3345</v>
      </c>
      <c r="H5516">
        <v>1999</v>
      </c>
      <c r="I5516">
        <v>2001</v>
      </c>
      <c r="J5516">
        <f t="shared" si="172"/>
        <v>3</v>
      </c>
      <c r="K5516" s="1" t="s">
        <v>6076</v>
      </c>
      <c r="L5516" s="1" t="s">
        <v>6076</v>
      </c>
      <c r="M5516">
        <f t="shared" si="173"/>
        <v>25</v>
      </c>
      <c r="N5516" t="s">
        <v>640</v>
      </c>
    </row>
    <row r="5517" spans="1:14" x14ac:dyDescent="0.3">
      <c r="A5517" s="1" t="s">
        <v>10242</v>
      </c>
      <c r="B5517" s="1" t="s">
        <v>12756</v>
      </c>
      <c r="C5517" s="1" t="s">
        <v>10243</v>
      </c>
      <c r="D5517" s="1" t="s">
        <v>746</v>
      </c>
      <c r="E5517" s="1" t="s">
        <v>6076</v>
      </c>
      <c r="F5517" s="1" t="s">
        <v>6076</v>
      </c>
      <c r="G5517" s="1" t="s">
        <v>3345</v>
      </c>
      <c r="H5517">
        <v>1994</v>
      </c>
      <c r="I5517">
        <v>2000</v>
      </c>
      <c r="J5517">
        <f t="shared" si="172"/>
        <v>7</v>
      </c>
      <c r="K5517" s="1" t="s">
        <v>6076</v>
      </c>
      <c r="L5517" s="1" t="s">
        <v>6076</v>
      </c>
      <c r="M5517">
        <f t="shared" si="173"/>
        <v>26</v>
      </c>
      <c r="N5517" t="s">
        <v>640</v>
      </c>
    </row>
    <row r="5518" spans="1:14" x14ac:dyDescent="0.3">
      <c r="A5518" s="1" t="s">
        <v>10244</v>
      </c>
      <c r="B5518" s="1" t="s">
        <v>12756</v>
      </c>
      <c r="C5518" s="1" t="s">
        <v>10245</v>
      </c>
      <c r="D5518" s="1" t="s">
        <v>746</v>
      </c>
      <c r="E5518" s="1" t="s">
        <v>6076</v>
      </c>
      <c r="F5518" s="1" t="s">
        <v>6076</v>
      </c>
      <c r="G5518" s="1" t="s">
        <v>3345</v>
      </c>
      <c r="H5518">
        <v>1995</v>
      </c>
      <c r="I5518">
        <v>1995</v>
      </c>
      <c r="J5518">
        <f t="shared" si="172"/>
        <v>1</v>
      </c>
      <c r="K5518" s="1" t="s">
        <v>6076</v>
      </c>
      <c r="L5518" s="1" t="s">
        <v>6076</v>
      </c>
      <c r="M5518">
        <f t="shared" si="173"/>
        <v>31</v>
      </c>
      <c r="N5518" t="s">
        <v>640</v>
      </c>
    </row>
    <row r="5519" spans="1:14" hidden="1" x14ac:dyDescent="0.3">
      <c r="A5519" s="1" t="s">
        <v>3343</v>
      </c>
      <c r="B5519" s="1" t="s">
        <v>12756</v>
      </c>
      <c r="C5519" s="1" t="s">
        <v>3344</v>
      </c>
      <c r="D5519" s="1" t="s">
        <v>746</v>
      </c>
      <c r="E5519" s="1" t="s">
        <v>747</v>
      </c>
      <c r="F5519" s="1" t="s">
        <v>748</v>
      </c>
      <c r="G5519" s="1" t="s">
        <v>3345</v>
      </c>
      <c r="H5519">
        <v>2002</v>
      </c>
      <c r="I5519">
        <v>2002</v>
      </c>
      <c r="J5519">
        <f t="shared" si="172"/>
        <v>1</v>
      </c>
      <c r="K5519" s="1" t="s">
        <v>741</v>
      </c>
      <c r="L5519" s="1" t="s">
        <v>649</v>
      </c>
      <c r="M5519">
        <f t="shared" si="173"/>
        <v>24</v>
      </c>
      <c r="N5519" t="s">
        <v>640</v>
      </c>
    </row>
    <row r="5520" spans="1:14" x14ac:dyDescent="0.3">
      <c r="A5520" s="1" t="s">
        <v>10246</v>
      </c>
      <c r="B5520" s="1" t="s">
        <v>12756</v>
      </c>
      <c r="C5520" s="1" t="s">
        <v>10247</v>
      </c>
      <c r="D5520" s="1" t="s">
        <v>746</v>
      </c>
      <c r="E5520" s="1" t="s">
        <v>6076</v>
      </c>
      <c r="F5520" s="1" t="s">
        <v>6076</v>
      </c>
      <c r="G5520" s="1" t="s">
        <v>3345</v>
      </c>
      <c r="H5520">
        <v>2002</v>
      </c>
      <c r="I5520">
        <v>2002</v>
      </c>
      <c r="J5520">
        <f t="shared" si="172"/>
        <v>1</v>
      </c>
      <c r="K5520" s="1" t="s">
        <v>6076</v>
      </c>
      <c r="L5520" s="1" t="s">
        <v>6076</v>
      </c>
      <c r="M5520">
        <f t="shared" si="173"/>
        <v>24</v>
      </c>
      <c r="N5520" t="s">
        <v>640</v>
      </c>
    </row>
    <row r="5521" spans="1:14" x14ac:dyDescent="0.3">
      <c r="A5521" s="1" t="s">
        <v>10248</v>
      </c>
      <c r="B5521" s="1" t="s">
        <v>12756</v>
      </c>
      <c r="C5521" s="1" t="s">
        <v>10249</v>
      </c>
      <c r="D5521" s="1" t="s">
        <v>746</v>
      </c>
      <c r="E5521" s="1" t="s">
        <v>6076</v>
      </c>
      <c r="F5521" s="1" t="s">
        <v>6076</v>
      </c>
      <c r="G5521" s="1" t="s">
        <v>3345</v>
      </c>
      <c r="H5521">
        <v>1998</v>
      </c>
      <c r="I5521">
        <v>2001</v>
      </c>
      <c r="J5521">
        <f t="shared" si="172"/>
        <v>4</v>
      </c>
      <c r="K5521" s="1" t="s">
        <v>6076</v>
      </c>
      <c r="L5521" s="1" t="s">
        <v>6076</v>
      </c>
      <c r="M5521">
        <f t="shared" si="173"/>
        <v>25</v>
      </c>
      <c r="N5521" t="s">
        <v>640</v>
      </c>
    </row>
    <row r="5522" spans="1:14" x14ac:dyDescent="0.3">
      <c r="A5522" s="1" t="s">
        <v>10250</v>
      </c>
      <c r="B5522" s="1" t="s">
        <v>8765</v>
      </c>
      <c r="C5522" s="1" t="s">
        <v>10251</v>
      </c>
      <c r="D5522" s="1" t="s">
        <v>644</v>
      </c>
      <c r="E5522" s="1" t="s">
        <v>6076</v>
      </c>
      <c r="F5522" s="1" t="s">
        <v>6076</v>
      </c>
      <c r="G5522" s="1" t="s">
        <v>10252</v>
      </c>
      <c r="H5522">
        <v>2007</v>
      </c>
      <c r="I5522">
        <v>2011</v>
      </c>
      <c r="J5522">
        <f t="shared" si="172"/>
        <v>5</v>
      </c>
      <c r="K5522" s="1" t="s">
        <v>6076</v>
      </c>
      <c r="L5522" s="1" t="s">
        <v>6076</v>
      </c>
      <c r="M5522">
        <f t="shared" si="173"/>
        <v>15</v>
      </c>
      <c r="N5522" t="s">
        <v>640</v>
      </c>
    </row>
    <row r="5523" spans="1:14" x14ac:dyDescent="0.3">
      <c r="A5523" s="1" t="s">
        <v>10253</v>
      </c>
      <c r="B5523" s="1" t="s">
        <v>8765</v>
      </c>
      <c r="C5523" s="1" t="s">
        <v>10254</v>
      </c>
      <c r="D5523" s="1" t="s">
        <v>644</v>
      </c>
      <c r="E5523" s="1" t="s">
        <v>6076</v>
      </c>
      <c r="F5523" s="1" t="s">
        <v>6076</v>
      </c>
      <c r="G5523" s="1" t="s">
        <v>10252</v>
      </c>
      <c r="H5523">
        <v>2007</v>
      </c>
      <c r="I5523">
        <v>2012</v>
      </c>
      <c r="J5523">
        <f t="shared" si="172"/>
        <v>6</v>
      </c>
      <c r="K5523" s="1" t="s">
        <v>6076</v>
      </c>
      <c r="L5523" s="1" t="s">
        <v>6076</v>
      </c>
      <c r="M5523">
        <f t="shared" si="173"/>
        <v>14</v>
      </c>
      <c r="N5523" t="s">
        <v>650</v>
      </c>
    </row>
    <row r="5524" spans="1:14" x14ac:dyDescent="0.3">
      <c r="A5524" s="1" t="s">
        <v>10255</v>
      </c>
      <c r="B5524" s="1" t="s">
        <v>8765</v>
      </c>
      <c r="C5524" s="1" t="s">
        <v>10256</v>
      </c>
      <c r="D5524" s="1" t="s">
        <v>644</v>
      </c>
      <c r="E5524" s="1" t="s">
        <v>6076</v>
      </c>
      <c r="F5524" s="1" t="s">
        <v>6076</v>
      </c>
      <c r="G5524" s="1" t="s">
        <v>10252</v>
      </c>
      <c r="H5524">
        <v>2011</v>
      </c>
      <c r="I5524">
        <v>2012</v>
      </c>
      <c r="J5524">
        <f t="shared" si="172"/>
        <v>2</v>
      </c>
      <c r="K5524" s="1" t="s">
        <v>6076</v>
      </c>
      <c r="L5524" s="1" t="s">
        <v>6076</v>
      </c>
      <c r="M5524">
        <f t="shared" si="173"/>
        <v>14</v>
      </c>
      <c r="N5524" t="s">
        <v>650</v>
      </c>
    </row>
    <row r="5525" spans="1:14" x14ac:dyDescent="0.3">
      <c r="A5525" s="1" t="s">
        <v>10257</v>
      </c>
      <c r="B5525" s="1" t="s">
        <v>8765</v>
      </c>
      <c r="C5525" s="1" t="s">
        <v>10258</v>
      </c>
      <c r="D5525" s="1" t="s">
        <v>644</v>
      </c>
      <c r="E5525" s="1" t="s">
        <v>6076</v>
      </c>
      <c r="F5525" s="1" t="s">
        <v>6076</v>
      </c>
      <c r="G5525" s="1" t="s">
        <v>10252</v>
      </c>
      <c r="H5525">
        <v>2010</v>
      </c>
      <c r="I5525">
        <v>2012</v>
      </c>
      <c r="J5525">
        <f t="shared" si="172"/>
        <v>3</v>
      </c>
      <c r="K5525" s="1" t="s">
        <v>6076</v>
      </c>
      <c r="L5525" s="1" t="s">
        <v>6076</v>
      </c>
      <c r="M5525">
        <f t="shared" si="173"/>
        <v>14</v>
      </c>
      <c r="N5525" t="s">
        <v>650</v>
      </c>
    </row>
    <row r="5526" spans="1:14" x14ac:dyDescent="0.3">
      <c r="A5526" s="1" t="s">
        <v>10259</v>
      </c>
      <c r="B5526" s="1" t="s">
        <v>8765</v>
      </c>
      <c r="C5526" s="1" t="s">
        <v>10260</v>
      </c>
      <c r="D5526" s="1" t="s">
        <v>644</v>
      </c>
      <c r="E5526" s="1" t="s">
        <v>6076</v>
      </c>
      <c r="F5526" s="1" t="s">
        <v>6076</v>
      </c>
      <c r="G5526" s="1" t="s">
        <v>10252</v>
      </c>
      <c r="H5526">
        <v>2011</v>
      </c>
      <c r="I5526">
        <v>2011</v>
      </c>
      <c r="J5526">
        <f t="shared" si="172"/>
        <v>1</v>
      </c>
      <c r="K5526" s="1" t="s">
        <v>6076</v>
      </c>
      <c r="L5526" s="1" t="s">
        <v>6076</v>
      </c>
      <c r="M5526">
        <f t="shared" si="173"/>
        <v>15</v>
      </c>
      <c r="N5526" t="s">
        <v>640</v>
      </c>
    </row>
    <row r="5527" spans="1:14" x14ac:dyDescent="0.3">
      <c r="A5527" s="1" t="s">
        <v>10261</v>
      </c>
      <c r="B5527" s="1" t="s">
        <v>8765</v>
      </c>
      <c r="C5527" s="1" t="s">
        <v>10262</v>
      </c>
      <c r="D5527" s="1" t="s">
        <v>644</v>
      </c>
      <c r="E5527" s="1" t="s">
        <v>6076</v>
      </c>
      <c r="F5527" s="1" t="s">
        <v>6076</v>
      </c>
      <c r="G5527" s="1" t="s">
        <v>10252</v>
      </c>
      <c r="H5527">
        <v>2007</v>
      </c>
      <c r="I5527">
        <v>2012</v>
      </c>
      <c r="J5527">
        <f t="shared" si="172"/>
        <v>6</v>
      </c>
      <c r="K5527" s="1" t="s">
        <v>6076</v>
      </c>
      <c r="L5527" s="1" t="s">
        <v>6076</v>
      </c>
      <c r="M5527">
        <f t="shared" si="173"/>
        <v>14</v>
      </c>
      <c r="N5527" t="s">
        <v>650</v>
      </c>
    </row>
    <row r="5528" spans="1:14" x14ac:dyDescent="0.3">
      <c r="A5528" s="1" t="s">
        <v>10263</v>
      </c>
      <c r="B5528" s="1" t="s">
        <v>802</v>
      </c>
      <c r="C5528" s="1" t="s">
        <v>10264</v>
      </c>
      <c r="D5528" s="1" t="s">
        <v>746</v>
      </c>
      <c r="E5528" s="1" t="s">
        <v>6076</v>
      </c>
      <c r="F5528" s="1" t="s">
        <v>6076</v>
      </c>
      <c r="G5528" s="1" t="s">
        <v>3348</v>
      </c>
      <c r="H5528">
        <v>1994</v>
      </c>
      <c r="I5528">
        <v>1994</v>
      </c>
      <c r="J5528">
        <f t="shared" si="172"/>
        <v>1</v>
      </c>
      <c r="K5528" s="1" t="s">
        <v>6076</v>
      </c>
      <c r="L5528" s="1" t="s">
        <v>6076</v>
      </c>
      <c r="M5528">
        <f t="shared" si="173"/>
        <v>32</v>
      </c>
      <c r="N5528" t="s">
        <v>640</v>
      </c>
    </row>
    <row r="5529" spans="1:14" x14ac:dyDescent="0.3">
      <c r="A5529" s="1" t="s">
        <v>10265</v>
      </c>
      <c r="B5529" s="1" t="s">
        <v>802</v>
      </c>
      <c r="C5529" s="1" t="s">
        <v>10266</v>
      </c>
      <c r="D5529" s="1" t="s">
        <v>746</v>
      </c>
      <c r="E5529" s="1" t="s">
        <v>6076</v>
      </c>
      <c r="F5529" s="1" t="s">
        <v>6076</v>
      </c>
      <c r="G5529" s="1" t="s">
        <v>3348</v>
      </c>
      <c r="H5529">
        <v>1987</v>
      </c>
      <c r="I5529">
        <v>1987</v>
      </c>
      <c r="J5529">
        <f t="shared" si="172"/>
        <v>1</v>
      </c>
      <c r="K5529" s="1" t="s">
        <v>6076</v>
      </c>
      <c r="L5529" s="1" t="s">
        <v>6076</v>
      </c>
      <c r="M5529">
        <f t="shared" si="173"/>
        <v>39</v>
      </c>
      <c r="N5529" t="s">
        <v>640</v>
      </c>
    </row>
    <row r="5530" spans="1:14" hidden="1" x14ac:dyDescent="0.3">
      <c r="A5530" s="1" t="s">
        <v>3346</v>
      </c>
      <c r="B5530" s="1" t="s">
        <v>802</v>
      </c>
      <c r="C5530" s="1" t="s">
        <v>3347</v>
      </c>
      <c r="D5530" s="1" t="s">
        <v>746</v>
      </c>
      <c r="E5530" s="1" t="s">
        <v>747</v>
      </c>
      <c r="F5530" s="1" t="s">
        <v>748</v>
      </c>
      <c r="G5530" s="1" t="s">
        <v>3348</v>
      </c>
      <c r="H5530">
        <v>2012</v>
      </c>
      <c r="I5530">
        <v>2012</v>
      </c>
      <c r="J5530">
        <f t="shared" si="172"/>
        <v>1</v>
      </c>
      <c r="K5530" s="1" t="s">
        <v>741</v>
      </c>
      <c r="L5530" s="1" t="s">
        <v>798</v>
      </c>
      <c r="M5530">
        <f t="shared" si="173"/>
        <v>14</v>
      </c>
      <c r="N5530" t="s">
        <v>650</v>
      </c>
    </row>
    <row r="5531" spans="1:14" hidden="1" x14ac:dyDescent="0.3">
      <c r="A5531" s="1" t="s">
        <v>3349</v>
      </c>
      <c r="B5531" s="1" t="s">
        <v>802</v>
      </c>
      <c r="C5531" s="1" t="s">
        <v>3350</v>
      </c>
      <c r="D5531" s="1" t="s">
        <v>746</v>
      </c>
      <c r="E5531" s="1" t="s">
        <v>747</v>
      </c>
      <c r="F5531" s="1" t="s">
        <v>748</v>
      </c>
      <c r="G5531" s="1" t="s">
        <v>3348</v>
      </c>
      <c r="H5531">
        <v>2011</v>
      </c>
      <c r="I5531">
        <v>2011</v>
      </c>
      <c r="J5531">
        <f t="shared" si="172"/>
        <v>1</v>
      </c>
      <c r="K5531" s="1" t="s">
        <v>741</v>
      </c>
      <c r="L5531" s="1" t="s">
        <v>798</v>
      </c>
      <c r="M5531">
        <f t="shared" si="173"/>
        <v>15</v>
      </c>
      <c r="N5531" t="s">
        <v>650</v>
      </c>
    </row>
    <row r="5532" spans="1:14" hidden="1" x14ac:dyDescent="0.3">
      <c r="A5532" s="1" t="s">
        <v>3351</v>
      </c>
      <c r="B5532" s="1" t="s">
        <v>802</v>
      </c>
      <c r="C5532" s="1" t="s">
        <v>3352</v>
      </c>
      <c r="D5532" s="1" t="s">
        <v>746</v>
      </c>
      <c r="E5532" s="1" t="s">
        <v>747</v>
      </c>
      <c r="F5532" s="1" t="s">
        <v>748</v>
      </c>
      <c r="G5532" s="1" t="s">
        <v>3348</v>
      </c>
      <c r="H5532">
        <v>2015</v>
      </c>
      <c r="I5532">
        <v>2015</v>
      </c>
      <c r="J5532">
        <f t="shared" si="172"/>
        <v>1</v>
      </c>
      <c r="K5532" s="1" t="s">
        <v>741</v>
      </c>
      <c r="L5532" s="1" t="s">
        <v>798</v>
      </c>
      <c r="M5532">
        <f t="shared" si="173"/>
        <v>11</v>
      </c>
      <c r="N5532" t="s">
        <v>650</v>
      </c>
    </row>
    <row r="5533" spans="1:14" hidden="1" x14ac:dyDescent="0.3">
      <c r="A5533" s="1" t="s">
        <v>3353</v>
      </c>
      <c r="B5533" s="1" t="s">
        <v>802</v>
      </c>
      <c r="C5533" s="1" t="s">
        <v>3354</v>
      </c>
      <c r="D5533" s="1" t="s">
        <v>746</v>
      </c>
      <c r="E5533" s="1" t="s">
        <v>747</v>
      </c>
      <c r="F5533" s="1" t="s">
        <v>748</v>
      </c>
      <c r="G5533" s="1" t="s">
        <v>3348</v>
      </c>
      <c r="H5533">
        <v>2017</v>
      </c>
      <c r="I5533">
        <v>2017</v>
      </c>
      <c r="J5533">
        <f t="shared" si="172"/>
        <v>1</v>
      </c>
      <c r="K5533" s="1" t="s">
        <v>741</v>
      </c>
      <c r="L5533" s="1" t="s">
        <v>798</v>
      </c>
      <c r="M5533">
        <f t="shared" si="173"/>
        <v>9</v>
      </c>
      <c r="N5533" t="s">
        <v>650</v>
      </c>
    </row>
    <row r="5534" spans="1:14" hidden="1" x14ac:dyDescent="0.3">
      <c r="A5534" s="1" t="s">
        <v>3355</v>
      </c>
      <c r="B5534" s="1" t="s">
        <v>802</v>
      </c>
      <c r="C5534" s="1" t="s">
        <v>3356</v>
      </c>
      <c r="D5534" s="1" t="s">
        <v>746</v>
      </c>
      <c r="E5534" s="1" t="s">
        <v>747</v>
      </c>
      <c r="F5534" s="1" t="s">
        <v>748</v>
      </c>
      <c r="G5534" s="1" t="s">
        <v>3348</v>
      </c>
      <c r="H5534">
        <v>2012</v>
      </c>
      <c r="I5534">
        <v>2012</v>
      </c>
      <c r="J5534">
        <f t="shared" si="172"/>
        <v>1</v>
      </c>
      <c r="K5534" s="1" t="s">
        <v>741</v>
      </c>
      <c r="L5534" s="1" t="s">
        <v>798</v>
      </c>
      <c r="M5534">
        <f t="shared" si="173"/>
        <v>14</v>
      </c>
      <c r="N5534" t="s">
        <v>650</v>
      </c>
    </row>
    <row r="5535" spans="1:14" hidden="1" x14ac:dyDescent="0.3">
      <c r="A5535" s="1" t="s">
        <v>3357</v>
      </c>
      <c r="B5535" s="1" t="s">
        <v>802</v>
      </c>
      <c r="C5535" s="1" t="s">
        <v>3358</v>
      </c>
      <c r="D5535" s="1" t="s">
        <v>746</v>
      </c>
      <c r="E5535" s="1" t="s">
        <v>747</v>
      </c>
      <c r="F5535" s="1" t="s">
        <v>748</v>
      </c>
      <c r="G5535" s="1" t="s">
        <v>3348</v>
      </c>
      <c r="H5535">
        <v>2011</v>
      </c>
      <c r="I5535">
        <v>2011</v>
      </c>
      <c r="J5535">
        <f t="shared" si="172"/>
        <v>1</v>
      </c>
      <c r="K5535" s="1" t="s">
        <v>741</v>
      </c>
      <c r="L5535" s="1" t="s">
        <v>798</v>
      </c>
      <c r="M5535">
        <f t="shared" si="173"/>
        <v>15</v>
      </c>
      <c r="N5535" t="s">
        <v>650</v>
      </c>
    </row>
    <row r="5536" spans="1:14" hidden="1" x14ac:dyDescent="0.3">
      <c r="A5536" s="1" t="s">
        <v>3359</v>
      </c>
      <c r="B5536" s="1" t="s">
        <v>802</v>
      </c>
      <c r="C5536" s="1" t="s">
        <v>3360</v>
      </c>
      <c r="D5536" s="1" t="s">
        <v>746</v>
      </c>
      <c r="E5536" s="1" t="s">
        <v>747</v>
      </c>
      <c r="F5536" s="1" t="s">
        <v>748</v>
      </c>
      <c r="G5536" s="1" t="s">
        <v>3348</v>
      </c>
      <c r="H5536">
        <v>2021</v>
      </c>
      <c r="I5536">
        <v>2021</v>
      </c>
      <c r="J5536">
        <f t="shared" si="172"/>
        <v>1</v>
      </c>
      <c r="K5536" s="1" t="s">
        <v>741</v>
      </c>
      <c r="L5536" s="1" t="s">
        <v>798</v>
      </c>
      <c r="M5536">
        <f t="shared" si="173"/>
        <v>5</v>
      </c>
      <c r="N5536" t="s">
        <v>650</v>
      </c>
    </row>
    <row r="5537" spans="1:14" x14ac:dyDescent="0.3">
      <c r="A5537" s="1" t="s">
        <v>10267</v>
      </c>
      <c r="B5537" s="1" t="s">
        <v>802</v>
      </c>
      <c r="C5537" s="1" t="s">
        <v>10268</v>
      </c>
      <c r="D5537" s="1" t="s">
        <v>746</v>
      </c>
      <c r="E5537" s="1" t="s">
        <v>6076</v>
      </c>
      <c r="F5537" s="1" t="s">
        <v>6076</v>
      </c>
      <c r="G5537" s="1" t="s">
        <v>3348</v>
      </c>
      <c r="H5537">
        <v>1999</v>
      </c>
      <c r="I5537">
        <v>1999</v>
      </c>
      <c r="J5537">
        <f t="shared" si="172"/>
        <v>1</v>
      </c>
      <c r="K5537" s="1" t="s">
        <v>6076</v>
      </c>
      <c r="L5537" s="1" t="s">
        <v>6076</v>
      </c>
      <c r="M5537">
        <f t="shared" si="173"/>
        <v>27</v>
      </c>
      <c r="N5537" t="s">
        <v>640</v>
      </c>
    </row>
    <row r="5538" spans="1:14" x14ac:dyDescent="0.3">
      <c r="A5538" s="1" t="s">
        <v>10269</v>
      </c>
      <c r="B5538" s="1" t="s">
        <v>802</v>
      </c>
      <c r="C5538" s="1" t="s">
        <v>10270</v>
      </c>
      <c r="D5538" s="1" t="s">
        <v>746</v>
      </c>
      <c r="E5538" s="1" t="s">
        <v>6076</v>
      </c>
      <c r="F5538" s="1" t="s">
        <v>6076</v>
      </c>
      <c r="G5538" s="1" t="s">
        <v>3348</v>
      </c>
      <c r="H5538">
        <v>1985</v>
      </c>
      <c r="I5538">
        <v>1985</v>
      </c>
      <c r="J5538">
        <f t="shared" si="172"/>
        <v>1</v>
      </c>
      <c r="K5538" s="1" t="s">
        <v>6076</v>
      </c>
      <c r="L5538" s="1" t="s">
        <v>6076</v>
      </c>
      <c r="M5538">
        <f t="shared" si="173"/>
        <v>41</v>
      </c>
      <c r="N5538" t="s">
        <v>640</v>
      </c>
    </row>
    <row r="5539" spans="1:14" x14ac:dyDescent="0.3">
      <c r="A5539" s="1" t="s">
        <v>10271</v>
      </c>
      <c r="B5539" s="1" t="s">
        <v>802</v>
      </c>
      <c r="C5539" s="1" t="s">
        <v>10272</v>
      </c>
      <c r="D5539" s="1" t="s">
        <v>746</v>
      </c>
      <c r="E5539" s="1" t="s">
        <v>6076</v>
      </c>
      <c r="F5539" s="1" t="s">
        <v>6076</v>
      </c>
      <c r="G5539" s="1" t="s">
        <v>3348</v>
      </c>
      <c r="H5539">
        <v>1993</v>
      </c>
      <c r="I5539">
        <v>1993</v>
      </c>
      <c r="J5539">
        <f t="shared" si="172"/>
        <v>1</v>
      </c>
      <c r="K5539" s="1" t="s">
        <v>6076</v>
      </c>
      <c r="L5539" s="1" t="s">
        <v>6076</v>
      </c>
      <c r="M5539">
        <f t="shared" si="173"/>
        <v>33</v>
      </c>
      <c r="N5539" t="s">
        <v>640</v>
      </c>
    </row>
    <row r="5540" spans="1:14" x14ac:dyDescent="0.3">
      <c r="A5540" s="1" t="s">
        <v>10273</v>
      </c>
      <c r="B5540" s="1" t="s">
        <v>802</v>
      </c>
      <c r="C5540" s="1" t="s">
        <v>10274</v>
      </c>
      <c r="D5540" s="1" t="s">
        <v>746</v>
      </c>
      <c r="E5540" s="1" t="s">
        <v>6076</v>
      </c>
      <c r="F5540" s="1" t="s">
        <v>6076</v>
      </c>
      <c r="G5540" s="1" t="s">
        <v>3348</v>
      </c>
      <c r="H5540">
        <v>1991</v>
      </c>
      <c r="I5540">
        <v>1991</v>
      </c>
      <c r="J5540">
        <f t="shared" si="172"/>
        <v>1</v>
      </c>
      <c r="K5540" s="1" t="s">
        <v>6076</v>
      </c>
      <c r="L5540" s="1" t="s">
        <v>6076</v>
      </c>
      <c r="M5540">
        <f t="shared" si="173"/>
        <v>35</v>
      </c>
      <c r="N5540" t="s">
        <v>640</v>
      </c>
    </row>
    <row r="5541" spans="1:14" hidden="1" x14ac:dyDescent="0.3">
      <c r="A5541" s="1" t="s">
        <v>3361</v>
      </c>
      <c r="B5541" s="1" t="s">
        <v>802</v>
      </c>
      <c r="C5541" s="1" t="s">
        <v>3362</v>
      </c>
      <c r="D5541" s="1" t="s">
        <v>746</v>
      </c>
      <c r="E5541" s="1" t="s">
        <v>747</v>
      </c>
      <c r="F5541" s="1" t="s">
        <v>748</v>
      </c>
      <c r="G5541" s="1" t="s">
        <v>3348</v>
      </c>
      <c r="H5541">
        <v>2018</v>
      </c>
      <c r="I5541">
        <v>2018</v>
      </c>
      <c r="J5541">
        <f t="shared" si="172"/>
        <v>1</v>
      </c>
      <c r="K5541" s="1" t="s">
        <v>741</v>
      </c>
      <c r="L5541" s="1" t="s">
        <v>798</v>
      </c>
      <c r="M5541">
        <f t="shared" si="173"/>
        <v>8</v>
      </c>
      <c r="N5541" t="s">
        <v>650</v>
      </c>
    </row>
    <row r="5542" spans="1:14" hidden="1" x14ac:dyDescent="0.3">
      <c r="A5542" s="1" t="s">
        <v>3363</v>
      </c>
      <c r="B5542" s="1" t="s">
        <v>802</v>
      </c>
      <c r="C5542" s="1" t="s">
        <v>3364</v>
      </c>
      <c r="D5542" s="1" t="s">
        <v>746</v>
      </c>
      <c r="E5542" s="1" t="s">
        <v>747</v>
      </c>
      <c r="F5542" s="1" t="s">
        <v>748</v>
      </c>
      <c r="G5542" s="1" t="s">
        <v>3348</v>
      </c>
      <c r="H5542">
        <v>2011</v>
      </c>
      <c r="I5542">
        <v>2011</v>
      </c>
      <c r="J5542">
        <f t="shared" si="172"/>
        <v>1</v>
      </c>
      <c r="K5542" s="1" t="s">
        <v>741</v>
      </c>
      <c r="L5542" s="1" t="s">
        <v>798</v>
      </c>
      <c r="M5542">
        <f t="shared" si="173"/>
        <v>15</v>
      </c>
      <c r="N5542" t="s">
        <v>650</v>
      </c>
    </row>
    <row r="5543" spans="1:14" hidden="1" x14ac:dyDescent="0.3">
      <c r="A5543" s="1" t="s">
        <v>3365</v>
      </c>
      <c r="B5543" s="1" t="s">
        <v>802</v>
      </c>
      <c r="C5543" s="1" t="s">
        <v>3366</v>
      </c>
      <c r="D5543" s="1" t="s">
        <v>746</v>
      </c>
      <c r="E5543" s="1" t="s">
        <v>747</v>
      </c>
      <c r="F5543" s="1" t="s">
        <v>748</v>
      </c>
      <c r="G5543" s="1" t="s">
        <v>3348</v>
      </c>
      <c r="H5543">
        <v>2012</v>
      </c>
      <c r="I5543">
        <v>2012</v>
      </c>
      <c r="J5543">
        <f t="shared" si="172"/>
        <v>1</v>
      </c>
      <c r="K5543" s="1" t="s">
        <v>741</v>
      </c>
      <c r="L5543" s="1" t="s">
        <v>798</v>
      </c>
      <c r="M5543">
        <f t="shared" si="173"/>
        <v>14</v>
      </c>
      <c r="N5543" t="s">
        <v>650</v>
      </c>
    </row>
    <row r="5544" spans="1:14" hidden="1" x14ac:dyDescent="0.3">
      <c r="A5544" s="1" t="s">
        <v>3367</v>
      </c>
      <c r="B5544" s="1" t="s">
        <v>802</v>
      </c>
      <c r="C5544" s="1" t="s">
        <v>3368</v>
      </c>
      <c r="D5544" s="1" t="s">
        <v>746</v>
      </c>
      <c r="E5544" s="1" t="s">
        <v>747</v>
      </c>
      <c r="F5544" s="1" t="s">
        <v>748</v>
      </c>
      <c r="G5544" s="1" t="s">
        <v>3348</v>
      </c>
      <c r="H5544">
        <v>2012</v>
      </c>
      <c r="I5544">
        <v>2012</v>
      </c>
      <c r="J5544">
        <f t="shared" si="172"/>
        <v>1</v>
      </c>
      <c r="K5544" s="1" t="s">
        <v>741</v>
      </c>
      <c r="L5544" s="1" t="s">
        <v>798</v>
      </c>
      <c r="M5544">
        <f t="shared" si="173"/>
        <v>14</v>
      </c>
      <c r="N5544" t="s">
        <v>650</v>
      </c>
    </row>
    <row r="5545" spans="1:14" hidden="1" x14ac:dyDescent="0.3">
      <c r="A5545" s="1" t="s">
        <v>3369</v>
      </c>
      <c r="B5545" s="1" t="s">
        <v>802</v>
      </c>
      <c r="C5545" s="1" t="s">
        <v>3370</v>
      </c>
      <c r="D5545" s="1" t="s">
        <v>746</v>
      </c>
      <c r="E5545" s="1" t="s">
        <v>747</v>
      </c>
      <c r="F5545" s="1" t="s">
        <v>748</v>
      </c>
      <c r="G5545" s="1" t="s">
        <v>3348</v>
      </c>
      <c r="H5545">
        <v>2012</v>
      </c>
      <c r="I5545">
        <v>2012</v>
      </c>
      <c r="J5545">
        <f t="shared" si="172"/>
        <v>1</v>
      </c>
      <c r="K5545" s="1" t="s">
        <v>741</v>
      </c>
      <c r="L5545" s="1" t="s">
        <v>798</v>
      </c>
      <c r="M5545">
        <f t="shared" si="173"/>
        <v>14</v>
      </c>
      <c r="N5545" t="s">
        <v>650</v>
      </c>
    </row>
    <row r="5546" spans="1:14" hidden="1" x14ac:dyDescent="0.3">
      <c r="A5546" s="1" t="s">
        <v>3371</v>
      </c>
      <c r="B5546" s="1" t="s">
        <v>802</v>
      </c>
      <c r="C5546" s="1" t="s">
        <v>3372</v>
      </c>
      <c r="D5546" s="1" t="s">
        <v>746</v>
      </c>
      <c r="E5546" s="1" t="s">
        <v>747</v>
      </c>
      <c r="F5546" s="1" t="s">
        <v>748</v>
      </c>
      <c r="G5546" s="1" t="s">
        <v>3348</v>
      </c>
      <c r="H5546">
        <v>2015</v>
      </c>
      <c r="I5546">
        <v>2015</v>
      </c>
      <c r="J5546">
        <f t="shared" si="172"/>
        <v>1</v>
      </c>
      <c r="K5546" s="1" t="s">
        <v>741</v>
      </c>
      <c r="L5546" s="1" t="s">
        <v>798</v>
      </c>
      <c r="M5546">
        <f t="shared" si="173"/>
        <v>11</v>
      </c>
      <c r="N5546" t="s">
        <v>650</v>
      </c>
    </row>
    <row r="5547" spans="1:14" hidden="1" x14ac:dyDescent="0.3">
      <c r="A5547" s="1" t="s">
        <v>3373</v>
      </c>
      <c r="B5547" s="1" t="s">
        <v>802</v>
      </c>
      <c r="C5547" s="1" t="s">
        <v>3374</v>
      </c>
      <c r="D5547" s="1" t="s">
        <v>746</v>
      </c>
      <c r="E5547" s="1" t="s">
        <v>747</v>
      </c>
      <c r="F5547" s="1" t="s">
        <v>748</v>
      </c>
      <c r="G5547" s="1" t="s">
        <v>3348</v>
      </c>
      <c r="H5547">
        <v>2014</v>
      </c>
      <c r="I5547">
        <v>2014</v>
      </c>
      <c r="J5547">
        <f t="shared" si="172"/>
        <v>1</v>
      </c>
      <c r="K5547" s="1" t="s">
        <v>741</v>
      </c>
      <c r="L5547" s="1" t="s">
        <v>798</v>
      </c>
      <c r="M5547">
        <f t="shared" si="173"/>
        <v>12</v>
      </c>
      <c r="N5547" t="s">
        <v>650</v>
      </c>
    </row>
    <row r="5548" spans="1:14" x14ac:dyDescent="0.3">
      <c r="A5548" s="1" t="s">
        <v>10275</v>
      </c>
      <c r="B5548" s="1" t="s">
        <v>802</v>
      </c>
      <c r="C5548" s="1" t="s">
        <v>10276</v>
      </c>
      <c r="D5548" s="1" t="s">
        <v>746</v>
      </c>
      <c r="E5548" s="1" t="s">
        <v>6076</v>
      </c>
      <c r="F5548" s="1" t="s">
        <v>6076</v>
      </c>
      <c r="G5548" s="1" t="s">
        <v>3348</v>
      </c>
      <c r="H5548">
        <v>2003</v>
      </c>
      <c r="I5548">
        <v>2003</v>
      </c>
      <c r="J5548">
        <f t="shared" si="172"/>
        <v>1</v>
      </c>
      <c r="K5548" s="1" t="s">
        <v>6076</v>
      </c>
      <c r="L5548" s="1" t="s">
        <v>6076</v>
      </c>
      <c r="M5548">
        <f t="shared" si="173"/>
        <v>23</v>
      </c>
      <c r="N5548" t="s">
        <v>650</v>
      </c>
    </row>
    <row r="5549" spans="1:14" x14ac:dyDescent="0.3">
      <c r="A5549" s="1" t="s">
        <v>10277</v>
      </c>
      <c r="B5549" s="1" t="s">
        <v>802</v>
      </c>
      <c r="C5549" s="1" t="s">
        <v>10278</v>
      </c>
      <c r="D5549" s="1" t="s">
        <v>746</v>
      </c>
      <c r="E5549" s="1" t="s">
        <v>6076</v>
      </c>
      <c r="F5549" s="1" t="s">
        <v>6076</v>
      </c>
      <c r="G5549" s="1" t="s">
        <v>3348</v>
      </c>
      <c r="H5549">
        <v>1993</v>
      </c>
      <c r="I5549">
        <v>1993</v>
      </c>
      <c r="J5549">
        <f t="shared" si="172"/>
        <v>1</v>
      </c>
      <c r="K5549" s="1" t="s">
        <v>6076</v>
      </c>
      <c r="L5549" s="1" t="s">
        <v>6076</v>
      </c>
      <c r="M5549">
        <f t="shared" si="173"/>
        <v>33</v>
      </c>
      <c r="N5549" t="s">
        <v>640</v>
      </c>
    </row>
    <row r="5550" spans="1:14" x14ac:dyDescent="0.3">
      <c r="A5550" s="1" t="s">
        <v>10279</v>
      </c>
      <c r="B5550" s="1" t="s">
        <v>802</v>
      </c>
      <c r="C5550" s="1" t="s">
        <v>10280</v>
      </c>
      <c r="D5550" s="1" t="s">
        <v>746</v>
      </c>
      <c r="E5550" s="1" t="s">
        <v>6076</v>
      </c>
      <c r="F5550" s="1" t="s">
        <v>6076</v>
      </c>
      <c r="G5550" s="1" t="s">
        <v>3348</v>
      </c>
      <c r="H5550">
        <v>1988</v>
      </c>
      <c r="I5550">
        <v>1988</v>
      </c>
      <c r="J5550">
        <f t="shared" si="172"/>
        <v>1</v>
      </c>
      <c r="K5550" s="1" t="s">
        <v>6076</v>
      </c>
      <c r="L5550" s="1" t="s">
        <v>6076</v>
      </c>
      <c r="M5550">
        <f t="shared" si="173"/>
        <v>38</v>
      </c>
      <c r="N5550" t="s">
        <v>640</v>
      </c>
    </row>
    <row r="5551" spans="1:14" x14ac:dyDescent="0.3">
      <c r="A5551" s="1" t="s">
        <v>10281</v>
      </c>
      <c r="B5551" s="1" t="s">
        <v>802</v>
      </c>
      <c r="C5551" s="1" t="s">
        <v>10282</v>
      </c>
      <c r="D5551" s="1" t="s">
        <v>746</v>
      </c>
      <c r="E5551" s="1" t="s">
        <v>6076</v>
      </c>
      <c r="F5551" s="1" t="s">
        <v>6076</v>
      </c>
      <c r="G5551" s="1" t="s">
        <v>3348</v>
      </c>
      <c r="H5551">
        <v>1993</v>
      </c>
      <c r="I5551">
        <v>1993</v>
      </c>
      <c r="J5551">
        <f t="shared" si="172"/>
        <v>1</v>
      </c>
      <c r="K5551" s="1" t="s">
        <v>6076</v>
      </c>
      <c r="L5551" s="1" t="s">
        <v>6076</v>
      </c>
      <c r="M5551">
        <f t="shared" si="173"/>
        <v>33</v>
      </c>
      <c r="N5551" t="s">
        <v>640</v>
      </c>
    </row>
    <row r="5552" spans="1:14" hidden="1" x14ac:dyDescent="0.3">
      <c r="A5552" s="1" t="s">
        <v>3375</v>
      </c>
      <c r="B5552" s="1" t="s">
        <v>802</v>
      </c>
      <c r="C5552" s="1" t="s">
        <v>3376</v>
      </c>
      <c r="D5552" s="1" t="s">
        <v>746</v>
      </c>
      <c r="E5552" s="1" t="s">
        <v>747</v>
      </c>
      <c r="F5552" s="1" t="s">
        <v>748</v>
      </c>
      <c r="G5552" s="1" t="s">
        <v>3348</v>
      </c>
      <c r="H5552">
        <v>2002</v>
      </c>
      <c r="I5552">
        <v>2002</v>
      </c>
      <c r="J5552">
        <f t="shared" si="172"/>
        <v>1</v>
      </c>
      <c r="K5552" s="1" t="s">
        <v>741</v>
      </c>
      <c r="L5552" s="1" t="s">
        <v>798</v>
      </c>
      <c r="M5552">
        <f t="shared" si="173"/>
        <v>24</v>
      </c>
      <c r="N5552" t="s">
        <v>650</v>
      </c>
    </row>
    <row r="5553" spans="1:14" hidden="1" x14ac:dyDescent="0.3">
      <c r="A5553" s="1" t="s">
        <v>3377</v>
      </c>
      <c r="B5553" s="1" t="s">
        <v>802</v>
      </c>
      <c r="C5553" s="1" t="s">
        <v>3378</v>
      </c>
      <c r="D5553" s="1" t="s">
        <v>746</v>
      </c>
      <c r="E5553" s="1" t="s">
        <v>747</v>
      </c>
      <c r="F5553" s="1" t="s">
        <v>748</v>
      </c>
      <c r="G5553" s="1" t="s">
        <v>3348</v>
      </c>
      <c r="H5553">
        <v>2002</v>
      </c>
      <c r="I5553">
        <v>2002</v>
      </c>
      <c r="J5553">
        <f t="shared" si="172"/>
        <v>1</v>
      </c>
      <c r="K5553" s="1" t="s">
        <v>741</v>
      </c>
      <c r="L5553" s="1" t="s">
        <v>798</v>
      </c>
      <c r="M5553">
        <f t="shared" si="173"/>
        <v>24</v>
      </c>
      <c r="N5553" t="s">
        <v>650</v>
      </c>
    </row>
    <row r="5554" spans="1:14" x14ac:dyDescent="0.3">
      <c r="A5554" s="1" t="s">
        <v>10283</v>
      </c>
      <c r="B5554" s="1" t="s">
        <v>802</v>
      </c>
      <c r="C5554" s="1" t="s">
        <v>10284</v>
      </c>
      <c r="D5554" s="1" t="s">
        <v>746</v>
      </c>
      <c r="E5554" s="1" t="s">
        <v>6076</v>
      </c>
      <c r="F5554" s="1" t="s">
        <v>6076</v>
      </c>
      <c r="G5554" s="1" t="s">
        <v>3348</v>
      </c>
      <c r="H5554">
        <v>1990</v>
      </c>
      <c r="I5554">
        <v>1990</v>
      </c>
      <c r="J5554">
        <f t="shared" si="172"/>
        <v>1</v>
      </c>
      <c r="K5554" s="1" t="s">
        <v>6076</v>
      </c>
      <c r="L5554" s="1" t="s">
        <v>6076</v>
      </c>
      <c r="M5554">
        <f t="shared" si="173"/>
        <v>36</v>
      </c>
      <c r="N5554" t="s">
        <v>640</v>
      </c>
    </row>
    <row r="5555" spans="1:14" hidden="1" x14ac:dyDescent="0.3">
      <c r="A5555" s="1" t="s">
        <v>3379</v>
      </c>
      <c r="B5555" s="1" t="s">
        <v>802</v>
      </c>
      <c r="C5555" s="1" t="s">
        <v>3380</v>
      </c>
      <c r="D5555" s="1" t="s">
        <v>746</v>
      </c>
      <c r="E5555" s="1" t="s">
        <v>747</v>
      </c>
      <c r="F5555" s="1" t="s">
        <v>748</v>
      </c>
      <c r="G5555" s="1" t="s">
        <v>3348</v>
      </c>
      <c r="H5555">
        <v>2009</v>
      </c>
      <c r="I5555">
        <v>2009</v>
      </c>
      <c r="J5555">
        <f t="shared" si="172"/>
        <v>1</v>
      </c>
      <c r="K5555" s="1" t="s">
        <v>741</v>
      </c>
      <c r="L5555" s="1" t="s">
        <v>798</v>
      </c>
      <c r="M5555">
        <f t="shared" si="173"/>
        <v>17</v>
      </c>
      <c r="N5555" t="s">
        <v>650</v>
      </c>
    </row>
    <row r="5556" spans="1:14" hidden="1" x14ac:dyDescent="0.3">
      <c r="A5556" s="1" t="s">
        <v>3381</v>
      </c>
      <c r="B5556" s="1" t="s">
        <v>802</v>
      </c>
      <c r="C5556" s="1" t="s">
        <v>3382</v>
      </c>
      <c r="D5556" s="1" t="s">
        <v>746</v>
      </c>
      <c r="E5556" s="1" t="s">
        <v>747</v>
      </c>
      <c r="F5556" s="1" t="s">
        <v>748</v>
      </c>
      <c r="G5556" s="1" t="s">
        <v>3348</v>
      </c>
      <c r="H5556">
        <v>2009</v>
      </c>
      <c r="I5556">
        <v>2009</v>
      </c>
      <c r="J5556">
        <f t="shared" si="172"/>
        <v>1</v>
      </c>
      <c r="K5556" s="1" t="s">
        <v>741</v>
      </c>
      <c r="L5556" s="1" t="s">
        <v>798</v>
      </c>
      <c r="M5556">
        <f t="shared" si="173"/>
        <v>17</v>
      </c>
      <c r="N5556" t="s">
        <v>650</v>
      </c>
    </row>
    <row r="5557" spans="1:14" hidden="1" x14ac:dyDescent="0.3">
      <c r="A5557" s="1" t="s">
        <v>3383</v>
      </c>
      <c r="B5557" s="1" t="s">
        <v>802</v>
      </c>
      <c r="C5557" s="1" t="s">
        <v>3384</v>
      </c>
      <c r="D5557" s="1" t="s">
        <v>746</v>
      </c>
      <c r="E5557" s="1" t="s">
        <v>747</v>
      </c>
      <c r="F5557" s="1" t="s">
        <v>748</v>
      </c>
      <c r="G5557" s="1" t="s">
        <v>3348</v>
      </c>
      <c r="H5557">
        <v>2008</v>
      </c>
      <c r="I5557">
        <v>2008</v>
      </c>
      <c r="J5557">
        <f t="shared" si="172"/>
        <v>1</v>
      </c>
      <c r="K5557" s="1" t="s">
        <v>741</v>
      </c>
      <c r="L5557" s="1" t="s">
        <v>798</v>
      </c>
      <c r="M5557">
        <f t="shared" si="173"/>
        <v>18</v>
      </c>
      <c r="N5557" t="s">
        <v>650</v>
      </c>
    </row>
    <row r="5558" spans="1:14" hidden="1" x14ac:dyDescent="0.3">
      <c r="A5558" s="1" t="s">
        <v>3385</v>
      </c>
      <c r="B5558" s="1" t="s">
        <v>802</v>
      </c>
      <c r="C5558" s="1" t="s">
        <v>3386</v>
      </c>
      <c r="D5558" s="1" t="s">
        <v>746</v>
      </c>
      <c r="E5558" s="1" t="s">
        <v>747</v>
      </c>
      <c r="F5558" s="1" t="s">
        <v>748</v>
      </c>
      <c r="G5558" s="1" t="s">
        <v>3348</v>
      </c>
      <c r="H5558">
        <v>2008</v>
      </c>
      <c r="I5558">
        <v>2008</v>
      </c>
      <c r="J5558">
        <f t="shared" si="172"/>
        <v>1</v>
      </c>
      <c r="K5558" s="1" t="s">
        <v>741</v>
      </c>
      <c r="L5558" s="1" t="s">
        <v>798</v>
      </c>
      <c r="M5558">
        <f t="shared" si="173"/>
        <v>18</v>
      </c>
      <c r="N5558" t="s">
        <v>650</v>
      </c>
    </row>
    <row r="5559" spans="1:14" x14ac:dyDescent="0.3">
      <c r="A5559" s="1" t="s">
        <v>10285</v>
      </c>
      <c r="B5559" s="1" t="s">
        <v>802</v>
      </c>
      <c r="C5559" s="1" t="s">
        <v>10286</v>
      </c>
      <c r="D5559" s="1" t="s">
        <v>746</v>
      </c>
      <c r="E5559" s="1" t="s">
        <v>6076</v>
      </c>
      <c r="F5559" s="1" t="s">
        <v>6076</v>
      </c>
      <c r="G5559" s="1" t="s">
        <v>3348</v>
      </c>
      <c r="H5559">
        <v>1994</v>
      </c>
      <c r="I5559">
        <v>1994</v>
      </c>
      <c r="J5559">
        <f t="shared" si="172"/>
        <v>1</v>
      </c>
      <c r="K5559" s="1" t="s">
        <v>6076</v>
      </c>
      <c r="L5559" s="1" t="s">
        <v>6076</v>
      </c>
      <c r="M5559">
        <f t="shared" si="173"/>
        <v>32</v>
      </c>
      <c r="N5559" t="s">
        <v>640</v>
      </c>
    </row>
    <row r="5560" spans="1:14" hidden="1" x14ac:dyDescent="0.3">
      <c r="A5560" s="1" t="s">
        <v>3387</v>
      </c>
      <c r="B5560" s="1" t="s">
        <v>802</v>
      </c>
      <c r="C5560" s="1" t="s">
        <v>3388</v>
      </c>
      <c r="D5560" s="1" t="s">
        <v>746</v>
      </c>
      <c r="E5560" s="1" t="s">
        <v>747</v>
      </c>
      <c r="F5560" s="1" t="s">
        <v>748</v>
      </c>
      <c r="G5560" s="1" t="s">
        <v>3348</v>
      </c>
      <c r="H5560">
        <v>1996</v>
      </c>
      <c r="I5560">
        <v>1996</v>
      </c>
      <c r="J5560">
        <f t="shared" si="172"/>
        <v>1</v>
      </c>
      <c r="K5560" s="1" t="s">
        <v>741</v>
      </c>
      <c r="L5560" s="1" t="s">
        <v>798</v>
      </c>
      <c r="M5560">
        <f t="shared" si="173"/>
        <v>30</v>
      </c>
      <c r="N5560" t="s">
        <v>640</v>
      </c>
    </row>
    <row r="5561" spans="1:14" hidden="1" x14ac:dyDescent="0.3">
      <c r="A5561" s="1" t="s">
        <v>3389</v>
      </c>
      <c r="B5561" s="1" t="s">
        <v>802</v>
      </c>
      <c r="C5561" s="1" t="s">
        <v>3390</v>
      </c>
      <c r="D5561" s="1" t="s">
        <v>746</v>
      </c>
      <c r="E5561" s="1" t="s">
        <v>747</v>
      </c>
      <c r="F5561" s="1" t="s">
        <v>748</v>
      </c>
      <c r="G5561" s="1" t="s">
        <v>3348</v>
      </c>
      <c r="H5561">
        <v>2013</v>
      </c>
      <c r="I5561">
        <v>2013</v>
      </c>
      <c r="J5561">
        <f t="shared" si="172"/>
        <v>1</v>
      </c>
      <c r="K5561" s="1" t="s">
        <v>741</v>
      </c>
      <c r="L5561" s="1" t="s">
        <v>798</v>
      </c>
      <c r="M5561">
        <f t="shared" si="173"/>
        <v>13</v>
      </c>
      <c r="N5561" t="s">
        <v>650</v>
      </c>
    </row>
    <row r="5562" spans="1:14" x14ac:dyDescent="0.3">
      <c r="A5562" s="1" t="s">
        <v>10287</v>
      </c>
      <c r="B5562" s="1" t="s">
        <v>802</v>
      </c>
      <c r="C5562" s="1" t="s">
        <v>10288</v>
      </c>
      <c r="D5562" s="1" t="s">
        <v>746</v>
      </c>
      <c r="E5562" s="1" t="s">
        <v>6076</v>
      </c>
      <c r="F5562" s="1" t="s">
        <v>6076</v>
      </c>
      <c r="G5562" s="1" t="s">
        <v>3348</v>
      </c>
      <c r="H5562">
        <v>1996</v>
      </c>
      <c r="I5562">
        <v>1996</v>
      </c>
      <c r="J5562">
        <f t="shared" si="172"/>
        <v>1</v>
      </c>
      <c r="K5562" s="1" t="s">
        <v>6076</v>
      </c>
      <c r="L5562" s="1" t="s">
        <v>6076</v>
      </c>
      <c r="M5562">
        <f t="shared" si="173"/>
        <v>30</v>
      </c>
      <c r="N5562" t="s">
        <v>640</v>
      </c>
    </row>
    <row r="5563" spans="1:14" x14ac:dyDescent="0.3">
      <c r="A5563" s="1" t="s">
        <v>10289</v>
      </c>
      <c r="B5563" s="1" t="s">
        <v>802</v>
      </c>
      <c r="C5563" s="1" t="s">
        <v>10290</v>
      </c>
      <c r="D5563" s="1" t="s">
        <v>746</v>
      </c>
      <c r="E5563" s="1" t="s">
        <v>6076</v>
      </c>
      <c r="F5563" s="1" t="s">
        <v>6076</v>
      </c>
      <c r="G5563" s="1" t="s">
        <v>3348</v>
      </c>
      <c r="H5563">
        <v>1998</v>
      </c>
      <c r="I5563">
        <v>1998</v>
      </c>
      <c r="J5563">
        <f t="shared" si="172"/>
        <v>1</v>
      </c>
      <c r="K5563" s="1" t="s">
        <v>6076</v>
      </c>
      <c r="L5563" s="1" t="s">
        <v>6076</v>
      </c>
      <c r="M5563">
        <f t="shared" si="173"/>
        <v>28</v>
      </c>
      <c r="N5563" t="s">
        <v>640</v>
      </c>
    </row>
    <row r="5564" spans="1:14" hidden="1" x14ac:dyDescent="0.3">
      <c r="A5564" s="1" t="s">
        <v>3391</v>
      </c>
      <c r="B5564" s="1" t="s">
        <v>802</v>
      </c>
      <c r="C5564" s="1" t="s">
        <v>3392</v>
      </c>
      <c r="D5564" s="1" t="s">
        <v>746</v>
      </c>
      <c r="E5564" s="1" t="s">
        <v>747</v>
      </c>
      <c r="F5564" s="1" t="s">
        <v>748</v>
      </c>
      <c r="G5564" s="1" t="s">
        <v>3348</v>
      </c>
      <c r="H5564">
        <v>2009</v>
      </c>
      <c r="I5564">
        <v>2009</v>
      </c>
      <c r="J5564">
        <f t="shared" si="172"/>
        <v>1</v>
      </c>
      <c r="K5564" s="1" t="s">
        <v>741</v>
      </c>
      <c r="L5564" s="1" t="s">
        <v>798</v>
      </c>
      <c r="M5564">
        <f t="shared" si="173"/>
        <v>17</v>
      </c>
      <c r="N5564" t="s">
        <v>650</v>
      </c>
    </row>
    <row r="5565" spans="1:14" hidden="1" x14ac:dyDescent="0.3">
      <c r="A5565" s="1" t="s">
        <v>3393</v>
      </c>
      <c r="B5565" s="1" t="s">
        <v>802</v>
      </c>
      <c r="C5565" s="1" t="s">
        <v>3394</v>
      </c>
      <c r="D5565" s="1" t="s">
        <v>746</v>
      </c>
      <c r="E5565" s="1" t="s">
        <v>747</v>
      </c>
      <c r="F5565" s="1" t="s">
        <v>748</v>
      </c>
      <c r="G5565" s="1" t="s">
        <v>3348</v>
      </c>
      <c r="H5565">
        <v>2012</v>
      </c>
      <c r="I5565">
        <v>2012</v>
      </c>
      <c r="J5565">
        <f t="shared" si="172"/>
        <v>1</v>
      </c>
      <c r="K5565" s="1" t="s">
        <v>741</v>
      </c>
      <c r="L5565" s="1" t="s">
        <v>798</v>
      </c>
      <c r="M5565">
        <f t="shared" si="173"/>
        <v>14</v>
      </c>
      <c r="N5565" t="s">
        <v>650</v>
      </c>
    </row>
    <row r="5566" spans="1:14" hidden="1" x14ac:dyDescent="0.3">
      <c r="A5566" s="1" t="s">
        <v>3395</v>
      </c>
      <c r="B5566" s="1" t="s">
        <v>802</v>
      </c>
      <c r="C5566" s="1" t="s">
        <v>3396</v>
      </c>
      <c r="D5566" s="1" t="s">
        <v>746</v>
      </c>
      <c r="E5566" s="1" t="s">
        <v>747</v>
      </c>
      <c r="F5566" s="1" t="s">
        <v>748</v>
      </c>
      <c r="G5566" s="1" t="s">
        <v>3348</v>
      </c>
      <c r="H5566">
        <v>2009</v>
      </c>
      <c r="I5566">
        <v>2009</v>
      </c>
      <c r="J5566">
        <f t="shared" si="172"/>
        <v>1</v>
      </c>
      <c r="K5566" s="1" t="s">
        <v>741</v>
      </c>
      <c r="L5566" s="1" t="s">
        <v>798</v>
      </c>
      <c r="M5566">
        <f t="shared" si="173"/>
        <v>17</v>
      </c>
      <c r="N5566" t="s">
        <v>650</v>
      </c>
    </row>
    <row r="5567" spans="1:14" hidden="1" x14ac:dyDescent="0.3">
      <c r="A5567" s="1" t="s">
        <v>3397</v>
      </c>
      <c r="B5567" s="1" t="s">
        <v>802</v>
      </c>
      <c r="C5567" s="1" t="s">
        <v>3398</v>
      </c>
      <c r="D5567" s="1" t="s">
        <v>746</v>
      </c>
      <c r="E5567" s="1" t="s">
        <v>747</v>
      </c>
      <c r="F5567" s="1" t="s">
        <v>748</v>
      </c>
      <c r="G5567" s="1" t="s">
        <v>3348</v>
      </c>
      <c r="H5567">
        <v>1997</v>
      </c>
      <c r="I5567">
        <v>1997</v>
      </c>
      <c r="J5567">
        <f t="shared" si="172"/>
        <v>1</v>
      </c>
      <c r="K5567" s="1" t="s">
        <v>741</v>
      </c>
      <c r="L5567" s="1" t="s">
        <v>798</v>
      </c>
      <c r="M5567">
        <f t="shared" si="173"/>
        <v>29</v>
      </c>
      <c r="N5567" t="s">
        <v>640</v>
      </c>
    </row>
    <row r="5568" spans="1:14" hidden="1" x14ac:dyDescent="0.3">
      <c r="A5568" s="1" t="s">
        <v>3399</v>
      </c>
      <c r="B5568" s="1" t="s">
        <v>802</v>
      </c>
      <c r="C5568" s="1" t="s">
        <v>3400</v>
      </c>
      <c r="D5568" s="1" t="s">
        <v>746</v>
      </c>
      <c r="E5568" s="1" t="s">
        <v>747</v>
      </c>
      <c r="F5568" s="1" t="s">
        <v>748</v>
      </c>
      <c r="G5568" s="1" t="s">
        <v>3348</v>
      </c>
      <c r="H5568">
        <v>1997</v>
      </c>
      <c r="I5568">
        <v>1997</v>
      </c>
      <c r="J5568">
        <f t="shared" si="172"/>
        <v>1</v>
      </c>
      <c r="K5568" s="1" t="s">
        <v>741</v>
      </c>
      <c r="L5568" s="1" t="s">
        <v>798</v>
      </c>
      <c r="M5568">
        <f t="shared" si="173"/>
        <v>29</v>
      </c>
      <c r="N5568" t="s">
        <v>640</v>
      </c>
    </row>
    <row r="5569" spans="1:14" x14ac:dyDescent="0.3">
      <c r="A5569" s="1" t="s">
        <v>10291</v>
      </c>
      <c r="B5569" s="1" t="s">
        <v>802</v>
      </c>
      <c r="C5569" s="1" t="s">
        <v>10292</v>
      </c>
      <c r="D5569" s="1" t="s">
        <v>746</v>
      </c>
      <c r="E5569" s="1" t="s">
        <v>6076</v>
      </c>
      <c r="F5569" s="1" t="s">
        <v>6076</v>
      </c>
      <c r="G5569" s="1" t="s">
        <v>3348</v>
      </c>
      <c r="H5569">
        <v>1985</v>
      </c>
      <c r="I5569">
        <v>1985</v>
      </c>
      <c r="J5569">
        <f t="shared" si="172"/>
        <v>1</v>
      </c>
      <c r="K5569" s="1" t="s">
        <v>6076</v>
      </c>
      <c r="L5569" s="1" t="s">
        <v>6076</v>
      </c>
      <c r="M5569">
        <f t="shared" si="173"/>
        <v>41</v>
      </c>
      <c r="N5569" t="s">
        <v>640</v>
      </c>
    </row>
    <row r="5570" spans="1:14" hidden="1" x14ac:dyDescent="0.3">
      <c r="A5570" s="1" t="s">
        <v>3401</v>
      </c>
      <c r="B5570" s="1" t="s">
        <v>802</v>
      </c>
      <c r="C5570" s="1" t="s">
        <v>3402</v>
      </c>
      <c r="D5570" s="1" t="s">
        <v>746</v>
      </c>
      <c r="E5570" s="1" t="s">
        <v>747</v>
      </c>
      <c r="F5570" s="1" t="s">
        <v>748</v>
      </c>
      <c r="G5570" s="1" t="s">
        <v>3348</v>
      </c>
      <c r="H5570">
        <v>2016</v>
      </c>
      <c r="I5570">
        <v>2016</v>
      </c>
      <c r="J5570">
        <f t="shared" si="172"/>
        <v>1</v>
      </c>
      <c r="K5570" s="1" t="s">
        <v>741</v>
      </c>
      <c r="L5570" s="1" t="s">
        <v>798</v>
      </c>
      <c r="M5570">
        <f t="shared" si="173"/>
        <v>10</v>
      </c>
      <c r="N5570" t="s">
        <v>650</v>
      </c>
    </row>
    <row r="5571" spans="1:14" hidden="1" x14ac:dyDescent="0.3">
      <c r="A5571" s="1" t="s">
        <v>3403</v>
      </c>
      <c r="B5571" s="1" t="s">
        <v>802</v>
      </c>
      <c r="C5571" s="1" t="s">
        <v>3404</v>
      </c>
      <c r="D5571" s="1" t="s">
        <v>746</v>
      </c>
      <c r="E5571" s="1" t="s">
        <v>747</v>
      </c>
      <c r="F5571" s="1" t="s">
        <v>748</v>
      </c>
      <c r="G5571" s="1" t="s">
        <v>3348</v>
      </c>
      <c r="H5571">
        <v>2013</v>
      </c>
      <c r="I5571">
        <v>2013</v>
      </c>
      <c r="J5571">
        <f t="shared" si="172"/>
        <v>1</v>
      </c>
      <c r="K5571" s="1" t="s">
        <v>741</v>
      </c>
      <c r="L5571" s="1" t="s">
        <v>798</v>
      </c>
      <c r="M5571">
        <f t="shared" si="173"/>
        <v>13</v>
      </c>
      <c r="N5571" t="s">
        <v>650</v>
      </c>
    </row>
    <row r="5572" spans="1:14" hidden="1" x14ac:dyDescent="0.3">
      <c r="A5572" s="1" t="s">
        <v>3405</v>
      </c>
      <c r="B5572" s="1" t="s">
        <v>802</v>
      </c>
      <c r="C5572" s="1" t="s">
        <v>3406</v>
      </c>
      <c r="D5572" s="1" t="s">
        <v>746</v>
      </c>
      <c r="E5572" s="1" t="s">
        <v>747</v>
      </c>
      <c r="F5572" s="1" t="s">
        <v>748</v>
      </c>
      <c r="G5572" s="1" t="s">
        <v>3348</v>
      </c>
      <c r="H5572">
        <v>2017</v>
      </c>
      <c r="I5572">
        <v>2017</v>
      </c>
      <c r="J5572">
        <f t="shared" si="172"/>
        <v>1</v>
      </c>
      <c r="K5572" s="1" t="s">
        <v>741</v>
      </c>
      <c r="L5572" s="1" t="s">
        <v>798</v>
      </c>
      <c r="M5572">
        <f t="shared" si="173"/>
        <v>9</v>
      </c>
      <c r="N5572" t="s">
        <v>650</v>
      </c>
    </row>
    <row r="5573" spans="1:14" hidden="1" x14ac:dyDescent="0.3">
      <c r="A5573" s="1" t="s">
        <v>3407</v>
      </c>
      <c r="B5573" s="1" t="s">
        <v>802</v>
      </c>
      <c r="C5573" s="1" t="s">
        <v>3408</v>
      </c>
      <c r="D5573" s="1" t="s">
        <v>746</v>
      </c>
      <c r="E5573" s="1" t="s">
        <v>747</v>
      </c>
      <c r="F5573" s="1" t="s">
        <v>748</v>
      </c>
      <c r="G5573" s="1" t="s">
        <v>3348</v>
      </c>
      <c r="H5573">
        <v>2016</v>
      </c>
      <c r="I5573">
        <v>2016</v>
      </c>
      <c r="J5573">
        <f t="shared" si="172"/>
        <v>1</v>
      </c>
      <c r="K5573" s="1" t="s">
        <v>741</v>
      </c>
      <c r="L5573" s="1" t="s">
        <v>798</v>
      </c>
      <c r="M5573">
        <f t="shared" si="173"/>
        <v>10</v>
      </c>
      <c r="N5573" t="s">
        <v>650</v>
      </c>
    </row>
    <row r="5574" spans="1:14" hidden="1" x14ac:dyDescent="0.3">
      <c r="A5574" s="1" t="s">
        <v>3409</v>
      </c>
      <c r="B5574" s="1" t="s">
        <v>802</v>
      </c>
      <c r="C5574" s="1" t="s">
        <v>3410</v>
      </c>
      <c r="D5574" s="1" t="s">
        <v>746</v>
      </c>
      <c r="E5574" s="1" t="s">
        <v>747</v>
      </c>
      <c r="F5574" s="1" t="s">
        <v>748</v>
      </c>
      <c r="G5574" s="1" t="s">
        <v>3348</v>
      </c>
      <c r="H5574">
        <v>2012</v>
      </c>
      <c r="I5574">
        <v>2012</v>
      </c>
      <c r="J5574">
        <f t="shared" ref="J5574:J5637" si="174">1+(I5574-H5574)</f>
        <v>1</v>
      </c>
      <c r="K5574" s="1" t="s">
        <v>741</v>
      </c>
      <c r="L5574" s="1" t="s">
        <v>798</v>
      </c>
      <c r="M5574">
        <f t="shared" ref="M5574:M5637" si="175">IF(I5574=0,0,$B$2-I5574)</f>
        <v>14</v>
      </c>
      <c r="N5574" t="s">
        <v>650</v>
      </c>
    </row>
    <row r="5575" spans="1:14" hidden="1" x14ac:dyDescent="0.3">
      <c r="A5575" s="1" t="s">
        <v>3411</v>
      </c>
      <c r="B5575" s="1" t="s">
        <v>802</v>
      </c>
      <c r="C5575" s="1" t="s">
        <v>3412</v>
      </c>
      <c r="D5575" s="1" t="s">
        <v>746</v>
      </c>
      <c r="E5575" s="1" t="s">
        <v>747</v>
      </c>
      <c r="F5575" s="1" t="s">
        <v>748</v>
      </c>
      <c r="G5575" s="1" t="s">
        <v>3348</v>
      </c>
      <c r="H5575">
        <v>2011</v>
      </c>
      <c r="I5575">
        <v>2011</v>
      </c>
      <c r="J5575">
        <f t="shared" si="174"/>
        <v>1</v>
      </c>
      <c r="K5575" s="1" t="s">
        <v>741</v>
      </c>
      <c r="L5575" s="1" t="s">
        <v>798</v>
      </c>
      <c r="M5575">
        <f t="shared" si="175"/>
        <v>15</v>
      </c>
      <c r="N5575" t="s">
        <v>650</v>
      </c>
    </row>
    <row r="5576" spans="1:14" hidden="1" x14ac:dyDescent="0.3">
      <c r="A5576" s="1" t="s">
        <v>3413</v>
      </c>
      <c r="B5576" s="1" t="s">
        <v>802</v>
      </c>
      <c r="C5576" s="1" t="s">
        <v>3414</v>
      </c>
      <c r="D5576" s="1" t="s">
        <v>746</v>
      </c>
      <c r="E5576" s="1" t="s">
        <v>747</v>
      </c>
      <c r="F5576" s="1" t="s">
        <v>748</v>
      </c>
      <c r="G5576" s="1" t="s">
        <v>3348</v>
      </c>
      <c r="H5576">
        <v>2017</v>
      </c>
      <c r="I5576">
        <v>2017</v>
      </c>
      <c r="J5576">
        <f t="shared" si="174"/>
        <v>1</v>
      </c>
      <c r="K5576" s="1" t="s">
        <v>741</v>
      </c>
      <c r="L5576" s="1" t="s">
        <v>798</v>
      </c>
      <c r="M5576">
        <f t="shared" si="175"/>
        <v>9</v>
      </c>
      <c r="N5576" t="s">
        <v>650</v>
      </c>
    </row>
    <row r="5577" spans="1:14" hidden="1" x14ac:dyDescent="0.3">
      <c r="A5577" s="1" t="s">
        <v>3415</v>
      </c>
      <c r="B5577" s="1" t="s">
        <v>802</v>
      </c>
      <c r="C5577" s="1" t="s">
        <v>3416</v>
      </c>
      <c r="D5577" s="1" t="s">
        <v>746</v>
      </c>
      <c r="E5577" s="1" t="s">
        <v>747</v>
      </c>
      <c r="F5577" s="1" t="s">
        <v>748</v>
      </c>
      <c r="G5577" s="1" t="s">
        <v>3348</v>
      </c>
      <c r="H5577">
        <v>2015</v>
      </c>
      <c r="I5577">
        <v>2015</v>
      </c>
      <c r="J5577">
        <f t="shared" si="174"/>
        <v>1</v>
      </c>
      <c r="K5577" s="1" t="s">
        <v>741</v>
      </c>
      <c r="L5577" s="1" t="s">
        <v>798</v>
      </c>
      <c r="M5577">
        <f t="shared" si="175"/>
        <v>11</v>
      </c>
      <c r="N5577" t="s">
        <v>650</v>
      </c>
    </row>
    <row r="5578" spans="1:14" x14ac:dyDescent="0.3">
      <c r="A5578" s="1" t="s">
        <v>10293</v>
      </c>
      <c r="B5578" s="1" t="s">
        <v>802</v>
      </c>
      <c r="C5578" s="1" t="s">
        <v>10294</v>
      </c>
      <c r="D5578" s="1" t="s">
        <v>746</v>
      </c>
      <c r="E5578" s="1" t="s">
        <v>6076</v>
      </c>
      <c r="F5578" s="1" t="s">
        <v>6076</v>
      </c>
      <c r="G5578" s="1" t="s">
        <v>3348</v>
      </c>
      <c r="H5578">
        <v>1994</v>
      </c>
      <c r="I5578">
        <v>1994</v>
      </c>
      <c r="J5578">
        <f t="shared" si="174"/>
        <v>1</v>
      </c>
      <c r="K5578" s="1" t="s">
        <v>6076</v>
      </c>
      <c r="L5578" s="1" t="s">
        <v>6076</v>
      </c>
      <c r="M5578">
        <f t="shared" si="175"/>
        <v>32</v>
      </c>
      <c r="N5578" t="s">
        <v>640</v>
      </c>
    </row>
    <row r="5579" spans="1:14" hidden="1" x14ac:dyDescent="0.3">
      <c r="A5579" s="1" t="s">
        <v>3417</v>
      </c>
      <c r="B5579" s="1" t="s">
        <v>802</v>
      </c>
      <c r="C5579" s="1" t="s">
        <v>3418</v>
      </c>
      <c r="D5579" s="1" t="s">
        <v>746</v>
      </c>
      <c r="E5579" s="1" t="s">
        <v>747</v>
      </c>
      <c r="F5579" s="1" t="s">
        <v>748</v>
      </c>
      <c r="G5579" s="1" t="s">
        <v>3348</v>
      </c>
      <c r="H5579">
        <v>2012</v>
      </c>
      <c r="I5579">
        <v>2016</v>
      </c>
      <c r="J5579">
        <f t="shared" si="174"/>
        <v>5</v>
      </c>
      <c r="K5579" s="1" t="s">
        <v>741</v>
      </c>
      <c r="L5579" s="1" t="s">
        <v>798</v>
      </c>
      <c r="M5579">
        <f t="shared" si="175"/>
        <v>10</v>
      </c>
      <c r="N5579" t="s">
        <v>650</v>
      </c>
    </row>
    <row r="5580" spans="1:14" hidden="1" x14ac:dyDescent="0.3">
      <c r="A5580" s="1" t="s">
        <v>3419</v>
      </c>
      <c r="B5580" s="1" t="s">
        <v>802</v>
      </c>
      <c r="C5580" s="1" t="s">
        <v>3420</v>
      </c>
      <c r="D5580" s="1" t="s">
        <v>746</v>
      </c>
      <c r="E5580" s="1" t="s">
        <v>747</v>
      </c>
      <c r="F5580" s="1" t="s">
        <v>748</v>
      </c>
      <c r="G5580" s="1" t="s">
        <v>3348</v>
      </c>
      <c r="H5580">
        <v>2012</v>
      </c>
      <c r="I5580">
        <v>2016</v>
      </c>
      <c r="J5580">
        <f t="shared" si="174"/>
        <v>5</v>
      </c>
      <c r="K5580" s="1" t="s">
        <v>741</v>
      </c>
      <c r="L5580" s="1" t="s">
        <v>798</v>
      </c>
      <c r="M5580">
        <f t="shared" si="175"/>
        <v>10</v>
      </c>
      <c r="N5580" t="s">
        <v>650</v>
      </c>
    </row>
    <row r="5581" spans="1:14" hidden="1" x14ac:dyDescent="0.3">
      <c r="A5581" s="1" t="s">
        <v>3421</v>
      </c>
      <c r="B5581" s="1" t="s">
        <v>802</v>
      </c>
      <c r="C5581" s="1" t="s">
        <v>3422</v>
      </c>
      <c r="D5581" s="1" t="s">
        <v>746</v>
      </c>
      <c r="E5581" s="1" t="s">
        <v>747</v>
      </c>
      <c r="F5581" s="1" t="s">
        <v>748</v>
      </c>
      <c r="G5581" s="1" t="s">
        <v>3348</v>
      </c>
      <c r="H5581">
        <v>2011</v>
      </c>
      <c r="I5581">
        <v>2011</v>
      </c>
      <c r="J5581">
        <f t="shared" si="174"/>
        <v>1</v>
      </c>
      <c r="K5581" s="1" t="s">
        <v>741</v>
      </c>
      <c r="L5581" s="1" t="s">
        <v>798</v>
      </c>
      <c r="M5581">
        <f t="shared" si="175"/>
        <v>15</v>
      </c>
      <c r="N5581" t="s">
        <v>650</v>
      </c>
    </row>
    <row r="5582" spans="1:14" hidden="1" x14ac:dyDescent="0.3">
      <c r="A5582" s="1" t="s">
        <v>3423</v>
      </c>
      <c r="B5582" s="1" t="s">
        <v>802</v>
      </c>
      <c r="C5582" s="1" t="s">
        <v>3424</v>
      </c>
      <c r="D5582" s="1" t="s">
        <v>746</v>
      </c>
      <c r="E5582" s="1" t="s">
        <v>747</v>
      </c>
      <c r="F5582" s="1" t="s">
        <v>748</v>
      </c>
      <c r="G5582" s="1" t="s">
        <v>3348</v>
      </c>
      <c r="H5582">
        <v>2014</v>
      </c>
      <c r="I5582">
        <v>2014</v>
      </c>
      <c r="J5582">
        <f t="shared" si="174"/>
        <v>1</v>
      </c>
      <c r="K5582" s="1" t="s">
        <v>741</v>
      </c>
      <c r="L5582" s="1" t="s">
        <v>798</v>
      </c>
      <c r="M5582">
        <f t="shared" si="175"/>
        <v>12</v>
      </c>
      <c r="N5582" t="s">
        <v>650</v>
      </c>
    </row>
    <row r="5583" spans="1:14" hidden="1" x14ac:dyDescent="0.3">
      <c r="A5583" s="1" t="s">
        <v>3425</v>
      </c>
      <c r="B5583" s="1" t="s">
        <v>802</v>
      </c>
      <c r="C5583" s="1" t="s">
        <v>3426</v>
      </c>
      <c r="D5583" s="1" t="s">
        <v>746</v>
      </c>
      <c r="E5583" s="1" t="s">
        <v>747</v>
      </c>
      <c r="F5583" s="1" t="s">
        <v>748</v>
      </c>
      <c r="G5583" s="1" t="s">
        <v>3348</v>
      </c>
      <c r="H5583">
        <v>2013</v>
      </c>
      <c r="I5583">
        <v>2013</v>
      </c>
      <c r="J5583">
        <f t="shared" si="174"/>
        <v>1</v>
      </c>
      <c r="K5583" s="1" t="s">
        <v>741</v>
      </c>
      <c r="L5583" s="1" t="s">
        <v>798</v>
      </c>
      <c r="M5583">
        <f t="shared" si="175"/>
        <v>13</v>
      </c>
      <c r="N5583" t="s">
        <v>650</v>
      </c>
    </row>
    <row r="5584" spans="1:14" hidden="1" x14ac:dyDescent="0.3">
      <c r="A5584" s="1" t="s">
        <v>3427</v>
      </c>
      <c r="B5584" s="1" t="s">
        <v>802</v>
      </c>
      <c r="C5584" s="1" t="s">
        <v>3428</v>
      </c>
      <c r="D5584" s="1" t="s">
        <v>746</v>
      </c>
      <c r="E5584" s="1" t="s">
        <v>747</v>
      </c>
      <c r="F5584" s="1" t="s">
        <v>748</v>
      </c>
      <c r="G5584" s="1" t="s">
        <v>3348</v>
      </c>
      <c r="H5584">
        <v>2011</v>
      </c>
      <c r="I5584">
        <v>2011</v>
      </c>
      <c r="J5584">
        <f t="shared" si="174"/>
        <v>1</v>
      </c>
      <c r="K5584" s="1" t="s">
        <v>741</v>
      </c>
      <c r="L5584" s="1" t="s">
        <v>798</v>
      </c>
      <c r="M5584">
        <f t="shared" si="175"/>
        <v>15</v>
      </c>
      <c r="N5584" t="s">
        <v>650</v>
      </c>
    </row>
    <row r="5585" spans="1:14" hidden="1" x14ac:dyDescent="0.3">
      <c r="A5585" s="1" t="s">
        <v>3429</v>
      </c>
      <c r="B5585" s="1" t="s">
        <v>802</v>
      </c>
      <c r="C5585" s="1" t="s">
        <v>3430</v>
      </c>
      <c r="D5585" s="1" t="s">
        <v>746</v>
      </c>
      <c r="E5585" s="1" t="s">
        <v>747</v>
      </c>
      <c r="F5585" s="1" t="s">
        <v>748</v>
      </c>
      <c r="G5585" s="1" t="s">
        <v>3348</v>
      </c>
      <c r="H5585">
        <v>2012</v>
      </c>
      <c r="I5585">
        <v>2012</v>
      </c>
      <c r="J5585">
        <f t="shared" si="174"/>
        <v>1</v>
      </c>
      <c r="K5585" s="1" t="s">
        <v>741</v>
      </c>
      <c r="L5585" s="1" t="s">
        <v>798</v>
      </c>
      <c r="M5585">
        <f t="shared" si="175"/>
        <v>14</v>
      </c>
      <c r="N5585" t="s">
        <v>650</v>
      </c>
    </row>
    <row r="5586" spans="1:14" hidden="1" x14ac:dyDescent="0.3">
      <c r="A5586" s="1" t="s">
        <v>3431</v>
      </c>
      <c r="B5586" s="1" t="s">
        <v>802</v>
      </c>
      <c r="C5586" s="1" t="s">
        <v>3432</v>
      </c>
      <c r="D5586" s="1" t="s">
        <v>746</v>
      </c>
      <c r="E5586" s="1" t="s">
        <v>747</v>
      </c>
      <c r="F5586" s="1" t="s">
        <v>748</v>
      </c>
      <c r="G5586" s="1" t="s">
        <v>3348</v>
      </c>
      <c r="H5586">
        <v>2011</v>
      </c>
      <c r="I5586">
        <v>2011</v>
      </c>
      <c r="J5586">
        <f t="shared" si="174"/>
        <v>1</v>
      </c>
      <c r="K5586" s="1" t="s">
        <v>741</v>
      </c>
      <c r="L5586" s="1" t="s">
        <v>798</v>
      </c>
      <c r="M5586">
        <f t="shared" si="175"/>
        <v>15</v>
      </c>
      <c r="N5586" t="s">
        <v>650</v>
      </c>
    </row>
    <row r="5587" spans="1:14" hidden="1" x14ac:dyDescent="0.3">
      <c r="A5587" s="1" t="s">
        <v>3433</v>
      </c>
      <c r="B5587" s="1" t="s">
        <v>802</v>
      </c>
      <c r="C5587" s="1" t="s">
        <v>3434</v>
      </c>
      <c r="D5587" s="1" t="s">
        <v>746</v>
      </c>
      <c r="E5587" s="1" t="s">
        <v>747</v>
      </c>
      <c r="F5587" s="1" t="s">
        <v>748</v>
      </c>
      <c r="G5587" s="1" t="s">
        <v>3348</v>
      </c>
      <c r="H5587">
        <v>2017</v>
      </c>
      <c r="I5587">
        <v>2017</v>
      </c>
      <c r="J5587">
        <f t="shared" si="174"/>
        <v>1</v>
      </c>
      <c r="K5587" s="1" t="s">
        <v>741</v>
      </c>
      <c r="L5587" s="1" t="s">
        <v>798</v>
      </c>
      <c r="M5587">
        <f t="shared" si="175"/>
        <v>9</v>
      </c>
      <c r="N5587" t="s">
        <v>650</v>
      </c>
    </row>
    <row r="5588" spans="1:14" hidden="1" x14ac:dyDescent="0.3">
      <c r="A5588" s="1" t="s">
        <v>3435</v>
      </c>
      <c r="B5588" s="1" t="s">
        <v>802</v>
      </c>
      <c r="C5588" s="1" t="s">
        <v>3436</v>
      </c>
      <c r="D5588" s="1" t="s">
        <v>746</v>
      </c>
      <c r="E5588" s="1" t="s">
        <v>747</v>
      </c>
      <c r="F5588" s="1" t="s">
        <v>748</v>
      </c>
      <c r="G5588" s="1" t="s">
        <v>3348</v>
      </c>
      <c r="H5588">
        <v>2017</v>
      </c>
      <c r="I5588">
        <v>2017</v>
      </c>
      <c r="J5588">
        <f t="shared" si="174"/>
        <v>1</v>
      </c>
      <c r="K5588" s="1" t="s">
        <v>741</v>
      </c>
      <c r="L5588" s="1" t="s">
        <v>798</v>
      </c>
      <c r="M5588">
        <f t="shared" si="175"/>
        <v>9</v>
      </c>
      <c r="N5588" t="s">
        <v>650</v>
      </c>
    </row>
    <row r="5589" spans="1:14" hidden="1" x14ac:dyDescent="0.3">
      <c r="A5589" s="1" t="s">
        <v>3437</v>
      </c>
      <c r="B5589" s="1" t="s">
        <v>802</v>
      </c>
      <c r="C5589" s="1" t="s">
        <v>3438</v>
      </c>
      <c r="D5589" s="1" t="s">
        <v>746</v>
      </c>
      <c r="E5589" s="1" t="s">
        <v>747</v>
      </c>
      <c r="F5589" s="1" t="s">
        <v>748</v>
      </c>
      <c r="G5589" s="1" t="s">
        <v>3348</v>
      </c>
      <c r="H5589">
        <v>2015</v>
      </c>
      <c r="I5589">
        <v>2015</v>
      </c>
      <c r="J5589">
        <f t="shared" si="174"/>
        <v>1</v>
      </c>
      <c r="K5589" s="1" t="s">
        <v>741</v>
      </c>
      <c r="L5589" s="1" t="s">
        <v>798</v>
      </c>
      <c r="M5589">
        <f t="shared" si="175"/>
        <v>11</v>
      </c>
      <c r="N5589" t="s">
        <v>650</v>
      </c>
    </row>
    <row r="5590" spans="1:14" hidden="1" x14ac:dyDescent="0.3">
      <c r="A5590" s="1" t="s">
        <v>3439</v>
      </c>
      <c r="B5590" s="1" t="s">
        <v>802</v>
      </c>
      <c r="C5590" s="1" t="s">
        <v>3440</v>
      </c>
      <c r="D5590" s="1" t="s">
        <v>746</v>
      </c>
      <c r="E5590" s="1" t="s">
        <v>747</v>
      </c>
      <c r="F5590" s="1" t="s">
        <v>748</v>
      </c>
      <c r="G5590" s="1" t="s">
        <v>3348</v>
      </c>
      <c r="H5590">
        <v>2012</v>
      </c>
      <c r="I5590">
        <v>2012</v>
      </c>
      <c r="J5590">
        <f t="shared" si="174"/>
        <v>1</v>
      </c>
      <c r="K5590" s="1" t="s">
        <v>741</v>
      </c>
      <c r="L5590" s="1" t="s">
        <v>798</v>
      </c>
      <c r="M5590">
        <f t="shared" si="175"/>
        <v>14</v>
      </c>
      <c r="N5590" t="s">
        <v>650</v>
      </c>
    </row>
    <row r="5591" spans="1:14" hidden="1" x14ac:dyDescent="0.3">
      <c r="A5591" s="1" t="s">
        <v>3441</v>
      </c>
      <c r="B5591" s="1" t="s">
        <v>802</v>
      </c>
      <c r="C5591" s="1" t="s">
        <v>3442</v>
      </c>
      <c r="D5591" s="1" t="s">
        <v>746</v>
      </c>
      <c r="E5591" s="1" t="s">
        <v>747</v>
      </c>
      <c r="F5591" s="1" t="s">
        <v>748</v>
      </c>
      <c r="G5591" s="1" t="s">
        <v>3348</v>
      </c>
      <c r="H5591">
        <v>2011</v>
      </c>
      <c r="I5591">
        <v>2011</v>
      </c>
      <c r="J5591">
        <f t="shared" si="174"/>
        <v>1</v>
      </c>
      <c r="K5591" s="1" t="s">
        <v>741</v>
      </c>
      <c r="L5591" s="1" t="s">
        <v>798</v>
      </c>
      <c r="M5591">
        <f t="shared" si="175"/>
        <v>15</v>
      </c>
      <c r="N5591" t="s">
        <v>650</v>
      </c>
    </row>
    <row r="5592" spans="1:14" hidden="1" x14ac:dyDescent="0.3">
      <c r="A5592" s="1" t="s">
        <v>3443</v>
      </c>
      <c r="B5592" s="1" t="s">
        <v>802</v>
      </c>
      <c r="C5592" s="1" t="s">
        <v>3444</v>
      </c>
      <c r="D5592" s="1" t="s">
        <v>746</v>
      </c>
      <c r="E5592" s="1" t="s">
        <v>747</v>
      </c>
      <c r="F5592" s="1" t="s">
        <v>748</v>
      </c>
      <c r="G5592" s="1" t="s">
        <v>3348</v>
      </c>
      <c r="H5592">
        <v>2012</v>
      </c>
      <c r="I5592">
        <v>2012</v>
      </c>
      <c r="J5592">
        <f t="shared" si="174"/>
        <v>1</v>
      </c>
      <c r="K5592" s="1" t="s">
        <v>741</v>
      </c>
      <c r="L5592" s="1" t="s">
        <v>798</v>
      </c>
      <c r="M5592">
        <f t="shared" si="175"/>
        <v>14</v>
      </c>
      <c r="N5592" t="s">
        <v>650</v>
      </c>
    </row>
    <row r="5593" spans="1:14" hidden="1" x14ac:dyDescent="0.3">
      <c r="A5593" s="1" t="s">
        <v>3445</v>
      </c>
      <c r="B5593" s="1" t="s">
        <v>802</v>
      </c>
      <c r="C5593" s="1" t="s">
        <v>3446</v>
      </c>
      <c r="D5593" s="1" t="s">
        <v>746</v>
      </c>
      <c r="E5593" s="1" t="s">
        <v>747</v>
      </c>
      <c r="F5593" s="1" t="s">
        <v>748</v>
      </c>
      <c r="G5593" s="1" t="s">
        <v>3348</v>
      </c>
      <c r="H5593">
        <v>2012</v>
      </c>
      <c r="I5593">
        <v>2012</v>
      </c>
      <c r="J5593">
        <f t="shared" si="174"/>
        <v>1</v>
      </c>
      <c r="K5593" s="1" t="s">
        <v>741</v>
      </c>
      <c r="L5593" s="1" t="s">
        <v>798</v>
      </c>
      <c r="M5593">
        <f t="shared" si="175"/>
        <v>14</v>
      </c>
      <c r="N5593" t="s">
        <v>650</v>
      </c>
    </row>
    <row r="5594" spans="1:14" hidden="1" x14ac:dyDescent="0.3">
      <c r="A5594" s="1" t="s">
        <v>3447</v>
      </c>
      <c r="B5594" s="1" t="s">
        <v>802</v>
      </c>
      <c r="C5594" s="1" t="s">
        <v>3448</v>
      </c>
      <c r="D5594" s="1" t="s">
        <v>746</v>
      </c>
      <c r="E5594" s="1" t="s">
        <v>747</v>
      </c>
      <c r="F5594" s="1" t="s">
        <v>748</v>
      </c>
      <c r="G5594" s="1" t="s">
        <v>3348</v>
      </c>
      <c r="H5594">
        <v>2012</v>
      </c>
      <c r="I5594">
        <v>2012</v>
      </c>
      <c r="J5594">
        <f t="shared" si="174"/>
        <v>1</v>
      </c>
      <c r="K5594" s="1" t="s">
        <v>741</v>
      </c>
      <c r="L5594" s="1" t="s">
        <v>798</v>
      </c>
      <c r="M5594">
        <f t="shared" si="175"/>
        <v>14</v>
      </c>
      <c r="N5594" t="s">
        <v>650</v>
      </c>
    </row>
    <row r="5595" spans="1:14" hidden="1" x14ac:dyDescent="0.3">
      <c r="A5595" s="1" t="s">
        <v>3449</v>
      </c>
      <c r="B5595" s="1" t="s">
        <v>802</v>
      </c>
      <c r="C5595" s="1" t="s">
        <v>3450</v>
      </c>
      <c r="D5595" s="1" t="s">
        <v>746</v>
      </c>
      <c r="E5595" s="1" t="s">
        <v>747</v>
      </c>
      <c r="F5595" s="1" t="s">
        <v>748</v>
      </c>
      <c r="G5595" s="1" t="s">
        <v>3348</v>
      </c>
      <c r="H5595">
        <v>2011</v>
      </c>
      <c r="I5595">
        <v>2011</v>
      </c>
      <c r="J5595">
        <f t="shared" si="174"/>
        <v>1</v>
      </c>
      <c r="K5595" s="1" t="s">
        <v>741</v>
      </c>
      <c r="L5595" s="1" t="s">
        <v>798</v>
      </c>
      <c r="M5595">
        <f t="shared" si="175"/>
        <v>15</v>
      </c>
      <c r="N5595" t="s">
        <v>650</v>
      </c>
    </row>
    <row r="5596" spans="1:14" hidden="1" x14ac:dyDescent="0.3">
      <c r="A5596" s="1" t="s">
        <v>3451</v>
      </c>
      <c r="B5596" s="1" t="s">
        <v>802</v>
      </c>
      <c r="C5596" s="1" t="s">
        <v>3452</v>
      </c>
      <c r="D5596" s="1" t="s">
        <v>746</v>
      </c>
      <c r="E5596" s="1" t="s">
        <v>747</v>
      </c>
      <c r="F5596" s="1" t="s">
        <v>748</v>
      </c>
      <c r="G5596" s="1" t="s">
        <v>3348</v>
      </c>
      <c r="H5596">
        <v>2017</v>
      </c>
      <c r="I5596">
        <v>2017</v>
      </c>
      <c r="J5596">
        <f t="shared" si="174"/>
        <v>1</v>
      </c>
      <c r="K5596" s="1" t="s">
        <v>741</v>
      </c>
      <c r="L5596" s="1" t="s">
        <v>798</v>
      </c>
      <c r="M5596">
        <f t="shared" si="175"/>
        <v>9</v>
      </c>
      <c r="N5596" t="s">
        <v>650</v>
      </c>
    </row>
    <row r="5597" spans="1:14" hidden="1" x14ac:dyDescent="0.3">
      <c r="A5597" s="1" t="s">
        <v>3453</v>
      </c>
      <c r="B5597" s="1" t="s">
        <v>802</v>
      </c>
      <c r="C5597" s="1" t="s">
        <v>3454</v>
      </c>
      <c r="D5597" s="1" t="s">
        <v>746</v>
      </c>
      <c r="E5597" s="1" t="s">
        <v>747</v>
      </c>
      <c r="F5597" s="1" t="s">
        <v>748</v>
      </c>
      <c r="G5597" s="1" t="s">
        <v>3348</v>
      </c>
      <c r="H5597">
        <v>2011</v>
      </c>
      <c r="I5597">
        <v>2011</v>
      </c>
      <c r="J5597">
        <f t="shared" si="174"/>
        <v>1</v>
      </c>
      <c r="K5597" s="1" t="s">
        <v>741</v>
      </c>
      <c r="L5597" s="1" t="s">
        <v>798</v>
      </c>
      <c r="M5597">
        <f t="shared" si="175"/>
        <v>15</v>
      </c>
      <c r="N5597" t="s">
        <v>650</v>
      </c>
    </row>
    <row r="5598" spans="1:14" hidden="1" x14ac:dyDescent="0.3">
      <c r="A5598" s="1" t="s">
        <v>3455</v>
      </c>
      <c r="B5598" s="1" t="s">
        <v>802</v>
      </c>
      <c r="C5598" s="1" t="s">
        <v>3456</v>
      </c>
      <c r="D5598" s="1" t="s">
        <v>746</v>
      </c>
      <c r="E5598" s="1" t="s">
        <v>747</v>
      </c>
      <c r="F5598" s="1" t="s">
        <v>748</v>
      </c>
      <c r="G5598" s="1" t="s">
        <v>3348</v>
      </c>
      <c r="H5598">
        <v>2013</v>
      </c>
      <c r="I5598">
        <v>2013</v>
      </c>
      <c r="J5598">
        <f t="shared" si="174"/>
        <v>1</v>
      </c>
      <c r="K5598" s="1" t="s">
        <v>741</v>
      </c>
      <c r="L5598" s="1" t="s">
        <v>798</v>
      </c>
      <c r="M5598">
        <f t="shared" si="175"/>
        <v>13</v>
      </c>
      <c r="N5598" t="s">
        <v>650</v>
      </c>
    </row>
    <row r="5599" spans="1:14" hidden="1" x14ac:dyDescent="0.3">
      <c r="A5599" s="1" t="s">
        <v>3457</v>
      </c>
      <c r="B5599" s="1" t="s">
        <v>802</v>
      </c>
      <c r="C5599" s="1" t="s">
        <v>3458</v>
      </c>
      <c r="D5599" s="1" t="s">
        <v>746</v>
      </c>
      <c r="E5599" s="1" t="s">
        <v>747</v>
      </c>
      <c r="F5599" s="1" t="s">
        <v>748</v>
      </c>
      <c r="G5599" s="1" t="s">
        <v>3348</v>
      </c>
      <c r="H5599">
        <v>2013</v>
      </c>
      <c r="I5599">
        <v>2013</v>
      </c>
      <c r="J5599">
        <f t="shared" si="174"/>
        <v>1</v>
      </c>
      <c r="K5599" s="1" t="s">
        <v>741</v>
      </c>
      <c r="L5599" s="1" t="s">
        <v>798</v>
      </c>
      <c r="M5599">
        <f t="shared" si="175"/>
        <v>13</v>
      </c>
      <c r="N5599" t="s">
        <v>650</v>
      </c>
    </row>
    <row r="5600" spans="1:14" hidden="1" x14ac:dyDescent="0.3">
      <c r="A5600" s="1" t="s">
        <v>3459</v>
      </c>
      <c r="B5600" s="1" t="s">
        <v>810</v>
      </c>
      <c r="C5600" s="1" t="s">
        <v>3460</v>
      </c>
      <c r="D5600" s="1" t="s">
        <v>746</v>
      </c>
      <c r="E5600" s="1" t="s">
        <v>747</v>
      </c>
      <c r="F5600" s="1" t="s">
        <v>748</v>
      </c>
      <c r="G5600" s="1" t="s">
        <v>3461</v>
      </c>
      <c r="H5600">
        <v>2020</v>
      </c>
      <c r="I5600">
        <v>2022</v>
      </c>
      <c r="J5600">
        <f t="shared" si="174"/>
        <v>3</v>
      </c>
      <c r="K5600" s="1" t="s">
        <v>741</v>
      </c>
      <c r="L5600" s="1" t="s">
        <v>798</v>
      </c>
      <c r="M5600">
        <f t="shared" si="175"/>
        <v>4</v>
      </c>
      <c r="N5600" t="s">
        <v>650</v>
      </c>
    </row>
    <row r="5601" spans="1:14" hidden="1" x14ac:dyDescent="0.3">
      <c r="A5601" s="1" t="s">
        <v>3462</v>
      </c>
      <c r="B5601" s="1" t="s">
        <v>810</v>
      </c>
      <c r="C5601" s="1" t="s">
        <v>3463</v>
      </c>
      <c r="D5601" s="1" t="s">
        <v>746</v>
      </c>
      <c r="E5601" s="1" t="s">
        <v>747</v>
      </c>
      <c r="F5601" s="1" t="s">
        <v>748</v>
      </c>
      <c r="G5601" s="1" t="s">
        <v>3461</v>
      </c>
      <c r="H5601">
        <v>2014</v>
      </c>
      <c r="I5601">
        <v>2016</v>
      </c>
      <c r="J5601">
        <f t="shared" si="174"/>
        <v>3</v>
      </c>
      <c r="K5601" s="1" t="s">
        <v>741</v>
      </c>
      <c r="L5601" s="1" t="s">
        <v>798</v>
      </c>
      <c r="M5601">
        <f t="shared" si="175"/>
        <v>10</v>
      </c>
      <c r="N5601" t="s">
        <v>650</v>
      </c>
    </row>
    <row r="5602" spans="1:14" hidden="1" x14ac:dyDescent="0.3">
      <c r="A5602" s="1" t="s">
        <v>3464</v>
      </c>
      <c r="B5602" s="1" t="s">
        <v>810</v>
      </c>
      <c r="C5602" s="1" t="s">
        <v>3465</v>
      </c>
      <c r="D5602" s="1" t="s">
        <v>746</v>
      </c>
      <c r="E5602" s="1" t="s">
        <v>747</v>
      </c>
      <c r="F5602" s="1" t="s">
        <v>748</v>
      </c>
      <c r="G5602" s="1" t="s">
        <v>3461</v>
      </c>
      <c r="H5602">
        <v>2016</v>
      </c>
      <c r="I5602">
        <v>2017</v>
      </c>
      <c r="J5602">
        <f t="shared" si="174"/>
        <v>2</v>
      </c>
      <c r="K5602" s="1" t="s">
        <v>741</v>
      </c>
      <c r="L5602" s="1" t="s">
        <v>798</v>
      </c>
      <c r="M5602">
        <f t="shared" si="175"/>
        <v>9</v>
      </c>
      <c r="N5602" t="s">
        <v>650</v>
      </c>
    </row>
    <row r="5603" spans="1:14" hidden="1" x14ac:dyDescent="0.3">
      <c r="A5603" s="1" t="s">
        <v>3466</v>
      </c>
      <c r="B5603" s="1" t="s">
        <v>810</v>
      </c>
      <c r="C5603" s="1" t="s">
        <v>3467</v>
      </c>
      <c r="D5603" s="1" t="s">
        <v>746</v>
      </c>
      <c r="E5603" s="1" t="s">
        <v>747</v>
      </c>
      <c r="F5603" s="1" t="s">
        <v>748</v>
      </c>
      <c r="G5603" s="1" t="s">
        <v>3461</v>
      </c>
      <c r="H5603">
        <v>2014</v>
      </c>
      <c r="I5603">
        <v>2016</v>
      </c>
      <c r="J5603">
        <f t="shared" si="174"/>
        <v>3</v>
      </c>
      <c r="K5603" s="1" t="s">
        <v>741</v>
      </c>
      <c r="L5603" s="1" t="s">
        <v>798</v>
      </c>
      <c r="M5603">
        <f t="shared" si="175"/>
        <v>10</v>
      </c>
      <c r="N5603" t="s">
        <v>650</v>
      </c>
    </row>
    <row r="5604" spans="1:14" hidden="1" x14ac:dyDescent="0.3">
      <c r="A5604" s="1" t="s">
        <v>3468</v>
      </c>
      <c r="B5604" s="1" t="s">
        <v>810</v>
      </c>
      <c r="C5604" s="1" t="s">
        <v>3469</v>
      </c>
      <c r="D5604" s="1" t="s">
        <v>746</v>
      </c>
      <c r="E5604" s="1" t="s">
        <v>747</v>
      </c>
      <c r="F5604" s="1" t="s">
        <v>748</v>
      </c>
      <c r="G5604" s="1" t="s">
        <v>3461</v>
      </c>
      <c r="H5604">
        <v>2020</v>
      </c>
      <c r="I5604">
        <v>2022</v>
      </c>
      <c r="J5604">
        <f t="shared" si="174"/>
        <v>3</v>
      </c>
      <c r="K5604" s="1" t="s">
        <v>741</v>
      </c>
      <c r="L5604" s="1" t="s">
        <v>798</v>
      </c>
      <c r="M5604">
        <f t="shared" si="175"/>
        <v>4</v>
      </c>
      <c r="N5604" t="s">
        <v>650</v>
      </c>
    </row>
    <row r="5605" spans="1:14" hidden="1" x14ac:dyDescent="0.3">
      <c r="A5605" s="1" t="s">
        <v>3470</v>
      </c>
      <c r="B5605" s="1" t="s">
        <v>810</v>
      </c>
      <c r="C5605" s="1" t="s">
        <v>3471</v>
      </c>
      <c r="D5605" s="1" t="s">
        <v>746</v>
      </c>
      <c r="E5605" s="1" t="s">
        <v>747</v>
      </c>
      <c r="F5605" s="1" t="s">
        <v>748</v>
      </c>
      <c r="G5605" s="1" t="s">
        <v>3461</v>
      </c>
      <c r="H5605">
        <v>2015</v>
      </c>
      <c r="I5605">
        <v>2017</v>
      </c>
      <c r="J5605">
        <f t="shared" si="174"/>
        <v>3</v>
      </c>
      <c r="K5605" s="1" t="s">
        <v>741</v>
      </c>
      <c r="L5605" s="1" t="s">
        <v>798</v>
      </c>
      <c r="M5605">
        <f t="shared" si="175"/>
        <v>9</v>
      </c>
      <c r="N5605" t="s">
        <v>650</v>
      </c>
    </row>
    <row r="5606" spans="1:14" hidden="1" x14ac:dyDescent="0.3">
      <c r="A5606" s="1" t="s">
        <v>3472</v>
      </c>
      <c r="B5606" s="1" t="s">
        <v>810</v>
      </c>
      <c r="C5606" s="1" t="s">
        <v>3473</v>
      </c>
      <c r="D5606" s="1" t="s">
        <v>746</v>
      </c>
      <c r="E5606" s="1" t="s">
        <v>747</v>
      </c>
      <c r="F5606" s="1" t="s">
        <v>748</v>
      </c>
      <c r="G5606" s="1" t="s">
        <v>3461</v>
      </c>
      <c r="H5606">
        <v>2015</v>
      </c>
      <c r="I5606">
        <v>2017</v>
      </c>
      <c r="J5606">
        <f t="shared" si="174"/>
        <v>3</v>
      </c>
      <c r="K5606" s="1" t="s">
        <v>741</v>
      </c>
      <c r="L5606" s="1" t="s">
        <v>798</v>
      </c>
      <c r="M5606">
        <f t="shared" si="175"/>
        <v>9</v>
      </c>
      <c r="N5606" t="s">
        <v>650</v>
      </c>
    </row>
    <row r="5607" spans="1:14" hidden="1" x14ac:dyDescent="0.3">
      <c r="A5607" s="1" t="s">
        <v>3474</v>
      </c>
      <c r="B5607" s="1" t="s">
        <v>810</v>
      </c>
      <c r="C5607" s="1" t="s">
        <v>3475</v>
      </c>
      <c r="D5607" s="1" t="s">
        <v>746</v>
      </c>
      <c r="E5607" s="1" t="s">
        <v>747</v>
      </c>
      <c r="F5607" s="1" t="s">
        <v>748</v>
      </c>
      <c r="G5607" s="1" t="s">
        <v>3461</v>
      </c>
      <c r="H5607">
        <v>2015</v>
      </c>
      <c r="I5607">
        <v>2017</v>
      </c>
      <c r="J5607">
        <f t="shared" si="174"/>
        <v>3</v>
      </c>
      <c r="K5607" s="1" t="s">
        <v>741</v>
      </c>
      <c r="L5607" s="1" t="s">
        <v>798</v>
      </c>
      <c r="M5607">
        <f t="shared" si="175"/>
        <v>9</v>
      </c>
      <c r="N5607" t="s">
        <v>650</v>
      </c>
    </row>
    <row r="5608" spans="1:14" hidden="1" x14ac:dyDescent="0.3">
      <c r="A5608" s="1" t="s">
        <v>3476</v>
      </c>
      <c r="B5608" s="1" t="s">
        <v>810</v>
      </c>
      <c r="C5608" s="1" t="s">
        <v>3477</v>
      </c>
      <c r="D5608" s="1" t="s">
        <v>746</v>
      </c>
      <c r="E5608" s="1" t="s">
        <v>747</v>
      </c>
      <c r="F5608" s="1" t="s">
        <v>748</v>
      </c>
      <c r="G5608" s="1" t="s">
        <v>3461</v>
      </c>
      <c r="H5608">
        <v>2014</v>
      </c>
      <c r="I5608">
        <v>2017</v>
      </c>
      <c r="J5608">
        <f t="shared" si="174"/>
        <v>4</v>
      </c>
      <c r="K5608" s="1" t="s">
        <v>741</v>
      </c>
      <c r="L5608" s="1" t="s">
        <v>798</v>
      </c>
      <c r="M5608">
        <f t="shared" si="175"/>
        <v>9</v>
      </c>
      <c r="N5608" t="s">
        <v>650</v>
      </c>
    </row>
    <row r="5609" spans="1:14" hidden="1" x14ac:dyDescent="0.3">
      <c r="A5609" s="1" t="s">
        <v>3478</v>
      </c>
      <c r="B5609" s="1" t="s">
        <v>810</v>
      </c>
      <c r="C5609" s="1" t="s">
        <v>3479</v>
      </c>
      <c r="D5609" s="1" t="s">
        <v>746</v>
      </c>
      <c r="E5609" s="1" t="s">
        <v>747</v>
      </c>
      <c r="F5609" s="1" t="s">
        <v>748</v>
      </c>
      <c r="G5609" s="1" t="s">
        <v>3461</v>
      </c>
      <c r="H5609">
        <v>2016</v>
      </c>
      <c r="I5609">
        <v>2018</v>
      </c>
      <c r="J5609">
        <f t="shared" si="174"/>
        <v>3</v>
      </c>
      <c r="K5609" s="1" t="s">
        <v>741</v>
      </c>
      <c r="L5609" s="1" t="s">
        <v>798</v>
      </c>
      <c r="M5609">
        <f t="shared" si="175"/>
        <v>8</v>
      </c>
      <c r="N5609" t="s">
        <v>650</v>
      </c>
    </row>
    <row r="5610" spans="1:14" hidden="1" x14ac:dyDescent="0.3">
      <c r="A5610" s="1" t="s">
        <v>3480</v>
      </c>
      <c r="B5610" s="1" t="s">
        <v>810</v>
      </c>
      <c r="C5610" s="1" t="s">
        <v>3481</v>
      </c>
      <c r="D5610" s="1" t="s">
        <v>746</v>
      </c>
      <c r="E5610" s="1" t="s">
        <v>747</v>
      </c>
      <c r="F5610" s="1" t="s">
        <v>748</v>
      </c>
      <c r="G5610" s="1" t="s">
        <v>3461</v>
      </c>
      <c r="H5610">
        <v>2014</v>
      </c>
      <c r="I5610">
        <v>2017</v>
      </c>
      <c r="J5610">
        <f t="shared" si="174"/>
        <v>4</v>
      </c>
      <c r="K5610" s="1" t="s">
        <v>741</v>
      </c>
      <c r="L5610" s="1" t="s">
        <v>798</v>
      </c>
      <c r="M5610">
        <f t="shared" si="175"/>
        <v>9</v>
      </c>
      <c r="N5610" t="s">
        <v>650</v>
      </c>
    </row>
    <row r="5611" spans="1:14" hidden="1" x14ac:dyDescent="0.3">
      <c r="A5611" s="1" t="s">
        <v>3482</v>
      </c>
      <c r="B5611" s="1" t="s">
        <v>810</v>
      </c>
      <c r="C5611" s="1" t="s">
        <v>3483</v>
      </c>
      <c r="D5611" s="1" t="s">
        <v>746</v>
      </c>
      <c r="E5611" s="1" t="s">
        <v>747</v>
      </c>
      <c r="F5611" s="1" t="s">
        <v>748</v>
      </c>
      <c r="G5611" s="1" t="s">
        <v>3461</v>
      </c>
      <c r="H5611">
        <v>2014</v>
      </c>
      <c r="I5611">
        <v>2015</v>
      </c>
      <c r="J5611">
        <f t="shared" si="174"/>
        <v>2</v>
      </c>
      <c r="K5611" s="1" t="s">
        <v>741</v>
      </c>
      <c r="L5611" s="1" t="s">
        <v>798</v>
      </c>
      <c r="M5611">
        <f t="shared" si="175"/>
        <v>11</v>
      </c>
      <c r="N5611" t="s">
        <v>650</v>
      </c>
    </row>
    <row r="5612" spans="1:14" hidden="1" x14ac:dyDescent="0.3">
      <c r="A5612" s="1" t="s">
        <v>3484</v>
      </c>
      <c r="B5612" s="1" t="s">
        <v>810</v>
      </c>
      <c r="C5612" s="1" t="s">
        <v>3485</v>
      </c>
      <c r="D5612" s="1" t="s">
        <v>746</v>
      </c>
      <c r="E5612" s="1" t="s">
        <v>747</v>
      </c>
      <c r="F5612" s="1" t="s">
        <v>748</v>
      </c>
      <c r="G5612" s="1" t="s">
        <v>3461</v>
      </c>
      <c r="H5612">
        <v>2014</v>
      </c>
      <c r="I5612">
        <v>2019</v>
      </c>
      <c r="J5612">
        <f t="shared" si="174"/>
        <v>6</v>
      </c>
      <c r="K5612" s="1" t="s">
        <v>741</v>
      </c>
      <c r="L5612" s="1" t="s">
        <v>798</v>
      </c>
      <c r="M5612">
        <f t="shared" si="175"/>
        <v>7</v>
      </c>
      <c r="N5612" t="s">
        <v>650</v>
      </c>
    </row>
    <row r="5613" spans="1:14" hidden="1" x14ac:dyDescent="0.3">
      <c r="A5613" s="1" t="s">
        <v>3486</v>
      </c>
      <c r="B5613" s="1" t="s">
        <v>810</v>
      </c>
      <c r="C5613" s="1" t="s">
        <v>3487</v>
      </c>
      <c r="D5613" s="1" t="s">
        <v>746</v>
      </c>
      <c r="E5613" s="1" t="s">
        <v>747</v>
      </c>
      <c r="F5613" s="1" t="s">
        <v>748</v>
      </c>
      <c r="G5613" s="1" t="s">
        <v>3461</v>
      </c>
      <c r="H5613">
        <v>2016</v>
      </c>
      <c r="I5613">
        <v>2019</v>
      </c>
      <c r="J5613">
        <f t="shared" si="174"/>
        <v>4</v>
      </c>
      <c r="K5613" s="1" t="s">
        <v>741</v>
      </c>
      <c r="L5613" s="1" t="s">
        <v>649</v>
      </c>
      <c r="M5613">
        <f t="shared" si="175"/>
        <v>7</v>
      </c>
      <c r="N5613" t="s">
        <v>650</v>
      </c>
    </row>
    <row r="5614" spans="1:14" hidden="1" x14ac:dyDescent="0.3">
      <c r="A5614" s="1" t="s">
        <v>3488</v>
      </c>
      <c r="B5614" s="1" t="s">
        <v>810</v>
      </c>
      <c r="C5614" s="1" t="s">
        <v>3489</v>
      </c>
      <c r="D5614" s="1" t="s">
        <v>746</v>
      </c>
      <c r="E5614" s="1" t="s">
        <v>747</v>
      </c>
      <c r="F5614" s="1" t="s">
        <v>748</v>
      </c>
      <c r="G5614" s="1" t="s">
        <v>3461</v>
      </c>
      <c r="H5614">
        <v>2014</v>
      </c>
      <c r="I5614">
        <v>2017</v>
      </c>
      <c r="J5614">
        <f t="shared" si="174"/>
        <v>4</v>
      </c>
      <c r="K5614" s="1" t="s">
        <v>741</v>
      </c>
      <c r="L5614" s="1" t="s">
        <v>798</v>
      </c>
      <c r="M5614">
        <f t="shared" si="175"/>
        <v>9</v>
      </c>
      <c r="N5614" t="s">
        <v>650</v>
      </c>
    </row>
    <row r="5615" spans="1:14" hidden="1" x14ac:dyDescent="0.3">
      <c r="A5615" s="1" t="s">
        <v>3490</v>
      </c>
      <c r="B5615" s="1" t="s">
        <v>810</v>
      </c>
      <c r="C5615" s="1" t="s">
        <v>3491</v>
      </c>
      <c r="D5615" s="1" t="s">
        <v>746</v>
      </c>
      <c r="E5615" s="1" t="s">
        <v>747</v>
      </c>
      <c r="F5615" s="1" t="s">
        <v>748</v>
      </c>
      <c r="G5615" s="1" t="s">
        <v>3461</v>
      </c>
      <c r="H5615">
        <v>2015</v>
      </c>
      <c r="I5615">
        <v>2019</v>
      </c>
      <c r="J5615">
        <f t="shared" si="174"/>
        <v>5</v>
      </c>
      <c r="K5615" s="1" t="s">
        <v>741</v>
      </c>
      <c r="L5615" s="1" t="s">
        <v>798</v>
      </c>
      <c r="M5615">
        <f t="shared" si="175"/>
        <v>7</v>
      </c>
      <c r="N5615" t="s">
        <v>650</v>
      </c>
    </row>
    <row r="5616" spans="1:14" hidden="1" x14ac:dyDescent="0.3">
      <c r="A5616" s="1" t="s">
        <v>3492</v>
      </c>
      <c r="B5616" s="1" t="s">
        <v>810</v>
      </c>
      <c r="C5616" s="1" t="s">
        <v>3493</v>
      </c>
      <c r="D5616" s="1" t="s">
        <v>746</v>
      </c>
      <c r="E5616" s="1" t="s">
        <v>747</v>
      </c>
      <c r="F5616" s="1" t="s">
        <v>748</v>
      </c>
      <c r="G5616" s="1" t="s">
        <v>3461</v>
      </c>
      <c r="H5616">
        <v>2018</v>
      </c>
      <c r="I5616">
        <v>2019</v>
      </c>
      <c r="J5616">
        <f t="shared" si="174"/>
        <v>2</v>
      </c>
      <c r="K5616" s="1" t="s">
        <v>741</v>
      </c>
      <c r="L5616" s="1" t="s">
        <v>798</v>
      </c>
      <c r="M5616">
        <f t="shared" si="175"/>
        <v>7</v>
      </c>
      <c r="N5616" t="s">
        <v>650</v>
      </c>
    </row>
    <row r="5617" spans="1:14" hidden="1" x14ac:dyDescent="0.3">
      <c r="A5617" s="1" t="s">
        <v>3494</v>
      </c>
      <c r="B5617" s="1" t="s">
        <v>810</v>
      </c>
      <c r="C5617" s="1" t="s">
        <v>3495</v>
      </c>
      <c r="D5617" s="1" t="s">
        <v>746</v>
      </c>
      <c r="E5617" s="1" t="s">
        <v>747</v>
      </c>
      <c r="F5617" s="1" t="s">
        <v>748</v>
      </c>
      <c r="G5617" s="1" t="s">
        <v>3461</v>
      </c>
      <c r="H5617">
        <v>2017</v>
      </c>
      <c r="I5617">
        <v>2017</v>
      </c>
      <c r="J5617">
        <f t="shared" si="174"/>
        <v>1</v>
      </c>
      <c r="K5617" s="1" t="s">
        <v>741</v>
      </c>
      <c r="L5617" s="1" t="s">
        <v>798</v>
      </c>
      <c r="M5617">
        <f t="shared" si="175"/>
        <v>9</v>
      </c>
      <c r="N5617" t="s">
        <v>650</v>
      </c>
    </row>
    <row r="5618" spans="1:14" hidden="1" x14ac:dyDescent="0.3">
      <c r="A5618" s="1" t="s">
        <v>3496</v>
      </c>
      <c r="B5618" s="1" t="s">
        <v>810</v>
      </c>
      <c r="C5618" s="1" t="s">
        <v>3497</v>
      </c>
      <c r="D5618" s="1" t="s">
        <v>746</v>
      </c>
      <c r="E5618" s="1" t="s">
        <v>747</v>
      </c>
      <c r="F5618" s="1" t="s">
        <v>748</v>
      </c>
      <c r="G5618" s="1" t="s">
        <v>3461</v>
      </c>
      <c r="H5618">
        <v>2018</v>
      </c>
      <c r="I5618">
        <v>2019</v>
      </c>
      <c r="J5618">
        <f t="shared" si="174"/>
        <v>2</v>
      </c>
      <c r="K5618" s="1" t="s">
        <v>741</v>
      </c>
      <c r="L5618" s="1" t="s">
        <v>798</v>
      </c>
      <c r="M5618">
        <f t="shared" si="175"/>
        <v>7</v>
      </c>
      <c r="N5618" t="s">
        <v>650</v>
      </c>
    </row>
    <row r="5619" spans="1:14" hidden="1" x14ac:dyDescent="0.3">
      <c r="A5619" s="1" t="s">
        <v>3498</v>
      </c>
      <c r="B5619" s="1" t="s">
        <v>810</v>
      </c>
      <c r="C5619" s="1" t="s">
        <v>3499</v>
      </c>
      <c r="D5619" s="1" t="s">
        <v>746</v>
      </c>
      <c r="E5619" s="1" t="s">
        <v>747</v>
      </c>
      <c r="F5619" s="1" t="s">
        <v>748</v>
      </c>
      <c r="G5619" s="1" t="s">
        <v>3461</v>
      </c>
      <c r="H5619">
        <v>2016</v>
      </c>
      <c r="I5619">
        <v>2017</v>
      </c>
      <c r="J5619">
        <f t="shared" si="174"/>
        <v>2</v>
      </c>
      <c r="K5619" s="1" t="s">
        <v>741</v>
      </c>
      <c r="L5619" s="1" t="s">
        <v>798</v>
      </c>
      <c r="M5619">
        <f t="shared" si="175"/>
        <v>9</v>
      </c>
      <c r="N5619" t="s">
        <v>650</v>
      </c>
    </row>
    <row r="5620" spans="1:14" hidden="1" x14ac:dyDescent="0.3">
      <c r="A5620" s="1" t="s">
        <v>3500</v>
      </c>
      <c r="B5620" s="1" t="s">
        <v>810</v>
      </c>
      <c r="C5620" s="1" t="s">
        <v>3501</v>
      </c>
      <c r="D5620" s="1" t="s">
        <v>746</v>
      </c>
      <c r="E5620" s="1" t="s">
        <v>747</v>
      </c>
      <c r="F5620" s="1" t="s">
        <v>748</v>
      </c>
      <c r="G5620" s="1" t="s">
        <v>3461</v>
      </c>
      <c r="H5620">
        <v>2014</v>
      </c>
      <c r="I5620">
        <v>2017</v>
      </c>
      <c r="J5620">
        <f t="shared" si="174"/>
        <v>4</v>
      </c>
      <c r="K5620" s="1" t="s">
        <v>741</v>
      </c>
      <c r="L5620" s="1" t="s">
        <v>798</v>
      </c>
      <c r="M5620">
        <f t="shared" si="175"/>
        <v>9</v>
      </c>
      <c r="N5620" t="s">
        <v>650</v>
      </c>
    </row>
    <row r="5621" spans="1:14" hidden="1" x14ac:dyDescent="0.3">
      <c r="A5621" s="1" t="s">
        <v>3502</v>
      </c>
      <c r="B5621" s="1" t="s">
        <v>810</v>
      </c>
      <c r="C5621" s="1" t="s">
        <v>3503</v>
      </c>
      <c r="D5621" s="1" t="s">
        <v>746</v>
      </c>
      <c r="E5621" s="1" t="s">
        <v>747</v>
      </c>
      <c r="F5621" s="1" t="s">
        <v>748</v>
      </c>
      <c r="G5621" s="1" t="s">
        <v>3461</v>
      </c>
      <c r="H5621">
        <v>2014</v>
      </c>
      <c r="I5621">
        <v>2014</v>
      </c>
      <c r="J5621">
        <f t="shared" si="174"/>
        <v>1</v>
      </c>
      <c r="K5621" s="1" t="s">
        <v>741</v>
      </c>
      <c r="L5621" s="1" t="s">
        <v>798</v>
      </c>
      <c r="M5621">
        <f t="shared" si="175"/>
        <v>12</v>
      </c>
      <c r="N5621" t="s">
        <v>650</v>
      </c>
    </row>
    <row r="5622" spans="1:14" hidden="1" x14ac:dyDescent="0.3">
      <c r="A5622" s="1" t="s">
        <v>3504</v>
      </c>
      <c r="B5622" s="1" t="s">
        <v>810</v>
      </c>
      <c r="C5622" s="1" t="s">
        <v>3505</v>
      </c>
      <c r="D5622" s="1" t="s">
        <v>746</v>
      </c>
      <c r="E5622" s="1" t="s">
        <v>747</v>
      </c>
      <c r="F5622" s="1" t="s">
        <v>748</v>
      </c>
      <c r="G5622" s="1" t="s">
        <v>3461</v>
      </c>
      <c r="H5622">
        <v>2017</v>
      </c>
      <c r="I5622">
        <v>2017</v>
      </c>
      <c r="J5622">
        <f t="shared" si="174"/>
        <v>1</v>
      </c>
      <c r="K5622" s="1" t="s">
        <v>741</v>
      </c>
      <c r="L5622" s="1" t="s">
        <v>798</v>
      </c>
      <c r="M5622">
        <f t="shared" si="175"/>
        <v>9</v>
      </c>
      <c r="N5622" t="s">
        <v>650</v>
      </c>
    </row>
    <row r="5623" spans="1:14" hidden="1" x14ac:dyDescent="0.3">
      <c r="A5623" s="1" t="s">
        <v>3506</v>
      </c>
      <c r="B5623" s="1" t="s">
        <v>810</v>
      </c>
      <c r="C5623" s="1" t="s">
        <v>3507</v>
      </c>
      <c r="D5623" s="1" t="s">
        <v>746</v>
      </c>
      <c r="E5623" s="1" t="s">
        <v>747</v>
      </c>
      <c r="F5623" s="1" t="s">
        <v>748</v>
      </c>
      <c r="G5623" s="1" t="s">
        <v>3461</v>
      </c>
      <c r="H5623">
        <v>2020</v>
      </c>
      <c r="I5623">
        <v>2022</v>
      </c>
      <c r="J5623">
        <f t="shared" si="174"/>
        <v>3</v>
      </c>
      <c r="K5623" s="1" t="s">
        <v>741</v>
      </c>
      <c r="L5623" s="1" t="s">
        <v>798</v>
      </c>
      <c r="M5623">
        <f t="shared" si="175"/>
        <v>4</v>
      </c>
      <c r="N5623" t="s">
        <v>650</v>
      </c>
    </row>
    <row r="5624" spans="1:14" x14ac:dyDescent="0.3">
      <c r="A5624" s="1" t="s">
        <v>10295</v>
      </c>
      <c r="B5624" s="1" t="s">
        <v>8765</v>
      </c>
      <c r="C5624" s="1" t="s">
        <v>10296</v>
      </c>
      <c r="D5624" s="1" t="s">
        <v>644</v>
      </c>
      <c r="E5624" s="1" t="s">
        <v>6076</v>
      </c>
      <c r="F5624" s="1" t="s">
        <v>6076</v>
      </c>
      <c r="G5624" s="1" t="s">
        <v>10297</v>
      </c>
      <c r="H5624">
        <v>2016</v>
      </c>
      <c r="I5624">
        <v>2022</v>
      </c>
      <c r="J5624">
        <f t="shared" si="174"/>
        <v>7</v>
      </c>
      <c r="K5624" s="1" t="s">
        <v>6076</v>
      </c>
      <c r="L5624" s="1" t="s">
        <v>6076</v>
      </c>
      <c r="M5624">
        <f t="shared" si="175"/>
        <v>4</v>
      </c>
      <c r="N5624" t="s">
        <v>650</v>
      </c>
    </row>
    <row r="5625" spans="1:14" x14ac:dyDescent="0.3">
      <c r="A5625" t="s">
        <v>11317</v>
      </c>
      <c r="B5625" t="s">
        <v>8765</v>
      </c>
      <c r="C5625" t="s">
        <v>11318</v>
      </c>
      <c r="E5625" s="1" t="s">
        <v>6076</v>
      </c>
      <c r="F5625" s="1" t="s">
        <v>6076</v>
      </c>
      <c r="G5625" s="1" t="s">
        <v>10297</v>
      </c>
      <c r="H5625">
        <v>2025</v>
      </c>
      <c r="I5625">
        <v>2026</v>
      </c>
      <c r="J5625">
        <f t="shared" si="174"/>
        <v>2</v>
      </c>
      <c r="K5625" s="1" t="s">
        <v>6076</v>
      </c>
      <c r="L5625" s="1" t="s">
        <v>6076</v>
      </c>
      <c r="M5625">
        <f t="shared" si="175"/>
        <v>0</v>
      </c>
    </row>
    <row r="5626" spans="1:14" x14ac:dyDescent="0.3">
      <c r="A5626" s="1" t="s">
        <v>10298</v>
      </c>
      <c r="B5626" s="1" t="s">
        <v>8765</v>
      </c>
      <c r="C5626" s="1" t="s">
        <v>10299</v>
      </c>
      <c r="D5626" s="1" t="s">
        <v>644</v>
      </c>
      <c r="E5626" s="1" t="s">
        <v>6076</v>
      </c>
      <c r="F5626" s="1" t="s">
        <v>6076</v>
      </c>
      <c r="G5626" s="1" t="s">
        <v>10300</v>
      </c>
      <c r="H5626">
        <v>2016</v>
      </c>
      <c r="I5626">
        <v>2022</v>
      </c>
      <c r="J5626">
        <f t="shared" si="174"/>
        <v>7</v>
      </c>
      <c r="K5626" s="1" t="s">
        <v>6076</v>
      </c>
      <c r="L5626" s="1" t="s">
        <v>6076</v>
      </c>
      <c r="M5626">
        <f t="shared" si="175"/>
        <v>4</v>
      </c>
      <c r="N5626" t="s">
        <v>650</v>
      </c>
    </row>
    <row r="5627" spans="1:14" x14ac:dyDescent="0.3">
      <c r="A5627" t="s">
        <v>11319</v>
      </c>
      <c r="B5627" t="s">
        <v>8765</v>
      </c>
      <c r="C5627" t="s">
        <v>11320</v>
      </c>
      <c r="E5627" s="1" t="s">
        <v>6076</v>
      </c>
      <c r="F5627" s="1" t="s">
        <v>6076</v>
      </c>
      <c r="G5627" s="1" t="s">
        <v>10300</v>
      </c>
      <c r="H5627">
        <v>2025</v>
      </c>
      <c r="I5627">
        <v>2026</v>
      </c>
      <c r="J5627">
        <f t="shared" si="174"/>
        <v>2</v>
      </c>
      <c r="K5627" s="1" t="s">
        <v>6076</v>
      </c>
      <c r="L5627" s="1" t="s">
        <v>6076</v>
      </c>
      <c r="M5627">
        <f t="shared" si="175"/>
        <v>0</v>
      </c>
    </row>
    <row r="5628" spans="1:14" x14ac:dyDescent="0.3">
      <c r="A5628" s="1" t="s">
        <v>10301</v>
      </c>
      <c r="B5628" s="1" t="s">
        <v>8765</v>
      </c>
      <c r="C5628" s="1" t="s">
        <v>10302</v>
      </c>
      <c r="D5628" s="1" t="s">
        <v>644</v>
      </c>
      <c r="E5628" s="1" t="s">
        <v>6076</v>
      </c>
      <c r="F5628" s="1" t="s">
        <v>6076</v>
      </c>
      <c r="G5628" s="1" t="s">
        <v>10303</v>
      </c>
      <c r="H5628">
        <v>2020</v>
      </c>
      <c r="I5628">
        <v>2022</v>
      </c>
      <c r="J5628">
        <f t="shared" si="174"/>
        <v>3</v>
      </c>
      <c r="K5628" s="1" t="s">
        <v>6076</v>
      </c>
      <c r="L5628" s="1" t="s">
        <v>6076</v>
      </c>
      <c r="M5628">
        <f t="shared" si="175"/>
        <v>4</v>
      </c>
      <c r="N5628" t="s">
        <v>650</v>
      </c>
    </row>
    <row r="5629" spans="1:14" x14ac:dyDescent="0.3">
      <c r="A5629" t="s">
        <v>11321</v>
      </c>
      <c r="B5629" t="s">
        <v>8765</v>
      </c>
      <c r="C5629" t="s">
        <v>11322</v>
      </c>
      <c r="E5629" s="1" t="s">
        <v>6076</v>
      </c>
      <c r="F5629" s="1" t="s">
        <v>6076</v>
      </c>
      <c r="G5629" s="1" t="s">
        <v>10303</v>
      </c>
      <c r="H5629">
        <v>2025</v>
      </c>
      <c r="I5629">
        <v>2026</v>
      </c>
      <c r="J5629">
        <f t="shared" si="174"/>
        <v>2</v>
      </c>
      <c r="K5629" s="1" t="s">
        <v>6076</v>
      </c>
      <c r="L5629" s="1" t="s">
        <v>6076</v>
      </c>
      <c r="M5629">
        <f t="shared" si="175"/>
        <v>0</v>
      </c>
    </row>
    <row r="5630" spans="1:14" x14ac:dyDescent="0.3">
      <c r="A5630" s="1" t="s">
        <v>10304</v>
      </c>
      <c r="B5630" s="1" t="s">
        <v>5289</v>
      </c>
      <c r="C5630" s="1" t="s">
        <v>10305</v>
      </c>
      <c r="D5630" s="1" t="s">
        <v>644</v>
      </c>
      <c r="E5630" s="1" t="s">
        <v>6076</v>
      </c>
      <c r="F5630" s="1" t="s">
        <v>6076</v>
      </c>
      <c r="G5630" s="1" t="s">
        <v>10306</v>
      </c>
      <c r="H5630">
        <v>2017</v>
      </c>
      <c r="I5630">
        <v>2022</v>
      </c>
      <c r="J5630">
        <f t="shared" si="174"/>
        <v>6</v>
      </c>
      <c r="K5630" s="1" t="s">
        <v>6076</v>
      </c>
      <c r="L5630" s="1" t="s">
        <v>6076</v>
      </c>
      <c r="M5630">
        <f t="shared" si="175"/>
        <v>4</v>
      </c>
      <c r="N5630" t="s">
        <v>650</v>
      </c>
    </row>
    <row r="5631" spans="1:14" x14ac:dyDescent="0.3">
      <c r="A5631" t="s">
        <v>12509</v>
      </c>
      <c r="B5631" t="s">
        <v>12697</v>
      </c>
      <c r="C5631" t="s">
        <v>12510</v>
      </c>
      <c r="E5631" s="1" t="s">
        <v>6076</v>
      </c>
      <c r="F5631" s="1" t="s">
        <v>6076</v>
      </c>
      <c r="G5631" s="1" t="s">
        <v>12897</v>
      </c>
      <c r="H5631">
        <v>1997</v>
      </c>
      <c r="I5631">
        <v>2001</v>
      </c>
      <c r="J5631">
        <f t="shared" si="174"/>
        <v>5</v>
      </c>
      <c r="K5631" s="1" t="s">
        <v>6076</v>
      </c>
      <c r="L5631" s="1" t="s">
        <v>6076</v>
      </c>
      <c r="M5631">
        <f t="shared" si="175"/>
        <v>25</v>
      </c>
    </row>
    <row r="5632" spans="1:14" x14ac:dyDescent="0.3">
      <c r="A5632" t="s">
        <v>12511</v>
      </c>
      <c r="B5632" t="s">
        <v>12697</v>
      </c>
      <c r="C5632" t="s">
        <v>12512</v>
      </c>
      <c r="E5632" s="1" t="s">
        <v>6076</v>
      </c>
      <c r="F5632" s="1" t="s">
        <v>6076</v>
      </c>
      <c r="G5632" s="1" t="s">
        <v>12897</v>
      </c>
      <c r="H5632">
        <v>1997</v>
      </c>
      <c r="I5632">
        <v>2000</v>
      </c>
      <c r="J5632">
        <f t="shared" si="174"/>
        <v>4</v>
      </c>
      <c r="K5632" s="1" t="s">
        <v>6076</v>
      </c>
      <c r="L5632" s="1" t="s">
        <v>6076</v>
      </c>
      <c r="M5632">
        <f t="shared" si="175"/>
        <v>26</v>
      </c>
    </row>
    <row r="5633" spans="1:13" x14ac:dyDescent="0.3">
      <c r="A5633" t="s">
        <v>12513</v>
      </c>
      <c r="B5633" t="s">
        <v>12697</v>
      </c>
      <c r="C5633" t="s">
        <v>12514</v>
      </c>
      <c r="E5633" s="1" t="s">
        <v>6076</v>
      </c>
      <c r="F5633" s="1" t="s">
        <v>6076</v>
      </c>
      <c r="G5633" s="1" t="s">
        <v>12897</v>
      </c>
      <c r="H5633">
        <v>1997</v>
      </c>
      <c r="I5633">
        <v>2001</v>
      </c>
      <c r="J5633">
        <f t="shared" si="174"/>
        <v>5</v>
      </c>
      <c r="K5633" s="1" t="s">
        <v>6076</v>
      </c>
      <c r="L5633" s="1" t="s">
        <v>6076</v>
      </c>
      <c r="M5633">
        <f t="shared" si="175"/>
        <v>25</v>
      </c>
    </row>
    <row r="5634" spans="1:13" x14ac:dyDescent="0.3">
      <c r="A5634" t="s">
        <v>12515</v>
      </c>
      <c r="B5634" t="s">
        <v>12697</v>
      </c>
      <c r="C5634" t="s">
        <v>12516</v>
      </c>
      <c r="E5634" s="1" t="s">
        <v>6076</v>
      </c>
      <c r="F5634" s="1" t="s">
        <v>6076</v>
      </c>
      <c r="G5634" s="1" t="s">
        <v>12897</v>
      </c>
      <c r="H5634">
        <v>1997</v>
      </c>
      <c r="I5634">
        <v>2003</v>
      </c>
      <c r="J5634">
        <f t="shared" si="174"/>
        <v>7</v>
      </c>
      <c r="K5634" s="1" t="s">
        <v>6076</v>
      </c>
      <c r="L5634" s="1" t="s">
        <v>6076</v>
      </c>
      <c r="M5634">
        <f t="shared" si="175"/>
        <v>23</v>
      </c>
    </row>
    <row r="5635" spans="1:13" x14ac:dyDescent="0.3">
      <c r="A5635" t="s">
        <v>12517</v>
      </c>
      <c r="B5635" t="s">
        <v>12697</v>
      </c>
      <c r="C5635" t="s">
        <v>12518</v>
      </c>
      <c r="E5635" s="1" t="s">
        <v>6076</v>
      </c>
      <c r="F5635" s="1" t="s">
        <v>6076</v>
      </c>
      <c r="G5635" s="1" t="s">
        <v>12897</v>
      </c>
      <c r="H5635">
        <v>1998</v>
      </c>
      <c r="I5635">
        <v>2004</v>
      </c>
      <c r="J5635">
        <f t="shared" si="174"/>
        <v>7</v>
      </c>
      <c r="K5635" s="1" t="s">
        <v>6076</v>
      </c>
      <c r="L5635" s="1" t="s">
        <v>6076</v>
      </c>
      <c r="M5635">
        <f t="shared" si="175"/>
        <v>22</v>
      </c>
    </row>
    <row r="5636" spans="1:13" x14ac:dyDescent="0.3">
      <c r="A5636" t="s">
        <v>12519</v>
      </c>
      <c r="B5636" t="s">
        <v>12697</v>
      </c>
      <c r="C5636" t="s">
        <v>12520</v>
      </c>
      <c r="E5636" s="1" t="s">
        <v>6076</v>
      </c>
      <c r="F5636" s="1" t="s">
        <v>6076</v>
      </c>
      <c r="G5636" s="1" t="s">
        <v>12897</v>
      </c>
      <c r="H5636">
        <v>2016</v>
      </c>
      <c r="I5636">
        <v>2016</v>
      </c>
      <c r="J5636">
        <f t="shared" si="174"/>
        <v>1</v>
      </c>
      <c r="K5636" s="1" t="s">
        <v>6076</v>
      </c>
      <c r="L5636" s="1" t="s">
        <v>6076</v>
      </c>
      <c r="M5636">
        <f t="shared" si="175"/>
        <v>10</v>
      </c>
    </row>
    <row r="5637" spans="1:13" x14ac:dyDescent="0.3">
      <c r="A5637" t="s">
        <v>12521</v>
      </c>
      <c r="B5637" t="s">
        <v>12697</v>
      </c>
      <c r="C5637" t="s">
        <v>12522</v>
      </c>
      <c r="E5637" s="1" t="s">
        <v>6076</v>
      </c>
      <c r="F5637" s="1" t="s">
        <v>6076</v>
      </c>
      <c r="G5637" s="1" t="s">
        <v>12897</v>
      </c>
      <c r="H5637">
        <v>1998</v>
      </c>
      <c r="I5637">
        <v>2000</v>
      </c>
      <c r="J5637">
        <f t="shared" si="174"/>
        <v>3</v>
      </c>
      <c r="K5637" s="1" t="s">
        <v>6076</v>
      </c>
      <c r="L5637" s="1" t="s">
        <v>6076</v>
      </c>
      <c r="M5637">
        <f t="shared" si="175"/>
        <v>26</v>
      </c>
    </row>
    <row r="5638" spans="1:13" x14ac:dyDescent="0.3">
      <c r="A5638" t="s">
        <v>12523</v>
      </c>
      <c r="B5638" t="s">
        <v>12697</v>
      </c>
      <c r="C5638" t="s">
        <v>12524</v>
      </c>
      <c r="E5638" s="1" t="s">
        <v>6076</v>
      </c>
      <c r="F5638" s="1" t="s">
        <v>6076</v>
      </c>
      <c r="G5638" s="1" t="s">
        <v>12897</v>
      </c>
      <c r="H5638">
        <v>1998</v>
      </c>
      <c r="I5638">
        <v>2015</v>
      </c>
      <c r="J5638">
        <f t="shared" ref="J5638:J5701" si="176">1+(I5638-H5638)</f>
        <v>18</v>
      </c>
      <c r="K5638" s="1" t="s">
        <v>6076</v>
      </c>
      <c r="L5638" s="1" t="s">
        <v>6076</v>
      </c>
      <c r="M5638">
        <f t="shared" ref="M5638:M5701" si="177">IF(I5638=0,0,$B$2-I5638)</f>
        <v>11</v>
      </c>
    </row>
    <row r="5639" spans="1:13" x14ac:dyDescent="0.3">
      <c r="A5639" t="s">
        <v>12525</v>
      </c>
      <c r="B5639" t="s">
        <v>12697</v>
      </c>
      <c r="C5639" t="s">
        <v>12526</v>
      </c>
      <c r="E5639" s="1" t="s">
        <v>6076</v>
      </c>
      <c r="F5639" s="1" t="s">
        <v>6076</v>
      </c>
      <c r="G5639" s="1" t="s">
        <v>12897</v>
      </c>
      <c r="H5639">
        <v>2001</v>
      </c>
      <c r="I5639">
        <v>2001</v>
      </c>
      <c r="J5639">
        <f t="shared" si="176"/>
        <v>1</v>
      </c>
      <c r="K5639" s="1" t="s">
        <v>6076</v>
      </c>
      <c r="L5639" s="1" t="s">
        <v>6076</v>
      </c>
      <c r="M5639">
        <f t="shared" si="177"/>
        <v>25</v>
      </c>
    </row>
    <row r="5640" spans="1:13" x14ac:dyDescent="0.3">
      <c r="A5640" t="s">
        <v>12527</v>
      </c>
      <c r="B5640" t="s">
        <v>12697</v>
      </c>
      <c r="C5640" t="s">
        <v>12528</v>
      </c>
      <c r="E5640" s="1" t="s">
        <v>6076</v>
      </c>
      <c r="F5640" s="1" t="s">
        <v>6076</v>
      </c>
      <c r="G5640" s="1" t="s">
        <v>12897</v>
      </c>
      <c r="H5640">
        <v>2017</v>
      </c>
      <c r="I5640">
        <v>2018</v>
      </c>
      <c r="J5640">
        <f t="shared" si="176"/>
        <v>2</v>
      </c>
      <c r="K5640" s="1" t="s">
        <v>6076</v>
      </c>
      <c r="L5640" s="1" t="s">
        <v>6076</v>
      </c>
      <c r="M5640">
        <f t="shared" si="177"/>
        <v>8</v>
      </c>
    </row>
    <row r="5641" spans="1:13" x14ac:dyDescent="0.3">
      <c r="A5641" t="s">
        <v>12529</v>
      </c>
      <c r="B5641" t="s">
        <v>12697</v>
      </c>
      <c r="C5641" t="s">
        <v>12530</v>
      </c>
      <c r="E5641" s="1" t="s">
        <v>6076</v>
      </c>
      <c r="F5641" s="1" t="s">
        <v>6076</v>
      </c>
      <c r="G5641" s="1" t="s">
        <v>12897</v>
      </c>
      <c r="H5641">
        <v>2017</v>
      </c>
      <c r="I5641">
        <v>2019</v>
      </c>
      <c r="J5641">
        <f t="shared" si="176"/>
        <v>3</v>
      </c>
      <c r="K5641" s="1" t="s">
        <v>6076</v>
      </c>
      <c r="L5641" s="1" t="s">
        <v>6076</v>
      </c>
      <c r="M5641">
        <f t="shared" si="177"/>
        <v>7</v>
      </c>
    </row>
    <row r="5642" spans="1:13" x14ac:dyDescent="0.3">
      <c r="A5642" t="s">
        <v>12531</v>
      </c>
      <c r="B5642" t="s">
        <v>12697</v>
      </c>
      <c r="C5642" t="s">
        <v>12532</v>
      </c>
      <c r="E5642" s="1" t="s">
        <v>6076</v>
      </c>
      <c r="F5642" s="1" t="s">
        <v>6076</v>
      </c>
      <c r="G5642" s="1" t="s">
        <v>12897</v>
      </c>
      <c r="H5642">
        <v>2016</v>
      </c>
      <c r="I5642">
        <v>2019</v>
      </c>
      <c r="J5642">
        <f t="shared" si="176"/>
        <v>4</v>
      </c>
      <c r="K5642" s="1" t="s">
        <v>6076</v>
      </c>
      <c r="L5642" s="1" t="s">
        <v>6076</v>
      </c>
      <c r="M5642">
        <f t="shared" si="177"/>
        <v>7</v>
      </c>
    </row>
    <row r="5643" spans="1:13" x14ac:dyDescent="0.3">
      <c r="A5643" t="s">
        <v>12533</v>
      </c>
      <c r="B5643" t="s">
        <v>12697</v>
      </c>
      <c r="C5643" t="s">
        <v>12534</v>
      </c>
      <c r="E5643" s="1" t="s">
        <v>6076</v>
      </c>
      <c r="F5643" s="1" t="s">
        <v>6076</v>
      </c>
      <c r="G5643" s="1" t="s">
        <v>12897</v>
      </c>
      <c r="H5643">
        <v>2013</v>
      </c>
      <c r="I5643">
        <v>2016</v>
      </c>
      <c r="J5643">
        <f t="shared" si="176"/>
        <v>4</v>
      </c>
      <c r="K5643" s="1" t="s">
        <v>6076</v>
      </c>
      <c r="L5643" s="1" t="s">
        <v>6076</v>
      </c>
      <c r="M5643">
        <f t="shared" si="177"/>
        <v>10</v>
      </c>
    </row>
    <row r="5644" spans="1:13" x14ac:dyDescent="0.3">
      <c r="A5644" t="s">
        <v>12535</v>
      </c>
      <c r="B5644" t="s">
        <v>12697</v>
      </c>
      <c r="C5644" t="s">
        <v>12536</v>
      </c>
      <c r="E5644" s="1" t="s">
        <v>6076</v>
      </c>
      <c r="F5644" s="1" t="s">
        <v>6076</v>
      </c>
      <c r="G5644" s="1" t="s">
        <v>12897</v>
      </c>
      <c r="H5644">
        <v>2014</v>
      </c>
      <c r="I5644">
        <v>2019</v>
      </c>
      <c r="J5644">
        <f t="shared" si="176"/>
        <v>6</v>
      </c>
      <c r="K5644" s="1" t="s">
        <v>6076</v>
      </c>
      <c r="L5644" s="1" t="s">
        <v>6076</v>
      </c>
      <c r="M5644">
        <f t="shared" si="177"/>
        <v>7</v>
      </c>
    </row>
    <row r="5645" spans="1:13" x14ac:dyDescent="0.3">
      <c r="A5645" t="s">
        <v>12537</v>
      </c>
      <c r="B5645" t="s">
        <v>12697</v>
      </c>
      <c r="C5645" t="s">
        <v>12538</v>
      </c>
      <c r="E5645" s="1" t="s">
        <v>6076</v>
      </c>
      <c r="F5645" s="1" t="s">
        <v>6076</v>
      </c>
      <c r="G5645" s="1" t="s">
        <v>12898</v>
      </c>
      <c r="H5645">
        <v>2008</v>
      </c>
      <c r="I5645">
        <v>2009</v>
      </c>
      <c r="J5645">
        <f t="shared" si="176"/>
        <v>2</v>
      </c>
      <c r="K5645" s="1" t="s">
        <v>6076</v>
      </c>
      <c r="L5645" s="1" t="s">
        <v>6076</v>
      </c>
      <c r="M5645">
        <f t="shared" si="177"/>
        <v>17</v>
      </c>
    </row>
    <row r="5646" spans="1:13" x14ac:dyDescent="0.3">
      <c r="A5646" t="s">
        <v>12539</v>
      </c>
      <c r="B5646" t="s">
        <v>12697</v>
      </c>
      <c r="C5646" t="s">
        <v>12540</v>
      </c>
      <c r="E5646" s="1" t="s">
        <v>6076</v>
      </c>
      <c r="F5646" s="1" t="s">
        <v>6076</v>
      </c>
      <c r="G5646" s="1" t="s">
        <v>12898</v>
      </c>
      <c r="H5646">
        <v>2005</v>
      </c>
      <c r="I5646">
        <v>2009</v>
      </c>
      <c r="J5646">
        <f t="shared" si="176"/>
        <v>5</v>
      </c>
      <c r="K5646" s="1" t="s">
        <v>6076</v>
      </c>
      <c r="L5646" s="1" t="s">
        <v>6076</v>
      </c>
      <c r="M5646">
        <f t="shared" si="177"/>
        <v>17</v>
      </c>
    </row>
    <row r="5647" spans="1:13" x14ac:dyDescent="0.3">
      <c r="A5647" t="s">
        <v>12541</v>
      </c>
      <c r="B5647" t="s">
        <v>12697</v>
      </c>
      <c r="C5647" t="s">
        <v>12542</v>
      </c>
      <c r="E5647" s="1" t="s">
        <v>6076</v>
      </c>
      <c r="F5647" s="1" t="s">
        <v>6076</v>
      </c>
      <c r="G5647" s="1" t="s">
        <v>12898</v>
      </c>
      <c r="H5647">
        <v>2004</v>
      </c>
      <c r="I5647">
        <v>2011</v>
      </c>
      <c r="J5647">
        <f t="shared" si="176"/>
        <v>8</v>
      </c>
      <c r="K5647" s="1" t="s">
        <v>6076</v>
      </c>
      <c r="L5647" s="1" t="s">
        <v>6076</v>
      </c>
      <c r="M5647">
        <f t="shared" si="177"/>
        <v>15</v>
      </c>
    </row>
    <row r="5648" spans="1:13" x14ac:dyDescent="0.3">
      <c r="A5648" t="s">
        <v>12543</v>
      </c>
      <c r="B5648" t="s">
        <v>12697</v>
      </c>
      <c r="C5648" t="s">
        <v>12544</v>
      </c>
      <c r="E5648" s="1" t="s">
        <v>6076</v>
      </c>
      <c r="F5648" s="1" t="s">
        <v>6076</v>
      </c>
      <c r="G5648" s="1" t="s">
        <v>12899</v>
      </c>
      <c r="H5648">
        <v>2017</v>
      </c>
      <c r="I5648">
        <v>2018</v>
      </c>
      <c r="J5648">
        <f t="shared" si="176"/>
        <v>2</v>
      </c>
      <c r="K5648" s="1" t="s">
        <v>6076</v>
      </c>
      <c r="L5648" s="1" t="s">
        <v>6076</v>
      </c>
      <c r="M5648">
        <f t="shared" si="177"/>
        <v>8</v>
      </c>
    </row>
    <row r="5649" spans="1:14" x14ac:dyDescent="0.3">
      <c r="A5649" t="s">
        <v>12545</v>
      </c>
      <c r="B5649" t="s">
        <v>12697</v>
      </c>
      <c r="C5649" t="s">
        <v>12546</v>
      </c>
      <c r="E5649" s="1" t="s">
        <v>6076</v>
      </c>
      <c r="F5649" s="1" t="s">
        <v>6076</v>
      </c>
      <c r="G5649" s="1" t="s">
        <v>12899</v>
      </c>
      <c r="H5649">
        <v>2017</v>
      </c>
      <c r="I5649">
        <v>2018</v>
      </c>
      <c r="J5649">
        <f t="shared" si="176"/>
        <v>2</v>
      </c>
      <c r="K5649" s="1" t="s">
        <v>6076</v>
      </c>
      <c r="L5649" s="1" t="s">
        <v>6076</v>
      </c>
      <c r="M5649">
        <f t="shared" si="177"/>
        <v>8</v>
      </c>
    </row>
    <row r="5650" spans="1:14" x14ac:dyDescent="0.3">
      <c r="A5650" t="s">
        <v>12547</v>
      </c>
      <c r="B5650" t="s">
        <v>12697</v>
      </c>
      <c r="C5650" t="s">
        <v>12548</v>
      </c>
      <c r="E5650" s="1" t="s">
        <v>6076</v>
      </c>
      <c r="F5650" s="1" t="s">
        <v>6076</v>
      </c>
      <c r="G5650" s="1" t="s">
        <v>12899</v>
      </c>
      <c r="H5650">
        <v>2015</v>
      </c>
      <c r="I5650">
        <v>2016</v>
      </c>
      <c r="J5650">
        <f t="shared" si="176"/>
        <v>2</v>
      </c>
      <c r="K5650" s="1" t="s">
        <v>6076</v>
      </c>
      <c r="L5650" s="1" t="s">
        <v>6076</v>
      </c>
      <c r="M5650">
        <f t="shared" si="177"/>
        <v>10</v>
      </c>
    </row>
    <row r="5651" spans="1:14" x14ac:dyDescent="0.3">
      <c r="A5651" t="s">
        <v>12549</v>
      </c>
      <c r="B5651" t="s">
        <v>12697</v>
      </c>
      <c r="C5651" t="s">
        <v>12550</v>
      </c>
      <c r="E5651" s="1" t="s">
        <v>6076</v>
      </c>
      <c r="F5651" s="1" t="s">
        <v>6076</v>
      </c>
      <c r="G5651" s="1" t="s">
        <v>12899</v>
      </c>
      <c r="H5651">
        <v>2015</v>
      </c>
      <c r="I5651">
        <v>2020</v>
      </c>
      <c r="J5651">
        <f t="shared" si="176"/>
        <v>6</v>
      </c>
      <c r="K5651" s="1" t="s">
        <v>6076</v>
      </c>
      <c r="L5651" s="1" t="s">
        <v>6076</v>
      </c>
      <c r="M5651">
        <f t="shared" si="177"/>
        <v>6</v>
      </c>
    </row>
    <row r="5652" spans="1:14" x14ac:dyDescent="0.3">
      <c r="A5652" t="s">
        <v>12551</v>
      </c>
      <c r="B5652" t="s">
        <v>12697</v>
      </c>
      <c r="C5652" t="s">
        <v>12552</v>
      </c>
      <c r="E5652" s="1" t="s">
        <v>6076</v>
      </c>
      <c r="F5652" s="1" t="s">
        <v>6076</v>
      </c>
      <c r="G5652" s="1" t="s">
        <v>12899</v>
      </c>
      <c r="H5652">
        <v>2012</v>
      </c>
      <c r="I5652">
        <v>2015</v>
      </c>
      <c r="J5652">
        <f t="shared" si="176"/>
        <v>4</v>
      </c>
      <c r="K5652" s="1" t="s">
        <v>6076</v>
      </c>
      <c r="L5652" s="1" t="s">
        <v>6076</v>
      </c>
      <c r="M5652">
        <f t="shared" si="177"/>
        <v>11</v>
      </c>
    </row>
    <row r="5653" spans="1:14" x14ac:dyDescent="0.3">
      <c r="A5653" t="s">
        <v>12553</v>
      </c>
      <c r="B5653" t="s">
        <v>12697</v>
      </c>
      <c r="C5653" t="s">
        <v>12554</v>
      </c>
      <c r="E5653" s="1" t="s">
        <v>6076</v>
      </c>
      <c r="F5653" s="1" t="s">
        <v>6076</v>
      </c>
      <c r="G5653" s="1" t="s">
        <v>12899</v>
      </c>
      <c r="H5653">
        <v>2015</v>
      </c>
      <c r="I5653">
        <v>2018</v>
      </c>
      <c r="J5653">
        <f t="shared" si="176"/>
        <v>4</v>
      </c>
      <c r="K5653" s="1" t="s">
        <v>6076</v>
      </c>
      <c r="L5653" s="1" t="s">
        <v>6076</v>
      </c>
      <c r="M5653">
        <f t="shared" si="177"/>
        <v>8</v>
      </c>
    </row>
    <row r="5654" spans="1:14" x14ac:dyDescent="0.3">
      <c r="A5654" t="s">
        <v>12555</v>
      </c>
      <c r="B5654" t="s">
        <v>12697</v>
      </c>
      <c r="C5654" t="s">
        <v>12556</v>
      </c>
      <c r="E5654" s="1" t="s">
        <v>6076</v>
      </c>
      <c r="F5654" s="1" t="s">
        <v>6076</v>
      </c>
      <c r="G5654" s="1" t="s">
        <v>12899</v>
      </c>
      <c r="H5654">
        <v>2012</v>
      </c>
      <c r="I5654">
        <v>2015</v>
      </c>
      <c r="J5654">
        <f t="shared" si="176"/>
        <v>4</v>
      </c>
      <c r="K5654" s="1" t="s">
        <v>6076</v>
      </c>
      <c r="L5654" s="1" t="s">
        <v>6076</v>
      </c>
      <c r="M5654">
        <f t="shared" si="177"/>
        <v>11</v>
      </c>
    </row>
    <row r="5655" spans="1:14" x14ac:dyDescent="0.3">
      <c r="A5655" t="s">
        <v>12557</v>
      </c>
      <c r="B5655" t="s">
        <v>12697</v>
      </c>
      <c r="C5655" t="s">
        <v>12558</v>
      </c>
      <c r="E5655" s="1" t="s">
        <v>6076</v>
      </c>
      <c r="F5655" s="1" t="s">
        <v>6076</v>
      </c>
      <c r="G5655" s="1" t="s">
        <v>12900</v>
      </c>
      <c r="H5655">
        <v>1997</v>
      </c>
      <c r="I5655">
        <v>2000</v>
      </c>
      <c r="J5655">
        <f t="shared" si="176"/>
        <v>4</v>
      </c>
      <c r="K5655" s="1" t="s">
        <v>6076</v>
      </c>
      <c r="L5655" s="1" t="s">
        <v>6076</v>
      </c>
      <c r="M5655">
        <f t="shared" si="177"/>
        <v>26</v>
      </c>
    </row>
    <row r="5656" spans="1:14" x14ac:dyDescent="0.3">
      <c r="A5656" t="s">
        <v>12559</v>
      </c>
      <c r="B5656" t="s">
        <v>12697</v>
      </c>
      <c r="C5656" t="s">
        <v>12560</v>
      </c>
      <c r="E5656" s="1" t="s">
        <v>6076</v>
      </c>
      <c r="F5656" s="1" t="s">
        <v>6076</v>
      </c>
      <c r="G5656" s="1" t="s">
        <v>12900</v>
      </c>
      <c r="H5656">
        <v>2001</v>
      </c>
      <c r="I5656">
        <v>2002</v>
      </c>
      <c r="J5656">
        <f t="shared" si="176"/>
        <v>2</v>
      </c>
      <c r="K5656" s="1" t="s">
        <v>6076</v>
      </c>
      <c r="L5656" s="1" t="s">
        <v>6076</v>
      </c>
      <c r="M5656">
        <f t="shared" si="177"/>
        <v>24</v>
      </c>
    </row>
    <row r="5657" spans="1:14" x14ac:dyDescent="0.3">
      <c r="A5657" t="s">
        <v>12561</v>
      </c>
      <c r="B5657" t="s">
        <v>12697</v>
      </c>
      <c r="C5657" t="s">
        <v>12562</v>
      </c>
      <c r="E5657" s="1" t="s">
        <v>6076</v>
      </c>
      <c r="F5657" s="1" t="s">
        <v>6076</v>
      </c>
      <c r="G5657" s="1" t="s">
        <v>12900</v>
      </c>
      <c r="H5657">
        <v>1998</v>
      </c>
      <c r="I5657">
        <v>2007</v>
      </c>
      <c r="J5657">
        <f t="shared" si="176"/>
        <v>10</v>
      </c>
      <c r="K5657" s="1" t="s">
        <v>6076</v>
      </c>
      <c r="L5657" s="1" t="s">
        <v>6076</v>
      </c>
      <c r="M5657">
        <f t="shared" si="177"/>
        <v>19</v>
      </c>
    </row>
    <row r="5658" spans="1:14" x14ac:dyDescent="0.3">
      <c r="A5658" t="s">
        <v>12563</v>
      </c>
      <c r="B5658" t="s">
        <v>12697</v>
      </c>
      <c r="C5658" t="s">
        <v>12564</v>
      </c>
      <c r="E5658" s="1" t="s">
        <v>6076</v>
      </c>
      <c r="F5658" s="1" t="s">
        <v>6076</v>
      </c>
      <c r="G5658" s="1" t="s">
        <v>12900</v>
      </c>
      <c r="H5658">
        <v>2004</v>
      </c>
      <c r="I5658">
        <v>2007</v>
      </c>
      <c r="J5658">
        <f t="shared" si="176"/>
        <v>4</v>
      </c>
      <c r="K5658" s="1" t="s">
        <v>6076</v>
      </c>
      <c r="L5658" s="1" t="s">
        <v>6076</v>
      </c>
      <c r="M5658">
        <f t="shared" si="177"/>
        <v>19</v>
      </c>
    </row>
    <row r="5659" spans="1:14" x14ac:dyDescent="0.3">
      <c r="A5659" t="s">
        <v>12565</v>
      </c>
      <c r="B5659" t="s">
        <v>12697</v>
      </c>
      <c r="C5659" t="s">
        <v>12566</v>
      </c>
      <c r="E5659" s="1" t="s">
        <v>6076</v>
      </c>
      <c r="F5659" s="1" t="s">
        <v>6076</v>
      </c>
      <c r="G5659" s="1" t="s">
        <v>12900</v>
      </c>
      <c r="H5659">
        <v>2002</v>
      </c>
      <c r="I5659">
        <v>2007</v>
      </c>
      <c r="J5659">
        <f t="shared" si="176"/>
        <v>6</v>
      </c>
      <c r="K5659" s="1" t="s">
        <v>6076</v>
      </c>
      <c r="L5659" s="1" t="s">
        <v>6076</v>
      </c>
      <c r="M5659">
        <f t="shared" si="177"/>
        <v>19</v>
      </c>
    </row>
    <row r="5660" spans="1:14" x14ac:dyDescent="0.3">
      <c r="A5660" t="s">
        <v>12567</v>
      </c>
      <c r="B5660" t="s">
        <v>12697</v>
      </c>
      <c r="C5660" t="s">
        <v>12568</v>
      </c>
      <c r="E5660" s="1" t="s">
        <v>6076</v>
      </c>
      <c r="F5660" s="1" t="s">
        <v>6076</v>
      </c>
      <c r="G5660" s="1" t="s">
        <v>12900</v>
      </c>
      <c r="H5660">
        <v>2000</v>
      </c>
      <c r="I5660">
        <v>2001</v>
      </c>
      <c r="J5660">
        <f t="shared" si="176"/>
        <v>2</v>
      </c>
      <c r="K5660" s="1" t="s">
        <v>6076</v>
      </c>
      <c r="L5660" s="1" t="s">
        <v>6076</v>
      </c>
      <c r="M5660">
        <f t="shared" si="177"/>
        <v>25</v>
      </c>
    </row>
    <row r="5661" spans="1:14" x14ac:dyDescent="0.3">
      <c r="A5661" t="s">
        <v>12569</v>
      </c>
      <c r="B5661" t="s">
        <v>12697</v>
      </c>
      <c r="C5661" t="s">
        <v>12570</v>
      </c>
      <c r="E5661" s="1" t="s">
        <v>6076</v>
      </c>
      <c r="F5661" s="1" t="s">
        <v>6076</v>
      </c>
      <c r="G5661" s="1" t="s">
        <v>12900</v>
      </c>
      <c r="H5661">
        <v>2001</v>
      </c>
      <c r="I5661">
        <v>2007</v>
      </c>
      <c r="J5661">
        <f t="shared" si="176"/>
        <v>7</v>
      </c>
      <c r="K5661" s="1" t="s">
        <v>6076</v>
      </c>
      <c r="L5661" s="1" t="s">
        <v>6076</v>
      </c>
      <c r="M5661">
        <f t="shared" si="177"/>
        <v>19</v>
      </c>
    </row>
    <row r="5662" spans="1:14" x14ac:dyDescent="0.3">
      <c r="A5662" t="s">
        <v>12571</v>
      </c>
      <c r="B5662" t="s">
        <v>12697</v>
      </c>
      <c r="C5662" t="s">
        <v>12572</v>
      </c>
      <c r="E5662" s="1" t="s">
        <v>6076</v>
      </c>
      <c r="F5662" s="1" t="s">
        <v>6076</v>
      </c>
      <c r="G5662" s="1" t="s">
        <v>12900</v>
      </c>
      <c r="H5662">
        <v>1997</v>
      </c>
      <c r="I5662">
        <v>2003</v>
      </c>
      <c r="J5662">
        <f t="shared" si="176"/>
        <v>7</v>
      </c>
      <c r="K5662" s="1" t="s">
        <v>6076</v>
      </c>
      <c r="L5662" s="1" t="s">
        <v>6076</v>
      </c>
      <c r="M5662">
        <f t="shared" si="177"/>
        <v>23</v>
      </c>
    </row>
    <row r="5663" spans="1:14" x14ac:dyDescent="0.3">
      <c r="A5663" t="s">
        <v>12573</v>
      </c>
      <c r="B5663" t="s">
        <v>12697</v>
      </c>
      <c r="C5663" t="s">
        <v>12574</v>
      </c>
      <c r="E5663" s="1" t="s">
        <v>6076</v>
      </c>
      <c r="F5663" s="1" t="s">
        <v>6076</v>
      </c>
      <c r="G5663" s="1" t="s">
        <v>12900</v>
      </c>
      <c r="H5663">
        <v>1997</v>
      </c>
      <c r="I5663">
        <v>2010</v>
      </c>
      <c r="J5663">
        <f t="shared" si="176"/>
        <v>14</v>
      </c>
      <c r="K5663" s="1" t="s">
        <v>6076</v>
      </c>
      <c r="L5663" s="1" t="s">
        <v>6076</v>
      </c>
      <c r="M5663">
        <f t="shared" si="177"/>
        <v>16</v>
      </c>
    </row>
    <row r="5664" spans="1:14" x14ac:dyDescent="0.3">
      <c r="A5664" s="1" t="s">
        <v>10307</v>
      </c>
      <c r="B5664" s="1" t="s">
        <v>810</v>
      </c>
      <c r="C5664" s="1" t="s">
        <v>10308</v>
      </c>
      <c r="D5664" s="1" t="s">
        <v>644</v>
      </c>
      <c r="E5664" s="1" t="s">
        <v>6076</v>
      </c>
      <c r="F5664" s="1" t="s">
        <v>6076</v>
      </c>
      <c r="G5664" s="1" t="s">
        <v>10309</v>
      </c>
      <c r="H5664">
        <v>1999</v>
      </c>
      <c r="I5664">
        <v>2002</v>
      </c>
      <c r="J5664">
        <f t="shared" si="176"/>
        <v>4</v>
      </c>
      <c r="K5664" s="1" t="s">
        <v>6076</v>
      </c>
      <c r="L5664" s="1" t="s">
        <v>6076</v>
      </c>
      <c r="M5664">
        <f t="shared" si="177"/>
        <v>24</v>
      </c>
      <c r="N5664" t="s">
        <v>640</v>
      </c>
    </row>
    <row r="5665" spans="1:14" x14ac:dyDescent="0.3">
      <c r="A5665" s="1" t="s">
        <v>10310</v>
      </c>
      <c r="B5665" s="1" t="s">
        <v>795</v>
      </c>
      <c r="C5665" s="1" t="s">
        <v>10311</v>
      </c>
      <c r="D5665" s="1" t="s">
        <v>738</v>
      </c>
      <c r="E5665" s="1" t="s">
        <v>6076</v>
      </c>
      <c r="F5665" s="1" t="s">
        <v>6076</v>
      </c>
      <c r="G5665" s="1" t="s">
        <v>4729</v>
      </c>
      <c r="H5665">
        <v>1994</v>
      </c>
      <c r="I5665">
        <v>1996</v>
      </c>
      <c r="J5665">
        <f t="shared" si="176"/>
        <v>3</v>
      </c>
      <c r="K5665" s="1" t="s">
        <v>6076</v>
      </c>
      <c r="L5665" s="1" t="s">
        <v>6076</v>
      </c>
      <c r="M5665">
        <f t="shared" si="177"/>
        <v>30</v>
      </c>
      <c r="N5665" t="s">
        <v>640</v>
      </c>
    </row>
    <row r="5666" spans="1:14" hidden="1" x14ac:dyDescent="0.3">
      <c r="A5666" s="1" t="s">
        <v>4727</v>
      </c>
      <c r="B5666" s="1" t="s">
        <v>795</v>
      </c>
      <c r="C5666" s="1" t="s">
        <v>4728</v>
      </c>
      <c r="D5666" s="1" t="s">
        <v>738</v>
      </c>
      <c r="E5666" s="1" t="s">
        <v>812</v>
      </c>
      <c r="F5666" s="1" t="s">
        <v>813</v>
      </c>
      <c r="G5666" s="1" t="s">
        <v>4729</v>
      </c>
      <c r="H5666">
        <v>1996</v>
      </c>
      <c r="I5666">
        <v>2004</v>
      </c>
      <c r="J5666">
        <f t="shared" si="176"/>
        <v>9</v>
      </c>
      <c r="K5666" s="1" t="s">
        <v>3665</v>
      </c>
      <c r="L5666" s="1" t="s">
        <v>666</v>
      </c>
      <c r="M5666">
        <f t="shared" si="177"/>
        <v>22</v>
      </c>
      <c r="N5666" t="s">
        <v>640</v>
      </c>
    </row>
    <row r="5667" spans="1:14" hidden="1" x14ac:dyDescent="0.3">
      <c r="A5667" s="1" t="s">
        <v>4730</v>
      </c>
      <c r="B5667" s="1" t="s">
        <v>795</v>
      </c>
      <c r="C5667" s="1" t="s">
        <v>4731</v>
      </c>
      <c r="D5667" s="1" t="s">
        <v>738</v>
      </c>
      <c r="E5667" s="1" t="s">
        <v>812</v>
      </c>
      <c r="F5667" s="1" t="s">
        <v>813</v>
      </c>
      <c r="G5667" s="1" t="s">
        <v>4729</v>
      </c>
      <c r="H5667">
        <v>2011</v>
      </c>
      <c r="I5667">
        <v>2011</v>
      </c>
      <c r="J5667">
        <f t="shared" si="176"/>
        <v>1</v>
      </c>
      <c r="K5667" s="1" t="s">
        <v>3665</v>
      </c>
      <c r="L5667" s="1" t="s">
        <v>666</v>
      </c>
      <c r="M5667">
        <f t="shared" si="177"/>
        <v>15</v>
      </c>
      <c r="N5667" t="s">
        <v>650</v>
      </c>
    </row>
    <row r="5668" spans="1:14" hidden="1" x14ac:dyDescent="0.3">
      <c r="A5668" s="1" t="s">
        <v>4732</v>
      </c>
      <c r="B5668" s="1" t="s">
        <v>795</v>
      </c>
      <c r="C5668" s="1" t="s">
        <v>4733</v>
      </c>
      <c r="D5668" s="1" t="s">
        <v>738</v>
      </c>
      <c r="E5668" s="1" t="s">
        <v>812</v>
      </c>
      <c r="F5668" s="1" t="s">
        <v>813</v>
      </c>
      <c r="G5668" s="1" t="s">
        <v>4729</v>
      </c>
      <c r="H5668">
        <v>2005</v>
      </c>
      <c r="I5668">
        <v>2005</v>
      </c>
      <c r="J5668">
        <f t="shared" si="176"/>
        <v>1</v>
      </c>
      <c r="K5668" s="1" t="s">
        <v>3665</v>
      </c>
      <c r="L5668" s="1" t="s">
        <v>666</v>
      </c>
      <c r="M5668">
        <f t="shared" si="177"/>
        <v>21</v>
      </c>
      <c r="N5668" t="s">
        <v>640</v>
      </c>
    </row>
    <row r="5669" spans="1:14" hidden="1" x14ac:dyDescent="0.3">
      <c r="A5669" s="1" t="s">
        <v>4734</v>
      </c>
      <c r="B5669" s="1" t="s">
        <v>795</v>
      </c>
      <c r="C5669" s="1" t="s">
        <v>4735</v>
      </c>
      <c r="D5669" s="1" t="s">
        <v>738</v>
      </c>
      <c r="E5669" s="1" t="s">
        <v>812</v>
      </c>
      <c r="F5669" s="1" t="s">
        <v>813</v>
      </c>
      <c r="G5669" s="1" t="s">
        <v>4729</v>
      </c>
      <c r="H5669">
        <v>2006</v>
      </c>
      <c r="I5669">
        <v>2011</v>
      </c>
      <c r="J5669">
        <f t="shared" si="176"/>
        <v>6</v>
      </c>
      <c r="K5669" s="1" t="s">
        <v>3665</v>
      </c>
      <c r="L5669" s="1" t="s">
        <v>666</v>
      </c>
      <c r="M5669">
        <f t="shared" si="177"/>
        <v>15</v>
      </c>
      <c r="N5669" t="s">
        <v>650</v>
      </c>
    </row>
    <row r="5670" spans="1:14" hidden="1" x14ac:dyDescent="0.3">
      <c r="A5670" s="1" t="s">
        <v>4736</v>
      </c>
      <c r="B5670" s="1" t="s">
        <v>795</v>
      </c>
      <c r="C5670" s="1" t="s">
        <v>4737</v>
      </c>
      <c r="D5670" s="1" t="s">
        <v>738</v>
      </c>
      <c r="E5670" s="1" t="s">
        <v>812</v>
      </c>
      <c r="F5670" s="1" t="s">
        <v>813</v>
      </c>
      <c r="G5670" s="1" t="s">
        <v>4729</v>
      </c>
      <c r="H5670">
        <v>2006</v>
      </c>
      <c r="I5670">
        <v>2011</v>
      </c>
      <c r="J5670">
        <f t="shared" si="176"/>
        <v>6</v>
      </c>
      <c r="K5670" s="1" t="s">
        <v>3665</v>
      </c>
      <c r="L5670" s="1" t="s">
        <v>666</v>
      </c>
      <c r="M5670">
        <f t="shared" si="177"/>
        <v>15</v>
      </c>
      <c r="N5670" t="s">
        <v>650</v>
      </c>
    </row>
    <row r="5671" spans="1:14" hidden="1" x14ac:dyDescent="0.3">
      <c r="A5671" s="1" t="s">
        <v>4738</v>
      </c>
      <c r="B5671" s="1" t="s">
        <v>795</v>
      </c>
      <c r="C5671" s="1" t="s">
        <v>4739</v>
      </c>
      <c r="D5671" s="1" t="s">
        <v>738</v>
      </c>
      <c r="E5671" s="1" t="s">
        <v>812</v>
      </c>
      <c r="F5671" s="1" t="s">
        <v>813</v>
      </c>
      <c r="G5671" s="1" t="s">
        <v>4729</v>
      </c>
      <c r="H5671">
        <v>2005</v>
      </c>
      <c r="I5671">
        <v>2005</v>
      </c>
      <c r="J5671">
        <f t="shared" si="176"/>
        <v>1</v>
      </c>
      <c r="K5671" s="1" t="s">
        <v>3665</v>
      </c>
      <c r="L5671" s="1" t="s">
        <v>666</v>
      </c>
      <c r="M5671">
        <f t="shared" si="177"/>
        <v>21</v>
      </c>
      <c r="N5671" t="s">
        <v>640</v>
      </c>
    </row>
    <row r="5672" spans="1:14" hidden="1" x14ac:dyDescent="0.3">
      <c r="A5672" s="1" t="s">
        <v>4740</v>
      </c>
      <c r="B5672" s="1" t="s">
        <v>795</v>
      </c>
      <c r="C5672" s="1" t="s">
        <v>4741</v>
      </c>
      <c r="D5672" s="1" t="s">
        <v>738</v>
      </c>
      <c r="E5672" s="1" t="s">
        <v>812</v>
      </c>
      <c r="F5672" s="1" t="s">
        <v>813</v>
      </c>
      <c r="G5672" s="1" t="s">
        <v>4729</v>
      </c>
      <c r="H5672">
        <v>2005</v>
      </c>
      <c r="I5672">
        <v>2005</v>
      </c>
      <c r="J5672">
        <f t="shared" si="176"/>
        <v>1</v>
      </c>
      <c r="K5672" s="1" t="s">
        <v>3665</v>
      </c>
      <c r="L5672" s="1" t="s">
        <v>666</v>
      </c>
      <c r="M5672">
        <f t="shared" si="177"/>
        <v>21</v>
      </c>
      <c r="N5672" t="s">
        <v>640</v>
      </c>
    </row>
    <row r="5673" spans="1:14" hidden="1" x14ac:dyDescent="0.3">
      <c r="A5673" s="1" t="s">
        <v>4742</v>
      </c>
      <c r="B5673" s="1" t="s">
        <v>795</v>
      </c>
      <c r="C5673" s="1" t="s">
        <v>4743</v>
      </c>
      <c r="D5673" s="1" t="s">
        <v>738</v>
      </c>
      <c r="E5673" s="1" t="s">
        <v>812</v>
      </c>
      <c r="F5673" s="1" t="s">
        <v>813</v>
      </c>
      <c r="G5673" s="1" t="s">
        <v>4729</v>
      </c>
      <c r="H5673">
        <v>2005</v>
      </c>
      <c r="I5673">
        <v>2005</v>
      </c>
      <c r="J5673">
        <f t="shared" si="176"/>
        <v>1</v>
      </c>
      <c r="K5673" s="1" t="s">
        <v>3665</v>
      </c>
      <c r="L5673" s="1" t="s">
        <v>666</v>
      </c>
      <c r="M5673">
        <f t="shared" si="177"/>
        <v>21</v>
      </c>
      <c r="N5673" t="s">
        <v>640</v>
      </c>
    </row>
    <row r="5674" spans="1:14" hidden="1" x14ac:dyDescent="0.3">
      <c r="A5674" s="1" t="s">
        <v>4744</v>
      </c>
      <c r="B5674" s="1" t="s">
        <v>795</v>
      </c>
      <c r="C5674" s="1" t="s">
        <v>4745</v>
      </c>
      <c r="D5674" s="1" t="s">
        <v>738</v>
      </c>
      <c r="E5674" s="1" t="s">
        <v>812</v>
      </c>
      <c r="F5674" s="1" t="s">
        <v>813</v>
      </c>
      <c r="G5674" s="1" t="s">
        <v>4729</v>
      </c>
      <c r="H5674">
        <v>2005</v>
      </c>
      <c r="I5674">
        <v>2005</v>
      </c>
      <c r="J5674">
        <f t="shared" si="176"/>
        <v>1</v>
      </c>
      <c r="K5674" s="1" t="s">
        <v>3665</v>
      </c>
      <c r="L5674" s="1" t="s">
        <v>666</v>
      </c>
      <c r="M5674">
        <f t="shared" si="177"/>
        <v>21</v>
      </c>
      <c r="N5674" t="s">
        <v>640</v>
      </c>
    </row>
    <row r="5675" spans="1:14" hidden="1" x14ac:dyDescent="0.3">
      <c r="A5675" s="1" t="s">
        <v>4746</v>
      </c>
      <c r="B5675" s="1" t="s">
        <v>795</v>
      </c>
      <c r="C5675" s="1" t="s">
        <v>4747</v>
      </c>
      <c r="D5675" s="1" t="s">
        <v>738</v>
      </c>
      <c r="E5675" s="1" t="s">
        <v>812</v>
      </c>
      <c r="F5675" s="1" t="s">
        <v>813</v>
      </c>
      <c r="G5675" s="1" t="s">
        <v>4729</v>
      </c>
      <c r="H5675">
        <v>2005</v>
      </c>
      <c r="I5675">
        <v>2005</v>
      </c>
      <c r="J5675">
        <f t="shared" si="176"/>
        <v>1</v>
      </c>
      <c r="K5675" s="1" t="s">
        <v>3665</v>
      </c>
      <c r="L5675" s="1" t="s">
        <v>666</v>
      </c>
      <c r="M5675">
        <f t="shared" si="177"/>
        <v>21</v>
      </c>
      <c r="N5675" t="s">
        <v>640</v>
      </c>
    </row>
    <row r="5676" spans="1:14" hidden="1" x14ac:dyDescent="0.3">
      <c r="A5676" s="1" t="s">
        <v>4748</v>
      </c>
      <c r="B5676" s="1" t="s">
        <v>795</v>
      </c>
      <c r="C5676" s="1" t="s">
        <v>4749</v>
      </c>
      <c r="D5676" s="1" t="s">
        <v>738</v>
      </c>
      <c r="E5676" s="1" t="s">
        <v>812</v>
      </c>
      <c r="F5676" s="1" t="s">
        <v>813</v>
      </c>
      <c r="G5676" s="1" t="s">
        <v>4729</v>
      </c>
      <c r="H5676">
        <v>2006</v>
      </c>
      <c r="I5676">
        <v>2009</v>
      </c>
      <c r="J5676">
        <f t="shared" si="176"/>
        <v>4</v>
      </c>
      <c r="K5676" s="1" t="s">
        <v>3665</v>
      </c>
      <c r="L5676" s="1" t="s">
        <v>666</v>
      </c>
      <c r="M5676">
        <f t="shared" si="177"/>
        <v>17</v>
      </c>
      <c r="N5676" t="s">
        <v>650</v>
      </c>
    </row>
    <row r="5677" spans="1:14" x14ac:dyDescent="0.3">
      <c r="A5677" s="1" t="s">
        <v>10312</v>
      </c>
      <c r="B5677" s="1" t="s">
        <v>795</v>
      </c>
      <c r="C5677" s="1" t="s">
        <v>10313</v>
      </c>
      <c r="D5677" s="1" t="s">
        <v>738</v>
      </c>
      <c r="E5677" s="1" t="s">
        <v>6076</v>
      </c>
      <c r="F5677" s="1" t="s">
        <v>6076</v>
      </c>
      <c r="G5677" s="1" t="s">
        <v>4729</v>
      </c>
      <c r="H5677">
        <v>2004</v>
      </c>
      <c r="I5677">
        <v>2005</v>
      </c>
      <c r="J5677">
        <f t="shared" si="176"/>
        <v>2</v>
      </c>
      <c r="K5677" s="1" t="s">
        <v>6076</v>
      </c>
      <c r="L5677" s="1" t="s">
        <v>6076</v>
      </c>
      <c r="M5677">
        <f t="shared" si="177"/>
        <v>21</v>
      </c>
      <c r="N5677" t="s">
        <v>640</v>
      </c>
    </row>
    <row r="5678" spans="1:14" hidden="1" x14ac:dyDescent="0.3">
      <c r="A5678" s="1" t="s">
        <v>4750</v>
      </c>
      <c r="B5678" s="1" t="s">
        <v>795</v>
      </c>
      <c r="C5678" s="1" t="s">
        <v>4751</v>
      </c>
      <c r="D5678" s="1" t="s">
        <v>738</v>
      </c>
      <c r="E5678" s="1" t="s">
        <v>812</v>
      </c>
      <c r="F5678" s="1" t="s">
        <v>813</v>
      </c>
      <c r="G5678" s="1" t="s">
        <v>4729</v>
      </c>
      <c r="H5678">
        <v>2007</v>
      </c>
      <c r="I5678">
        <v>2011</v>
      </c>
      <c r="J5678">
        <f t="shared" si="176"/>
        <v>5</v>
      </c>
      <c r="K5678" s="1" t="s">
        <v>3665</v>
      </c>
      <c r="L5678" s="1" t="s">
        <v>666</v>
      </c>
      <c r="M5678">
        <f t="shared" si="177"/>
        <v>15</v>
      </c>
      <c r="N5678" t="s">
        <v>650</v>
      </c>
    </row>
    <row r="5679" spans="1:14" hidden="1" x14ac:dyDescent="0.3">
      <c r="A5679" s="1" t="s">
        <v>4752</v>
      </c>
      <c r="B5679" s="1" t="s">
        <v>795</v>
      </c>
      <c r="C5679" s="1" t="s">
        <v>4753</v>
      </c>
      <c r="D5679" s="1" t="s">
        <v>738</v>
      </c>
      <c r="E5679" s="1" t="s">
        <v>812</v>
      </c>
      <c r="F5679" s="1" t="s">
        <v>813</v>
      </c>
      <c r="G5679" s="1" t="s">
        <v>4729</v>
      </c>
      <c r="H5679">
        <v>2007</v>
      </c>
      <c r="I5679">
        <v>2011</v>
      </c>
      <c r="J5679">
        <f t="shared" si="176"/>
        <v>5</v>
      </c>
      <c r="K5679" s="1" t="s">
        <v>3665</v>
      </c>
      <c r="L5679" s="1" t="s">
        <v>666</v>
      </c>
      <c r="M5679">
        <f t="shared" si="177"/>
        <v>15</v>
      </c>
      <c r="N5679" t="s">
        <v>650</v>
      </c>
    </row>
    <row r="5680" spans="1:14" x14ac:dyDescent="0.3">
      <c r="A5680" s="1" t="s">
        <v>10314</v>
      </c>
      <c r="B5680" s="1" t="s">
        <v>795</v>
      </c>
      <c r="C5680" s="1" t="s">
        <v>10315</v>
      </c>
      <c r="D5680" s="1" t="s">
        <v>738</v>
      </c>
      <c r="E5680" s="1" t="s">
        <v>6076</v>
      </c>
      <c r="F5680" s="1" t="s">
        <v>6076</v>
      </c>
      <c r="G5680" s="1" t="s">
        <v>4729</v>
      </c>
      <c r="H5680">
        <v>1997</v>
      </c>
      <c r="I5680">
        <v>2003</v>
      </c>
      <c r="J5680">
        <f t="shared" si="176"/>
        <v>7</v>
      </c>
      <c r="K5680" s="1" t="s">
        <v>6076</v>
      </c>
      <c r="L5680" s="1" t="s">
        <v>6076</v>
      </c>
      <c r="M5680">
        <f t="shared" si="177"/>
        <v>23</v>
      </c>
      <c r="N5680" t="s">
        <v>640</v>
      </c>
    </row>
    <row r="5681" spans="1:14" x14ac:dyDescent="0.3">
      <c r="A5681" s="1" t="s">
        <v>10316</v>
      </c>
      <c r="B5681" s="1" t="s">
        <v>795</v>
      </c>
      <c r="C5681" s="1" t="s">
        <v>10317</v>
      </c>
      <c r="D5681" s="1" t="s">
        <v>738</v>
      </c>
      <c r="E5681" s="1" t="s">
        <v>6076</v>
      </c>
      <c r="F5681" s="1" t="s">
        <v>6076</v>
      </c>
      <c r="G5681" s="1" t="s">
        <v>4729</v>
      </c>
      <c r="H5681">
        <v>2000</v>
      </c>
      <c r="I5681">
        <v>2001</v>
      </c>
      <c r="J5681">
        <f t="shared" si="176"/>
        <v>2</v>
      </c>
      <c r="K5681" s="1" t="s">
        <v>6076</v>
      </c>
      <c r="L5681" s="1" t="s">
        <v>6076</v>
      </c>
      <c r="M5681">
        <f t="shared" si="177"/>
        <v>25</v>
      </c>
      <c r="N5681" t="s">
        <v>640</v>
      </c>
    </row>
    <row r="5682" spans="1:14" x14ac:dyDescent="0.3">
      <c r="A5682" s="1" t="s">
        <v>10318</v>
      </c>
      <c r="B5682" s="1" t="s">
        <v>795</v>
      </c>
      <c r="C5682" s="1" t="s">
        <v>10319</v>
      </c>
      <c r="D5682" s="1" t="s">
        <v>738</v>
      </c>
      <c r="E5682" s="1" t="s">
        <v>6076</v>
      </c>
      <c r="F5682" s="1" t="s">
        <v>6076</v>
      </c>
      <c r="G5682" s="1" t="s">
        <v>4729</v>
      </c>
      <c r="H5682">
        <v>1999</v>
      </c>
      <c r="I5682">
        <v>2002</v>
      </c>
      <c r="J5682">
        <f t="shared" si="176"/>
        <v>4</v>
      </c>
      <c r="K5682" s="1" t="s">
        <v>6076</v>
      </c>
      <c r="L5682" s="1" t="s">
        <v>6076</v>
      </c>
      <c r="M5682">
        <f t="shared" si="177"/>
        <v>24</v>
      </c>
      <c r="N5682" t="s">
        <v>640</v>
      </c>
    </row>
    <row r="5683" spans="1:14" x14ac:dyDescent="0.3">
      <c r="A5683" s="1" t="s">
        <v>10320</v>
      </c>
      <c r="B5683" s="1" t="s">
        <v>795</v>
      </c>
      <c r="C5683" s="1" t="s">
        <v>10321</v>
      </c>
      <c r="D5683" s="1" t="s">
        <v>738</v>
      </c>
      <c r="E5683" s="1" t="s">
        <v>6076</v>
      </c>
      <c r="F5683" s="1" t="s">
        <v>6076</v>
      </c>
      <c r="G5683" s="1" t="s">
        <v>4729</v>
      </c>
      <c r="H5683">
        <v>1994</v>
      </c>
      <c r="I5683">
        <v>2004</v>
      </c>
      <c r="J5683">
        <f t="shared" si="176"/>
        <v>11</v>
      </c>
      <c r="K5683" s="1" t="s">
        <v>6076</v>
      </c>
      <c r="L5683" s="1" t="s">
        <v>6076</v>
      </c>
      <c r="M5683">
        <f t="shared" si="177"/>
        <v>22</v>
      </c>
      <c r="N5683" t="s">
        <v>640</v>
      </c>
    </row>
    <row r="5684" spans="1:14" x14ac:dyDescent="0.3">
      <c r="A5684" s="1" t="s">
        <v>10322</v>
      </c>
      <c r="B5684" s="1" t="s">
        <v>795</v>
      </c>
      <c r="C5684" s="1" t="s">
        <v>10323</v>
      </c>
      <c r="D5684" s="1" t="s">
        <v>738</v>
      </c>
      <c r="E5684" s="1" t="s">
        <v>6076</v>
      </c>
      <c r="F5684" s="1" t="s">
        <v>6076</v>
      </c>
      <c r="G5684" s="1" t="s">
        <v>4729</v>
      </c>
      <c r="H5684">
        <v>1994</v>
      </c>
      <c r="I5684">
        <v>1996</v>
      </c>
      <c r="J5684">
        <f t="shared" si="176"/>
        <v>3</v>
      </c>
      <c r="K5684" s="1" t="s">
        <v>6076</v>
      </c>
      <c r="L5684" s="1" t="s">
        <v>6076</v>
      </c>
      <c r="M5684">
        <f t="shared" si="177"/>
        <v>30</v>
      </c>
      <c r="N5684" t="s">
        <v>640</v>
      </c>
    </row>
    <row r="5685" spans="1:14" hidden="1" x14ac:dyDescent="0.3">
      <c r="A5685" s="1" t="s">
        <v>4754</v>
      </c>
      <c r="B5685" s="1" t="s">
        <v>795</v>
      </c>
      <c r="C5685" s="1" t="s">
        <v>4755</v>
      </c>
      <c r="D5685" s="1" t="s">
        <v>746</v>
      </c>
      <c r="E5685" s="1" t="s">
        <v>1358</v>
      </c>
      <c r="F5685" s="1" t="s">
        <v>1359</v>
      </c>
      <c r="G5685" s="1" t="s">
        <v>4729</v>
      </c>
      <c r="H5685">
        <v>2008</v>
      </c>
      <c r="I5685">
        <v>2011</v>
      </c>
      <c r="J5685">
        <f t="shared" si="176"/>
        <v>4</v>
      </c>
      <c r="K5685" s="1" t="s">
        <v>3665</v>
      </c>
      <c r="L5685" s="1" t="s">
        <v>666</v>
      </c>
      <c r="M5685">
        <f t="shared" si="177"/>
        <v>15</v>
      </c>
      <c r="N5685" t="s">
        <v>650</v>
      </c>
    </row>
    <row r="5686" spans="1:14" hidden="1" x14ac:dyDescent="0.3">
      <c r="A5686" s="1" t="s">
        <v>4756</v>
      </c>
      <c r="B5686" s="1" t="s">
        <v>795</v>
      </c>
      <c r="C5686" s="1" t="s">
        <v>4757</v>
      </c>
      <c r="D5686" s="1" t="s">
        <v>746</v>
      </c>
      <c r="E5686" s="1" t="s">
        <v>1358</v>
      </c>
      <c r="F5686" s="1" t="s">
        <v>1359</v>
      </c>
      <c r="G5686" s="1" t="s">
        <v>4729</v>
      </c>
      <c r="H5686">
        <v>2008</v>
      </c>
      <c r="I5686">
        <v>2011</v>
      </c>
      <c r="J5686">
        <f t="shared" si="176"/>
        <v>4</v>
      </c>
      <c r="K5686" s="1" t="s">
        <v>3665</v>
      </c>
      <c r="L5686" s="1" t="s">
        <v>666</v>
      </c>
      <c r="M5686">
        <f t="shared" si="177"/>
        <v>15</v>
      </c>
      <c r="N5686" t="s">
        <v>650</v>
      </c>
    </row>
    <row r="5687" spans="1:14" hidden="1" x14ac:dyDescent="0.3">
      <c r="A5687" s="1" t="s">
        <v>4758</v>
      </c>
      <c r="B5687" s="1" t="s">
        <v>795</v>
      </c>
      <c r="C5687" s="1" t="s">
        <v>4759</v>
      </c>
      <c r="D5687" s="1" t="s">
        <v>746</v>
      </c>
      <c r="E5687" s="1" t="s">
        <v>1358</v>
      </c>
      <c r="F5687" s="1" t="s">
        <v>1359</v>
      </c>
      <c r="G5687" s="1" t="s">
        <v>4729</v>
      </c>
      <c r="H5687">
        <v>2008</v>
      </c>
      <c r="I5687">
        <v>2011</v>
      </c>
      <c r="J5687">
        <f t="shared" si="176"/>
        <v>4</v>
      </c>
      <c r="K5687" s="1" t="s">
        <v>3665</v>
      </c>
      <c r="L5687" s="1" t="s">
        <v>666</v>
      </c>
      <c r="M5687">
        <f t="shared" si="177"/>
        <v>15</v>
      </c>
      <c r="N5687" t="s">
        <v>650</v>
      </c>
    </row>
    <row r="5688" spans="1:14" hidden="1" x14ac:dyDescent="0.3">
      <c r="A5688" s="1" t="s">
        <v>4760</v>
      </c>
      <c r="B5688" s="1" t="s">
        <v>795</v>
      </c>
      <c r="C5688" s="1" t="s">
        <v>4761</v>
      </c>
      <c r="D5688" s="1" t="s">
        <v>746</v>
      </c>
      <c r="E5688" s="1" t="s">
        <v>1358</v>
      </c>
      <c r="F5688" s="1" t="s">
        <v>1359</v>
      </c>
      <c r="G5688" s="1" t="s">
        <v>4729</v>
      </c>
      <c r="H5688">
        <v>2008</v>
      </c>
      <c r="I5688">
        <v>2011</v>
      </c>
      <c r="J5688">
        <f t="shared" si="176"/>
        <v>4</v>
      </c>
      <c r="K5688" s="1" t="s">
        <v>3665</v>
      </c>
      <c r="L5688" s="1" t="s">
        <v>666</v>
      </c>
      <c r="M5688">
        <f t="shared" si="177"/>
        <v>15</v>
      </c>
      <c r="N5688" t="s">
        <v>650</v>
      </c>
    </row>
    <row r="5689" spans="1:14" hidden="1" x14ac:dyDescent="0.3">
      <c r="A5689" s="1" t="s">
        <v>4762</v>
      </c>
      <c r="B5689" s="1" t="s">
        <v>1849</v>
      </c>
      <c r="C5689" s="1" t="s">
        <v>4763</v>
      </c>
      <c r="D5689" s="1" t="s">
        <v>746</v>
      </c>
      <c r="E5689" s="1" t="s">
        <v>1358</v>
      </c>
      <c r="F5689" s="1" t="s">
        <v>1359</v>
      </c>
      <c r="G5689" s="1" t="s">
        <v>4764</v>
      </c>
      <c r="H5689">
        <v>2012</v>
      </c>
      <c r="I5689">
        <v>2013</v>
      </c>
      <c r="J5689">
        <f t="shared" si="176"/>
        <v>2</v>
      </c>
      <c r="K5689" s="1" t="s">
        <v>3665</v>
      </c>
      <c r="L5689" s="1" t="s">
        <v>649</v>
      </c>
      <c r="M5689">
        <f t="shared" si="177"/>
        <v>13</v>
      </c>
      <c r="N5689" t="s">
        <v>650</v>
      </c>
    </row>
    <row r="5690" spans="1:14" hidden="1" x14ac:dyDescent="0.3">
      <c r="A5690" s="1" t="s">
        <v>5844</v>
      </c>
      <c r="B5690" s="1" t="s">
        <v>1849</v>
      </c>
      <c r="C5690" s="1" t="s">
        <v>5845</v>
      </c>
      <c r="D5690" s="1" t="s">
        <v>1395</v>
      </c>
      <c r="E5690" s="1" t="s">
        <v>4087</v>
      </c>
      <c r="F5690" s="1" t="s">
        <v>4088</v>
      </c>
      <c r="G5690" s="1" t="s">
        <v>5846</v>
      </c>
      <c r="H5690">
        <v>2012</v>
      </c>
      <c r="I5690">
        <v>2013</v>
      </c>
      <c r="J5690">
        <f t="shared" si="176"/>
        <v>2</v>
      </c>
      <c r="K5690" s="1" t="s">
        <v>4668</v>
      </c>
      <c r="L5690" s="1" t="s">
        <v>649</v>
      </c>
      <c r="M5690">
        <f t="shared" si="177"/>
        <v>13</v>
      </c>
      <c r="N5690" t="s">
        <v>650</v>
      </c>
    </row>
    <row r="5691" spans="1:14" x14ac:dyDescent="0.3">
      <c r="A5691" s="1" t="s">
        <v>10324</v>
      </c>
      <c r="B5691" s="1" t="s">
        <v>795</v>
      </c>
      <c r="C5691" s="1" t="s">
        <v>10325</v>
      </c>
      <c r="D5691" s="1" t="s">
        <v>1395</v>
      </c>
      <c r="E5691" s="1" t="s">
        <v>6076</v>
      </c>
      <c r="F5691" s="1" t="s">
        <v>6076</v>
      </c>
      <c r="G5691" s="1" t="s">
        <v>10326</v>
      </c>
      <c r="H5691">
        <v>1985</v>
      </c>
      <c r="I5691">
        <v>1995</v>
      </c>
      <c r="J5691">
        <f t="shared" si="176"/>
        <v>11</v>
      </c>
      <c r="K5691" s="1" t="s">
        <v>6076</v>
      </c>
      <c r="L5691" s="1" t="s">
        <v>6076</v>
      </c>
      <c r="M5691">
        <f t="shared" si="177"/>
        <v>31</v>
      </c>
      <c r="N5691" t="s">
        <v>640</v>
      </c>
    </row>
    <row r="5692" spans="1:14" x14ac:dyDescent="0.3">
      <c r="A5692" s="1" t="s">
        <v>10327</v>
      </c>
      <c r="B5692" s="1" t="s">
        <v>795</v>
      </c>
      <c r="C5692" s="1" t="s">
        <v>10328</v>
      </c>
      <c r="D5692" s="1" t="s">
        <v>1395</v>
      </c>
      <c r="E5692" s="1" t="s">
        <v>6076</v>
      </c>
      <c r="F5692" s="1" t="s">
        <v>6076</v>
      </c>
      <c r="G5692" s="1" t="s">
        <v>10326</v>
      </c>
      <c r="H5692">
        <v>1987</v>
      </c>
      <c r="I5692">
        <v>1996</v>
      </c>
      <c r="J5692">
        <f t="shared" si="176"/>
        <v>10</v>
      </c>
      <c r="K5692" s="1" t="s">
        <v>6076</v>
      </c>
      <c r="L5692" s="1" t="s">
        <v>6076</v>
      </c>
      <c r="M5692">
        <f t="shared" si="177"/>
        <v>30</v>
      </c>
      <c r="N5692" t="s">
        <v>640</v>
      </c>
    </row>
    <row r="5693" spans="1:14" x14ac:dyDescent="0.3">
      <c r="A5693" s="1" t="s">
        <v>10329</v>
      </c>
      <c r="B5693" s="1" t="s">
        <v>1451</v>
      </c>
      <c r="C5693" s="1" t="s">
        <v>10330</v>
      </c>
      <c r="D5693" s="1" t="s">
        <v>738</v>
      </c>
      <c r="E5693" s="1" t="s">
        <v>6076</v>
      </c>
      <c r="F5693" s="1" t="s">
        <v>6076</v>
      </c>
      <c r="G5693" s="1" t="s">
        <v>10331</v>
      </c>
      <c r="H5693">
        <v>1994</v>
      </c>
      <c r="I5693">
        <v>1996</v>
      </c>
      <c r="J5693">
        <f t="shared" si="176"/>
        <v>3</v>
      </c>
      <c r="K5693" s="1" t="s">
        <v>6076</v>
      </c>
      <c r="L5693" s="1" t="s">
        <v>6076</v>
      </c>
      <c r="M5693">
        <f t="shared" si="177"/>
        <v>30</v>
      </c>
      <c r="N5693" t="s">
        <v>640</v>
      </c>
    </row>
    <row r="5694" spans="1:14" x14ac:dyDescent="0.3">
      <c r="A5694" s="1" t="s">
        <v>10332</v>
      </c>
      <c r="B5694" s="1" t="s">
        <v>1451</v>
      </c>
      <c r="C5694" s="1" t="s">
        <v>10333</v>
      </c>
      <c r="D5694" s="1" t="s">
        <v>738</v>
      </c>
      <c r="E5694" s="1" t="s">
        <v>6076</v>
      </c>
      <c r="F5694" s="1" t="s">
        <v>6076</v>
      </c>
      <c r="G5694" s="1" t="s">
        <v>10331</v>
      </c>
      <c r="H5694">
        <v>1994</v>
      </c>
      <c r="I5694">
        <v>1996</v>
      </c>
      <c r="J5694">
        <f t="shared" si="176"/>
        <v>3</v>
      </c>
      <c r="K5694" s="1" t="s">
        <v>6076</v>
      </c>
      <c r="L5694" s="1" t="s">
        <v>6076</v>
      </c>
      <c r="M5694">
        <f t="shared" si="177"/>
        <v>30</v>
      </c>
      <c r="N5694" t="s">
        <v>640</v>
      </c>
    </row>
    <row r="5695" spans="1:14" x14ac:dyDescent="0.3">
      <c r="A5695" s="1" t="s">
        <v>10334</v>
      </c>
      <c r="B5695" s="1" t="s">
        <v>1451</v>
      </c>
      <c r="C5695" s="1" t="s">
        <v>10335</v>
      </c>
      <c r="D5695" s="1" t="s">
        <v>738</v>
      </c>
      <c r="E5695" s="1" t="s">
        <v>6076</v>
      </c>
      <c r="F5695" s="1" t="s">
        <v>6076</v>
      </c>
      <c r="G5695" s="1" t="s">
        <v>10331</v>
      </c>
      <c r="H5695">
        <v>1990</v>
      </c>
      <c r="I5695">
        <v>1992</v>
      </c>
      <c r="J5695">
        <f t="shared" si="176"/>
        <v>3</v>
      </c>
      <c r="K5695" s="1" t="s">
        <v>6076</v>
      </c>
      <c r="L5695" s="1" t="s">
        <v>6076</v>
      </c>
      <c r="M5695">
        <f t="shared" si="177"/>
        <v>34</v>
      </c>
      <c r="N5695" t="s">
        <v>640</v>
      </c>
    </row>
    <row r="5696" spans="1:14" x14ac:dyDescent="0.3">
      <c r="A5696" s="1" t="s">
        <v>10336</v>
      </c>
      <c r="B5696" s="1" t="s">
        <v>1451</v>
      </c>
      <c r="C5696" s="1" t="s">
        <v>10337</v>
      </c>
      <c r="D5696" s="1" t="s">
        <v>738</v>
      </c>
      <c r="E5696" s="1" t="s">
        <v>6076</v>
      </c>
      <c r="F5696" s="1" t="s">
        <v>6076</v>
      </c>
      <c r="G5696" s="1" t="s">
        <v>10331</v>
      </c>
      <c r="H5696">
        <v>1994</v>
      </c>
      <c r="I5696">
        <v>1996</v>
      </c>
      <c r="J5696">
        <f t="shared" si="176"/>
        <v>3</v>
      </c>
      <c r="K5696" s="1" t="s">
        <v>6076</v>
      </c>
      <c r="L5696" s="1" t="s">
        <v>6076</v>
      </c>
      <c r="M5696">
        <f t="shared" si="177"/>
        <v>30</v>
      </c>
      <c r="N5696" t="s">
        <v>640</v>
      </c>
    </row>
    <row r="5697" spans="1:14" x14ac:dyDescent="0.3">
      <c r="A5697" s="1" t="s">
        <v>10338</v>
      </c>
      <c r="B5697" s="1" t="s">
        <v>1451</v>
      </c>
      <c r="C5697" s="1" t="s">
        <v>10339</v>
      </c>
      <c r="D5697" s="1" t="s">
        <v>738</v>
      </c>
      <c r="E5697" s="1" t="s">
        <v>6076</v>
      </c>
      <c r="F5697" s="1" t="s">
        <v>6076</v>
      </c>
      <c r="G5697" s="1" t="s">
        <v>10331</v>
      </c>
      <c r="H5697">
        <v>1994</v>
      </c>
      <c r="I5697">
        <v>1996</v>
      </c>
      <c r="J5697">
        <f t="shared" si="176"/>
        <v>3</v>
      </c>
      <c r="K5697" s="1" t="s">
        <v>6076</v>
      </c>
      <c r="L5697" s="1" t="s">
        <v>6076</v>
      </c>
      <c r="M5697">
        <f t="shared" si="177"/>
        <v>30</v>
      </c>
      <c r="N5697" t="s">
        <v>640</v>
      </c>
    </row>
    <row r="5698" spans="1:14" x14ac:dyDescent="0.3">
      <c r="A5698" s="1" t="s">
        <v>10340</v>
      </c>
      <c r="B5698" s="1" t="s">
        <v>1451</v>
      </c>
      <c r="C5698" s="1" t="s">
        <v>10341</v>
      </c>
      <c r="D5698" s="1" t="s">
        <v>738</v>
      </c>
      <c r="E5698" s="1" t="s">
        <v>6076</v>
      </c>
      <c r="F5698" s="1" t="s">
        <v>6076</v>
      </c>
      <c r="G5698" s="1" t="s">
        <v>10331</v>
      </c>
      <c r="H5698">
        <v>1990</v>
      </c>
      <c r="I5698">
        <v>1992</v>
      </c>
      <c r="J5698">
        <f t="shared" si="176"/>
        <v>3</v>
      </c>
      <c r="K5698" s="1" t="s">
        <v>6076</v>
      </c>
      <c r="L5698" s="1" t="s">
        <v>6076</v>
      </c>
      <c r="M5698">
        <f t="shared" si="177"/>
        <v>34</v>
      </c>
      <c r="N5698" t="s">
        <v>640</v>
      </c>
    </row>
    <row r="5699" spans="1:14" x14ac:dyDescent="0.3">
      <c r="A5699" s="1" t="s">
        <v>10342</v>
      </c>
      <c r="B5699" s="1" t="s">
        <v>1451</v>
      </c>
      <c r="C5699" s="1" t="s">
        <v>10343</v>
      </c>
      <c r="D5699" s="1" t="s">
        <v>738</v>
      </c>
      <c r="E5699" s="1" t="s">
        <v>6076</v>
      </c>
      <c r="F5699" s="1" t="s">
        <v>6076</v>
      </c>
      <c r="G5699" s="1" t="s">
        <v>10331</v>
      </c>
      <c r="H5699">
        <v>1990</v>
      </c>
      <c r="I5699">
        <v>1992</v>
      </c>
      <c r="J5699">
        <f t="shared" si="176"/>
        <v>3</v>
      </c>
      <c r="K5699" s="1" t="s">
        <v>6076</v>
      </c>
      <c r="L5699" s="1" t="s">
        <v>6076</v>
      </c>
      <c r="M5699">
        <f t="shared" si="177"/>
        <v>34</v>
      </c>
      <c r="N5699" t="s">
        <v>640</v>
      </c>
    </row>
    <row r="5700" spans="1:14" x14ac:dyDescent="0.3">
      <c r="A5700" s="1" t="s">
        <v>10344</v>
      </c>
      <c r="B5700" s="1" t="s">
        <v>1451</v>
      </c>
      <c r="C5700" s="1" t="s">
        <v>10345</v>
      </c>
      <c r="D5700" s="1" t="s">
        <v>738</v>
      </c>
      <c r="E5700" s="1" t="s">
        <v>6076</v>
      </c>
      <c r="F5700" s="1" t="s">
        <v>6076</v>
      </c>
      <c r="G5700" s="1" t="s">
        <v>10331</v>
      </c>
      <c r="H5700">
        <v>1995</v>
      </c>
      <c r="I5700">
        <v>1996</v>
      </c>
      <c r="J5700">
        <f t="shared" si="176"/>
        <v>2</v>
      </c>
      <c r="K5700" s="1" t="s">
        <v>6076</v>
      </c>
      <c r="L5700" s="1" t="s">
        <v>6076</v>
      </c>
      <c r="M5700">
        <f t="shared" si="177"/>
        <v>30</v>
      </c>
      <c r="N5700" t="s">
        <v>640</v>
      </c>
    </row>
    <row r="5701" spans="1:14" hidden="1" x14ac:dyDescent="0.3">
      <c r="A5701" s="1" t="s">
        <v>3508</v>
      </c>
      <c r="B5701" s="1" t="s">
        <v>2154</v>
      </c>
      <c r="C5701" s="1" t="s">
        <v>3509</v>
      </c>
      <c r="D5701" s="1" t="s">
        <v>738</v>
      </c>
      <c r="E5701" s="1" t="s">
        <v>739</v>
      </c>
      <c r="F5701" s="1" t="s">
        <v>781</v>
      </c>
      <c r="G5701" s="1" t="s">
        <v>3510</v>
      </c>
      <c r="H5701">
        <v>2016</v>
      </c>
      <c r="I5701">
        <v>2022</v>
      </c>
      <c r="J5701">
        <f t="shared" si="176"/>
        <v>7</v>
      </c>
      <c r="K5701" s="1" t="s">
        <v>741</v>
      </c>
      <c r="L5701" s="1" t="s">
        <v>798</v>
      </c>
      <c r="M5701">
        <f t="shared" si="177"/>
        <v>4</v>
      </c>
      <c r="N5701" t="s">
        <v>650</v>
      </c>
    </row>
    <row r="5702" spans="1:14" hidden="1" x14ac:dyDescent="0.3">
      <c r="A5702" s="1" t="s">
        <v>3511</v>
      </c>
      <c r="B5702" s="1" t="s">
        <v>2154</v>
      </c>
      <c r="C5702" s="1" t="s">
        <v>3512</v>
      </c>
      <c r="D5702" s="1" t="s">
        <v>738</v>
      </c>
      <c r="E5702" s="1" t="s">
        <v>739</v>
      </c>
      <c r="F5702" s="1" t="s">
        <v>781</v>
      </c>
      <c r="G5702" s="1" t="s">
        <v>3510</v>
      </c>
      <c r="H5702">
        <v>2021</v>
      </c>
      <c r="I5702">
        <v>2022</v>
      </c>
      <c r="J5702">
        <f t="shared" ref="J5702:J5765" si="178">1+(I5702-H5702)</f>
        <v>2</v>
      </c>
      <c r="K5702" s="1" t="s">
        <v>741</v>
      </c>
      <c r="L5702" s="1" t="s">
        <v>798</v>
      </c>
      <c r="M5702">
        <f t="shared" ref="M5702:M5765" si="179">IF(I5702=0,0,$B$2-I5702)</f>
        <v>4</v>
      </c>
      <c r="N5702" t="s">
        <v>650</v>
      </c>
    </row>
    <row r="5703" spans="1:14" hidden="1" x14ac:dyDescent="0.3">
      <c r="A5703" s="1" t="s">
        <v>3513</v>
      </c>
      <c r="B5703" s="1" t="s">
        <v>2154</v>
      </c>
      <c r="C5703" s="1" t="s">
        <v>3514</v>
      </c>
      <c r="D5703" s="1" t="s">
        <v>738</v>
      </c>
      <c r="E5703" s="1" t="s">
        <v>739</v>
      </c>
      <c r="F5703" s="1" t="s">
        <v>781</v>
      </c>
      <c r="G5703" s="1" t="s">
        <v>3510</v>
      </c>
      <c r="H5703">
        <v>2021</v>
      </c>
      <c r="I5703">
        <v>2022</v>
      </c>
      <c r="J5703">
        <f t="shared" si="178"/>
        <v>2</v>
      </c>
      <c r="K5703" s="1" t="s">
        <v>741</v>
      </c>
      <c r="L5703" s="1" t="s">
        <v>798</v>
      </c>
      <c r="M5703">
        <f t="shared" si="179"/>
        <v>4</v>
      </c>
      <c r="N5703" t="s">
        <v>650</v>
      </c>
    </row>
    <row r="5704" spans="1:14" hidden="1" x14ac:dyDescent="0.3">
      <c r="A5704" s="1" t="s">
        <v>3515</v>
      </c>
      <c r="B5704" s="1" t="s">
        <v>2154</v>
      </c>
      <c r="C5704" s="1" t="s">
        <v>3516</v>
      </c>
      <c r="D5704" s="1" t="s">
        <v>738</v>
      </c>
      <c r="E5704" s="1" t="s">
        <v>739</v>
      </c>
      <c r="F5704" s="1" t="s">
        <v>781</v>
      </c>
      <c r="G5704" s="1" t="s">
        <v>3510</v>
      </c>
      <c r="H5704">
        <v>2016</v>
      </c>
      <c r="I5704">
        <v>2018</v>
      </c>
      <c r="J5704">
        <f t="shared" si="178"/>
        <v>3</v>
      </c>
      <c r="K5704" s="1" t="s">
        <v>741</v>
      </c>
      <c r="L5704" s="1" t="s">
        <v>798</v>
      </c>
      <c r="M5704">
        <f t="shared" si="179"/>
        <v>8</v>
      </c>
      <c r="N5704" t="s">
        <v>650</v>
      </c>
    </row>
    <row r="5705" spans="1:14" hidden="1" x14ac:dyDescent="0.3">
      <c r="A5705" s="1" t="s">
        <v>3517</v>
      </c>
      <c r="B5705" s="1" t="s">
        <v>2154</v>
      </c>
      <c r="C5705" s="1" t="s">
        <v>3518</v>
      </c>
      <c r="D5705" s="1" t="s">
        <v>738</v>
      </c>
      <c r="E5705" s="1" t="s">
        <v>739</v>
      </c>
      <c r="F5705" s="1" t="s">
        <v>781</v>
      </c>
      <c r="G5705" s="1" t="s">
        <v>3510</v>
      </c>
      <c r="H5705">
        <v>2012</v>
      </c>
      <c r="I5705">
        <v>2014</v>
      </c>
      <c r="J5705">
        <f t="shared" si="178"/>
        <v>3</v>
      </c>
      <c r="K5705" s="1" t="s">
        <v>741</v>
      </c>
      <c r="L5705" s="1" t="s">
        <v>798</v>
      </c>
      <c r="M5705">
        <f t="shared" si="179"/>
        <v>12</v>
      </c>
      <c r="N5705" t="s">
        <v>650</v>
      </c>
    </row>
    <row r="5706" spans="1:14" hidden="1" x14ac:dyDescent="0.3">
      <c r="A5706" s="1" t="s">
        <v>3519</v>
      </c>
      <c r="B5706" s="1" t="s">
        <v>2154</v>
      </c>
      <c r="C5706" s="1" t="s">
        <v>3520</v>
      </c>
      <c r="D5706" s="1" t="s">
        <v>738</v>
      </c>
      <c r="E5706" s="1" t="s">
        <v>739</v>
      </c>
      <c r="F5706" s="1" t="s">
        <v>781</v>
      </c>
      <c r="G5706" s="1" t="s">
        <v>3510</v>
      </c>
      <c r="H5706">
        <v>2016</v>
      </c>
      <c r="I5706">
        <v>2019</v>
      </c>
      <c r="J5706">
        <f t="shared" si="178"/>
        <v>4</v>
      </c>
      <c r="K5706" s="1" t="s">
        <v>741</v>
      </c>
      <c r="L5706" s="1" t="s">
        <v>798</v>
      </c>
      <c r="M5706">
        <f t="shared" si="179"/>
        <v>7</v>
      </c>
      <c r="N5706" t="s">
        <v>650</v>
      </c>
    </row>
    <row r="5707" spans="1:14" hidden="1" x14ac:dyDescent="0.3">
      <c r="A5707" s="1" t="s">
        <v>3521</v>
      </c>
      <c r="B5707" s="1" t="s">
        <v>2154</v>
      </c>
      <c r="C5707" s="1" t="s">
        <v>3522</v>
      </c>
      <c r="D5707" s="1" t="s">
        <v>738</v>
      </c>
      <c r="E5707" s="1" t="s">
        <v>739</v>
      </c>
      <c r="F5707" s="1" t="s">
        <v>781</v>
      </c>
      <c r="G5707" s="1" t="s">
        <v>3510</v>
      </c>
      <c r="H5707">
        <v>2021</v>
      </c>
      <c r="I5707">
        <v>2022</v>
      </c>
      <c r="J5707">
        <f t="shared" si="178"/>
        <v>2</v>
      </c>
      <c r="K5707" s="1" t="s">
        <v>741</v>
      </c>
      <c r="L5707" s="1" t="s">
        <v>798</v>
      </c>
      <c r="M5707">
        <f t="shared" si="179"/>
        <v>4</v>
      </c>
      <c r="N5707" t="s">
        <v>650</v>
      </c>
    </row>
    <row r="5708" spans="1:14" hidden="1" x14ac:dyDescent="0.3">
      <c r="A5708" s="1" t="s">
        <v>3523</v>
      </c>
      <c r="B5708" s="1" t="s">
        <v>2154</v>
      </c>
      <c r="C5708" s="1" t="s">
        <v>3524</v>
      </c>
      <c r="D5708" s="1" t="s">
        <v>738</v>
      </c>
      <c r="E5708" s="1" t="s">
        <v>739</v>
      </c>
      <c r="F5708" s="1" t="s">
        <v>781</v>
      </c>
      <c r="G5708" s="1" t="s">
        <v>3510</v>
      </c>
      <c r="H5708">
        <v>2021</v>
      </c>
      <c r="I5708">
        <v>2022</v>
      </c>
      <c r="J5708">
        <f t="shared" si="178"/>
        <v>2</v>
      </c>
      <c r="K5708" s="1" t="s">
        <v>741</v>
      </c>
      <c r="L5708" s="1" t="s">
        <v>798</v>
      </c>
      <c r="M5708">
        <f t="shared" si="179"/>
        <v>4</v>
      </c>
      <c r="N5708" t="s">
        <v>650</v>
      </c>
    </row>
    <row r="5709" spans="1:14" hidden="1" x14ac:dyDescent="0.3">
      <c r="A5709" s="1" t="s">
        <v>3525</v>
      </c>
      <c r="B5709" s="1" t="s">
        <v>2154</v>
      </c>
      <c r="C5709" s="1" t="s">
        <v>3526</v>
      </c>
      <c r="D5709" s="1" t="s">
        <v>738</v>
      </c>
      <c r="E5709" s="1" t="s">
        <v>739</v>
      </c>
      <c r="F5709" s="1" t="s">
        <v>781</v>
      </c>
      <c r="G5709" s="1" t="s">
        <v>3510</v>
      </c>
      <c r="H5709">
        <v>2012</v>
      </c>
      <c r="I5709">
        <v>2016</v>
      </c>
      <c r="J5709">
        <f t="shared" si="178"/>
        <v>5</v>
      </c>
      <c r="K5709" s="1" t="s">
        <v>741</v>
      </c>
      <c r="L5709" s="1" t="s">
        <v>798</v>
      </c>
      <c r="M5709">
        <f t="shared" si="179"/>
        <v>10</v>
      </c>
      <c r="N5709" t="s">
        <v>650</v>
      </c>
    </row>
    <row r="5710" spans="1:14" hidden="1" x14ac:dyDescent="0.3">
      <c r="A5710" s="1" t="s">
        <v>3527</v>
      </c>
      <c r="B5710" s="1" t="s">
        <v>2154</v>
      </c>
      <c r="C5710" s="1" t="s">
        <v>3528</v>
      </c>
      <c r="D5710" s="1" t="s">
        <v>738</v>
      </c>
      <c r="E5710" s="1" t="s">
        <v>739</v>
      </c>
      <c r="F5710" s="1" t="s">
        <v>781</v>
      </c>
      <c r="G5710" s="1" t="s">
        <v>3510</v>
      </c>
      <c r="H5710">
        <v>2017</v>
      </c>
      <c r="I5710">
        <v>2022</v>
      </c>
      <c r="J5710">
        <f t="shared" si="178"/>
        <v>6</v>
      </c>
      <c r="K5710" s="1" t="s">
        <v>741</v>
      </c>
      <c r="L5710" s="1" t="s">
        <v>798</v>
      </c>
      <c r="M5710">
        <f t="shared" si="179"/>
        <v>4</v>
      </c>
      <c r="N5710" t="s">
        <v>650</v>
      </c>
    </row>
    <row r="5711" spans="1:14" hidden="1" x14ac:dyDescent="0.3">
      <c r="A5711" s="1" t="s">
        <v>3529</v>
      </c>
      <c r="B5711" s="1" t="s">
        <v>2154</v>
      </c>
      <c r="C5711" s="1" t="s">
        <v>3530</v>
      </c>
      <c r="D5711" s="1" t="s">
        <v>738</v>
      </c>
      <c r="E5711" s="1" t="s">
        <v>739</v>
      </c>
      <c r="F5711" s="1" t="s">
        <v>781</v>
      </c>
      <c r="G5711" s="1" t="s">
        <v>3510</v>
      </c>
      <c r="H5711">
        <v>2016</v>
      </c>
      <c r="I5711">
        <v>2019</v>
      </c>
      <c r="J5711">
        <f t="shared" si="178"/>
        <v>4</v>
      </c>
      <c r="K5711" s="1" t="s">
        <v>741</v>
      </c>
      <c r="L5711" s="1" t="s">
        <v>798</v>
      </c>
      <c r="M5711">
        <f t="shared" si="179"/>
        <v>7</v>
      </c>
      <c r="N5711" t="s">
        <v>650</v>
      </c>
    </row>
    <row r="5712" spans="1:14" hidden="1" x14ac:dyDescent="0.3">
      <c r="A5712" s="1" t="s">
        <v>3531</v>
      </c>
      <c r="B5712" s="1" t="s">
        <v>2154</v>
      </c>
      <c r="C5712" s="1" t="s">
        <v>3532</v>
      </c>
      <c r="D5712" s="1" t="s">
        <v>738</v>
      </c>
      <c r="E5712" s="1" t="s">
        <v>739</v>
      </c>
      <c r="F5712" s="1" t="s">
        <v>781</v>
      </c>
      <c r="G5712" s="1" t="s">
        <v>3510</v>
      </c>
      <c r="H5712">
        <v>2019</v>
      </c>
      <c r="I5712">
        <v>2022</v>
      </c>
      <c r="J5712">
        <f t="shared" si="178"/>
        <v>4</v>
      </c>
      <c r="K5712" s="1" t="s">
        <v>741</v>
      </c>
      <c r="L5712" s="1" t="s">
        <v>798</v>
      </c>
      <c r="M5712">
        <f t="shared" si="179"/>
        <v>4</v>
      </c>
      <c r="N5712" t="s">
        <v>650</v>
      </c>
    </row>
    <row r="5713" spans="1:14" hidden="1" x14ac:dyDescent="0.3">
      <c r="A5713" s="1" t="s">
        <v>3533</v>
      </c>
      <c r="B5713" s="1" t="s">
        <v>2154</v>
      </c>
      <c r="C5713" s="1" t="s">
        <v>3534</v>
      </c>
      <c r="D5713" s="1" t="s">
        <v>738</v>
      </c>
      <c r="E5713" s="1" t="s">
        <v>739</v>
      </c>
      <c r="F5713" s="1" t="s">
        <v>781</v>
      </c>
      <c r="G5713" s="1" t="s">
        <v>3510</v>
      </c>
      <c r="H5713">
        <v>2020</v>
      </c>
      <c r="I5713">
        <v>2022</v>
      </c>
      <c r="J5713">
        <f t="shared" si="178"/>
        <v>3</v>
      </c>
      <c r="K5713" s="1" t="s">
        <v>741</v>
      </c>
      <c r="L5713" s="1" t="s">
        <v>798</v>
      </c>
      <c r="M5713">
        <f t="shared" si="179"/>
        <v>4</v>
      </c>
      <c r="N5713" t="s">
        <v>650</v>
      </c>
    </row>
    <row r="5714" spans="1:14" hidden="1" x14ac:dyDescent="0.3">
      <c r="A5714" t="s">
        <v>12130</v>
      </c>
      <c r="B5714" t="s">
        <v>2154</v>
      </c>
      <c r="C5714" t="s">
        <v>12131</v>
      </c>
      <c r="E5714" s="1" t="e">
        <v>#N/A</v>
      </c>
      <c r="F5714" s="1" t="e">
        <v>#N/A</v>
      </c>
      <c r="G5714" s="1" t="s">
        <v>3510</v>
      </c>
      <c r="H5714">
        <v>2025</v>
      </c>
      <c r="I5714">
        <v>2026</v>
      </c>
      <c r="J5714">
        <f t="shared" si="178"/>
        <v>2</v>
      </c>
      <c r="K5714" s="1" t="s">
        <v>741</v>
      </c>
      <c r="L5714" s="1" t="s">
        <v>649</v>
      </c>
      <c r="M5714">
        <f t="shared" si="179"/>
        <v>0</v>
      </c>
    </row>
    <row r="5715" spans="1:14" hidden="1" x14ac:dyDescent="0.3">
      <c r="A5715" s="1" t="s">
        <v>3535</v>
      </c>
      <c r="B5715" s="1" t="s">
        <v>2154</v>
      </c>
      <c r="C5715" s="1" t="s">
        <v>3536</v>
      </c>
      <c r="D5715" s="1" t="s">
        <v>738</v>
      </c>
      <c r="E5715" s="1" t="s">
        <v>739</v>
      </c>
      <c r="F5715" s="1" t="s">
        <v>781</v>
      </c>
      <c r="G5715" s="1" t="s">
        <v>3510</v>
      </c>
      <c r="H5715">
        <v>2012</v>
      </c>
      <c r="I5715">
        <v>2016</v>
      </c>
      <c r="J5715">
        <f t="shared" si="178"/>
        <v>5</v>
      </c>
      <c r="K5715" s="1" t="s">
        <v>741</v>
      </c>
      <c r="L5715" s="1" t="s">
        <v>798</v>
      </c>
      <c r="M5715">
        <f t="shared" si="179"/>
        <v>10</v>
      </c>
      <c r="N5715" t="s">
        <v>650</v>
      </c>
    </row>
    <row r="5716" spans="1:14" hidden="1" x14ac:dyDescent="0.3">
      <c r="A5716" s="1" t="s">
        <v>3537</v>
      </c>
      <c r="B5716" s="1" t="s">
        <v>2154</v>
      </c>
      <c r="C5716" s="1" t="s">
        <v>3538</v>
      </c>
      <c r="D5716" s="1" t="s">
        <v>738</v>
      </c>
      <c r="E5716" s="1" t="s">
        <v>739</v>
      </c>
      <c r="F5716" s="1" t="s">
        <v>781</v>
      </c>
      <c r="G5716" s="1" t="s">
        <v>3510</v>
      </c>
      <c r="H5716">
        <v>2017</v>
      </c>
      <c r="I5716">
        <v>2022</v>
      </c>
      <c r="J5716">
        <f t="shared" si="178"/>
        <v>6</v>
      </c>
      <c r="K5716" s="1" t="s">
        <v>741</v>
      </c>
      <c r="L5716" s="1" t="s">
        <v>798</v>
      </c>
      <c r="M5716">
        <f t="shared" si="179"/>
        <v>4</v>
      </c>
      <c r="N5716" t="s">
        <v>650</v>
      </c>
    </row>
    <row r="5717" spans="1:14" hidden="1" x14ac:dyDescent="0.3">
      <c r="A5717" s="1" t="s">
        <v>3539</v>
      </c>
      <c r="B5717" s="1" t="s">
        <v>2154</v>
      </c>
      <c r="C5717" s="1" t="s">
        <v>3540</v>
      </c>
      <c r="D5717" s="1" t="s">
        <v>738</v>
      </c>
      <c r="E5717" s="1" t="s">
        <v>739</v>
      </c>
      <c r="F5717" s="1" t="s">
        <v>781</v>
      </c>
      <c r="G5717" s="1" t="s">
        <v>3510</v>
      </c>
      <c r="H5717">
        <v>2016</v>
      </c>
      <c r="I5717">
        <v>2022</v>
      </c>
      <c r="J5717">
        <f t="shared" si="178"/>
        <v>7</v>
      </c>
      <c r="K5717" s="1" t="s">
        <v>741</v>
      </c>
      <c r="L5717" s="1" t="s">
        <v>798</v>
      </c>
      <c r="M5717">
        <f t="shared" si="179"/>
        <v>4</v>
      </c>
      <c r="N5717" t="s">
        <v>650</v>
      </c>
    </row>
    <row r="5718" spans="1:14" hidden="1" x14ac:dyDescent="0.3">
      <c r="A5718" s="1" t="s">
        <v>3541</v>
      </c>
      <c r="B5718" s="1" t="s">
        <v>2154</v>
      </c>
      <c r="C5718" s="1" t="s">
        <v>3542</v>
      </c>
      <c r="D5718" s="1" t="s">
        <v>738</v>
      </c>
      <c r="E5718" s="1" t="s">
        <v>739</v>
      </c>
      <c r="F5718" s="1" t="s">
        <v>781</v>
      </c>
      <c r="G5718" s="1" t="s">
        <v>3510</v>
      </c>
      <c r="H5718">
        <v>2016</v>
      </c>
      <c r="I5718">
        <v>2016</v>
      </c>
      <c r="J5718">
        <f t="shared" si="178"/>
        <v>1</v>
      </c>
      <c r="K5718" s="1" t="s">
        <v>741</v>
      </c>
      <c r="L5718" s="1" t="s">
        <v>798</v>
      </c>
      <c r="M5718">
        <f t="shared" si="179"/>
        <v>10</v>
      </c>
      <c r="N5718" t="s">
        <v>650</v>
      </c>
    </row>
    <row r="5719" spans="1:14" hidden="1" x14ac:dyDescent="0.3">
      <c r="A5719" s="1" t="s">
        <v>3543</v>
      </c>
      <c r="B5719" s="1" t="s">
        <v>2154</v>
      </c>
      <c r="C5719" s="1" t="s">
        <v>3544</v>
      </c>
      <c r="D5719" s="1" t="s">
        <v>738</v>
      </c>
      <c r="E5719" s="1" t="s">
        <v>739</v>
      </c>
      <c r="F5719" s="1" t="s">
        <v>781</v>
      </c>
      <c r="G5719" s="1" t="s">
        <v>3510</v>
      </c>
      <c r="H5719">
        <v>2017</v>
      </c>
      <c r="I5719">
        <v>2018</v>
      </c>
      <c r="J5719">
        <f t="shared" si="178"/>
        <v>2</v>
      </c>
      <c r="K5719" s="1" t="s">
        <v>741</v>
      </c>
      <c r="L5719" s="1" t="s">
        <v>798</v>
      </c>
      <c r="M5719">
        <f t="shared" si="179"/>
        <v>8</v>
      </c>
      <c r="N5719" t="s">
        <v>650</v>
      </c>
    </row>
    <row r="5720" spans="1:14" hidden="1" x14ac:dyDescent="0.3">
      <c r="A5720" s="1" t="s">
        <v>3545</v>
      </c>
      <c r="B5720" s="1" t="s">
        <v>2154</v>
      </c>
      <c r="C5720" s="1" t="s">
        <v>3546</v>
      </c>
      <c r="D5720" s="1" t="s">
        <v>738</v>
      </c>
      <c r="E5720" s="1" t="s">
        <v>739</v>
      </c>
      <c r="F5720" s="1" t="s">
        <v>781</v>
      </c>
      <c r="G5720" s="1" t="s">
        <v>3510</v>
      </c>
      <c r="H5720">
        <v>2021</v>
      </c>
      <c r="I5720">
        <v>2022</v>
      </c>
      <c r="J5720">
        <f t="shared" si="178"/>
        <v>2</v>
      </c>
      <c r="K5720" s="1" t="s">
        <v>741</v>
      </c>
      <c r="L5720" s="1" t="s">
        <v>798</v>
      </c>
      <c r="M5720">
        <f t="shared" si="179"/>
        <v>4</v>
      </c>
      <c r="N5720" t="s">
        <v>650</v>
      </c>
    </row>
    <row r="5721" spans="1:14" hidden="1" x14ac:dyDescent="0.3">
      <c r="A5721" s="1" t="s">
        <v>3547</v>
      </c>
      <c r="B5721" s="1" t="s">
        <v>2154</v>
      </c>
      <c r="C5721" s="1" t="s">
        <v>3548</v>
      </c>
      <c r="D5721" s="1" t="s">
        <v>738</v>
      </c>
      <c r="E5721" s="1" t="s">
        <v>739</v>
      </c>
      <c r="F5721" s="1" t="s">
        <v>781</v>
      </c>
      <c r="G5721" s="1" t="s">
        <v>3510</v>
      </c>
      <c r="H5721">
        <v>2021</v>
      </c>
      <c r="I5721">
        <v>2022</v>
      </c>
      <c r="J5721">
        <f t="shared" si="178"/>
        <v>2</v>
      </c>
      <c r="K5721" s="1" t="s">
        <v>741</v>
      </c>
      <c r="L5721" s="1" t="s">
        <v>798</v>
      </c>
      <c r="M5721">
        <f t="shared" si="179"/>
        <v>4</v>
      </c>
      <c r="N5721" t="s">
        <v>650</v>
      </c>
    </row>
    <row r="5722" spans="1:14" hidden="1" x14ac:dyDescent="0.3">
      <c r="A5722" s="1" t="s">
        <v>3549</v>
      </c>
      <c r="B5722" s="1" t="s">
        <v>2154</v>
      </c>
      <c r="C5722" s="1" t="s">
        <v>3550</v>
      </c>
      <c r="D5722" s="1" t="s">
        <v>738</v>
      </c>
      <c r="E5722" s="1" t="s">
        <v>739</v>
      </c>
      <c r="F5722" s="1" t="s">
        <v>781</v>
      </c>
      <c r="G5722" s="1" t="s">
        <v>3510</v>
      </c>
      <c r="H5722">
        <v>2021</v>
      </c>
      <c r="I5722">
        <v>2022</v>
      </c>
      <c r="J5722">
        <f t="shared" si="178"/>
        <v>2</v>
      </c>
      <c r="K5722" s="1" t="s">
        <v>741</v>
      </c>
      <c r="L5722" s="1" t="s">
        <v>798</v>
      </c>
      <c r="M5722">
        <f t="shared" si="179"/>
        <v>4</v>
      </c>
      <c r="N5722" t="s">
        <v>650</v>
      </c>
    </row>
    <row r="5723" spans="1:14" hidden="1" x14ac:dyDescent="0.3">
      <c r="A5723" s="1" t="s">
        <v>3551</v>
      </c>
      <c r="B5723" s="1" t="s">
        <v>2154</v>
      </c>
      <c r="C5723" s="1" t="s">
        <v>3552</v>
      </c>
      <c r="D5723" s="1" t="s">
        <v>738</v>
      </c>
      <c r="E5723" s="1" t="s">
        <v>739</v>
      </c>
      <c r="F5723" s="1" t="s">
        <v>781</v>
      </c>
      <c r="G5723" s="1" t="s">
        <v>3510</v>
      </c>
      <c r="H5723">
        <v>2021</v>
      </c>
      <c r="I5723">
        <v>2022</v>
      </c>
      <c r="J5723">
        <f t="shared" si="178"/>
        <v>2</v>
      </c>
      <c r="K5723" s="1" t="s">
        <v>741</v>
      </c>
      <c r="L5723" s="1" t="s">
        <v>798</v>
      </c>
      <c r="M5723">
        <f t="shared" si="179"/>
        <v>4</v>
      </c>
      <c r="N5723" t="s">
        <v>650</v>
      </c>
    </row>
    <row r="5724" spans="1:14" hidden="1" x14ac:dyDescent="0.3">
      <c r="A5724" s="1" t="s">
        <v>3553</v>
      </c>
      <c r="B5724" s="1" t="s">
        <v>2154</v>
      </c>
      <c r="C5724" s="1" t="s">
        <v>3554</v>
      </c>
      <c r="D5724" s="1" t="s">
        <v>738</v>
      </c>
      <c r="E5724" s="1" t="s">
        <v>739</v>
      </c>
      <c r="F5724" s="1" t="s">
        <v>781</v>
      </c>
      <c r="G5724" s="1" t="s">
        <v>3510</v>
      </c>
      <c r="H5724">
        <v>2021</v>
      </c>
      <c r="I5724">
        <v>2022</v>
      </c>
      <c r="J5724">
        <f t="shared" si="178"/>
        <v>2</v>
      </c>
      <c r="K5724" s="1" t="s">
        <v>741</v>
      </c>
      <c r="L5724" s="1" t="s">
        <v>798</v>
      </c>
      <c r="M5724">
        <f t="shared" si="179"/>
        <v>4</v>
      </c>
      <c r="N5724" t="s">
        <v>650</v>
      </c>
    </row>
    <row r="5725" spans="1:14" x14ac:dyDescent="0.3">
      <c r="A5725" s="1" t="s">
        <v>10346</v>
      </c>
      <c r="B5725" s="1" t="s">
        <v>1451</v>
      </c>
      <c r="C5725" s="1" t="s">
        <v>10347</v>
      </c>
      <c r="D5725" s="1" t="s">
        <v>738</v>
      </c>
      <c r="E5725" s="1" t="s">
        <v>6076</v>
      </c>
      <c r="F5725" s="1" t="s">
        <v>6076</v>
      </c>
      <c r="G5725" s="1" t="s">
        <v>10348</v>
      </c>
      <c r="H5725">
        <v>1991</v>
      </c>
      <c r="I5725">
        <v>1996</v>
      </c>
      <c r="J5725">
        <f t="shared" si="178"/>
        <v>6</v>
      </c>
      <c r="K5725" s="1" t="s">
        <v>6076</v>
      </c>
      <c r="L5725" s="1" t="s">
        <v>6076</v>
      </c>
      <c r="M5725">
        <f t="shared" si="179"/>
        <v>30</v>
      </c>
      <c r="N5725" t="s">
        <v>640</v>
      </c>
    </row>
    <row r="5726" spans="1:14" x14ac:dyDescent="0.3">
      <c r="A5726" s="1" t="s">
        <v>10349</v>
      </c>
      <c r="B5726" s="1" t="s">
        <v>1451</v>
      </c>
      <c r="C5726" s="1" t="s">
        <v>10350</v>
      </c>
      <c r="D5726" s="1" t="s">
        <v>738</v>
      </c>
      <c r="E5726" s="1" t="s">
        <v>6076</v>
      </c>
      <c r="F5726" s="1" t="s">
        <v>6076</v>
      </c>
      <c r="G5726" s="1" t="s">
        <v>10348</v>
      </c>
      <c r="H5726">
        <v>1991</v>
      </c>
      <c r="I5726">
        <v>1996</v>
      </c>
      <c r="J5726">
        <f t="shared" si="178"/>
        <v>6</v>
      </c>
      <c r="K5726" s="1" t="s">
        <v>6076</v>
      </c>
      <c r="L5726" s="1" t="s">
        <v>6076</v>
      </c>
      <c r="M5726">
        <f t="shared" si="179"/>
        <v>30</v>
      </c>
      <c r="N5726" t="s">
        <v>640</v>
      </c>
    </row>
    <row r="5727" spans="1:14" x14ac:dyDescent="0.3">
      <c r="A5727" s="1" t="s">
        <v>10351</v>
      </c>
      <c r="B5727" s="1" t="s">
        <v>1451</v>
      </c>
      <c r="C5727" s="1" t="s">
        <v>10352</v>
      </c>
      <c r="D5727" s="1" t="s">
        <v>738</v>
      </c>
      <c r="E5727" s="1" t="s">
        <v>6076</v>
      </c>
      <c r="F5727" s="1" t="s">
        <v>6076</v>
      </c>
      <c r="G5727" s="1" t="s">
        <v>10348</v>
      </c>
      <c r="H5727">
        <v>1991</v>
      </c>
      <c r="I5727">
        <v>1996</v>
      </c>
      <c r="J5727">
        <f t="shared" si="178"/>
        <v>6</v>
      </c>
      <c r="K5727" s="1" t="s">
        <v>6076</v>
      </c>
      <c r="L5727" s="1" t="s">
        <v>6076</v>
      </c>
      <c r="M5727">
        <f t="shared" si="179"/>
        <v>30</v>
      </c>
      <c r="N5727" t="s">
        <v>640</v>
      </c>
    </row>
    <row r="5728" spans="1:14" hidden="1" x14ac:dyDescent="0.3">
      <c r="A5728" s="1" t="s">
        <v>3555</v>
      </c>
      <c r="B5728" s="1" t="s">
        <v>810</v>
      </c>
      <c r="C5728" s="1" t="s">
        <v>3556</v>
      </c>
      <c r="D5728" s="1" t="s">
        <v>738</v>
      </c>
      <c r="E5728" s="1" t="s">
        <v>739</v>
      </c>
      <c r="F5728" s="1" t="s">
        <v>781</v>
      </c>
      <c r="G5728" s="1" t="s">
        <v>3557</v>
      </c>
      <c r="H5728">
        <v>2019</v>
      </c>
      <c r="I5728">
        <v>2022</v>
      </c>
      <c r="J5728">
        <f t="shared" si="178"/>
        <v>4</v>
      </c>
      <c r="K5728" s="1" t="s">
        <v>741</v>
      </c>
      <c r="L5728" s="1" t="s">
        <v>798</v>
      </c>
      <c r="M5728">
        <f t="shared" si="179"/>
        <v>4</v>
      </c>
      <c r="N5728" t="s">
        <v>650</v>
      </c>
    </row>
    <row r="5729" spans="1:14" hidden="1" x14ac:dyDescent="0.3">
      <c r="A5729" s="1" t="s">
        <v>3558</v>
      </c>
      <c r="B5729" s="1" t="s">
        <v>810</v>
      </c>
      <c r="C5729" s="1" t="s">
        <v>3559</v>
      </c>
      <c r="D5729" s="1" t="s">
        <v>738</v>
      </c>
      <c r="E5729" s="1" t="s">
        <v>739</v>
      </c>
      <c r="F5729" s="1" t="s">
        <v>781</v>
      </c>
      <c r="G5729" s="1" t="s">
        <v>3557</v>
      </c>
      <c r="H5729">
        <v>2018</v>
      </c>
      <c r="I5729">
        <v>2022</v>
      </c>
      <c r="J5729">
        <f t="shared" si="178"/>
        <v>5</v>
      </c>
      <c r="K5729" s="1" t="s">
        <v>741</v>
      </c>
      <c r="L5729" s="1" t="s">
        <v>798</v>
      </c>
      <c r="M5729">
        <f t="shared" si="179"/>
        <v>4</v>
      </c>
      <c r="N5729" t="s">
        <v>650</v>
      </c>
    </row>
    <row r="5730" spans="1:14" hidden="1" x14ac:dyDescent="0.3">
      <c r="A5730" s="1" t="s">
        <v>3560</v>
      </c>
      <c r="B5730" s="1" t="s">
        <v>810</v>
      </c>
      <c r="C5730" s="1" t="s">
        <v>3561</v>
      </c>
      <c r="D5730" s="1" t="s">
        <v>738</v>
      </c>
      <c r="E5730" s="1" t="s">
        <v>739</v>
      </c>
      <c r="F5730" s="1" t="s">
        <v>781</v>
      </c>
      <c r="G5730" s="1" t="s">
        <v>3557</v>
      </c>
      <c r="H5730">
        <v>2018</v>
      </c>
      <c r="I5730">
        <v>2022</v>
      </c>
      <c r="J5730">
        <f t="shared" si="178"/>
        <v>5</v>
      </c>
      <c r="K5730" s="1" t="s">
        <v>741</v>
      </c>
      <c r="L5730" s="1" t="s">
        <v>798</v>
      </c>
      <c r="M5730">
        <f t="shared" si="179"/>
        <v>4</v>
      </c>
      <c r="N5730" t="s">
        <v>650</v>
      </c>
    </row>
    <row r="5731" spans="1:14" hidden="1" x14ac:dyDescent="0.3">
      <c r="A5731" t="s">
        <v>12748</v>
      </c>
      <c r="B5731" t="s">
        <v>810</v>
      </c>
      <c r="C5731" t="s">
        <v>12749</v>
      </c>
      <c r="E5731" s="1" t="e">
        <v>#N/A</v>
      </c>
      <c r="F5731" s="1" t="e">
        <v>#N/A</v>
      </c>
      <c r="G5731" s="1" t="s">
        <v>3557</v>
      </c>
      <c r="H5731">
        <v>2023</v>
      </c>
      <c r="I5731">
        <v>2026</v>
      </c>
      <c r="J5731">
        <f t="shared" si="178"/>
        <v>4</v>
      </c>
      <c r="K5731" s="1" t="s">
        <v>741</v>
      </c>
      <c r="L5731" s="1" t="s">
        <v>798</v>
      </c>
      <c r="M5731">
        <f t="shared" si="179"/>
        <v>0</v>
      </c>
    </row>
    <row r="5732" spans="1:14" hidden="1" x14ac:dyDescent="0.3">
      <c r="A5732" s="1" t="s">
        <v>3562</v>
      </c>
      <c r="B5732" s="1" t="s">
        <v>810</v>
      </c>
      <c r="C5732" s="1" t="s">
        <v>3563</v>
      </c>
      <c r="D5732" s="1" t="s">
        <v>738</v>
      </c>
      <c r="E5732" s="1" t="s">
        <v>739</v>
      </c>
      <c r="F5732" s="1" t="s">
        <v>781</v>
      </c>
      <c r="G5732" s="1" t="s">
        <v>3557</v>
      </c>
      <c r="H5732">
        <v>2020</v>
      </c>
      <c r="I5732">
        <v>2022</v>
      </c>
      <c r="J5732">
        <f t="shared" si="178"/>
        <v>3</v>
      </c>
      <c r="K5732" s="1" t="s">
        <v>741</v>
      </c>
      <c r="L5732" s="1" t="s">
        <v>798</v>
      </c>
      <c r="M5732">
        <f t="shared" si="179"/>
        <v>4</v>
      </c>
      <c r="N5732" t="s">
        <v>650</v>
      </c>
    </row>
    <row r="5733" spans="1:14" hidden="1" x14ac:dyDescent="0.3">
      <c r="A5733" s="1" t="s">
        <v>3564</v>
      </c>
      <c r="B5733" s="1" t="s">
        <v>810</v>
      </c>
      <c r="C5733" s="1" t="s">
        <v>3565</v>
      </c>
      <c r="D5733" s="1" t="s">
        <v>738</v>
      </c>
      <c r="E5733" s="1" t="s">
        <v>739</v>
      </c>
      <c r="F5733" s="1" t="s">
        <v>781</v>
      </c>
      <c r="G5733" s="1" t="s">
        <v>3557</v>
      </c>
      <c r="H5733">
        <v>2018</v>
      </c>
      <c r="I5733">
        <v>2022</v>
      </c>
      <c r="J5733">
        <f t="shared" si="178"/>
        <v>5</v>
      </c>
      <c r="K5733" s="1" t="s">
        <v>741</v>
      </c>
      <c r="L5733" s="1" t="s">
        <v>798</v>
      </c>
      <c r="M5733">
        <f t="shared" si="179"/>
        <v>4</v>
      </c>
      <c r="N5733" t="s">
        <v>650</v>
      </c>
    </row>
    <row r="5734" spans="1:14" hidden="1" x14ac:dyDescent="0.3">
      <c r="A5734" t="s">
        <v>12750</v>
      </c>
      <c r="B5734" t="s">
        <v>810</v>
      </c>
      <c r="C5734" t="s">
        <v>12751</v>
      </c>
      <c r="E5734" s="1" t="e">
        <v>#N/A</v>
      </c>
      <c r="F5734" s="1" t="e">
        <v>#N/A</v>
      </c>
      <c r="G5734" s="1" t="s">
        <v>3557</v>
      </c>
      <c r="H5734">
        <v>2025</v>
      </c>
      <c r="I5734">
        <v>2026</v>
      </c>
      <c r="J5734">
        <f t="shared" si="178"/>
        <v>2</v>
      </c>
      <c r="K5734" s="1" t="s">
        <v>741</v>
      </c>
      <c r="L5734" s="1" t="s">
        <v>798</v>
      </c>
      <c r="M5734">
        <f t="shared" si="179"/>
        <v>0</v>
      </c>
    </row>
    <row r="5735" spans="1:14" hidden="1" x14ac:dyDescent="0.3">
      <c r="A5735" s="1" t="s">
        <v>3566</v>
      </c>
      <c r="B5735" s="1" t="s">
        <v>810</v>
      </c>
      <c r="C5735" s="1" t="s">
        <v>3567</v>
      </c>
      <c r="D5735" s="1" t="s">
        <v>738</v>
      </c>
      <c r="E5735" s="1" t="s">
        <v>739</v>
      </c>
      <c r="F5735" s="1" t="s">
        <v>781</v>
      </c>
      <c r="G5735" s="1" t="s">
        <v>3557</v>
      </c>
      <c r="H5735">
        <v>2019</v>
      </c>
      <c r="I5735">
        <v>2022</v>
      </c>
      <c r="J5735">
        <f t="shared" si="178"/>
        <v>4</v>
      </c>
      <c r="K5735" s="1" t="s">
        <v>741</v>
      </c>
      <c r="L5735" s="1" t="s">
        <v>798</v>
      </c>
      <c r="M5735">
        <f t="shared" si="179"/>
        <v>4</v>
      </c>
      <c r="N5735" t="s">
        <v>650</v>
      </c>
    </row>
    <row r="5736" spans="1:14" hidden="1" x14ac:dyDescent="0.3">
      <c r="A5736" t="s">
        <v>12752</v>
      </c>
      <c r="B5736" t="s">
        <v>810</v>
      </c>
      <c r="C5736" t="s">
        <v>12753</v>
      </c>
      <c r="E5736" s="1" t="e">
        <v>#N/A</v>
      </c>
      <c r="F5736" s="1" t="e">
        <v>#N/A</v>
      </c>
      <c r="G5736" s="1" t="s">
        <v>3557</v>
      </c>
      <c r="H5736">
        <v>2023</v>
      </c>
      <c r="I5736">
        <v>2026</v>
      </c>
      <c r="J5736">
        <f t="shared" si="178"/>
        <v>4</v>
      </c>
      <c r="K5736" s="1" t="s">
        <v>741</v>
      </c>
      <c r="L5736" s="1" t="s">
        <v>798</v>
      </c>
      <c r="M5736">
        <f t="shared" si="179"/>
        <v>0</v>
      </c>
    </row>
    <row r="5737" spans="1:14" hidden="1" x14ac:dyDescent="0.3">
      <c r="A5737" t="s">
        <v>12754</v>
      </c>
      <c r="B5737" t="s">
        <v>810</v>
      </c>
      <c r="C5737" t="s">
        <v>12755</v>
      </c>
      <c r="E5737" s="1" t="e">
        <v>#N/A</v>
      </c>
      <c r="F5737" s="1" t="e">
        <v>#N/A</v>
      </c>
      <c r="G5737" s="1" t="s">
        <v>3557</v>
      </c>
      <c r="H5737">
        <v>2023</v>
      </c>
      <c r="I5737">
        <v>2026</v>
      </c>
      <c r="J5737">
        <f t="shared" si="178"/>
        <v>4</v>
      </c>
      <c r="K5737" s="1" t="s">
        <v>741</v>
      </c>
      <c r="L5737" s="1" t="s">
        <v>798</v>
      </c>
      <c r="M5737">
        <f t="shared" si="179"/>
        <v>0</v>
      </c>
    </row>
    <row r="5738" spans="1:14" x14ac:dyDescent="0.3">
      <c r="A5738" t="s">
        <v>11179</v>
      </c>
      <c r="B5738" t="s">
        <v>10997</v>
      </c>
      <c r="C5738" t="s">
        <v>11180</v>
      </c>
      <c r="E5738" s="1" t="s">
        <v>6076</v>
      </c>
      <c r="F5738" s="1" t="s">
        <v>6076</v>
      </c>
      <c r="G5738" s="1" t="s">
        <v>12798</v>
      </c>
      <c r="H5738">
        <v>1994</v>
      </c>
      <c r="I5738">
        <v>1995</v>
      </c>
      <c r="J5738">
        <f t="shared" si="178"/>
        <v>2</v>
      </c>
      <c r="K5738" s="1" t="s">
        <v>6076</v>
      </c>
      <c r="L5738" s="1" t="s">
        <v>6076</v>
      </c>
      <c r="M5738">
        <f t="shared" si="179"/>
        <v>31</v>
      </c>
    </row>
    <row r="5739" spans="1:14" hidden="1" x14ac:dyDescent="0.3">
      <c r="A5739" s="1" t="s">
        <v>4765</v>
      </c>
      <c r="B5739" s="1" t="s">
        <v>4665</v>
      </c>
      <c r="C5739" s="1" t="s">
        <v>4766</v>
      </c>
      <c r="D5739" s="1" t="s">
        <v>1395</v>
      </c>
      <c r="E5739" s="1" t="s">
        <v>3905</v>
      </c>
      <c r="F5739" s="1" t="s">
        <v>3906</v>
      </c>
      <c r="G5739" s="1" t="s">
        <v>4767</v>
      </c>
      <c r="H5739">
        <v>2017</v>
      </c>
      <c r="I5739">
        <v>2022</v>
      </c>
      <c r="J5739">
        <f t="shared" si="178"/>
        <v>6</v>
      </c>
      <c r="K5739" s="1" t="s">
        <v>3665</v>
      </c>
      <c r="L5739" s="1" t="s">
        <v>649</v>
      </c>
      <c r="M5739">
        <f t="shared" si="179"/>
        <v>4</v>
      </c>
      <c r="N5739" t="s">
        <v>650</v>
      </c>
    </row>
    <row r="5740" spans="1:14" hidden="1" x14ac:dyDescent="0.3">
      <c r="A5740" s="1" t="s">
        <v>4768</v>
      </c>
      <c r="B5740" s="1" t="s">
        <v>4665</v>
      </c>
      <c r="C5740" s="1" t="s">
        <v>4769</v>
      </c>
      <c r="D5740" s="1" t="s">
        <v>1395</v>
      </c>
      <c r="E5740" s="1" t="s">
        <v>3905</v>
      </c>
      <c r="F5740" s="1" t="s">
        <v>3906</v>
      </c>
      <c r="G5740" s="1" t="s">
        <v>4767</v>
      </c>
      <c r="H5740">
        <v>2017</v>
      </c>
      <c r="I5740">
        <v>2019</v>
      </c>
      <c r="J5740">
        <f t="shared" si="178"/>
        <v>3</v>
      </c>
      <c r="K5740" s="1" t="s">
        <v>3665</v>
      </c>
      <c r="L5740" s="1" t="s">
        <v>649</v>
      </c>
      <c r="M5740">
        <f t="shared" si="179"/>
        <v>7</v>
      </c>
      <c r="N5740" t="s">
        <v>650</v>
      </c>
    </row>
    <row r="5741" spans="1:14" hidden="1" x14ac:dyDescent="0.3">
      <c r="A5741" s="1" t="s">
        <v>4770</v>
      </c>
      <c r="B5741" s="1" t="s">
        <v>4665</v>
      </c>
      <c r="C5741" s="1" t="s">
        <v>4771</v>
      </c>
      <c r="D5741" s="1" t="s">
        <v>1395</v>
      </c>
      <c r="E5741" s="1" t="s">
        <v>3905</v>
      </c>
      <c r="F5741" s="1" t="s">
        <v>3906</v>
      </c>
      <c r="G5741" s="1" t="s">
        <v>4767</v>
      </c>
      <c r="H5741">
        <v>2017</v>
      </c>
      <c r="I5741">
        <v>2019</v>
      </c>
      <c r="J5741">
        <f t="shared" si="178"/>
        <v>3</v>
      </c>
      <c r="K5741" s="1" t="s">
        <v>3665</v>
      </c>
      <c r="L5741" s="1" t="s">
        <v>649</v>
      </c>
      <c r="M5741">
        <f t="shared" si="179"/>
        <v>7</v>
      </c>
      <c r="N5741" t="s">
        <v>650</v>
      </c>
    </row>
    <row r="5742" spans="1:14" hidden="1" x14ac:dyDescent="0.3">
      <c r="A5742" s="1" t="s">
        <v>4772</v>
      </c>
      <c r="B5742" s="1" t="s">
        <v>4665</v>
      </c>
      <c r="C5742" s="1" t="s">
        <v>4773</v>
      </c>
      <c r="D5742" s="1" t="s">
        <v>1395</v>
      </c>
      <c r="E5742" s="1" t="s">
        <v>3905</v>
      </c>
      <c r="F5742" s="1" t="s">
        <v>3906</v>
      </c>
      <c r="G5742" s="1" t="s">
        <v>4767</v>
      </c>
      <c r="H5742">
        <v>2017</v>
      </c>
      <c r="I5742">
        <v>2019</v>
      </c>
      <c r="J5742">
        <f t="shared" si="178"/>
        <v>3</v>
      </c>
      <c r="K5742" s="1" t="s">
        <v>3665</v>
      </c>
      <c r="L5742" s="1" t="s">
        <v>649</v>
      </c>
      <c r="M5742">
        <f t="shared" si="179"/>
        <v>7</v>
      </c>
      <c r="N5742" t="s">
        <v>650</v>
      </c>
    </row>
    <row r="5743" spans="1:14" hidden="1" x14ac:dyDescent="0.3">
      <c r="A5743" s="1" t="s">
        <v>4774</v>
      </c>
      <c r="B5743" s="1" t="s">
        <v>4665</v>
      </c>
      <c r="C5743" s="1" t="s">
        <v>4775</v>
      </c>
      <c r="D5743" s="1" t="s">
        <v>1395</v>
      </c>
      <c r="E5743" s="1" t="s">
        <v>3905</v>
      </c>
      <c r="F5743" s="1" t="s">
        <v>3906</v>
      </c>
      <c r="G5743" s="1" t="s">
        <v>4767</v>
      </c>
      <c r="H5743">
        <v>2018</v>
      </c>
      <c r="I5743">
        <v>2022</v>
      </c>
      <c r="J5743">
        <f t="shared" si="178"/>
        <v>5</v>
      </c>
      <c r="K5743" s="1" t="s">
        <v>3665</v>
      </c>
      <c r="L5743" s="1" t="s">
        <v>649</v>
      </c>
      <c r="M5743">
        <f t="shared" si="179"/>
        <v>4</v>
      </c>
      <c r="N5743" t="s">
        <v>650</v>
      </c>
    </row>
    <row r="5744" spans="1:14" hidden="1" x14ac:dyDescent="0.3">
      <c r="A5744" s="1" t="s">
        <v>4776</v>
      </c>
      <c r="B5744" s="1" t="s">
        <v>4665</v>
      </c>
      <c r="C5744" s="1" t="s">
        <v>4777</v>
      </c>
      <c r="D5744" s="1" t="s">
        <v>1395</v>
      </c>
      <c r="E5744" s="1" t="s">
        <v>3905</v>
      </c>
      <c r="F5744" s="1" t="s">
        <v>3906</v>
      </c>
      <c r="G5744" s="1" t="s">
        <v>4767</v>
      </c>
      <c r="H5744">
        <v>2017</v>
      </c>
      <c r="I5744">
        <v>2022</v>
      </c>
      <c r="J5744">
        <f t="shared" si="178"/>
        <v>6</v>
      </c>
      <c r="K5744" s="1" t="s">
        <v>3665</v>
      </c>
      <c r="L5744" s="1" t="s">
        <v>649</v>
      </c>
      <c r="M5744">
        <f t="shared" si="179"/>
        <v>4</v>
      </c>
      <c r="N5744" t="s">
        <v>650</v>
      </c>
    </row>
    <row r="5745" spans="1:14" hidden="1" x14ac:dyDescent="0.3">
      <c r="A5745" s="1" t="s">
        <v>4778</v>
      </c>
      <c r="B5745" s="1" t="s">
        <v>4665</v>
      </c>
      <c r="C5745" s="1" t="s">
        <v>4779</v>
      </c>
      <c r="D5745" s="1" t="s">
        <v>1395</v>
      </c>
      <c r="E5745" s="1" t="s">
        <v>3905</v>
      </c>
      <c r="F5745" s="1" t="s">
        <v>3906</v>
      </c>
      <c r="G5745" s="1" t="s">
        <v>4767</v>
      </c>
      <c r="H5745">
        <v>2017</v>
      </c>
      <c r="I5745">
        <v>2019</v>
      </c>
      <c r="J5745">
        <f t="shared" si="178"/>
        <v>3</v>
      </c>
      <c r="K5745" s="1" t="s">
        <v>3665</v>
      </c>
      <c r="L5745" s="1" t="s">
        <v>649</v>
      </c>
      <c r="M5745">
        <f t="shared" si="179"/>
        <v>7</v>
      </c>
      <c r="N5745" t="s">
        <v>650</v>
      </c>
    </row>
    <row r="5746" spans="1:14" x14ac:dyDescent="0.3">
      <c r="A5746" s="1" t="s">
        <v>10353</v>
      </c>
      <c r="B5746" s="1" t="s">
        <v>4665</v>
      </c>
      <c r="C5746" s="1" t="s">
        <v>10354</v>
      </c>
      <c r="D5746" s="1" t="s">
        <v>1395</v>
      </c>
      <c r="E5746" s="1" t="s">
        <v>6076</v>
      </c>
      <c r="F5746" s="1" t="s">
        <v>6076</v>
      </c>
      <c r="G5746" s="1" t="s">
        <v>4767</v>
      </c>
      <c r="H5746">
        <v>1997</v>
      </c>
      <c r="I5746">
        <v>1998</v>
      </c>
      <c r="J5746">
        <f t="shared" si="178"/>
        <v>2</v>
      </c>
      <c r="K5746" s="1" t="s">
        <v>6076</v>
      </c>
      <c r="L5746" s="1" t="s">
        <v>6076</v>
      </c>
      <c r="M5746">
        <f t="shared" si="179"/>
        <v>28</v>
      </c>
      <c r="N5746" t="s">
        <v>640</v>
      </c>
    </row>
    <row r="5747" spans="1:14" x14ac:dyDescent="0.3">
      <c r="A5747" s="1" t="s">
        <v>10355</v>
      </c>
      <c r="B5747" s="1" t="s">
        <v>4665</v>
      </c>
      <c r="C5747" s="1" t="s">
        <v>10356</v>
      </c>
      <c r="D5747" s="1" t="s">
        <v>1395</v>
      </c>
      <c r="E5747" s="1" t="s">
        <v>6076</v>
      </c>
      <c r="F5747" s="1" t="s">
        <v>6076</v>
      </c>
      <c r="G5747" s="1" t="s">
        <v>4767</v>
      </c>
      <c r="H5747">
        <v>1997</v>
      </c>
      <c r="I5747">
        <v>1998</v>
      </c>
      <c r="J5747">
        <f t="shared" si="178"/>
        <v>2</v>
      </c>
      <c r="K5747" s="1" t="s">
        <v>6076</v>
      </c>
      <c r="L5747" s="1" t="s">
        <v>6076</v>
      </c>
      <c r="M5747">
        <f t="shared" si="179"/>
        <v>28</v>
      </c>
      <c r="N5747" t="s">
        <v>640</v>
      </c>
    </row>
    <row r="5748" spans="1:14" x14ac:dyDescent="0.3">
      <c r="A5748" s="1" t="s">
        <v>10357</v>
      </c>
      <c r="B5748" s="1" t="s">
        <v>4665</v>
      </c>
      <c r="C5748" s="1" t="s">
        <v>10358</v>
      </c>
      <c r="D5748" s="1" t="s">
        <v>1395</v>
      </c>
      <c r="E5748" s="1" t="s">
        <v>6076</v>
      </c>
      <c r="F5748" s="1" t="s">
        <v>6076</v>
      </c>
      <c r="G5748" s="1" t="s">
        <v>4767</v>
      </c>
      <c r="H5748">
        <v>1996</v>
      </c>
      <c r="I5748">
        <v>1999</v>
      </c>
      <c r="J5748">
        <f t="shared" si="178"/>
        <v>4</v>
      </c>
      <c r="K5748" s="1" t="s">
        <v>6076</v>
      </c>
      <c r="L5748" s="1" t="s">
        <v>6076</v>
      </c>
      <c r="M5748">
        <f t="shared" si="179"/>
        <v>27</v>
      </c>
      <c r="N5748" t="s">
        <v>640</v>
      </c>
    </row>
    <row r="5749" spans="1:14" x14ac:dyDescent="0.3">
      <c r="A5749" s="1" t="s">
        <v>10359</v>
      </c>
      <c r="B5749" s="1" t="s">
        <v>4665</v>
      </c>
      <c r="C5749" s="1" t="s">
        <v>10360</v>
      </c>
      <c r="D5749" s="1" t="s">
        <v>1395</v>
      </c>
      <c r="E5749" s="1" t="s">
        <v>6076</v>
      </c>
      <c r="F5749" s="1" t="s">
        <v>6076</v>
      </c>
      <c r="G5749" s="1" t="s">
        <v>4767</v>
      </c>
      <c r="H5749">
        <v>1991</v>
      </c>
      <c r="I5749">
        <v>1999</v>
      </c>
      <c r="J5749">
        <f t="shared" si="178"/>
        <v>9</v>
      </c>
      <c r="K5749" s="1" t="s">
        <v>6076</v>
      </c>
      <c r="L5749" s="1" t="s">
        <v>6076</v>
      </c>
      <c r="M5749">
        <f t="shared" si="179"/>
        <v>27</v>
      </c>
      <c r="N5749" t="s">
        <v>640</v>
      </c>
    </row>
    <row r="5750" spans="1:14" x14ac:dyDescent="0.3">
      <c r="A5750" s="1" t="s">
        <v>10361</v>
      </c>
      <c r="B5750" s="1" t="s">
        <v>4665</v>
      </c>
      <c r="C5750" s="1" t="s">
        <v>10362</v>
      </c>
      <c r="D5750" s="1" t="s">
        <v>1395</v>
      </c>
      <c r="E5750" s="1" t="s">
        <v>6076</v>
      </c>
      <c r="F5750" s="1" t="s">
        <v>6076</v>
      </c>
      <c r="G5750" s="1" t="s">
        <v>4767</v>
      </c>
      <c r="H5750">
        <v>1991</v>
      </c>
      <c r="I5750">
        <v>1999</v>
      </c>
      <c r="J5750">
        <f t="shared" si="178"/>
        <v>9</v>
      </c>
      <c r="K5750" s="1" t="s">
        <v>6076</v>
      </c>
      <c r="L5750" s="1" t="s">
        <v>6076</v>
      </c>
      <c r="M5750">
        <f t="shared" si="179"/>
        <v>27</v>
      </c>
      <c r="N5750" t="s">
        <v>640</v>
      </c>
    </row>
    <row r="5751" spans="1:14" x14ac:dyDescent="0.3">
      <c r="A5751" s="1" t="s">
        <v>10363</v>
      </c>
      <c r="B5751" s="1" t="s">
        <v>5931</v>
      </c>
      <c r="C5751" s="1" t="s">
        <v>10364</v>
      </c>
      <c r="D5751" s="1" t="s">
        <v>644</v>
      </c>
      <c r="E5751" s="1" t="s">
        <v>6076</v>
      </c>
      <c r="F5751" s="1" t="s">
        <v>6076</v>
      </c>
      <c r="G5751" s="1" t="s">
        <v>10365</v>
      </c>
      <c r="H5751">
        <v>2016</v>
      </c>
      <c r="I5751">
        <v>2019</v>
      </c>
      <c r="J5751">
        <f t="shared" si="178"/>
        <v>4</v>
      </c>
      <c r="K5751" s="1" t="s">
        <v>6076</v>
      </c>
      <c r="L5751" s="1" t="s">
        <v>6076</v>
      </c>
      <c r="M5751">
        <f t="shared" si="179"/>
        <v>7</v>
      </c>
    </row>
    <row r="5752" spans="1:14" x14ac:dyDescent="0.3">
      <c r="A5752" s="1" t="s">
        <v>10366</v>
      </c>
      <c r="B5752" s="1" t="s">
        <v>5931</v>
      </c>
      <c r="C5752" s="1" t="s">
        <v>10367</v>
      </c>
      <c r="D5752" s="1" t="s">
        <v>644</v>
      </c>
      <c r="E5752" s="1" t="s">
        <v>6076</v>
      </c>
      <c r="F5752" s="1" t="s">
        <v>6076</v>
      </c>
      <c r="G5752" s="1" t="s">
        <v>10365</v>
      </c>
      <c r="H5752">
        <v>2016</v>
      </c>
      <c r="I5752">
        <v>2017</v>
      </c>
      <c r="J5752">
        <f t="shared" si="178"/>
        <v>2</v>
      </c>
      <c r="K5752" s="1" t="s">
        <v>6076</v>
      </c>
      <c r="L5752" s="1" t="s">
        <v>6076</v>
      </c>
      <c r="M5752">
        <f t="shared" si="179"/>
        <v>9</v>
      </c>
    </row>
    <row r="5753" spans="1:14" x14ac:dyDescent="0.3">
      <c r="A5753" s="1" t="s">
        <v>10368</v>
      </c>
      <c r="B5753" s="1" t="s">
        <v>5931</v>
      </c>
      <c r="C5753" s="1" t="s">
        <v>10369</v>
      </c>
      <c r="D5753" s="1" t="s">
        <v>644</v>
      </c>
      <c r="E5753" s="1" t="s">
        <v>6076</v>
      </c>
      <c r="F5753" s="1" t="s">
        <v>6076</v>
      </c>
      <c r="G5753" s="1" t="s">
        <v>10365</v>
      </c>
      <c r="H5753">
        <v>2016</v>
      </c>
      <c r="I5753">
        <v>2017</v>
      </c>
      <c r="J5753">
        <f t="shared" si="178"/>
        <v>2</v>
      </c>
      <c r="K5753" s="1" t="s">
        <v>6076</v>
      </c>
      <c r="L5753" s="1" t="s">
        <v>6076</v>
      </c>
      <c r="M5753">
        <f t="shared" si="179"/>
        <v>9</v>
      </c>
    </row>
    <row r="5754" spans="1:14" x14ac:dyDescent="0.3">
      <c r="A5754" s="1" t="s">
        <v>10370</v>
      </c>
      <c r="B5754" s="1" t="s">
        <v>7986</v>
      </c>
      <c r="C5754" s="1" t="s">
        <v>10371</v>
      </c>
      <c r="D5754" s="1" t="s">
        <v>746</v>
      </c>
      <c r="E5754" s="1" t="s">
        <v>6076</v>
      </c>
      <c r="F5754" s="1" t="s">
        <v>6076</v>
      </c>
      <c r="G5754" s="1" t="s">
        <v>10372</v>
      </c>
      <c r="H5754">
        <v>1994</v>
      </c>
      <c r="I5754">
        <v>1997</v>
      </c>
      <c r="J5754">
        <f t="shared" si="178"/>
        <v>4</v>
      </c>
      <c r="K5754" s="1" t="s">
        <v>6076</v>
      </c>
      <c r="L5754" s="1" t="s">
        <v>6076</v>
      </c>
      <c r="M5754">
        <f t="shared" si="179"/>
        <v>29</v>
      </c>
    </row>
    <row r="5755" spans="1:14" hidden="1" x14ac:dyDescent="0.3">
      <c r="A5755" s="1" t="s">
        <v>3568</v>
      </c>
      <c r="B5755" s="1" t="s">
        <v>810</v>
      </c>
      <c r="C5755" s="1" t="s">
        <v>3569</v>
      </c>
      <c r="D5755" s="1" t="s">
        <v>738</v>
      </c>
      <c r="E5755" s="1" t="s">
        <v>739</v>
      </c>
      <c r="F5755" s="1" t="s">
        <v>781</v>
      </c>
      <c r="G5755" s="1" t="s">
        <v>3570</v>
      </c>
      <c r="H5755">
        <v>2019</v>
      </c>
      <c r="I5755">
        <v>2022</v>
      </c>
      <c r="J5755">
        <f t="shared" si="178"/>
        <v>4</v>
      </c>
      <c r="K5755" s="1" t="s">
        <v>741</v>
      </c>
      <c r="L5755" s="1" t="s">
        <v>798</v>
      </c>
      <c r="M5755">
        <f t="shared" si="179"/>
        <v>4</v>
      </c>
      <c r="N5755" t="s">
        <v>650</v>
      </c>
    </row>
    <row r="5756" spans="1:14" hidden="1" x14ac:dyDescent="0.3">
      <c r="A5756" s="1" t="s">
        <v>3571</v>
      </c>
      <c r="B5756" s="1" t="s">
        <v>810</v>
      </c>
      <c r="C5756" s="1" t="s">
        <v>3572</v>
      </c>
      <c r="D5756" s="1" t="s">
        <v>738</v>
      </c>
      <c r="E5756" s="1" t="s">
        <v>739</v>
      </c>
      <c r="F5756" s="1" t="s">
        <v>781</v>
      </c>
      <c r="G5756" s="1" t="s">
        <v>3570</v>
      </c>
      <c r="H5756">
        <v>2009</v>
      </c>
      <c r="I5756">
        <v>2016</v>
      </c>
      <c r="J5756">
        <f t="shared" si="178"/>
        <v>8</v>
      </c>
      <c r="K5756" s="1" t="s">
        <v>741</v>
      </c>
      <c r="L5756" s="1" t="s">
        <v>798</v>
      </c>
      <c r="M5756">
        <f t="shared" si="179"/>
        <v>10</v>
      </c>
      <c r="N5756" t="s">
        <v>650</v>
      </c>
    </row>
    <row r="5757" spans="1:14" hidden="1" x14ac:dyDescent="0.3">
      <c r="A5757" s="1" t="s">
        <v>3573</v>
      </c>
      <c r="B5757" s="1" t="s">
        <v>810</v>
      </c>
      <c r="C5757" s="1" t="s">
        <v>3574</v>
      </c>
      <c r="D5757" s="1" t="s">
        <v>738</v>
      </c>
      <c r="E5757" s="1" t="s">
        <v>739</v>
      </c>
      <c r="F5757" s="1" t="s">
        <v>781</v>
      </c>
      <c r="G5757" s="1" t="s">
        <v>3570</v>
      </c>
      <c r="H5757">
        <v>2019</v>
      </c>
      <c r="I5757">
        <v>2022</v>
      </c>
      <c r="J5757">
        <f t="shared" si="178"/>
        <v>4</v>
      </c>
      <c r="K5757" s="1" t="s">
        <v>741</v>
      </c>
      <c r="L5757" s="1" t="s">
        <v>798</v>
      </c>
      <c r="M5757">
        <f t="shared" si="179"/>
        <v>4</v>
      </c>
      <c r="N5757" t="s">
        <v>650</v>
      </c>
    </row>
    <row r="5758" spans="1:14" hidden="1" x14ac:dyDescent="0.3">
      <c r="A5758" s="1" t="s">
        <v>3575</v>
      </c>
      <c r="B5758" s="1" t="s">
        <v>810</v>
      </c>
      <c r="C5758" s="1" t="s">
        <v>3576</v>
      </c>
      <c r="D5758" s="1" t="s">
        <v>738</v>
      </c>
      <c r="E5758" s="1" t="s">
        <v>739</v>
      </c>
      <c r="F5758" s="1" t="s">
        <v>781</v>
      </c>
      <c r="G5758" s="1" t="s">
        <v>3570</v>
      </c>
      <c r="H5758">
        <v>2019</v>
      </c>
      <c r="I5758">
        <v>2022</v>
      </c>
      <c r="J5758">
        <f t="shared" si="178"/>
        <v>4</v>
      </c>
      <c r="K5758" s="1" t="s">
        <v>741</v>
      </c>
      <c r="L5758" s="1" t="s">
        <v>798</v>
      </c>
      <c r="M5758">
        <f t="shared" si="179"/>
        <v>4</v>
      </c>
      <c r="N5758" t="s">
        <v>650</v>
      </c>
    </row>
    <row r="5759" spans="1:14" hidden="1" x14ac:dyDescent="0.3">
      <c r="A5759" s="1" t="s">
        <v>3577</v>
      </c>
      <c r="B5759" s="1" t="s">
        <v>810</v>
      </c>
      <c r="C5759" s="1" t="s">
        <v>3578</v>
      </c>
      <c r="D5759" s="1" t="s">
        <v>738</v>
      </c>
      <c r="E5759" s="1" t="s">
        <v>739</v>
      </c>
      <c r="F5759" s="1" t="s">
        <v>781</v>
      </c>
      <c r="G5759" s="1" t="s">
        <v>3570</v>
      </c>
      <c r="H5759">
        <v>2009</v>
      </c>
      <c r="I5759">
        <v>2016</v>
      </c>
      <c r="J5759">
        <f t="shared" si="178"/>
        <v>8</v>
      </c>
      <c r="K5759" s="1" t="s">
        <v>741</v>
      </c>
      <c r="L5759" s="1" t="s">
        <v>798</v>
      </c>
      <c r="M5759">
        <f t="shared" si="179"/>
        <v>10</v>
      </c>
      <c r="N5759" t="s">
        <v>650</v>
      </c>
    </row>
    <row r="5760" spans="1:14" x14ac:dyDescent="0.3">
      <c r="A5760" s="1" t="s">
        <v>10373</v>
      </c>
      <c r="B5760" s="1" t="s">
        <v>810</v>
      </c>
      <c r="C5760" s="1" t="s">
        <v>10374</v>
      </c>
      <c r="D5760" s="1" t="s">
        <v>738</v>
      </c>
      <c r="E5760" s="1" t="s">
        <v>6076</v>
      </c>
      <c r="F5760" s="1" t="s">
        <v>6076</v>
      </c>
      <c r="G5760" s="1" t="s">
        <v>3570</v>
      </c>
      <c r="H5760">
        <v>1987</v>
      </c>
      <c r="I5760">
        <v>1995</v>
      </c>
      <c r="J5760">
        <f t="shared" si="178"/>
        <v>9</v>
      </c>
      <c r="K5760" s="1" t="s">
        <v>6076</v>
      </c>
      <c r="L5760" s="1" t="s">
        <v>6076</v>
      </c>
      <c r="M5760">
        <f t="shared" si="179"/>
        <v>31</v>
      </c>
      <c r="N5760" t="s">
        <v>640</v>
      </c>
    </row>
    <row r="5761" spans="1:14" x14ac:dyDescent="0.3">
      <c r="A5761" s="1" t="s">
        <v>10375</v>
      </c>
      <c r="B5761" s="1" t="s">
        <v>810</v>
      </c>
      <c r="C5761" s="1" t="s">
        <v>10376</v>
      </c>
      <c r="D5761" s="1" t="s">
        <v>738</v>
      </c>
      <c r="E5761" s="1" t="s">
        <v>6076</v>
      </c>
      <c r="F5761" s="1" t="s">
        <v>6076</v>
      </c>
      <c r="G5761" s="1" t="s">
        <v>3570</v>
      </c>
      <c r="H5761">
        <v>1990</v>
      </c>
      <c r="I5761">
        <v>1995</v>
      </c>
      <c r="J5761">
        <f t="shared" si="178"/>
        <v>6</v>
      </c>
      <c r="K5761" s="1" t="s">
        <v>6076</v>
      </c>
      <c r="L5761" s="1" t="s">
        <v>6076</v>
      </c>
      <c r="M5761">
        <f t="shared" si="179"/>
        <v>31</v>
      </c>
      <c r="N5761" t="s">
        <v>640</v>
      </c>
    </row>
    <row r="5762" spans="1:14" hidden="1" x14ac:dyDescent="0.3">
      <c r="A5762" s="1" t="s">
        <v>3579</v>
      </c>
      <c r="B5762" s="1" t="s">
        <v>810</v>
      </c>
      <c r="C5762" s="1" t="s">
        <v>3580</v>
      </c>
      <c r="D5762" s="1" t="s">
        <v>738</v>
      </c>
      <c r="E5762" s="1" t="s">
        <v>739</v>
      </c>
      <c r="F5762" s="1" t="s">
        <v>781</v>
      </c>
      <c r="G5762" s="1" t="s">
        <v>3570</v>
      </c>
      <c r="H5762">
        <v>2009</v>
      </c>
      <c r="I5762">
        <v>2018</v>
      </c>
      <c r="J5762">
        <f t="shared" si="178"/>
        <v>10</v>
      </c>
      <c r="K5762" s="1" t="s">
        <v>741</v>
      </c>
      <c r="L5762" s="1" t="s">
        <v>798</v>
      </c>
      <c r="M5762">
        <f t="shared" si="179"/>
        <v>8</v>
      </c>
      <c r="N5762" t="s">
        <v>650</v>
      </c>
    </row>
    <row r="5763" spans="1:14" hidden="1" x14ac:dyDescent="0.3">
      <c r="A5763" s="1" t="s">
        <v>3581</v>
      </c>
      <c r="B5763" s="1" t="s">
        <v>810</v>
      </c>
      <c r="C5763" s="1" t="s">
        <v>3582</v>
      </c>
      <c r="D5763" s="1" t="s">
        <v>738</v>
      </c>
      <c r="E5763" s="1" t="s">
        <v>739</v>
      </c>
      <c r="F5763" s="1" t="s">
        <v>781</v>
      </c>
      <c r="G5763" s="1" t="s">
        <v>3570</v>
      </c>
      <c r="H5763">
        <v>2017</v>
      </c>
      <c r="I5763">
        <v>2018</v>
      </c>
      <c r="J5763">
        <f t="shared" si="178"/>
        <v>2</v>
      </c>
      <c r="K5763" s="1" t="s">
        <v>741</v>
      </c>
      <c r="L5763" s="1" t="s">
        <v>798</v>
      </c>
      <c r="M5763">
        <f t="shared" si="179"/>
        <v>8</v>
      </c>
      <c r="N5763" t="s">
        <v>650</v>
      </c>
    </row>
    <row r="5764" spans="1:14" hidden="1" x14ac:dyDescent="0.3">
      <c r="A5764" s="1" t="s">
        <v>3583</v>
      </c>
      <c r="B5764" s="1" t="s">
        <v>810</v>
      </c>
      <c r="C5764" s="1" t="s">
        <v>3584</v>
      </c>
      <c r="D5764" s="1" t="s">
        <v>738</v>
      </c>
      <c r="E5764" s="1" t="s">
        <v>739</v>
      </c>
      <c r="F5764" s="1" t="s">
        <v>781</v>
      </c>
      <c r="G5764" s="1" t="s">
        <v>3570</v>
      </c>
      <c r="H5764">
        <v>2015</v>
      </c>
      <c r="I5764">
        <v>2016</v>
      </c>
      <c r="J5764">
        <f t="shared" si="178"/>
        <v>2</v>
      </c>
      <c r="K5764" s="1" t="s">
        <v>741</v>
      </c>
      <c r="L5764" s="1" t="s">
        <v>798</v>
      </c>
      <c r="M5764">
        <f t="shared" si="179"/>
        <v>10</v>
      </c>
      <c r="N5764" t="s">
        <v>650</v>
      </c>
    </row>
    <row r="5765" spans="1:14" hidden="1" x14ac:dyDescent="0.3">
      <c r="A5765" s="1" t="s">
        <v>3585</v>
      </c>
      <c r="B5765" s="1" t="s">
        <v>810</v>
      </c>
      <c r="C5765" s="1" t="s">
        <v>3586</v>
      </c>
      <c r="D5765" s="1" t="s">
        <v>738</v>
      </c>
      <c r="E5765" s="1" t="s">
        <v>739</v>
      </c>
      <c r="F5765" s="1" t="s">
        <v>781</v>
      </c>
      <c r="G5765" s="1" t="s">
        <v>3570</v>
      </c>
      <c r="H5765">
        <v>2015</v>
      </c>
      <c r="I5765">
        <v>2016</v>
      </c>
      <c r="J5765">
        <f t="shared" si="178"/>
        <v>2</v>
      </c>
      <c r="K5765" s="1" t="s">
        <v>741</v>
      </c>
      <c r="L5765" s="1" t="s">
        <v>798</v>
      </c>
      <c r="M5765">
        <f t="shared" si="179"/>
        <v>10</v>
      </c>
      <c r="N5765" t="s">
        <v>650</v>
      </c>
    </row>
    <row r="5766" spans="1:14" x14ac:dyDescent="0.3">
      <c r="A5766" s="1" t="s">
        <v>10377</v>
      </c>
      <c r="B5766" s="1" t="s">
        <v>810</v>
      </c>
      <c r="C5766" s="1" t="s">
        <v>10378</v>
      </c>
      <c r="D5766" s="1" t="s">
        <v>738</v>
      </c>
      <c r="E5766" s="1" t="s">
        <v>6076</v>
      </c>
      <c r="F5766" s="1" t="s">
        <v>6076</v>
      </c>
      <c r="G5766" s="1" t="s">
        <v>3570</v>
      </c>
      <c r="H5766">
        <v>1990</v>
      </c>
      <c r="I5766">
        <v>1995</v>
      </c>
      <c r="J5766">
        <f t="shared" ref="J5766:J5829" si="180">1+(I5766-H5766)</f>
        <v>6</v>
      </c>
      <c r="K5766" s="1" t="s">
        <v>6076</v>
      </c>
      <c r="L5766" s="1" t="s">
        <v>6076</v>
      </c>
      <c r="M5766">
        <f t="shared" ref="M5766:M5829" si="181">IF(I5766=0,0,$B$2-I5766)</f>
        <v>31</v>
      </c>
      <c r="N5766" t="s">
        <v>640</v>
      </c>
    </row>
    <row r="5767" spans="1:14" hidden="1" x14ac:dyDescent="0.3">
      <c r="A5767" s="1" t="s">
        <v>3587</v>
      </c>
      <c r="B5767" s="1" t="s">
        <v>810</v>
      </c>
      <c r="C5767" s="1" t="s">
        <v>3588</v>
      </c>
      <c r="D5767" s="1" t="s">
        <v>738</v>
      </c>
      <c r="E5767" s="1" t="s">
        <v>739</v>
      </c>
      <c r="F5767" s="1" t="s">
        <v>781</v>
      </c>
      <c r="G5767" s="1" t="s">
        <v>3570</v>
      </c>
      <c r="H5767">
        <v>1987</v>
      </c>
      <c r="I5767">
        <v>1995</v>
      </c>
      <c r="J5767">
        <f t="shared" si="180"/>
        <v>9</v>
      </c>
      <c r="K5767" s="1" t="s">
        <v>741</v>
      </c>
      <c r="L5767" s="1" t="s">
        <v>798</v>
      </c>
      <c r="M5767">
        <f t="shared" si="181"/>
        <v>31</v>
      </c>
      <c r="N5767" t="s">
        <v>640</v>
      </c>
    </row>
    <row r="5768" spans="1:14" hidden="1" x14ac:dyDescent="0.3">
      <c r="A5768" s="1" t="s">
        <v>3589</v>
      </c>
      <c r="B5768" s="1" t="s">
        <v>810</v>
      </c>
      <c r="C5768" s="1" t="s">
        <v>3590</v>
      </c>
      <c r="D5768" s="1" t="s">
        <v>738</v>
      </c>
      <c r="E5768" s="1" t="s">
        <v>739</v>
      </c>
      <c r="F5768" s="1" t="s">
        <v>781</v>
      </c>
      <c r="G5768" s="1" t="s">
        <v>3570</v>
      </c>
      <c r="H5768">
        <v>2010</v>
      </c>
      <c r="I5768">
        <v>2015</v>
      </c>
      <c r="J5768">
        <f t="shared" si="180"/>
        <v>6</v>
      </c>
      <c r="K5768" s="1" t="s">
        <v>741</v>
      </c>
      <c r="L5768" s="1" t="s">
        <v>798</v>
      </c>
      <c r="M5768">
        <f t="shared" si="181"/>
        <v>11</v>
      </c>
      <c r="N5768" t="s">
        <v>650</v>
      </c>
    </row>
    <row r="5769" spans="1:14" hidden="1" x14ac:dyDescent="0.3">
      <c r="A5769" s="1" t="s">
        <v>3591</v>
      </c>
      <c r="B5769" s="1" t="s">
        <v>810</v>
      </c>
      <c r="C5769" s="1" t="s">
        <v>3592</v>
      </c>
      <c r="D5769" s="1" t="s">
        <v>738</v>
      </c>
      <c r="E5769" s="1" t="s">
        <v>739</v>
      </c>
      <c r="F5769" s="1" t="s">
        <v>781</v>
      </c>
      <c r="G5769" s="1" t="s">
        <v>3570</v>
      </c>
      <c r="H5769">
        <v>2010</v>
      </c>
      <c r="I5769">
        <v>2018</v>
      </c>
      <c r="J5769">
        <f t="shared" si="180"/>
        <v>9</v>
      </c>
      <c r="K5769" s="1" t="s">
        <v>741</v>
      </c>
      <c r="L5769" s="1" t="s">
        <v>798</v>
      </c>
      <c r="M5769">
        <f t="shared" si="181"/>
        <v>8</v>
      </c>
      <c r="N5769" t="s">
        <v>650</v>
      </c>
    </row>
    <row r="5770" spans="1:14" hidden="1" x14ac:dyDescent="0.3">
      <c r="A5770" s="1" t="s">
        <v>3593</v>
      </c>
      <c r="B5770" s="1" t="s">
        <v>810</v>
      </c>
      <c r="C5770" s="1" t="s">
        <v>3594</v>
      </c>
      <c r="D5770" s="1" t="s">
        <v>738</v>
      </c>
      <c r="E5770" s="1" t="s">
        <v>739</v>
      </c>
      <c r="F5770" s="1" t="s">
        <v>781</v>
      </c>
      <c r="G5770" s="1" t="s">
        <v>3570</v>
      </c>
      <c r="H5770">
        <v>2015</v>
      </c>
      <c r="I5770">
        <v>2016</v>
      </c>
      <c r="J5770">
        <f t="shared" si="180"/>
        <v>2</v>
      </c>
      <c r="K5770" s="1" t="s">
        <v>741</v>
      </c>
      <c r="L5770" s="1" t="s">
        <v>798</v>
      </c>
      <c r="M5770">
        <f t="shared" si="181"/>
        <v>10</v>
      </c>
      <c r="N5770" t="s">
        <v>650</v>
      </c>
    </row>
    <row r="5771" spans="1:14" hidden="1" x14ac:dyDescent="0.3">
      <c r="A5771" s="1" t="s">
        <v>3595</v>
      </c>
      <c r="B5771" s="1" t="s">
        <v>810</v>
      </c>
      <c r="C5771" s="1" t="s">
        <v>3596</v>
      </c>
      <c r="D5771" s="1" t="s">
        <v>738</v>
      </c>
      <c r="E5771" s="1" t="s">
        <v>739</v>
      </c>
      <c r="F5771" s="1" t="s">
        <v>781</v>
      </c>
      <c r="G5771" s="1" t="s">
        <v>3570</v>
      </c>
      <c r="H5771">
        <v>2010</v>
      </c>
      <c r="I5771">
        <v>2015</v>
      </c>
      <c r="J5771">
        <f t="shared" si="180"/>
        <v>6</v>
      </c>
      <c r="K5771" s="1" t="s">
        <v>741</v>
      </c>
      <c r="L5771" s="1" t="s">
        <v>798</v>
      </c>
      <c r="M5771">
        <f t="shared" si="181"/>
        <v>11</v>
      </c>
      <c r="N5771" t="s">
        <v>650</v>
      </c>
    </row>
    <row r="5772" spans="1:14" hidden="1" x14ac:dyDescent="0.3">
      <c r="A5772" s="1" t="s">
        <v>3597</v>
      </c>
      <c r="B5772" s="1" t="s">
        <v>810</v>
      </c>
      <c r="C5772" s="1" t="s">
        <v>3598</v>
      </c>
      <c r="D5772" s="1" t="s">
        <v>738</v>
      </c>
      <c r="E5772" s="1" t="s">
        <v>739</v>
      </c>
      <c r="F5772" s="1" t="s">
        <v>781</v>
      </c>
      <c r="G5772" s="1" t="s">
        <v>3570</v>
      </c>
      <c r="H5772">
        <v>2015</v>
      </c>
      <c r="I5772">
        <v>2015</v>
      </c>
      <c r="J5772">
        <f t="shared" si="180"/>
        <v>1</v>
      </c>
      <c r="K5772" s="1" t="s">
        <v>741</v>
      </c>
      <c r="L5772" s="1" t="s">
        <v>798</v>
      </c>
      <c r="M5772">
        <f t="shared" si="181"/>
        <v>11</v>
      </c>
      <c r="N5772" t="s">
        <v>650</v>
      </c>
    </row>
    <row r="5773" spans="1:14" x14ac:dyDescent="0.3">
      <c r="A5773" s="1" t="s">
        <v>10379</v>
      </c>
      <c r="B5773" s="1" t="s">
        <v>810</v>
      </c>
      <c r="C5773" s="1" t="s">
        <v>10380</v>
      </c>
      <c r="D5773" s="1" t="s">
        <v>738</v>
      </c>
      <c r="E5773" s="1" t="s">
        <v>6076</v>
      </c>
      <c r="F5773" s="1" t="s">
        <v>6076</v>
      </c>
      <c r="G5773" s="1" t="s">
        <v>3570</v>
      </c>
      <c r="H5773">
        <v>1985</v>
      </c>
      <c r="I5773">
        <v>1995</v>
      </c>
      <c r="J5773">
        <f t="shared" si="180"/>
        <v>11</v>
      </c>
      <c r="K5773" s="1" t="s">
        <v>6076</v>
      </c>
      <c r="L5773" s="1" t="s">
        <v>6076</v>
      </c>
      <c r="M5773">
        <f t="shared" si="181"/>
        <v>31</v>
      </c>
      <c r="N5773" t="s">
        <v>640</v>
      </c>
    </row>
    <row r="5774" spans="1:14" hidden="1" x14ac:dyDescent="0.3">
      <c r="A5774" s="1" t="s">
        <v>3599</v>
      </c>
      <c r="B5774" s="1" t="s">
        <v>810</v>
      </c>
      <c r="C5774" s="1" t="s">
        <v>3600</v>
      </c>
      <c r="D5774" s="1" t="s">
        <v>738</v>
      </c>
      <c r="E5774" s="1" t="s">
        <v>739</v>
      </c>
      <c r="F5774" s="1" t="s">
        <v>781</v>
      </c>
      <c r="G5774" s="1" t="s">
        <v>3570</v>
      </c>
      <c r="H5774">
        <v>2014</v>
      </c>
      <c r="I5774">
        <v>2015</v>
      </c>
      <c r="J5774">
        <f t="shared" si="180"/>
        <v>2</v>
      </c>
      <c r="K5774" s="1" t="s">
        <v>741</v>
      </c>
      <c r="L5774" s="1" t="s">
        <v>798</v>
      </c>
      <c r="M5774">
        <f t="shared" si="181"/>
        <v>11</v>
      </c>
      <c r="N5774" t="s">
        <v>650</v>
      </c>
    </row>
    <row r="5775" spans="1:14" hidden="1" x14ac:dyDescent="0.3">
      <c r="A5775" s="1" t="s">
        <v>3601</v>
      </c>
      <c r="B5775" s="1" t="s">
        <v>810</v>
      </c>
      <c r="C5775" s="1" t="s">
        <v>3602</v>
      </c>
      <c r="D5775" s="1" t="s">
        <v>738</v>
      </c>
      <c r="E5775" s="1" t="s">
        <v>739</v>
      </c>
      <c r="F5775" s="1" t="s">
        <v>781</v>
      </c>
      <c r="G5775" s="1" t="s">
        <v>3570</v>
      </c>
      <c r="H5775">
        <v>2014</v>
      </c>
      <c r="I5775">
        <v>2015</v>
      </c>
      <c r="J5775">
        <f t="shared" si="180"/>
        <v>2</v>
      </c>
      <c r="K5775" s="1" t="s">
        <v>741</v>
      </c>
      <c r="L5775" s="1" t="s">
        <v>798</v>
      </c>
      <c r="M5775">
        <f t="shared" si="181"/>
        <v>11</v>
      </c>
      <c r="N5775" t="s">
        <v>650</v>
      </c>
    </row>
    <row r="5776" spans="1:14" hidden="1" x14ac:dyDescent="0.3">
      <c r="A5776" s="1" t="s">
        <v>3603</v>
      </c>
      <c r="B5776" s="1" t="s">
        <v>810</v>
      </c>
      <c r="C5776" s="1" t="s">
        <v>3604</v>
      </c>
      <c r="D5776" s="1" t="s">
        <v>738</v>
      </c>
      <c r="E5776" s="1" t="s">
        <v>739</v>
      </c>
      <c r="F5776" s="1" t="s">
        <v>781</v>
      </c>
      <c r="G5776" s="1" t="s">
        <v>3570</v>
      </c>
      <c r="H5776">
        <v>2014</v>
      </c>
      <c r="I5776">
        <v>2015</v>
      </c>
      <c r="J5776">
        <f t="shared" si="180"/>
        <v>2</v>
      </c>
      <c r="K5776" s="1" t="s">
        <v>741</v>
      </c>
      <c r="L5776" s="1" t="s">
        <v>798</v>
      </c>
      <c r="M5776">
        <f t="shared" si="181"/>
        <v>11</v>
      </c>
      <c r="N5776" t="s">
        <v>650</v>
      </c>
    </row>
    <row r="5777" spans="1:14" hidden="1" x14ac:dyDescent="0.3">
      <c r="A5777" s="1" t="s">
        <v>3605</v>
      </c>
      <c r="B5777" s="1" t="s">
        <v>810</v>
      </c>
      <c r="C5777" s="1" t="s">
        <v>3606</v>
      </c>
      <c r="D5777" s="1" t="s">
        <v>738</v>
      </c>
      <c r="E5777" s="1" t="s">
        <v>739</v>
      </c>
      <c r="F5777" s="1" t="s">
        <v>781</v>
      </c>
      <c r="G5777" s="1" t="s">
        <v>3570</v>
      </c>
      <c r="H5777">
        <v>2009</v>
      </c>
      <c r="I5777">
        <v>2014</v>
      </c>
      <c r="J5777">
        <f t="shared" si="180"/>
        <v>6</v>
      </c>
      <c r="K5777" s="1" t="s">
        <v>741</v>
      </c>
      <c r="L5777" s="1" t="s">
        <v>798</v>
      </c>
      <c r="M5777">
        <f t="shared" si="181"/>
        <v>12</v>
      </c>
      <c r="N5777" t="s">
        <v>650</v>
      </c>
    </row>
    <row r="5778" spans="1:14" hidden="1" x14ac:dyDescent="0.3">
      <c r="A5778" s="1" t="s">
        <v>3607</v>
      </c>
      <c r="B5778" s="1" t="s">
        <v>810</v>
      </c>
      <c r="C5778" s="1" t="s">
        <v>3608</v>
      </c>
      <c r="D5778" s="1" t="s">
        <v>738</v>
      </c>
      <c r="E5778" s="1" t="s">
        <v>739</v>
      </c>
      <c r="F5778" s="1" t="s">
        <v>781</v>
      </c>
      <c r="G5778" s="1" t="s">
        <v>3570</v>
      </c>
      <c r="H5778">
        <v>2017</v>
      </c>
      <c r="I5778">
        <v>2018</v>
      </c>
      <c r="J5778">
        <f t="shared" si="180"/>
        <v>2</v>
      </c>
      <c r="K5778" s="1" t="s">
        <v>741</v>
      </c>
      <c r="L5778" s="1" t="s">
        <v>798</v>
      </c>
      <c r="M5778">
        <f t="shared" si="181"/>
        <v>8</v>
      </c>
      <c r="N5778" t="s">
        <v>650</v>
      </c>
    </row>
    <row r="5779" spans="1:14" hidden="1" x14ac:dyDescent="0.3">
      <c r="A5779" s="1" t="s">
        <v>3609</v>
      </c>
      <c r="B5779" s="1" t="s">
        <v>810</v>
      </c>
      <c r="C5779" s="1" t="s">
        <v>3610</v>
      </c>
      <c r="D5779" s="1" t="s">
        <v>738</v>
      </c>
      <c r="E5779" s="1" t="s">
        <v>739</v>
      </c>
      <c r="F5779" s="1" t="s">
        <v>781</v>
      </c>
      <c r="G5779" s="1" t="s">
        <v>3570</v>
      </c>
      <c r="H5779">
        <v>2015</v>
      </c>
      <c r="I5779">
        <v>2017</v>
      </c>
      <c r="J5779">
        <f t="shared" si="180"/>
        <v>3</v>
      </c>
      <c r="K5779" s="1" t="s">
        <v>741</v>
      </c>
      <c r="L5779" s="1" t="s">
        <v>798</v>
      </c>
      <c r="M5779">
        <f t="shared" si="181"/>
        <v>9</v>
      </c>
      <c r="N5779" t="s">
        <v>650</v>
      </c>
    </row>
    <row r="5780" spans="1:14" hidden="1" x14ac:dyDescent="0.3">
      <c r="A5780" s="1" t="s">
        <v>3611</v>
      </c>
      <c r="B5780" s="1" t="s">
        <v>810</v>
      </c>
      <c r="C5780" s="1" t="s">
        <v>3612</v>
      </c>
      <c r="D5780" s="1" t="s">
        <v>738</v>
      </c>
      <c r="E5780" s="1" t="s">
        <v>739</v>
      </c>
      <c r="F5780" s="1" t="s">
        <v>781</v>
      </c>
      <c r="G5780" s="1" t="s">
        <v>3570</v>
      </c>
      <c r="H5780">
        <v>2015</v>
      </c>
      <c r="I5780">
        <v>2018</v>
      </c>
      <c r="J5780">
        <f t="shared" si="180"/>
        <v>4</v>
      </c>
      <c r="K5780" s="1" t="s">
        <v>741</v>
      </c>
      <c r="L5780" s="1" t="s">
        <v>798</v>
      </c>
      <c r="M5780">
        <f t="shared" si="181"/>
        <v>8</v>
      </c>
      <c r="N5780" t="s">
        <v>650</v>
      </c>
    </row>
    <row r="5781" spans="1:14" x14ac:dyDescent="0.3">
      <c r="A5781" s="1" t="s">
        <v>10381</v>
      </c>
      <c r="B5781" s="1" t="s">
        <v>4665</v>
      </c>
      <c r="C5781" s="1" t="s">
        <v>10382</v>
      </c>
      <c r="D5781" s="1" t="s">
        <v>644</v>
      </c>
      <c r="E5781" s="1" t="s">
        <v>6076</v>
      </c>
      <c r="F5781" s="1" t="s">
        <v>6076</v>
      </c>
      <c r="G5781" s="1" t="s">
        <v>9914</v>
      </c>
      <c r="H5781">
        <v>1999</v>
      </c>
      <c r="I5781">
        <v>1999</v>
      </c>
      <c r="J5781">
        <f t="shared" si="180"/>
        <v>1</v>
      </c>
      <c r="K5781" s="1" t="s">
        <v>6076</v>
      </c>
      <c r="L5781" s="1" t="s">
        <v>6076</v>
      </c>
      <c r="M5781">
        <f t="shared" si="181"/>
        <v>27</v>
      </c>
      <c r="N5781" t="s">
        <v>640</v>
      </c>
    </row>
    <row r="5782" spans="1:14" x14ac:dyDescent="0.3">
      <c r="A5782" t="s">
        <v>11552</v>
      </c>
      <c r="B5782" t="s">
        <v>10999</v>
      </c>
      <c r="C5782" t="s">
        <v>11553</v>
      </c>
      <c r="E5782" s="1" t="s">
        <v>6076</v>
      </c>
      <c r="F5782" s="1" t="s">
        <v>6076</v>
      </c>
      <c r="G5782" s="1" t="s">
        <v>12835</v>
      </c>
      <c r="H5782">
        <v>2025</v>
      </c>
      <c r="I5782">
        <v>2026</v>
      </c>
      <c r="J5782">
        <f t="shared" si="180"/>
        <v>2</v>
      </c>
      <c r="K5782" s="1" t="s">
        <v>6076</v>
      </c>
      <c r="L5782" s="1" t="s">
        <v>6076</v>
      </c>
      <c r="M5782">
        <f t="shared" si="181"/>
        <v>0</v>
      </c>
    </row>
    <row r="5783" spans="1:14" x14ac:dyDescent="0.3">
      <c r="A5783" s="1" t="s">
        <v>10383</v>
      </c>
      <c r="B5783" s="1" t="s">
        <v>1451</v>
      </c>
      <c r="C5783" s="1" t="s">
        <v>10384</v>
      </c>
      <c r="D5783" s="1" t="s">
        <v>738</v>
      </c>
      <c r="E5783" s="1" t="s">
        <v>6076</v>
      </c>
      <c r="F5783" s="1" t="s">
        <v>6076</v>
      </c>
      <c r="G5783" s="1" t="s">
        <v>10385</v>
      </c>
      <c r="H5783">
        <v>1994</v>
      </c>
      <c r="I5783">
        <v>1995</v>
      </c>
      <c r="J5783">
        <f t="shared" si="180"/>
        <v>2</v>
      </c>
      <c r="K5783" s="1" t="s">
        <v>6076</v>
      </c>
      <c r="L5783" s="1" t="s">
        <v>6076</v>
      </c>
      <c r="M5783">
        <f t="shared" si="181"/>
        <v>31</v>
      </c>
      <c r="N5783" t="s">
        <v>640</v>
      </c>
    </row>
    <row r="5784" spans="1:14" x14ac:dyDescent="0.3">
      <c r="A5784" s="1" t="s">
        <v>10386</v>
      </c>
      <c r="B5784" s="1" t="s">
        <v>1451</v>
      </c>
      <c r="C5784" s="1" t="s">
        <v>10387</v>
      </c>
      <c r="D5784" s="1" t="s">
        <v>738</v>
      </c>
      <c r="E5784" s="1" t="s">
        <v>6076</v>
      </c>
      <c r="F5784" s="1" t="s">
        <v>6076</v>
      </c>
      <c r="G5784" s="1" t="s">
        <v>10385</v>
      </c>
      <c r="H5784">
        <v>1994</v>
      </c>
      <c r="I5784">
        <v>1995</v>
      </c>
      <c r="J5784">
        <f t="shared" si="180"/>
        <v>2</v>
      </c>
      <c r="K5784" s="1" t="s">
        <v>6076</v>
      </c>
      <c r="L5784" s="1" t="s">
        <v>6076</v>
      </c>
      <c r="M5784">
        <f t="shared" si="181"/>
        <v>31</v>
      </c>
      <c r="N5784" t="s">
        <v>640</v>
      </c>
    </row>
    <row r="5785" spans="1:14" x14ac:dyDescent="0.3">
      <c r="A5785" s="1" t="s">
        <v>10388</v>
      </c>
      <c r="B5785" s="1" t="s">
        <v>2783</v>
      </c>
      <c r="C5785" s="1" t="s">
        <v>10389</v>
      </c>
      <c r="D5785" s="1" t="s">
        <v>1242</v>
      </c>
      <c r="E5785" s="1" t="s">
        <v>6076</v>
      </c>
      <c r="F5785" s="1" t="s">
        <v>6076</v>
      </c>
      <c r="G5785" s="1" t="s">
        <v>10390</v>
      </c>
      <c r="H5785">
        <v>1992</v>
      </c>
      <c r="I5785">
        <v>2001</v>
      </c>
      <c r="J5785">
        <f t="shared" si="180"/>
        <v>10</v>
      </c>
      <c r="K5785" s="1" t="s">
        <v>6076</v>
      </c>
      <c r="L5785" s="1" t="s">
        <v>6076</v>
      </c>
      <c r="M5785">
        <f t="shared" si="181"/>
        <v>25</v>
      </c>
      <c r="N5785" t="s">
        <v>640</v>
      </c>
    </row>
    <row r="5786" spans="1:14" x14ac:dyDescent="0.3">
      <c r="A5786" t="s">
        <v>11716</v>
      </c>
      <c r="B5786" t="s">
        <v>2783</v>
      </c>
      <c r="C5786" t="s">
        <v>11717</v>
      </c>
      <c r="E5786" s="1" t="s">
        <v>6076</v>
      </c>
      <c r="F5786" s="1" t="s">
        <v>6076</v>
      </c>
      <c r="G5786" s="1" t="s">
        <v>12845</v>
      </c>
      <c r="H5786">
        <v>2020</v>
      </c>
      <c r="I5786">
        <v>2026</v>
      </c>
      <c r="J5786">
        <f t="shared" si="180"/>
        <v>7</v>
      </c>
      <c r="K5786" s="1" t="s">
        <v>6076</v>
      </c>
      <c r="L5786" s="1" t="s">
        <v>6076</v>
      </c>
      <c r="M5786">
        <f t="shared" si="181"/>
        <v>0</v>
      </c>
    </row>
    <row r="5787" spans="1:14" x14ac:dyDescent="0.3">
      <c r="A5787" t="s">
        <v>11718</v>
      </c>
      <c r="B5787" t="s">
        <v>2783</v>
      </c>
      <c r="C5787" t="s">
        <v>11719</v>
      </c>
      <c r="E5787" s="1" t="s">
        <v>6076</v>
      </c>
      <c r="F5787" s="1" t="s">
        <v>6076</v>
      </c>
      <c r="G5787" s="1" t="s">
        <v>12845</v>
      </c>
      <c r="H5787">
        <v>2018</v>
      </c>
      <c r="I5787">
        <v>2023</v>
      </c>
      <c r="J5787">
        <f t="shared" si="180"/>
        <v>6</v>
      </c>
      <c r="K5787" s="1" t="s">
        <v>6076</v>
      </c>
      <c r="L5787" s="1" t="s">
        <v>6076</v>
      </c>
      <c r="M5787">
        <f t="shared" si="181"/>
        <v>3</v>
      </c>
    </row>
    <row r="5788" spans="1:14" x14ac:dyDescent="0.3">
      <c r="A5788" t="s">
        <v>11720</v>
      </c>
      <c r="B5788" t="s">
        <v>2783</v>
      </c>
      <c r="C5788" t="s">
        <v>11721</v>
      </c>
      <c r="E5788" s="1" t="s">
        <v>6076</v>
      </c>
      <c r="F5788" s="1" t="s">
        <v>6076</v>
      </c>
      <c r="G5788" s="1" t="s">
        <v>12845</v>
      </c>
      <c r="H5788">
        <v>2011</v>
      </c>
      <c r="I5788">
        <v>2011</v>
      </c>
      <c r="J5788">
        <f t="shared" si="180"/>
        <v>1</v>
      </c>
      <c r="K5788" s="1" t="s">
        <v>6076</v>
      </c>
      <c r="L5788" s="1" t="s">
        <v>6076</v>
      </c>
      <c r="M5788">
        <f t="shared" si="181"/>
        <v>15</v>
      </c>
    </row>
    <row r="5789" spans="1:14" x14ac:dyDescent="0.3">
      <c r="A5789" t="s">
        <v>11722</v>
      </c>
      <c r="B5789" t="s">
        <v>2783</v>
      </c>
      <c r="C5789" t="s">
        <v>11723</v>
      </c>
      <c r="E5789" s="1" t="s">
        <v>6076</v>
      </c>
      <c r="F5789" s="1" t="s">
        <v>6076</v>
      </c>
      <c r="G5789" s="1" t="s">
        <v>12845</v>
      </c>
      <c r="H5789">
        <v>2019</v>
      </c>
      <c r="I5789">
        <v>2021</v>
      </c>
      <c r="J5789">
        <f t="shared" si="180"/>
        <v>3</v>
      </c>
      <c r="K5789" s="1" t="s">
        <v>6076</v>
      </c>
      <c r="L5789" s="1" t="s">
        <v>6076</v>
      </c>
      <c r="M5789">
        <f t="shared" si="181"/>
        <v>5</v>
      </c>
    </row>
    <row r="5790" spans="1:14" x14ac:dyDescent="0.3">
      <c r="A5790" t="s">
        <v>11724</v>
      </c>
      <c r="B5790" t="s">
        <v>2783</v>
      </c>
      <c r="C5790" t="s">
        <v>11725</v>
      </c>
      <c r="E5790" s="1" t="s">
        <v>6076</v>
      </c>
      <c r="F5790" s="1" t="s">
        <v>6076</v>
      </c>
      <c r="G5790" s="1" t="s">
        <v>12845</v>
      </c>
      <c r="H5790">
        <v>2012</v>
      </c>
      <c r="I5790">
        <v>2018</v>
      </c>
      <c r="J5790">
        <f t="shared" si="180"/>
        <v>7</v>
      </c>
      <c r="K5790" s="1" t="s">
        <v>6076</v>
      </c>
      <c r="L5790" s="1" t="s">
        <v>6076</v>
      </c>
      <c r="M5790">
        <f t="shared" si="181"/>
        <v>8</v>
      </c>
    </row>
    <row r="5791" spans="1:14" x14ac:dyDescent="0.3">
      <c r="A5791" t="s">
        <v>11726</v>
      </c>
      <c r="B5791" t="s">
        <v>2783</v>
      </c>
      <c r="C5791" t="s">
        <v>11727</v>
      </c>
      <c r="E5791" s="1" t="s">
        <v>6076</v>
      </c>
      <c r="F5791" s="1" t="s">
        <v>6076</v>
      </c>
      <c r="G5791" s="1" t="s">
        <v>12845</v>
      </c>
      <c r="H5791">
        <v>2007</v>
      </c>
      <c r="I5791">
        <v>2011</v>
      </c>
      <c r="J5791">
        <f t="shared" si="180"/>
        <v>5</v>
      </c>
      <c r="K5791" s="1" t="s">
        <v>6076</v>
      </c>
      <c r="L5791" s="1" t="s">
        <v>6076</v>
      </c>
      <c r="M5791">
        <f t="shared" si="181"/>
        <v>15</v>
      </c>
    </row>
    <row r="5792" spans="1:14" x14ac:dyDescent="0.3">
      <c r="A5792" t="s">
        <v>11728</v>
      </c>
      <c r="B5792" t="s">
        <v>2783</v>
      </c>
      <c r="C5792" t="s">
        <v>11729</v>
      </c>
      <c r="E5792" s="1" t="s">
        <v>6076</v>
      </c>
      <c r="F5792" s="1" t="s">
        <v>6076</v>
      </c>
      <c r="G5792" s="1" t="s">
        <v>12845</v>
      </c>
      <c r="H5792">
        <v>2016</v>
      </c>
      <c r="I5792">
        <v>2016</v>
      </c>
      <c r="J5792">
        <f t="shared" si="180"/>
        <v>1</v>
      </c>
      <c r="K5792" s="1" t="s">
        <v>6076</v>
      </c>
      <c r="L5792" s="1" t="s">
        <v>6076</v>
      </c>
      <c r="M5792">
        <f t="shared" si="181"/>
        <v>10</v>
      </c>
    </row>
    <row r="5793" spans="1:14" x14ac:dyDescent="0.3">
      <c r="A5793" t="s">
        <v>11730</v>
      </c>
      <c r="B5793" t="s">
        <v>2783</v>
      </c>
      <c r="C5793" t="s">
        <v>11731</v>
      </c>
      <c r="E5793" s="1" t="s">
        <v>6076</v>
      </c>
      <c r="F5793" s="1" t="s">
        <v>6076</v>
      </c>
      <c r="G5793" s="1" t="s">
        <v>12845</v>
      </c>
      <c r="H5793">
        <v>2021</v>
      </c>
      <c r="I5793">
        <v>2021</v>
      </c>
      <c r="J5793">
        <f t="shared" si="180"/>
        <v>1</v>
      </c>
      <c r="K5793" s="1" t="s">
        <v>6076</v>
      </c>
      <c r="L5793" s="1" t="s">
        <v>6076</v>
      </c>
      <c r="M5793">
        <f t="shared" si="181"/>
        <v>5</v>
      </c>
    </row>
    <row r="5794" spans="1:14" x14ac:dyDescent="0.3">
      <c r="A5794" t="s">
        <v>11732</v>
      </c>
      <c r="B5794" t="s">
        <v>2783</v>
      </c>
      <c r="C5794" t="s">
        <v>11733</v>
      </c>
      <c r="E5794" s="1" t="s">
        <v>6076</v>
      </c>
      <c r="F5794" s="1" t="s">
        <v>6076</v>
      </c>
      <c r="G5794" s="1" t="s">
        <v>12845</v>
      </c>
      <c r="H5794">
        <v>2022</v>
      </c>
      <c r="I5794">
        <v>2023</v>
      </c>
      <c r="J5794">
        <f t="shared" si="180"/>
        <v>2</v>
      </c>
      <c r="K5794" s="1" t="s">
        <v>6076</v>
      </c>
      <c r="L5794" s="1" t="s">
        <v>6076</v>
      </c>
      <c r="M5794">
        <f t="shared" si="181"/>
        <v>3</v>
      </c>
    </row>
    <row r="5795" spans="1:14" x14ac:dyDescent="0.3">
      <c r="A5795" t="s">
        <v>11734</v>
      </c>
      <c r="B5795" t="s">
        <v>2783</v>
      </c>
      <c r="C5795" t="s">
        <v>11735</v>
      </c>
      <c r="E5795" s="1" t="s">
        <v>6076</v>
      </c>
      <c r="F5795" s="1" t="s">
        <v>6076</v>
      </c>
      <c r="G5795" s="1" t="s">
        <v>12845</v>
      </c>
      <c r="H5795">
        <v>2018</v>
      </c>
      <c r="I5795">
        <v>2018</v>
      </c>
      <c r="J5795">
        <f t="shared" si="180"/>
        <v>1</v>
      </c>
      <c r="K5795" s="1" t="s">
        <v>6076</v>
      </c>
      <c r="L5795" s="1" t="s">
        <v>6076</v>
      </c>
      <c r="M5795">
        <f t="shared" si="181"/>
        <v>8</v>
      </c>
    </row>
    <row r="5796" spans="1:14" x14ac:dyDescent="0.3">
      <c r="A5796" t="s">
        <v>11736</v>
      </c>
      <c r="B5796" t="s">
        <v>2783</v>
      </c>
      <c r="C5796" t="s">
        <v>11737</v>
      </c>
      <c r="E5796" s="1" t="s">
        <v>6076</v>
      </c>
      <c r="F5796" s="1" t="s">
        <v>6076</v>
      </c>
      <c r="G5796" s="1" t="s">
        <v>12845</v>
      </c>
      <c r="H5796">
        <v>2011</v>
      </c>
      <c r="I5796">
        <v>2011</v>
      </c>
      <c r="J5796">
        <f t="shared" si="180"/>
        <v>1</v>
      </c>
      <c r="K5796" s="1" t="s">
        <v>6076</v>
      </c>
      <c r="L5796" s="1" t="s">
        <v>6076</v>
      </c>
      <c r="M5796">
        <f t="shared" si="181"/>
        <v>15</v>
      </c>
    </row>
    <row r="5797" spans="1:14" x14ac:dyDescent="0.3">
      <c r="A5797" t="s">
        <v>11738</v>
      </c>
      <c r="B5797" t="s">
        <v>2783</v>
      </c>
      <c r="C5797" t="s">
        <v>11739</v>
      </c>
      <c r="E5797" s="1" t="s">
        <v>6076</v>
      </c>
      <c r="F5797" s="1" t="s">
        <v>6076</v>
      </c>
      <c r="G5797" s="1" t="s">
        <v>12845</v>
      </c>
      <c r="H5797">
        <v>2012</v>
      </c>
      <c r="I5797">
        <v>2017</v>
      </c>
      <c r="J5797">
        <f t="shared" si="180"/>
        <v>6</v>
      </c>
      <c r="K5797" s="1" t="s">
        <v>6076</v>
      </c>
      <c r="L5797" s="1" t="s">
        <v>6076</v>
      </c>
      <c r="M5797">
        <f t="shared" si="181"/>
        <v>9</v>
      </c>
    </row>
    <row r="5798" spans="1:14" x14ac:dyDescent="0.3">
      <c r="A5798" t="s">
        <v>11740</v>
      </c>
      <c r="B5798" t="s">
        <v>2783</v>
      </c>
      <c r="C5798" t="s">
        <v>11741</v>
      </c>
      <c r="E5798" s="1" t="s">
        <v>6076</v>
      </c>
      <c r="F5798" s="1" t="s">
        <v>6076</v>
      </c>
      <c r="G5798" s="1" t="s">
        <v>12845</v>
      </c>
      <c r="H5798">
        <v>2009</v>
      </c>
      <c r="I5798">
        <v>2011</v>
      </c>
      <c r="J5798">
        <f t="shared" si="180"/>
        <v>3</v>
      </c>
      <c r="K5798" s="1" t="s">
        <v>6076</v>
      </c>
      <c r="L5798" s="1" t="s">
        <v>6076</v>
      </c>
      <c r="M5798">
        <f t="shared" si="181"/>
        <v>15</v>
      </c>
    </row>
    <row r="5799" spans="1:14" hidden="1" x14ac:dyDescent="0.3">
      <c r="A5799" s="1" t="s">
        <v>5847</v>
      </c>
      <c r="B5799" s="1" t="s">
        <v>910</v>
      </c>
      <c r="C5799" s="1" t="s">
        <v>5848</v>
      </c>
      <c r="D5799" s="1" t="s">
        <v>746</v>
      </c>
      <c r="E5799" s="1" t="s">
        <v>747</v>
      </c>
      <c r="F5799" s="1" t="s">
        <v>748</v>
      </c>
      <c r="G5799" s="1" t="s">
        <v>4782</v>
      </c>
      <c r="H5799">
        <v>2018</v>
      </c>
      <c r="I5799">
        <v>2022</v>
      </c>
      <c r="J5799">
        <f t="shared" si="180"/>
        <v>5</v>
      </c>
      <c r="K5799" s="1" t="s">
        <v>4668</v>
      </c>
      <c r="L5799" s="1" t="s">
        <v>666</v>
      </c>
      <c r="M5799">
        <f t="shared" si="181"/>
        <v>4</v>
      </c>
      <c r="N5799" t="s">
        <v>650</v>
      </c>
    </row>
    <row r="5800" spans="1:14" hidden="1" x14ac:dyDescent="0.3">
      <c r="A5800" t="s">
        <v>11572</v>
      </c>
      <c r="B5800" t="s">
        <v>910</v>
      </c>
      <c r="C5800" t="s">
        <v>5848</v>
      </c>
      <c r="E5800" s="1" t="e">
        <v>#N/A</v>
      </c>
      <c r="F5800" s="1" t="e">
        <v>#N/A</v>
      </c>
      <c r="G5800" s="1" t="s">
        <v>12905</v>
      </c>
      <c r="H5800">
        <v>2018</v>
      </c>
      <c r="I5800">
        <v>2026</v>
      </c>
      <c r="J5800">
        <f t="shared" si="180"/>
        <v>9</v>
      </c>
      <c r="K5800" s="1" t="s">
        <v>12912</v>
      </c>
      <c r="L5800" s="1" t="s">
        <v>12912</v>
      </c>
      <c r="M5800">
        <f t="shared" si="181"/>
        <v>0</v>
      </c>
    </row>
    <row r="5801" spans="1:14" hidden="1" x14ac:dyDescent="0.3">
      <c r="A5801" s="1" t="s">
        <v>5849</v>
      </c>
      <c r="B5801" s="1" t="s">
        <v>910</v>
      </c>
      <c r="C5801" s="1" t="s">
        <v>5850</v>
      </c>
      <c r="D5801" s="1" t="s">
        <v>746</v>
      </c>
      <c r="E5801" s="1" t="s">
        <v>747</v>
      </c>
      <c r="F5801" s="1" t="s">
        <v>748</v>
      </c>
      <c r="G5801" s="1" t="s">
        <v>4782</v>
      </c>
      <c r="H5801">
        <v>2018</v>
      </c>
      <c r="I5801">
        <v>2022</v>
      </c>
      <c r="J5801">
        <f t="shared" si="180"/>
        <v>5</v>
      </c>
      <c r="K5801" s="1" t="s">
        <v>4668</v>
      </c>
      <c r="L5801" s="1" t="s">
        <v>666</v>
      </c>
      <c r="M5801">
        <f t="shared" si="181"/>
        <v>4</v>
      </c>
      <c r="N5801" t="s">
        <v>650</v>
      </c>
    </row>
    <row r="5802" spans="1:14" hidden="1" x14ac:dyDescent="0.3">
      <c r="A5802" s="1" t="s">
        <v>5851</v>
      </c>
      <c r="B5802" s="1" t="s">
        <v>910</v>
      </c>
      <c r="C5802" s="1" t="s">
        <v>5852</v>
      </c>
      <c r="D5802" s="1" t="s">
        <v>746</v>
      </c>
      <c r="E5802" s="1" t="s">
        <v>747</v>
      </c>
      <c r="F5802" s="1" t="s">
        <v>748</v>
      </c>
      <c r="G5802" s="1" t="s">
        <v>4782</v>
      </c>
      <c r="H5802">
        <v>2021</v>
      </c>
      <c r="I5802">
        <v>2022</v>
      </c>
      <c r="J5802">
        <f t="shared" si="180"/>
        <v>2</v>
      </c>
      <c r="K5802" s="1" t="s">
        <v>4668</v>
      </c>
      <c r="L5802" s="1" t="s">
        <v>666</v>
      </c>
      <c r="M5802">
        <f t="shared" si="181"/>
        <v>4</v>
      </c>
      <c r="N5802" t="s">
        <v>650</v>
      </c>
    </row>
    <row r="5803" spans="1:14" x14ac:dyDescent="0.3">
      <c r="A5803" s="1" t="s">
        <v>10391</v>
      </c>
      <c r="B5803" s="1" t="s">
        <v>5913</v>
      </c>
      <c r="C5803" s="1" t="s">
        <v>10392</v>
      </c>
      <c r="D5803" s="1" t="s">
        <v>1395</v>
      </c>
      <c r="E5803" s="1" t="s">
        <v>6076</v>
      </c>
      <c r="F5803" s="1" t="s">
        <v>6076</v>
      </c>
      <c r="G5803" s="1" t="s">
        <v>10393</v>
      </c>
      <c r="H5803">
        <v>2010</v>
      </c>
      <c r="I5803">
        <v>2014</v>
      </c>
      <c r="J5803">
        <f t="shared" si="180"/>
        <v>5</v>
      </c>
      <c r="K5803" s="1" t="s">
        <v>6076</v>
      </c>
      <c r="L5803" s="1" t="s">
        <v>6076</v>
      </c>
      <c r="M5803">
        <f t="shared" si="181"/>
        <v>12</v>
      </c>
    </row>
    <row r="5804" spans="1:14" x14ac:dyDescent="0.3">
      <c r="A5804" t="s">
        <v>10958</v>
      </c>
      <c r="B5804" t="s">
        <v>5913</v>
      </c>
      <c r="C5804" t="s">
        <v>10959</v>
      </c>
      <c r="E5804" s="1" t="s">
        <v>6076</v>
      </c>
      <c r="F5804" s="1" t="s">
        <v>6076</v>
      </c>
      <c r="G5804" s="1" t="s">
        <v>10393</v>
      </c>
      <c r="H5804">
        <v>2023</v>
      </c>
      <c r="I5804">
        <v>2025</v>
      </c>
      <c r="J5804">
        <f t="shared" si="180"/>
        <v>3</v>
      </c>
      <c r="K5804" s="1" t="s">
        <v>6076</v>
      </c>
      <c r="L5804" s="1" t="s">
        <v>6076</v>
      </c>
      <c r="M5804">
        <f t="shared" si="181"/>
        <v>1</v>
      </c>
    </row>
    <row r="5805" spans="1:14" x14ac:dyDescent="0.3">
      <c r="A5805" s="1" t="s">
        <v>10394</v>
      </c>
      <c r="B5805" s="1" t="s">
        <v>5913</v>
      </c>
      <c r="C5805" s="1" t="s">
        <v>10395</v>
      </c>
      <c r="D5805" s="1" t="s">
        <v>1395</v>
      </c>
      <c r="E5805" s="1" t="s">
        <v>6076</v>
      </c>
      <c r="F5805" s="1" t="s">
        <v>6076</v>
      </c>
      <c r="G5805" s="1" t="s">
        <v>10393</v>
      </c>
      <c r="H5805">
        <v>2012</v>
      </c>
      <c r="I5805">
        <v>2022</v>
      </c>
      <c r="J5805">
        <f t="shared" si="180"/>
        <v>11</v>
      </c>
      <c r="K5805" s="1" t="s">
        <v>6076</v>
      </c>
      <c r="L5805" s="1" t="s">
        <v>6076</v>
      </c>
      <c r="M5805">
        <f t="shared" si="181"/>
        <v>4</v>
      </c>
    </row>
    <row r="5806" spans="1:14" x14ac:dyDescent="0.3">
      <c r="A5806" t="s">
        <v>10960</v>
      </c>
      <c r="B5806" t="s">
        <v>5913</v>
      </c>
      <c r="C5806" t="s">
        <v>10961</v>
      </c>
      <c r="E5806" s="1" t="s">
        <v>6076</v>
      </c>
      <c r="F5806" s="1" t="s">
        <v>6076</v>
      </c>
      <c r="G5806" s="1" t="s">
        <v>10393</v>
      </c>
      <c r="H5806">
        <v>2025</v>
      </c>
      <c r="I5806">
        <v>2026</v>
      </c>
      <c r="J5806">
        <f t="shared" si="180"/>
        <v>2</v>
      </c>
      <c r="K5806" s="1" t="s">
        <v>6076</v>
      </c>
      <c r="L5806" s="1" t="s">
        <v>6076</v>
      </c>
      <c r="M5806">
        <f t="shared" si="181"/>
        <v>0</v>
      </c>
    </row>
    <row r="5807" spans="1:14" x14ac:dyDescent="0.3">
      <c r="A5807" s="1" t="s">
        <v>10396</v>
      </c>
      <c r="B5807" s="1" t="s">
        <v>5913</v>
      </c>
      <c r="C5807" s="1" t="s">
        <v>10397</v>
      </c>
      <c r="D5807" s="1" t="s">
        <v>1395</v>
      </c>
      <c r="E5807" s="1" t="s">
        <v>6076</v>
      </c>
      <c r="F5807" s="1" t="s">
        <v>6076</v>
      </c>
      <c r="G5807" s="1" t="s">
        <v>10393</v>
      </c>
      <c r="H5807">
        <v>2021</v>
      </c>
      <c r="I5807">
        <v>2022</v>
      </c>
      <c r="J5807">
        <f t="shared" si="180"/>
        <v>2</v>
      </c>
      <c r="K5807" s="1" t="s">
        <v>6076</v>
      </c>
      <c r="L5807" s="1" t="s">
        <v>6076</v>
      </c>
      <c r="M5807">
        <f t="shared" si="181"/>
        <v>4</v>
      </c>
    </row>
    <row r="5808" spans="1:14" x14ac:dyDescent="0.3">
      <c r="A5808" t="s">
        <v>10962</v>
      </c>
      <c r="B5808" t="s">
        <v>5913</v>
      </c>
      <c r="C5808" t="s">
        <v>10963</v>
      </c>
      <c r="E5808" s="1" t="s">
        <v>6076</v>
      </c>
      <c r="F5808" s="1" t="s">
        <v>6076</v>
      </c>
      <c r="G5808" s="1" t="s">
        <v>10393</v>
      </c>
      <c r="H5808">
        <v>2023</v>
      </c>
      <c r="I5808">
        <v>2026</v>
      </c>
      <c r="J5808">
        <f t="shared" si="180"/>
        <v>4</v>
      </c>
      <c r="K5808" s="1" t="s">
        <v>6076</v>
      </c>
      <c r="L5808" s="1" t="s">
        <v>6076</v>
      </c>
      <c r="M5808">
        <f t="shared" si="181"/>
        <v>0</v>
      </c>
    </row>
    <row r="5809" spans="1:13" x14ac:dyDescent="0.3">
      <c r="A5809" s="1" t="s">
        <v>10398</v>
      </c>
      <c r="B5809" s="1" t="s">
        <v>5913</v>
      </c>
      <c r="C5809" s="1" t="s">
        <v>10399</v>
      </c>
      <c r="D5809" s="1" t="s">
        <v>1395</v>
      </c>
      <c r="E5809" s="1" t="s">
        <v>6076</v>
      </c>
      <c r="F5809" s="1" t="s">
        <v>6076</v>
      </c>
      <c r="G5809" s="1" t="s">
        <v>10393</v>
      </c>
      <c r="H5809">
        <v>2022</v>
      </c>
      <c r="I5809">
        <v>2022</v>
      </c>
      <c r="J5809">
        <f t="shared" si="180"/>
        <v>1</v>
      </c>
      <c r="K5809" s="1" t="s">
        <v>6076</v>
      </c>
      <c r="L5809" s="1" t="s">
        <v>6076</v>
      </c>
      <c r="M5809">
        <f t="shared" si="181"/>
        <v>4</v>
      </c>
    </row>
    <row r="5810" spans="1:13" x14ac:dyDescent="0.3">
      <c r="A5810" t="s">
        <v>10964</v>
      </c>
      <c r="B5810" t="s">
        <v>5913</v>
      </c>
      <c r="C5810" t="s">
        <v>10965</v>
      </c>
      <c r="E5810" s="1" t="s">
        <v>6076</v>
      </c>
      <c r="F5810" s="1" t="s">
        <v>6076</v>
      </c>
      <c r="G5810" s="1" t="s">
        <v>10393</v>
      </c>
      <c r="H5810">
        <v>2022</v>
      </c>
      <c r="I5810">
        <v>2022</v>
      </c>
      <c r="J5810">
        <f t="shared" si="180"/>
        <v>1</v>
      </c>
      <c r="K5810" s="1" t="s">
        <v>6076</v>
      </c>
      <c r="L5810" s="1" t="s">
        <v>6076</v>
      </c>
      <c r="M5810">
        <f t="shared" si="181"/>
        <v>4</v>
      </c>
    </row>
    <row r="5811" spans="1:13" x14ac:dyDescent="0.3">
      <c r="A5811" s="1" t="s">
        <v>10400</v>
      </c>
      <c r="B5811" s="1" t="s">
        <v>5913</v>
      </c>
      <c r="C5811" s="1" t="s">
        <v>10401</v>
      </c>
      <c r="D5811" s="1" t="s">
        <v>1395</v>
      </c>
      <c r="E5811" s="1" t="s">
        <v>6076</v>
      </c>
      <c r="F5811" s="1" t="s">
        <v>6076</v>
      </c>
      <c r="G5811" s="1" t="s">
        <v>10393</v>
      </c>
      <c r="H5811">
        <v>2015</v>
      </c>
      <c r="I5811">
        <v>2022</v>
      </c>
      <c r="J5811">
        <f t="shared" si="180"/>
        <v>8</v>
      </c>
      <c r="K5811" s="1" t="s">
        <v>6076</v>
      </c>
      <c r="L5811" s="1" t="s">
        <v>6076</v>
      </c>
      <c r="M5811">
        <f t="shared" si="181"/>
        <v>4</v>
      </c>
    </row>
    <row r="5812" spans="1:13" x14ac:dyDescent="0.3">
      <c r="A5812" t="s">
        <v>10966</v>
      </c>
      <c r="B5812" t="s">
        <v>5913</v>
      </c>
      <c r="C5812" t="s">
        <v>10967</v>
      </c>
      <c r="E5812" s="1" t="s">
        <v>6076</v>
      </c>
      <c r="F5812" s="1" t="s">
        <v>6076</v>
      </c>
      <c r="G5812" s="1" t="s">
        <v>10393</v>
      </c>
      <c r="H5812">
        <v>2023</v>
      </c>
      <c r="I5812">
        <v>2026</v>
      </c>
      <c r="J5812">
        <f t="shared" si="180"/>
        <v>4</v>
      </c>
      <c r="K5812" s="1" t="s">
        <v>6076</v>
      </c>
      <c r="L5812" s="1" t="s">
        <v>6076</v>
      </c>
      <c r="M5812">
        <f t="shared" si="181"/>
        <v>0</v>
      </c>
    </row>
    <row r="5813" spans="1:13" x14ac:dyDescent="0.3">
      <c r="A5813" s="1" t="s">
        <v>10402</v>
      </c>
      <c r="B5813" s="1" t="s">
        <v>5913</v>
      </c>
      <c r="C5813" s="1" t="s">
        <v>10403</v>
      </c>
      <c r="D5813" s="1" t="s">
        <v>1395</v>
      </c>
      <c r="E5813" s="1" t="s">
        <v>6076</v>
      </c>
      <c r="F5813" s="1" t="s">
        <v>6076</v>
      </c>
      <c r="G5813" s="1" t="s">
        <v>10393</v>
      </c>
      <c r="H5813">
        <v>2016</v>
      </c>
      <c r="I5813">
        <v>2022</v>
      </c>
      <c r="J5813">
        <f t="shared" si="180"/>
        <v>7</v>
      </c>
      <c r="K5813" s="1" t="s">
        <v>6076</v>
      </c>
      <c r="L5813" s="1" t="s">
        <v>6076</v>
      </c>
      <c r="M5813">
        <f t="shared" si="181"/>
        <v>4</v>
      </c>
    </row>
    <row r="5814" spans="1:13" x14ac:dyDescent="0.3">
      <c r="A5814" s="1" t="s">
        <v>10404</v>
      </c>
      <c r="B5814" s="1" t="s">
        <v>5913</v>
      </c>
      <c r="C5814" s="1" t="s">
        <v>10405</v>
      </c>
      <c r="D5814" s="1" t="s">
        <v>1395</v>
      </c>
      <c r="E5814" s="1" t="s">
        <v>6076</v>
      </c>
      <c r="F5814" s="1" t="s">
        <v>6076</v>
      </c>
      <c r="G5814" s="1" t="s">
        <v>10393</v>
      </c>
      <c r="H5814">
        <v>2012</v>
      </c>
      <c r="I5814">
        <v>2014</v>
      </c>
      <c r="J5814">
        <f t="shared" si="180"/>
        <v>3</v>
      </c>
      <c r="K5814" s="1" t="s">
        <v>6076</v>
      </c>
      <c r="L5814" s="1" t="s">
        <v>6076</v>
      </c>
      <c r="M5814">
        <f t="shared" si="181"/>
        <v>12</v>
      </c>
    </row>
    <row r="5815" spans="1:13" x14ac:dyDescent="0.3">
      <c r="A5815" s="1" t="s">
        <v>10406</v>
      </c>
      <c r="B5815" s="1" t="s">
        <v>5913</v>
      </c>
      <c r="C5815" s="1" t="s">
        <v>10407</v>
      </c>
      <c r="D5815" s="1" t="s">
        <v>1395</v>
      </c>
      <c r="E5815" s="1" t="s">
        <v>6076</v>
      </c>
      <c r="F5815" s="1" t="s">
        <v>6076</v>
      </c>
      <c r="G5815" s="1" t="s">
        <v>10393</v>
      </c>
      <c r="H5815">
        <v>2010</v>
      </c>
      <c r="I5815">
        <v>2012</v>
      </c>
      <c r="J5815">
        <f t="shared" si="180"/>
        <v>3</v>
      </c>
      <c r="K5815" s="1" t="s">
        <v>6076</v>
      </c>
      <c r="L5815" s="1" t="s">
        <v>6076</v>
      </c>
      <c r="M5815">
        <f t="shared" si="181"/>
        <v>14</v>
      </c>
    </row>
    <row r="5816" spans="1:13" x14ac:dyDescent="0.3">
      <c r="A5816" s="1" t="s">
        <v>10408</v>
      </c>
      <c r="B5816" s="1" t="s">
        <v>5913</v>
      </c>
      <c r="C5816" s="1" t="s">
        <v>10409</v>
      </c>
      <c r="D5816" s="1" t="s">
        <v>1395</v>
      </c>
      <c r="E5816" s="1" t="s">
        <v>6076</v>
      </c>
      <c r="F5816" s="1" t="s">
        <v>6076</v>
      </c>
      <c r="G5816" s="1" t="s">
        <v>10393</v>
      </c>
      <c r="H5816">
        <v>2015</v>
      </c>
      <c r="I5816">
        <v>2015</v>
      </c>
      <c r="J5816">
        <f t="shared" si="180"/>
        <v>1</v>
      </c>
      <c r="K5816" s="1" t="s">
        <v>6076</v>
      </c>
      <c r="L5816" s="1" t="s">
        <v>6076</v>
      </c>
      <c r="M5816">
        <f t="shared" si="181"/>
        <v>11</v>
      </c>
    </row>
    <row r="5817" spans="1:13" x14ac:dyDescent="0.3">
      <c r="A5817" s="1" t="s">
        <v>10410</v>
      </c>
      <c r="B5817" s="1" t="s">
        <v>5913</v>
      </c>
      <c r="C5817" s="1" t="s">
        <v>10411</v>
      </c>
      <c r="D5817" s="1" t="s">
        <v>1395</v>
      </c>
      <c r="E5817" s="1" t="s">
        <v>6076</v>
      </c>
      <c r="F5817" s="1" t="s">
        <v>6076</v>
      </c>
      <c r="G5817" s="1" t="s">
        <v>10412</v>
      </c>
      <c r="H5817">
        <v>2019</v>
      </c>
      <c r="I5817">
        <v>2022</v>
      </c>
      <c r="J5817">
        <f t="shared" si="180"/>
        <v>4</v>
      </c>
      <c r="K5817" s="1" t="s">
        <v>6076</v>
      </c>
      <c r="L5817" s="1" t="s">
        <v>6076</v>
      </c>
      <c r="M5817">
        <f t="shared" si="181"/>
        <v>4</v>
      </c>
    </row>
    <row r="5818" spans="1:13" x14ac:dyDescent="0.3">
      <c r="A5818" t="s">
        <v>10968</v>
      </c>
      <c r="B5818" t="s">
        <v>5913</v>
      </c>
      <c r="C5818" t="s">
        <v>10969</v>
      </c>
      <c r="E5818" s="1" t="s">
        <v>6076</v>
      </c>
      <c r="F5818" s="1" t="s">
        <v>6076</v>
      </c>
      <c r="G5818" s="1" t="s">
        <v>10412</v>
      </c>
      <c r="H5818">
        <v>2025</v>
      </c>
      <c r="I5818">
        <v>2026</v>
      </c>
      <c r="J5818">
        <f t="shared" si="180"/>
        <v>2</v>
      </c>
      <c r="K5818" s="1" t="s">
        <v>6076</v>
      </c>
      <c r="L5818" s="1" t="s">
        <v>6076</v>
      </c>
      <c r="M5818">
        <f t="shared" si="181"/>
        <v>0</v>
      </c>
    </row>
    <row r="5819" spans="1:13" x14ac:dyDescent="0.3">
      <c r="A5819" s="1" t="s">
        <v>10413</v>
      </c>
      <c r="B5819" s="1" t="s">
        <v>5913</v>
      </c>
      <c r="C5819" s="1" t="s">
        <v>10414</v>
      </c>
      <c r="D5819" s="1" t="s">
        <v>1395</v>
      </c>
      <c r="E5819" s="1" t="s">
        <v>6076</v>
      </c>
      <c r="F5819" s="1" t="s">
        <v>6076</v>
      </c>
      <c r="G5819" s="1" t="s">
        <v>10412</v>
      </c>
      <c r="H5819">
        <v>2019</v>
      </c>
      <c r="I5819">
        <v>2022</v>
      </c>
      <c r="J5819">
        <f t="shared" si="180"/>
        <v>4</v>
      </c>
      <c r="K5819" s="1" t="s">
        <v>6076</v>
      </c>
      <c r="L5819" s="1" t="s">
        <v>6076</v>
      </c>
      <c r="M5819">
        <f t="shared" si="181"/>
        <v>4</v>
      </c>
    </row>
    <row r="5820" spans="1:13" x14ac:dyDescent="0.3">
      <c r="A5820" s="1" t="s">
        <v>10415</v>
      </c>
      <c r="B5820" s="1" t="s">
        <v>5913</v>
      </c>
      <c r="C5820" s="1" t="s">
        <v>10416</v>
      </c>
      <c r="D5820" s="1" t="s">
        <v>1395</v>
      </c>
      <c r="E5820" s="1" t="s">
        <v>6076</v>
      </c>
      <c r="F5820" s="1" t="s">
        <v>6076</v>
      </c>
      <c r="G5820" s="1" t="s">
        <v>10412</v>
      </c>
      <c r="H5820">
        <v>2019</v>
      </c>
      <c r="I5820">
        <v>2022</v>
      </c>
      <c r="J5820">
        <f t="shared" si="180"/>
        <v>4</v>
      </c>
      <c r="K5820" s="1" t="s">
        <v>6076</v>
      </c>
      <c r="L5820" s="1" t="s">
        <v>6076</v>
      </c>
      <c r="M5820">
        <f t="shared" si="181"/>
        <v>4</v>
      </c>
    </row>
    <row r="5821" spans="1:13" x14ac:dyDescent="0.3">
      <c r="A5821" s="1" t="s">
        <v>10417</v>
      </c>
      <c r="B5821" s="1" t="s">
        <v>5913</v>
      </c>
      <c r="C5821" s="1" t="s">
        <v>10418</v>
      </c>
      <c r="D5821" s="1" t="s">
        <v>1395</v>
      </c>
      <c r="E5821" s="1" t="s">
        <v>6076</v>
      </c>
      <c r="F5821" s="1" t="s">
        <v>6076</v>
      </c>
      <c r="G5821" s="1" t="s">
        <v>10412</v>
      </c>
      <c r="H5821">
        <v>2018</v>
      </c>
      <c r="I5821">
        <v>2020</v>
      </c>
      <c r="J5821">
        <f t="shared" si="180"/>
        <v>3</v>
      </c>
      <c r="K5821" s="1" t="s">
        <v>6076</v>
      </c>
      <c r="L5821" s="1" t="s">
        <v>6076</v>
      </c>
      <c r="M5821">
        <f t="shared" si="181"/>
        <v>6</v>
      </c>
    </row>
    <row r="5822" spans="1:13" x14ac:dyDescent="0.3">
      <c r="A5822" t="s">
        <v>10970</v>
      </c>
      <c r="B5822" t="s">
        <v>5913</v>
      </c>
      <c r="C5822" t="s">
        <v>10971</v>
      </c>
      <c r="E5822" s="1" t="s">
        <v>6076</v>
      </c>
      <c r="F5822" s="1" t="s">
        <v>6076</v>
      </c>
      <c r="G5822" s="1" t="s">
        <v>10412</v>
      </c>
      <c r="H5822">
        <v>2024</v>
      </c>
      <c r="I5822">
        <v>2026</v>
      </c>
      <c r="J5822">
        <f t="shared" si="180"/>
        <v>3</v>
      </c>
      <c r="K5822" s="1" t="s">
        <v>6076</v>
      </c>
      <c r="L5822" s="1" t="s">
        <v>6076</v>
      </c>
      <c r="M5822">
        <f t="shared" si="181"/>
        <v>0</v>
      </c>
    </row>
    <row r="5823" spans="1:13" x14ac:dyDescent="0.3">
      <c r="A5823" s="1" t="s">
        <v>10419</v>
      </c>
      <c r="B5823" s="1" t="s">
        <v>5913</v>
      </c>
      <c r="C5823" s="1" t="s">
        <v>10420</v>
      </c>
      <c r="D5823" s="1" t="s">
        <v>1395</v>
      </c>
      <c r="E5823" s="1" t="s">
        <v>6076</v>
      </c>
      <c r="F5823" s="1" t="s">
        <v>6076</v>
      </c>
      <c r="G5823" s="1" t="s">
        <v>10421</v>
      </c>
      <c r="H5823">
        <v>2004</v>
      </c>
      <c r="I5823">
        <v>2009</v>
      </c>
      <c r="J5823">
        <f t="shared" si="180"/>
        <v>6</v>
      </c>
      <c r="K5823" s="1" t="s">
        <v>6076</v>
      </c>
      <c r="L5823" s="1" t="s">
        <v>6076</v>
      </c>
      <c r="M5823">
        <f t="shared" si="181"/>
        <v>17</v>
      </c>
    </row>
    <row r="5824" spans="1:13" x14ac:dyDescent="0.3">
      <c r="A5824" s="1" t="s">
        <v>10422</v>
      </c>
      <c r="B5824" s="1" t="s">
        <v>5913</v>
      </c>
      <c r="C5824" s="1" t="s">
        <v>10423</v>
      </c>
      <c r="D5824" s="1" t="s">
        <v>1395</v>
      </c>
      <c r="E5824" s="1" t="s">
        <v>6076</v>
      </c>
      <c r="F5824" s="1" t="s">
        <v>6076</v>
      </c>
      <c r="G5824" s="1" t="s">
        <v>10421</v>
      </c>
      <c r="H5824">
        <v>2004</v>
      </c>
      <c r="I5824">
        <v>2006</v>
      </c>
      <c r="J5824">
        <f t="shared" si="180"/>
        <v>3</v>
      </c>
      <c r="K5824" s="1" t="s">
        <v>6076</v>
      </c>
      <c r="L5824" s="1" t="s">
        <v>6076</v>
      </c>
      <c r="M5824">
        <f t="shared" si="181"/>
        <v>20</v>
      </c>
    </row>
    <row r="5825" spans="1:13" x14ac:dyDescent="0.3">
      <c r="A5825" s="1" t="s">
        <v>10424</v>
      </c>
      <c r="B5825" s="1" t="s">
        <v>5913</v>
      </c>
      <c r="C5825" s="1" t="s">
        <v>10425</v>
      </c>
      <c r="D5825" s="1" t="s">
        <v>1395</v>
      </c>
      <c r="E5825" s="1" t="s">
        <v>6076</v>
      </c>
      <c r="F5825" s="1" t="s">
        <v>6076</v>
      </c>
      <c r="G5825" s="1" t="s">
        <v>10421</v>
      </c>
      <c r="H5825">
        <v>2020</v>
      </c>
      <c r="I5825">
        <v>2022</v>
      </c>
      <c r="J5825">
        <f t="shared" si="180"/>
        <v>3</v>
      </c>
      <c r="K5825" s="1" t="s">
        <v>6076</v>
      </c>
      <c r="L5825" s="1" t="s">
        <v>6076</v>
      </c>
      <c r="M5825">
        <f t="shared" si="181"/>
        <v>4</v>
      </c>
    </row>
    <row r="5826" spans="1:13" x14ac:dyDescent="0.3">
      <c r="A5826" t="s">
        <v>10972</v>
      </c>
      <c r="B5826" t="s">
        <v>5913</v>
      </c>
      <c r="C5826" t="s">
        <v>10973</v>
      </c>
      <c r="E5826" s="1" t="s">
        <v>6076</v>
      </c>
      <c r="F5826" s="1" t="s">
        <v>6076</v>
      </c>
      <c r="G5826" s="1" t="s">
        <v>10421</v>
      </c>
      <c r="H5826">
        <v>2022</v>
      </c>
      <c r="I5826">
        <v>2022</v>
      </c>
      <c r="J5826">
        <f t="shared" si="180"/>
        <v>1</v>
      </c>
      <c r="K5826" s="1" t="s">
        <v>6076</v>
      </c>
      <c r="L5826" s="1" t="s">
        <v>6076</v>
      </c>
      <c r="M5826">
        <f t="shared" si="181"/>
        <v>4</v>
      </c>
    </row>
    <row r="5827" spans="1:13" x14ac:dyDescent="0.3">
      <c r="A5827" s="1" t="s">
        <v>10426</v>
      </c>
      <c r="B5827" s="1" t="s">
        <v>5913</v>
      </c>
      <c r="C5827" s="1" t="s">
        <v>10427</v>
      </c>
      <c r="D5827" s="1" t="s">
        <v>1395</v>
      </c>
      <c r="E5827" s="1" t="s">
        <v>6076</v>
      </c>
      <c r="F5827" s="1" t="s">
        <v>6076</v>
      </c>
      <c r="G5827" s="1" t="s">
        <v>10421</v>
      </c>
      <c r="H5827">
        <v>2018</v>
      </c>
      <c r="I5827">
        <v>2022</v>
      </c>
      <c r="J5827">
        <f t="shared" si="180"/>
        <v>5</v>
      </c>
      <c r="K5827" s="1" t="s">
        <v>6076</v>
      </c>
      <c r="L5827" s="1" t="s">
        <v>6076</v>
      </c>
      <c r="M5827">
        <f t="shared" si="181"/>
        <v>4</v>
      </c>
    </row>
    <row r="5828" spans="1:13" x14ac:dyDescent="0.3">
      <c r="A5828" t="s">
        <v>10974</v>
      </c>
      <c r="B5828" t="s">
        <v>5913</v>
      </c>
      <c r="C5828" t="s">
        <v>10975</v>
      </c>
      <c r="E5828" s="1" t="s">
        <v>6076</v>
      </c>
      <c r="F5828" s="1" t="s">
        <v>6076</v>
      </c>
      <c r="G5828" s="1" t="s">
        <v>10421</v>
      </c>
      <c r="H5828">
        <v>2025</v>
      </c>
      <c r="I5828">
        <v>2026</v>
      </c>
      <c r="J5828">
        <f t="shared" si="180"/>
        <v>2</v>
      </c>
      <c r="K5828" s="1" t="s">
        <v>6076</v>
      </c>
      <c r="L5828" s="1" t="s">
        <v>6076</v>
      </c>
      <c r="M5828">
        <f t="shared" si="181"/>
        <v>0</v>
      </c>
    </row>
    <row r="5829" spans="1:13" x14ac:dyDescent="0.3">
      <c r="A5829" s="1" t="s">
        <v>10428</v>
      </c>
      <c r="B5829" s="1" t="s">
        <v>5913</v>
      </c>
      <c r="C5829" s="1" t="s">
        <v>10429</v>
      </c>
      <c r="D5829" s="1" t="s">
        <v>1395</v>
      </c>
      <c r="E5829" s="1" t="s">
        <v>6076</v>
      </c>
      <c r="F5829" s="1" t="s">
        <v>6076</v>
      </c>
      <c r="G5829" s="1" t="s">
        <v>10421</v>
      </c>
      <c r="H5829">
        <v>2006</v>
      </c>
      <c r="I5829">
        <v>2010</v>
      </c>
      <c r="J5829">
        <f t="shared" si="180"/>
        <v>5</v>
      </c>
      <c r="K5829" s="1" t="s">
        <v>6076</v>
      </c>
      <c r="L5829" s="1" t="s">
        <v>6076</v>
      </c>
      <c r="M5829">
        <f t="shared" si="181"/>
        <v>16</v>
      </c>
    </row>
    <row r="5830" spans="1:13" x14ac:dyDescent="0.3">
      <c r="A5830" s="1" t="s">
        <v>10430</v>
      </c>
      <c r="B5830" s="1" t="s">
        <v>5913</v>
      </c>
      <c r="C5830" s="1" t="s">
        <v>10431</v>
      </c>
      <c r="D5830" s="1" t="s">
        <v>1395</v>
      </c>
      <c r="E5830" s="1" t="s">
        <v>6076</v>
      </c>
      <c r="F5830" s="1" t="s">
        <v>6076</v>
      </c>
      <c r="G5830" s="1" t="s">
        <v>10421</v>
      </c>
      <c r="H5830">
        <v>2004</v>
      </c>
      <c r="I5830">
        <v>2010</v>
      </c>
      <c r="J5830">
        <f t="shared" ref="J5830:J5893" si="182">1+(I5830-H5830)</f>
        <v>7</v>
      </c>
      <c r="K5830" s="1" t="s">
        <v>6076</v>
      </c>
      <c r="L5830" s="1" t="s">
        <v>6076</v>
      </c>
      <c r="M5830">
        <f t="shared" ref="M5830:M5893" si="183">IF(I5830=0,0,$B$2-I5830)</f>
        <v>16</v>
      </c>
    </row>
    <row r="5831" spans="1:13" x14ac:dyDescent="0.3">
      <c r="A5831" s="1" t="s">
        <v>10432</v>
      </c>
      <c r="B5831" s="1" t="s">
        <v>5913</v>
      </c>
      <c r="C5831" s="1" t="s">
        <v>10433</v>
      </c>
      <c r="D5831" s="1" t="s">
        <v>1395</v>
      </c>
      <c r="E5831" s="1" t="s">
        <v>6076</v>
      </c>
      <c r="F5831" s="1" t="s">
        <v>6076</v>
      </c>
      <c r="G5831" s="1" t="s">
        <v>10421</v>
      </c>
      <c r="H5831">
        <v>2012</v>
      </c>
      <c r="I5831">
        <v>2022</v>
      </c>
      <c r="J5831">
        <f t="shared" si="182"/>
        <v>11</v>
      </c>
      <c r="K5831" s="1" t="s">
        <v>6076</v>
      </c>
      <c r="L5831" s="1" t="s">
        <v>6076</v>
      </c>
      <c r="M5831">
        <f t="shared" si="183"/>
        <v>4</v>
      </c>
    </row>
    <row r="5832" spans="1:13" x14ac:dyDescent="0.3">
      <c r="A5832" s="1" t="s">
        <v>10434</v>
      </c>
      <c r="B5832" s="1" t="s">
        <v>5913</v>
      </c>
      <c r="C5832" s="1" t="s">
        <v>10435</v>
      </c>
      <c r="D5832" s="1" t="s">
        <v>1395</v>
      </c>
      <c r="E5832" s="1" t="s">
        <v>6076</v>
      </c>
      <c r="F5832" s="1" t="s">
        <v>6076</v>
      </c>
      <c r="G5832" s="1" t="s">
        <v>10421</v>
      </c>
      <c r="H5832">
        <v>2013</v>
      </c>
      <c r="I5832">
        <v>2015</v>
      </c>
      <c r="J5832">
        <f t="shared" si="182"/>
        <v>3</v>
      </c>
      <c r="K5832" s="1" t="s">
        <v>6076</v>
      </c>
      <c r="L5832" s="1" t="s">
        <v>6076</v>
      </c>
      <c r="M5832">
        <f t="shared" si="183"/>
        <v>11</v>
      </c>
    </row>
    <row r="5833" spans="1:13" x14ac:dyDescent="0.3">
      <c r="A5833" s="1" t="s">
        <v>10436</v>
      </c>
      <c r="B5833" s="1" t="s">
        <v>5913</v>
      </c>
      <c r="C5833" s="1" t="s">
        <v>10437</v>
      </c>
      <c r="D5833" s="1" t="s">
        <v>1395</v>
      </c>
      <c r="E5833" s="1" t="s">
        <v>6076</v>
      </c>
      <c r="F5833" s="1" t="s">
        <v>6076</v>
      </c>
      <c r="G5833" s="1" t="s">
        <v>10421</v>
      </c>
      <c r="H5833">
        <v>2011</v>
      </c>
      <c r="I5833">
        <v>2012</v>
      </c>
      <c r="J5833">
        <f t="shared" si="182"/>
        <v>2</v>
      </c>
      <c r="K5833" s="1" t="s">
        <v>6076</v>
      </c>
      <c r="L5833" s="1" t="s">
        <v>6076</v>
      </c>
      <c r="M5833">
        <f t="shared" si="183"/>
        <v>14</v>
      </c>
    </row>
    <row r="5834" spans="1:13" x14ac:dyDescent="0.3">
      <c r="A5834" t="s">
        <v>10976</v>
      </c>
      <c r="B5834" t="s">
        <v>5913</v>
      </c>
      <c r="C5834" t="s">
        <v>10977</v>
      </c>
      <c r="E5834" s="1" t="s">
        <v>6076</v>
      </c>
      <c r="F5834" s="1" t="s">
        <v>6076</v>
      </c>
      <c r="G5834" s="1" t="s">
        <v>10421</v>
      </c>
      <c r="H5834">
        <v>2025</v>
      </c>
      <c r="I5834">
        <v>2026</v>
      </c>
      <c r="J5834">
        <f t="shared" si="182"/>
        <v>2</v>
      </c>
      <c r="K5834" s="1" t="s">
        <v>6076</v>
      </c>
      <c r="L5834" s="1" t="s">
        <v>6076</v>
      </c>
      <c r="M5834">
        <f t="shared" si="183"/>
        <v>0</v>
      </c>
    </row>
    <row r="5835" spans="1:13" x14ac:dyDescent="0.3">
      <c r="A5835" s="1" t="s">
        <v>10438</v>
      </c>
      <c r="B5835" s="1" t="s">
        <v>5913</v>
      </c>
      <c r="C5835" s="1" t="s">
        <v>10439</v>
      </c>
      <c r="D5835" s="1" t="s">
        <v>1395</v>
      </c>
      <c r="E5835" s="1" t="s">
        <v>6076</v>
      </c>
      <c r="F5835" s="1" t="s">
        <v>6076</v>
      </c>
      <c r="G5835" s="1" t="s">
        <v>10421</v>
      </c>
      <c r="H5835">
        <v>2022</v>
      </c>
      <c r="I5835">
        <v>2022</v>
      </c>
      <c r="J5835">
        <f t="shared" si="182"/>
        <v>1</v>
      </c>
      <c r="K5835" s="1" t="s">
        <v>6076</v>
      </c>
      <c r="L5835" s="1" t="s">
        <v>6076</v>
      </c>
      <c r="M5835">
        <f t="shared" si="183"/>
        <v>4</v>
      </c>
    </row>
    <row r="5836" spans="1:13" x14ac:dyDescent="0.3">
      <c r="A5836" s="1" t="s">
        <v>10440</v>
      </c>
      <c r="B5836" s="1" t="s">
        <v>5913</v>
      </c>
      <c r="C5836" s="1" t="s">
        <v>10441</v>
      </c>
      <c r="D5836" s="1" t="s">
        <v>1395</v>
      </c>
      <c r="E5836" s="1" t="s">
        <v>6076</v>
      </c>
      <c r="F5836" s="1" t="s">
        <v>6076</v>
      </c>
      <c r="G5836" s="1" t="s">
        <v>10421</v>
      </c>
      <c r="H5836">
        <v>2022</v>
      </c>
      <c r="I5836">
        <v>2022</v>
      </c>
      <c r="J5836">
        <f t="shared" si="182"/>
        <v>1</v>
      </c>
      <c r="K5836" s="1" t="s">
        <v>6076</v>
      </c>
      <c r="L5836" s="1" t="s">
        <v>6076</v>
      </c>
      <c r="M5836">
        <f t="shared" si="183"/>
        <v>4</v>
      </c>
    </row>
    <row r="5837" spans="1:13" x14ac:dyDescent="0.3">
      <c r="A5837" s="1" t="s">
        <v>10442</v>
      </c>
      <c r="B5837" s="1" t="s">
        <v>5913</v>
      </c>
      <c r="C5837" s="1" t="s">
        <v>10443</v>
      </c>
      <c r="D5837" s="1" t="s">
        <v>1395</v>
      </c>
      <c r="E5837" s="1" t="s">
        <v>6076</v>
      </c>
      <c r="F5837" s="1" t="s">
        <v>6076</v>
      </c>
      <c r="G5837" s="1" t="s">
        <v>10421</v>
      </c>
      <c r="H5837">
        <v>2021</v>
      </c>
      <c r="I5837">
        <v>2022</v>
      </c>
      <c r="J5837">
        <f t="shared" si="182"/>
        <v>2</v>
      </c>
      <c r="K5837" s="1" t="s">
        <v>6076</v>
      </c>
      <c r="L5837" s="1" t="s">
        <v>6076</v>
      </c>
      <c r="M5837">
        <f t="shared" si="183"/>
        <v>4</v>
      </c>
    </row>
    <row r="5838" spans="1:13" x14ac:dyDescent="0.3">
      <c r="A5838" s="1" t="s">
        <v>10444</v>
      </c>
      <c r="B5838" s="1" t="s">
        <v>5913</v>
      </c>
      <c r="C5838" s="1" t="s">
        <v>10445</v>
      </c>
      <c r="D5838" s="1" t="s">
        <v>1395</v>
      </c>
      <c r="E5838" s="1" t="s">
        <v>6076</v>
      </c>
      <c r="F5838" s="1" t="s">
        <v>6076</v>
      </c>
      <c r="G5838" s="1" t="s">
        <v>10421</v>
      </c>
      <c r="H5838">
        <v>2021</v>
      </c>
      <c r="I5838">
        <v>2022</v>
      </c>
      <c r="J5838">
        <f t="shared" si="182"/>
        <v>2</v>
      </c>
      <c r="K5838" s="1" t="s">
        <v>6076</v>
      </c>
      <c r="L5838" s="1" t="s">
        <v>6076</v>
      </c>
      <c r="M5838">
        <f t="shared" si="183"/>
        <v>4</v>
      </c>
    </row>
    <row r="5839" spans="1:13" x14ac:dyDescent="0.3">
      <c r="A5839" s="1" t="s">
        <v>10446</v>
      </c>
      <c r="B5839" s="1" t="s">
        <v>5913</v>
      </c>
      <c r="C5839" s="1" t="s">
        <v>10447</v>
      </c>
      <c r="D5839" s="1" t="s">
        <v>1395</v>
      </c>
      <c r="E5839" s="1" t="s">
        <v>6076</v>
      </c>
      <c r="F5839" s="1" t="s">
        <v>6076</v>
      </c>
      <c r="G5839" s="1" t="s">
        <v>10421</v>
      </c>
      <c r="H5839">
        <v>2018</v>
      </c>
      <c r="I5839">
        <v>2022</v>
      </c>
      <c r="J5839">
        <f t="shared" si="182"/>
        <v>5</v>
      </c>
      <c r="K5839" s="1" t="s">
        <v>6076</v>
      </c>
      <c r="L5839" s="1" t="s">
        <v>6076</v>
      </c>
      <c r="M5839">
        <f t="shared" si="183"/>
        <v>4</v>
      </c>
    </row>
    <row r="5840" spans="1:13" x14ac:dyDescent="0.3">
      <c r="A5840" s="1" t="s">
        <v>10448</v>
      </c>
      <c r="B5840" s="1" t="s">
        <v>5913</v>
      </c>
      <c r="C5840" s="1" t="s">
        <v>10449</v>
      </c>
      <c r="D5840" s="1" t="s">
        <v>1395</v>
      </c>
      <c r="E5840" s="1" t="s">
        <v>6076</v>
      </c>
      <c r="F5840" s="1" t="s">
        <v>6076</v>
      </c>
      <c r="G5840" s="1" t="s">
        <v>10421</v>
      </c>
      <c r="H5840">
        <v>2011</v>
      </c>
      <c r="I5840">
        <v>2017</v>
      </c>
      <c r="J5840">
        <f t="shared" si="182"/>
        <v>7</v>
      </c>
      <c r="K5840" s="1" t="s">
        <v>6076</v>
      </c>
      <c r="L5840" s="1" t="s">
        <v>6076</v>
      </c>
      <c r="M5840">
        <f t="shared" si="183"/>
        <v>9</v>
      </c>
    </row>
    <row r="5841" spans="1:13" x14ac:dyDescent="0.3">
      <c r="A5841" s="1" t="s">
        <v>10450</v>
      </c>
      <c r="B5841" s="1" t="s">
        <v>5913</v>
      </c>
      <c r="C5841" s="1" t="s">
        <v>10451</v>
      </c>
      <c r="D5841" s="1" t="s">
        <v>1395</v>
      </c>
      <c r="E5841" s="1" t="s">
        <v>6076</v>
      </c>
      <c r="F5841" s="1" t="s">
        <v>6076</v>
      </c>
      <c r="G5841" s="1" t="s">
        <v>10452</v>
      </c>
      <c r="H5841">
        <v>2020</v>
      </c>
      <c r="I5841">
        <v>2022</v>
      </c>
      <c r="J5841">
        <f t="shared" si="182"/>
        <v>3</v>
      </c>
      <c r="K5841" s="1" t="s">
        <v>6076</v>
      </c>
      <c r="L5841" s="1" t="s">
        <v>6076</v>
      </c>
      <c r="M5841">
        <f t="shared" si="183"/>
        <v>4</v>
      </c>
    </row>
    <row r="5842" spans="1:13" x14ac:dyDescent="0.3">
      <c r="A5842" t="s">
        <v>10978</v>
      </c>
      <c r="B5842" t="s">
        <v>5913</v>
      </c>
      <c r="C5842" t="s">
        <v>10979</v>
      </c>
      <c r="E5842" s="1" t="s">
        <v>6076</v>
      </c>
      <c r="F5842" s="1" t="s">
        <v>6076</v>
      </c>
      <c r="G5842" s="1" t="s">
        <v>10452</v>
      </c>
      <c r="H5842">
        <v>2022</v>
      </c>
      <c r="I5842">
        <v>2022</v>
      </c>
      <c r="J5842">
        <f t="shared" si="182"/>
        <v>1</v>
      </c>
      <c r="K5842" s="1" t="s">
        <v>6076</v>
      </c>
      <c r="L5842" s="1" t="s">
        <v>6076</v>
      </c>
      <c r="M5842">
        <f t="shared" si="183"/>
        <v>4</v>
      </c>
    </row>
    <row r="5843" spans="1:13" x14ac:dyDescent="0.3">
      <c r="A5843" s="1" t="s">
        <v>10453</v>
      </c>
      <c r="B5843" s="1" t="s">
        <v>5913</v>
      </c>
      <c r="C5843" s="1" t="s">
        <v>10454</v>
      </c>
      <c r="D5843" s="1" t="s">
        <v>1395</v>
      </c>
      <c r="E5843" s="1" t="s">
        <v>6076</v>
      </c>
      <c r="F5843" s="1" t="s">
        <v>6076</v>
      </c>
      <c r="G5843" s="1" t="s">
        <v>10452</v>
      </c>
      <c r="H5843">
        <v>2019</v>
      </c>
      <c r="I5843">
        <v>2022</v>
      </c>
      <c r="J5843">
        <f t="shared" si="182"/>
        <v>4</v>
      </c>
      <c r="K5843" s="1" t="s">
        <v>6076</v>
      </c>
      <c r="L5843" s="1" t="s">
        <v>6076</v>
      </c>
      <c r="M5843">
        <f t="shared" si="183"/>
        <v>4</v>
      </c>
    </row>
    <row r="5844" spans="1:13" x14ac:dyDescent="0.3">
      <c r="A5844" t="s">
        <v>10980</v>
      </c>
      <c r="B5844" t="s">
        <v>5913</v>
      </c>
      <c r="C5844" t="s">
        <v>10981</v>
      </c>
      <c r="E5844" s="1" t="s">
        <v>6076</v>
      </c>
      <c r="F5844" s="1" t="s">
        <v>6076</v>
      </c>
      <c r="G5844" s="1" t="s">
        <v>10452</v>
      </c>
      <c r="H5844">
        <v>2025</v>
      </c>
      <c r="I5844">
        <v>2026</v>
      </c>
      <c r="J5844">
        <f t="shared" si="182"/>
        <v>2</v>
      </c>
      <c r="K5844" s="1" t="s">
        <v>6076</v>
      </c>
      <c r="L5844" s="1" t="s">
        <v>6076</v>
      </c>
      <c r="M5844">
        <f t="shared" si="183"/>
        <v>0</v>
      </c>
    </row>
    <row r="5845" spans="1:13" x14ac:dyDescent="0.3">
      <c r="A5845" s="1" t="s">
        <v>10455</v>
      </c>
      <c r="B5845" s="1" t="s">
        <v>5913</v>
      </c>
      <c r="C5845" s="1" t="s">
        <v>10456</v>
      </c>
      <c r="D5845" s="1" t="s">
        <v>1395</v>
      </c>
      <c r="E5845" s="1" t="s">
        <v>6076</v>
      </c>
      <c r="F5845" s="1" t="s">
        <v>6076</v>
      </c>
      <c r="G5845" s="1" t="s">
        <v>10452</v>
      </c>
      <c r="H5845">
        <v>2015</v>
      </c>
      <c r="I5845">
        <v>2018</v>
      </c>
      <c r="J5845">
        <f t="shared" si="182"/>
        <v>4</v>
      </c>
      <c r="K5845" s="1" t="s">
        <v>6076</v>
      </c>
      <c r="L5845" s="1" t="s">
        <v>6076</v>
      </c>
      <c r="M5845">
        <f t="shared" si="183"/>
        <v>8</v>
      </c>
    </row>
    <row r="5846" spans="1:13" x14ac:dyDescent="0.3">
      <c r="A5846" s="1" t="s">
        <v>10457</v>
      </c>
      <c r="B5846" s="1" t="s">
        <v>5913</v>
      </c>
      <c r="C5846" s="1" t="s">
        <v>10458</v>
      </c>
      <c r="D5846" s="1" t="s">
        <v>1395</v>
      </c>
      <c r="E5846" s="1" t="s">
        <v>6076</v>
      </c>
      <c r="F5846" s="1" t="s">
        <v>6076</v>
      </c>
      <c r="G5846" s="1" t="s">
        <v>10452</v>
      </c>
      <c r="H5846">
        <v>2019</v>
      </c>
      <c r="I5846">
        <v>2022</v>
      </c>
      <c r="J5846">
        <f t="shared" si="182"/>
        <v>4</v>
      </c>
      <c r="K5846" s="1" t="s">
        <v>6076</v>
      </c>
      <c r="L5846" s="1" t="s">
        <v>6076</v>
      </c>
      <c r="M5846">
        <f t="shared" si="183"/>
        <v>4</v>
      </c>
    </row>
    <row r="5847" spans="1:13" x14ac:dyDescent="0.3">
      <c r="A5847" s="1" t="s">
        <v>10459</v>
      </c>
      <c r="B5847" s="1" t="s">
        <v>5913</v>
      </c>
      <c r="C5847" s="1" t="s">
        <v>10460</v>
      </c>
      <c r="D5847" s="1" t="s">
        <v>1395</v>
      </c>
      <c r="E5847" s="1" t="s">
        <v>6076</v>
      </c>
      <c r="F5847" s="1" t="s">
        <v>6076</v>
      </c>
      <c r="G5847" s="1" t="s">
        <v>10452</v>
      </c>
      <c r="H5847">
        <v>2015</v>
      </c>
      <c r="I5847">
        <v>2017</v>
      </c>
      <c r="J5847">
        <f t="shared" si="182"/>
        <v>3</v>
      </c>
      <c r="K5847" s="1" t="s">
        <v>6076</v>
      </c>
      <c r="L5847" s="1" t="s">
        <v>6076</v>
      </c>
      <c r="M5847">
        <f t="shared" si="183"/>
        <v>9</v>
      </c>
    </row>
    <row r="5848" spans="1:13" x14ac:dyDescent="0.3">
      <c r="A5848" s="1" t="s">
        <v>10461</v>
      </c>
      <c r="B5848" s="1" t="s">
        <v>5913</v>
      </c>
      <c r="C5848" s="1" t="s">
        <v>10462</v>
      </c>
      <c r="D5848" s="1" t="s">
        <v>1395</v>
      </c>
      <c r="E5848" s="1" t="s">
        <v>6076</v>
      </c>
      <c r="F5848" s="1" t="s">
        <v>6076</v>
      </c>
      <c r="G5848" s="1" t="s">
        <v>10463</v>
      </c>
      <c r="H5848">
        <v>2001</v>
      </c>
      <c r="I5848">
        <v>2010</v>
      </c>
      <c r="J5848">
        <f t="shared" si="182"/>
        <v>10</v>
      </c>
      <c r="K5848" s="1" t="s">
        <v>6076</v>
      </c>
      <c r="L5848" s="1" t="s">
        <v>6076</v>
      </c>
      <c r="M5848">
        <f t="shared" si="183"/>
        <v>16</v>
      </c>
    </row>
    <row r="5849" spans="1:13" x14ac:dyDescent="0.3">
      <c r="A5849" s="1" t="s">
        <v>10464</v>
      </c>
      <c r="B5849" s="1" t="s">
        <v>5913</v>
      </c>
      <c r="C5849" s="1" t="s">
        <v>10465</v>
      </c>
      <c r="D5849" s="1" t="s">
        <v>1395</v>
      </c>
      <c r="E5849" s="1" t="s">
        <v>6076</v>
      </c>
      <c r="F5849" s="1" t="s">
        <v>6076</v>
      </c>
      <c r="G5849" s="1" t="s">
        <v>10463</v>
      </c>
      <c r="H5849">
        <v>2000</v>
      </c>
      <c r="I5849">
        <v>2003</v>
      </c>
      <c r="J5849">
        <f t="shared" si="182"/>
        <v>4</v>
      </c>
      <c r="K5849" s="1" t="s">
        <v>6076</v>
      </c>
      <c r="L5849" s="1" t="s">
        <v>6076</v>
      </c>
      <c r="M5849">
        <f t="shared" si="183"/>
        <v>23</v>
      </c>
    </row>
    <row r="5850" spans="1:13" x14ac:dyDescent="0.3">
      <c r="A5850" s="1" t="s">
        <v>10466</v>
      </c>
      <c r="B5850" s="1" t="s">
        <v>5913</v>
      </c>
      <c r="C5850" s="1" t="s">
        <v>10467</v>
      </c>
      <c r="D5850" s="1" t="s">
        <v>1395</v>
      </c>
      <c r="E5850" s="1" t="s">
        <v>6076</v>
      </c>
      <c r="F5850" s="1" t="s">
        <v>6076</v>
      </c>
      <c r="G5850" s="1" t="s">
        <v>10463</v>
      </c>
      <c r="H5850">
        <v>2004</v>
      </c>
      <c r="I5850">
        <v>2008</v>
      </c>
      <c r="J5850">
        <f t="shared" si="182"/>
        <v>5</v>
      </c>
      <c r="K5850" s="1" t="s">
        <v>6076</v>
      </c>
      <c r="L5850" s="1" t="s">
        <v>6076</v>
      </c>
      <c r="M5850">
        <f t="shared" si="183"/>
        <v>18</v>
      </c>
    </row>
    <row r="5851" spans="1:13" x14ac:dyDescent="0.3">
      <c r="A5851" s="1" t="s">
        <v>10468</v>
      </c>
      <c r="B5851" s="1" t="s">
        <v>5913</v>
      </c>
      <c r="C5851" s="1" t="s">
        <v>10469</v>
      </c>
      <c r="D5851" s="1" t="s">
        <v>1395</v>
      </c>
      <c r="E5851" s="1" t="s">
        <v>6076</v>
      </c>
      <c r="F5851" s="1" t="s">
        <v>6076</v>
      </c>
      <c r="G5851" s="1" t="s">
        <v>10463</v>
      </c>
      <c r="H5851">
        <v>2008</v>
      </c>
      <c r="I5851">
        <v>2010</v>
      </c>
      <c r="J5851">
        <f t="shared" si="182"/>
        <v>3</v>
      </c>
      <c r="K5851" s="1" t="s">
        <v>6076</v>
      </c>
      <c r="L5851" s="1" t="s">
        <v>6076</v>
      </c>
      <c r="M5851">
        <f t="shared" si="183"/>
        <v>16</v>
      </c>
    </row>
    <row r="5852" spans="1:13" x14ac:dyDescent="0.3">
      <c r="A5852" s="1" t="s">
        <v>10470</v>
      </c>
      <c r="B5852" s="1" t="s">
        <v>5913</v>
      </c>
      <c r="C5852" s="1" t="s">
        <v>10471</v>
      </c>
      <c r="D5852" s="1" t="s">
        <v>1395</v>
      </c>
      <c r="E5852" s="1" t="s">
        <v>6076</v>
      </c>
      <c r="F5852" s="1" t="s">
        <v>6076</v>
      </c>
      <c r="G5852" s="1" t="s">
        <v>10463</v>
      </c>
      <c r="H5852">
        <v>2010</v>
      </c>
      <c r="I5852">
        <v>2018</v>
      </c>
      <c r="J5852">
        <f t="shared" si="182"/>
        <v>9</v>
      </c>
      <c r="K5852" s="1" t="s">
        <v>6076</v>
      </c>
      <c r="L5852" s="1" t="s">
        <v>6076</v>
      </c>
      <c r="M5852">
        <f t="shared" si="183"/>
        <v>8</v>
      </c>
    </row>
    <row r="5853" spans="1:13" x14ac:dyDescent="0.3">
      <c r="A5853" s="1" t="s">
        <v>10472</v>
      </c>
      <c r="B5853" s="1" t="s">
        <v>5913</v>
      </c>
      <c r="C5853" s="1" t="s">
        <v>10473</v>
      </c>
      <c r="D5853" s="1" t="s">
        <v>1395</v>
      </c>
      <c r="E5853" s="1" t="s">
        <v>6076</v>
      </c>
      <c r="F5853" s="1" t="s">
        <v>6076</v>
      </c>
      <c r="G5853" s="1" t="s">
        <v>10463</v>
      </c>
      <c r="H5853">
        <v>2021</v>
      </c>
      <c r="I5853">
        <v>2022</v>
      </c>
      <c r="J5853">
        <f t="shared" si="182"/>
        <v>2</v>
      </c>
      <c r="K5853" s="1" t="s">
        <v>6076</v>
      </c>
      <c r="L5853" s="1" t="s">
        <v>6076</v>
      </c>
      <c r="M5853">
        <f t="shared" si="183"/>
        <v>4</v>
      </c>
    </row>
    <row r="5854" spans="1:13" x14ac:dyDescent="0.3">
      <c r="A5854" s="1" t="s">
        <v>10474</v>
      </c>
      <c r="B5854" s="1" t="s">
        <v>5913</v>
      </c>
      <c r="C5854" s="1" t="s">
        <v>10475</v>
      </c>
      <c r="D5854" s="1" t="s">
        <v>1395</v>
      </c>
      <c r="E5854" s="1" t="s">
        <v>6076</v>
      </c>
      <c r="F5854" s="1" t="s">
        <v>6076</v>
      </c>
      <c r="G5854" s="1" t="s">
        <v>10463</v>
      </c>
      <c r="H5854">
        <v>2005</v>
      </c>
      <c r="I5854">
        <v>2006</v>
      </c>
      <c r="J5854">
        <f t="shared" si="182"/>
        <v>2</v>
      </c>
      <c r="K5854" s="1" t="s">
        <v>6076</v>
      </c>
      <c r="L5854" s="1" t="s">
        <v>6076</v>
      </c>
      <c r="M5854">
        <f t="shared" si="183"/>
        <v>20</v>
      </c>
    </row>
    <row r="5855" spans="1:13" x14ac:dyDescent="0.3">
      <c r="A5855" s="1" t="s">
        <v>10476</v>
      </c>
      <c r="B5855" s="1" t="s">
        <v>5913</v>
      </c>
      <c r="C5855" s="1" t="s">
        <v>10477</v>
      </c>
      <c r="D5855" s="1" t="s">
        <v>1395</v>
      </c>
      <c r="E5855" s="1" t="s">
        <v>6076</v>
      </c>
      <c r="F5855" s="1" t="s">
        <v>6076</v>
      </c>
      <c r="G5855" s="1" t="s">
        <v>10463</v>
      </c>
      <c r="H5855">
        <v>2009</v>
      </c>
      <c r="I5855">
        <v>2010</v>
      </c>
      <c r="J5855">
        <f t="shared" si="182"/>
        <v>2</v>
      </c>
      <c r="K5855" s="1" t="s">
        <v>6076</v>
      </c>
      <c r="L5855" s="1" t="s">
        <v>6076</v>
      </c>
      <c r="M5855">
        <f t="shared" si="183"/>
        <v>16</v>
      </c>
    </row>
    <row r="5856" spans="1:13" x14ac:dyDescent="0.3">
      <c r="A5856" s="1" t="s">
        <v>10478</v>
      </c>
      <c r="B5856" s="1" t="s">
        <v>5913</v>
      </c>
      <c r="C5856" s="1" t="s">
        <v>10479</v>
      </c>
      <c r="D5856" s="1" t="s">
        <v>1395</v>
      </c>
      <c r="E5856" s="1" t="s">
        <v>6076</v>
      </c>
      <c r="F5856" s="1" t="s">
        <v>6076</v>
      </c>
      <c r="G5856" s="1" t="s">
        <v>10463</v>
      </c>
      <c r="H5856">
        <v>2001</v>
      </c>
      <c r="I5856">
        <v>2006</v>
      </c>
      <c r="J5856">
        <f t="shared" si="182"/>
        <v>6</v>
      </c>
      <c r="K5856" s="1" t="s">
        <v>6076</v>
      </c>
      <c r="L5856" s="1" t="s">
        <v>6076</v>
      </c>
      <c r="M5856">
        <f t="shared" si="183"/>
        <v>20</v>
      </c>
    </row>
    <row r="5857" spans="1:13" x14ac:dyDescent="0.3">
      <c r="A5857" s="1" t="s">
        <v>10480</v>
      </c>
      <c r="B5857" s="1" t="s">
        <v>5913</v>
      </c>
      <c r="C5857" s="1" t="s">
        <v>10481</v>
      </c>
      <c r="D5857" s="1" t="s">
        <v>1395</v>
      </c>
      <c r="E5857" s="1" t="s">
        <v>6076</v>
      </c>
      <c r="F5857" s="1" t="s">
        <v>6076</v>
      </c>
      <c r="G5857" s="1" t="s">
        <v>10463</v>
      </c>
      <c r="H5857">
        <v>2006</v>
      </c>
      <c r="I5857">
        <v>2010</v>
      </c>
      <c r="J5857">
        <f t="shared" si="182"/>
        <v>5</v>
      </c>
      <c r="K5857" s="1" t="s">
        <v>6076</v>
      </c>
      <c r="L5857" s="1" t="s">
        <v>6076</v>
      </c>
      <c r="M5857">
        <f t="shared" si="183"/>
        <v>16</v>
      </c>
    </row>
    <row r="5858" spans="1:13" x14ac:dyDescent="0.3">
      <c r="A5858" s="1" t="s">
        <v>10482</v>
      </c>
      <c r="B5858" s="1" t="s">
        <v>5913</v>
      </c>
      <c r="C5858" s="1" t="s">
        <v>10483</v>
      </c>
      <c r="D5858" s="1" t="s">
        <v>1395</v>
      </c>
      <c r="E5858" s="1" t="s">
        <v>6076</v>
      </c>
      <c r="F5858" s="1" t="s">
        <v>6076</v>
      </c>
      <c r="G5858" s="1" t="s">
        <v>10463</v>
      </c>
      <c r="H5858">
        <v>2015</v>
      </c>
      <c r="I5858">
        <v>2020</v>
      </c>
      <c r="J5858">
        <f t="shared" si="182"/>
        <v>6</v>
      </c>
      <c r="K5858" s="1" t="s">
        <v>6076</v>
      </c>
      <c r="L5858" s="1" t="s">
        <v>6076</v>
      </c>
      <c r="M5858">
        <f t="shared" si="183"/>
        <v>6</v>
      </c>
    </row>
    <row r="5859" spans="1:13" x14ac:dyDescent="0.3">
      <c r="A5859" s="1" t="s">
        <v>10484</v>
      </c>
      <c r="B5859" s="1" t="s">
        <v>5913</v>
      </c>
      <c r="C5859" s="1" t="s">
        <v>10485</v>
      </c>
      <c r="D5859" s="1" t="s">
        <v>1395</v>
      </c>
      <c r="E5859" s="1" t="s">
        <v>6076</v>
      </c>
      <c r="F5859" s="1" t="s">
        <v>6076</v>
      </c>
      <c r="G5859" s="1" t="s">
        <v>10463</v>
      </c>
      <c r="H5859">
        <v>2015</v>
      </c>
      <c r="I5859">
        <v>2015</v>
      </c>
      <c r="J5859">
        <f t="shared" si="182"/>
        <v>1</v>
      </c>
      <c r="K5859" s="1" t="s">
        <v>6076</v>
      </c>
      <c r="L5859" s="1" t="s">
        <v>6076</v>
      </c>
      <c r="M5859">
        <f t="shared" si="183"/>
        <v>11</v>
      </c>
    </row>
    <row r="5860" spans="1:13" x14ac:dyDescent="0.3">
      <c r="A5860" s="1" t="s">
        <v>10486</v>
      </c>
      <c r="B5860" s="1" t="s">
        <v>5913</v>
      </c>
      <c r="C5860" s="1" t="s">
        <v>10487</v>
      </c>
      <c r="D5860" s="1" t="s">
        <v>1395</v>
      </c>
      <c r="E5860" s="1" t="s">
        <v>6076</v>
      </c>
      <c r="F5860" s="1" t="s">
        <v>6076</v>
      </c>
      <c r="G5860" s="1" t="s">
        <v>10463</v>
      </c>
      <c r="H5860">
        <v>2019</v>
      </c>
      <c r="I5860">
        <v>2020</v>
      </c>
      <c r="J5860">
        <f t="shared" si="182"/>
        <v>2</v>
      </c>
      <c r="K5860" s="1" t="s">
        <v>6076</v>
      </c>
      <c r="L5860" s="1" t="s">
        <v>6076</v>
      </c>
      <c r="M5860">
        <f t="shared" si="183"/>
        <v>6</v>
      </c>
    </row>
    <row r="5861" spans="1:13" x14ac:dyDescent="0.3">
      <c r="A5861" s="1" t="s">
        <v>10488</v>
      </c>
      <c r="B5861" s="1" t="s">
        <v>5913</v>
      </c>
      <c r="C5861" s="1" t="s">
        <v>10489</v>
      </c>
      <c r="D5861" s="1" t="s">
        <v>1395</v>
      </c>
      <c r="E5861" s="1" t="s">
        <v>6076</v>
      </c>
      <c r="F5861" s="1" t="s">
        <v>6076</v>
      </c>
      <c r="G5861" s="1" t="s">
        <v>10463</v>
      </c>
      <c r="H5861">
        <v>2011</v>
      </c>
      <c r="I5861">
        <v>2015</v>
      </c>
      <c r="J5861">
        <f t="shared" si="182"/>
        <v>5</v>
      </c>
      <c r="K5861" s="1" t="s">
        <v>6076</v>
      </c>
      <c r="L5861" s="1" t="s">
        <v>6076</v>
      </c>
      <c r="M5861">
        <f t="shared" si="183"/>
        <v>11</v>
      </c>
    </row>
    <row r="5862" spans="1:13" x14ac:dyDescent="0.3">
      <c r="A5862" s="1" t="s">
        <v>10490</v>
      </c>
      <c r="B5862" s="1" t="s">
        <v>5913</v>
      </c>
      <c r="C5862" s="1" t="s">
        <v>10491</v>
      </c>
      <c r="D5862" s="1" t="s">
        <v>1395</v>
      </c>
      <c r="E5862" s="1" t="s">
        <v>6076</v>
      </c>
      <c r="F5862" s="1" t="s">
        <v>6076</v>
      </c>
      <c r="G5862" s="1" t="s">
        <v>10463</v>
      </c>
      <c r="H5862">
        <v>2014</v>
      </c>
      <c r="I5862">
        <v>2017</v>
      </c>
      <c r="J5862">
        <f t="shared" si="182"/>
        <v>4</v>
      </c>
      <c r="K5862" s="1" t="s">
        <v>6076</v>
      </c>
      <c r="L5862" s="1" t="s">
        <v>6076</v>
      </c>
      <c r="M5862">
        <f t="shared" si="183"/>
        <v>9</v>
      </c>
    </row>
    <row r="5863" spans="1:13" x14ac:dyDescent="0.3">
      <c r="A5863" s="1" t="s">
        <v>10492</v>
      </c>
      <c r="B5863" s="1" t="s">
        <v>5913</v>
      </c>
      <c r="C5863" s="1" t="s">
        <v>10493</v>
      </c>
      <c r="D5863" s="1" t="s">
        <v>1395</v>
      </c>
      <c r="E5863" s="1" t="s">
        <v>6076</v>
      </c>
      <c r="F5863" s="1" t="s">
        <v>6076</v>
      </c>
      <c r="G5863" s="1" t="s">
        <v>10463</v>
      </c>
      <c r="H5863">
        <v>2020</v>
      </c>
      <c r="I5863">
        <v>2022</v>
      </c>
      <c r="J5863">
        <f t="shared" si="182"/>
        <v>3</v>
      </c>
      <c r="K5863" s="1" t="s">
        <v>6076</v>
      </c>
      <c r="L5863" s="1" t="s">
        <v>6076</v>
      </c>
      <c r="M5863">
        <f t="shared" si="183"/>
        <v>4</v>
      </c>
    </row>
    <row r="5864" spans="1:13" x14ac:dyDescent="0.3">
      <c r="A5864" t="s">
        <v>10982</v>
      </c>
      <c r="B5864" t="s">
        <v>5913</v>
      </c>
      <c r="C5864" t="s">
        <v>10983</v>
      </c>
      <c r="E5864" s="1" t="s">
        <v>6076</v>
      </c>
      <c r="F5864" s="1" t="s">
        <v>6076</v>
      </c>
      <c r="G5864" s="1" t="s">
        <v>10463</v>
      </c>
      <c r="H5864">
        <v>2024</v>
      </c>
      <c r="I5864">
        <v>2026</v>
      </c>
      <c r="J5864">
        <f t="shared" si="182"/>
        <v>3</v>
      </c>
      <c r="K5864" s="1" t="s">
        <v>6076</v>
      </c>
      <c r="L5864" s="1" t="s">
        <v>6076</v>
      </c>
      <c r="M5864">
        <f t="shared" si="183"/>
        <v>0</v>
      </c>
    </row>
    <row r="5865" spans="1:13" x14ac:dyDescent="0.3">
      <c r="A5865" t="s">
        <v>10984</v>
      </c>
      <c r="B5865" t="s">
        <v>5913</v>
      </c>
      <c r="C5865" t="s">
        <v>10985</v>
      </c>
      <c r="E5865" s="1" t="s">
        <v>6076</v>
      </c>
      <c r="F5865" s="1" t="s">
        <v>6076</v>
      </c>
      <c r="G5865" s="1" t="s">
        <v>10463</v>
      </c>
      <c r="H5865">
        <v>2024</v>
      </c>
      <c r="I5865">
        <v>2026</v>
      </c>
      <c r="J5865">
        <f t="shared" si="182"/>
        <v>3</v>
      </c>
      <c r="K5865" s="1" t="s">
        <v>6076</v>
      </c>
      <c r="L5865" s="1" t="s">
        <v>6076</v>
      </c>
      <c r="M5865">
        <f t="shared" si="183"/>
        <v>0</v>
      </c>
    </row>
    <row r="5866" spans="1:13" x14ac:dyDescent="0.3">
      <c r="A5866" s="1" t="s">
        <v>10494</v>
      </c>
      <c r="B5866" s="1" t="s">
        <v>5913</v>
      </c>
      <c r="C5866" s="1" t="s">
        <v>10495</v>
      </c>
      <c r="D5866" s="1" t="s">
        <v>1395</v>
      </c>
      <c r="E5866" s="1" t="s">
        <v>6076</v>
      </c>
      <c r="F5866" s="1" t="s">
        <v>6076</v>
      </c>
      <c r="G5866" s="1" t="s">
        <v>10463</v>
      </c>
      <c r="H5866">
        <v>2011</v>
      </c>
      <c r="I5866">
        <v>2015</v>
      </c>
      <c r="J5866">
        <f t="shared" si="182"/>
        <v>5</v>
      </c>
      <c r="K5866" s="1" t="s">
        <v>6076</v>
      </c>
      <c r="L5866" s="1" t="s">
        <v>6076</v>
      </c>
      <c r="M5866">
        <f t="shared" si="183"/>
        <v>11</v>
      </c>
    </row>
    <row r="5867" spans="1:13" x14ac:dyDescent="0.3">
      <c r="A5867" s="1" t="s">
        <v>10496</v>
      </c>
      <c r="B5867" s="1" t="s">
        <v>5913</v>
      </c>
      <c r="C5867" s="1" t="s">
        <v>10497</v>
      </c>
      <c r="D5867" s="1" t="s">
        <v>1395</v>
      </c>
      <c r="E5867" s="1" t="s">
        <v>6076</v>
      </c>
      <c r="F5867" s="1" t="s">
        <v>6076</v>
      </c>
      <c r="G5867" s="1" t="s">
        <v>10463</v>
      </c>
      <c r="H5867">
        <v>2014</v>
      </c>
      <c r="I5867">
        <v>2015</v>
      </c>
      <c r="J5867">
        <f t="shared" si="182"/>
        <v>2</v>
      </c>
      <c r="K5867" s="1" t="s">
        <v>6076</v>
      </c>
      <c r="L5867" s="1" t="s">
        <v>6076</v>
      </c>
      <c r="M5867">
        <f t="shared" si="183"/>
        <v>11</v>
      </c>
    </row>
    <row r="5868" spans="1:13" x14ac:dyDescent="0.3">
      <c r="A5868" s="1" t="s">
        <v>10498</v>
      </c>
      <c r="B5868" s="1" t="s">
        <v>5913</v>
      </c>
      <c r="C5868" s="1" t="s">
        <v>10499</v>
      </c>
      <c r="D5868" s="1" t="s">
        <v>1395</v>
      </c>
      <c r="E5868" s="1" t="s">
        <v>6076</v>
      </c>
      <c r="F5868" s="1" t="s">
        <v>6076</v>
      </c>
      <c r="G5868" s="1" t="s">
        <v>10463</v>
      </c>
      <c r="H5868">
        <v>2011</v>
      </c>
      <c r="I5868">
        <v>2015</v>
      </c>
      <c r="J5868">
        <f t="shared" si="182"/>
        <v>5</v>
      </c>
      <c r="K5868" s="1" t="s">
        <v>6076</v>
      </c>
      <c r="L5868" s="1" t="s">
        <v>6076</v>
      </c>
      <c r="M5868">
        <f t="shared" si="183"/>
        <v>11</v>
      </c>
    </row>
    <row r="5869" spans="1:13" x14ac:dyDescent="0.3">
      <c r="A5869" s="1" t="s">
        <v>10500</v>
      </c>
      <c r="B5869" s="1" t="s">
        <v>5913</v>
      </c>
      <c r="C5869" s="1" t="s">
        <v>10501</v>
      </c>
      <c r="D5869" s="1" t="s">
        <v>1395</v>
      </c>
      <c r="E5869" s="1" t="s">
        <v>6076</v>
      </c>
      <c r="F5869" s="1" t="s">
        <v>6076</v>
      </c>
      <c r="G5869" s="1" t="s">
        <v>10463</v>
      </c>
      <c r="H5869">
        <v>1996</v>
      </c>
      <c r="I5869">
        <v>1999</v>
      </c>
      <c r="J5869">
        <f t="shared" si="182"/>
        <v>4</v>
      </c>
      <c r="K5869" s="1" t="s">
        <v>6076</v>
      </c>
      <c r="L5869" s="1" t="s">
        <v>6076</v>
      </c>
      <c r="M5869">
        <f t="shared" si="183"/>
        <v>27</v>
      </c>
    </row>
    <row r="5870" spans="1:13" x14ac:dyDescent="0.3">
      <c r="A5870" s="1" t="s">
        <v>10502</v>
      </c>
      <c r="B5870" s="1" t="s">
        <v>5913</v>
      </c>
      <c r="C5870" s="1" t="s">
        <v>10503</v>
      </c>
      <c r="D5870" s="1" t="s">
        <v>1395</v>
      </c>
      <c r="E5870" s="1" t="s">
        <v>6076</v>
      </c>
      <c r="F5870" s="1" t="s">
        <v>6076</v>
      </c>
      <c r="G5870" s="1" t="s">
        <v>10463</v>
      </c>
      <c r="H5870">
        <v>2021</v>
      </c>
      <c r="I5870">
        <v>2022</v>
      </c>
      <c r="J5870">
        <f t="shared" si="182"/>
        <v>2</v>
      </c>
      <c r="K5870" s="1" t="s">
        <v>6076</v>
      </c>
      <c r="L5870" s="1" t="s">
        <v>6076</v>
      </c>
      <c r="M5870">
        <f t="shared" si="183"/>
        <v>4</v>
      </c>
    </row>
    <row r="5871" spans="1:13" x14ac:dyDescent="0.3">
      <c r="A5871" s="1" t="s">
        <v>10504</v>
      </c>
      <c r="B5871" s="1" t="s">
        <v>5913</v>
      </c>
      <c r="C5871" s="1" t="s">
        <v>10505</v>
      </c>
      <c r="D5871" s="1" t="s">
        <v>1395</v>
      </c>
      <c r="E5871" s="1" t="s">
        <v>6076</v>
      </c>
      <c r="F5871" s="1" t="s">
        <v>6076</v>
      </c>
      <c r="G5871" s="1" t="s">
        <v>10506</v>
      </c>
      <c r="H5871">
        <v>2010</v>
      </c>
      <c r="I5871">
        <v>2022</v>
      </c>
      <c r="J5871">
        <f t="shared" si="182"/>
        <v>13</v>
      </c>
      <c r="K5871" s="1" t="s">
        <v>6076</v>
      </c>
      <c r="L5871" s="1" t="s">
        <v>6076</v>
      </c>
      <c r="M5871">
        <f t="shared" si="183"/>
        <v>4</v>
      </c>
    </row>
    <row r="5872" spans="1:13" x14ac:dyDescent="0.3">
      <c r="A5872" t="s">
        <v>10986</v>
      </c>
      <c r="B5872" t="s">
        <v>5913</v>
      </c>
      <c r="C5872" t="s">
        <v>10987</v>
      </c>
      <c r="E5872" s="1" t="s">
        <v>6076</v>
      </c>
      <c r="F5872" s="1" t="s">
        <v>6076</v>
      </c>
      <c r="G5872" s="1" t="s">
        <v>10506</v>
      </c>
      <c r="H5872">
        <v>2024</v>
      </c>
      <c r="I5872">
        <v>2026</v>
      </c>
      <c r="J5872">
        <f t="shared" si="182"/>
        <v>3</v>
      </c>
      <c r="K5872" s="1" t="s">
        <v>6076</v>
      </c>
      <c r="L5872" s="1" t="s">
        <v>6076</v>
      </c>
      <c r="M5872">
        <f t="shared" si="183"/>
        <v>0</v>
      </c>
    </row>
    <row r="5873" spans="1:14" x14ac:dyDescent="0.3">
      <c r="A5873" s="1" t="s">
        <v>10507</v>
      </c>
      <c r="B5873" s="1" t="s">
        <v>5913</v>
      </c>
      <c r="C5873" s="1" t="s">
        <v>10508</v>
      </c>
      <c r="D5873" s="1" t="s">
        <v>1395</v>
      </c>
      <c r="E5873" s="1" t="s">
        <v>6076</v>
      </c>
      <c r="F5873" s="1" t="s">
        <v>6076</v>
      </c>
      <c r="G5873" s="1" t="s">
        <v>10506</v>
      </c>
      <c r="H5873">
        <v>2022</v>
      </c>
      <c r="I5873">
        <v>2022</v>
      </c>
      <c r="J5873">
        <f t="shared" si="182"/>
        <v>1</v>
      </c>
      <c r="K5873" s="1" t="s">
        <v>6076</v>
      </c>
      <c r="L5873" s="1" t="s">
        <v>6076</v>
      </c>
      <c r="M5873">
        <f t="shared" si="183"/>
        <v>4</v>
      </c>
    </row>
    <row r="5874" spans="1:14" x14ac:dyDescent="0.3">
      <c r="A5874" s="1" t="s">
        <v>10509</v>
      </c>
      <c r="B5874" s="1" t="s">
        <v>5913</v>
      </c>
      <c r="C5874" s="1" t="s">
        <v>10510</v>
      </c>
      <c r="D5874" s="1" t="s">
        <v>1395</v>
      </c>
      <c r="E5874" s="1" t="s">
        <v>6076</v>
      </c>
      <c r="F5874" s="1" t="s">
        <v>6076</v>
      </c>
      <c r="G5874" s="1" t="s">
        <v>10506</v>
      </c>
      <c r="H5874">
        <v>2008</v>
      </c>
      <c r="I5874">
        <v>2019</v>
      </c>
      <c r="J5874">
        <f t="shared" si="182"/>
        <v>12</v>
      </c>
      <c r="K5874" s="1" t="s">
        <v>6076</v>
      </c>
      <c r="L5874" s="1" t="s">
        <v>6076</v>
      </c>
      <c r="M5874">
        <f t="shared" si="183"/>
        <v>7</v>
      </c>
    </row>
    <row r="5875" spans="1:14" x14ac:dyDescent="0.3">
      <c r="A5875" t="s">
        <v>10988</v>
      </c>
      <c r="B5875" t="s">
        <v>5913</v>
      </c>
      <c r="C5875" t="s">
        <v>10989</v>
      </c>
      <c r="E5875" s="1" t="s">
        <v>6076</v>
      </c>
      <c r="F5875" s="1" t="s">
        <v>6076</v>
      </c>
      <c r="G5875" s="1" t="s">
        <v>10506</v>
      </c>
      <c r="H5875">
        <v>2022</v>
      </c>
      <c r="I5875">
        <v>2022</v>
      </c>
      <c r="J5875">
        <f t="shared" si="182"/>
        <v>1</v>
      </c>
      <c r="K5875" s="1" t="s">
        <v>6076</v>
      </c>
      <c r="L5875" s="1" t="s">
        <v>6076</v>
      </c>
      <c r="M5875">
        <f t="shared" si="183"/>
        <v>4</v>
      </c>
    </row>
    <row r="5876" spans="1:14" x14ac:dyDescent="0.3">
      <c r="A5876" t="s">
        <v>10990</v>
      </c>
      <c r="B5876" t="s">
        <v>5913</v>
      </c>
      <c r="C5876" t="s">
        <v>10991</v>
      </c>
      <c r="E5876" s="1" t="s">
        <v>6076</v>
      </c>
      <c r="F5876" s="1" t="s">
        <v>6076</v>
      </c>
      <c r="G5876" s="1" t="s">
        <v>10506</v>
      </c>
      <c r="H5876">
        <v>2024</v>
      </c>
      <c r="I5876">
        <v>2026</v>
      </c>
      <c r="J5876">
        <f t="shared" si="182"/>
        <v>3</v>
      </c>
      <c r="K5876" s="1" t="s">
        <v>6076</v>
      </c>
      <c r="L5876" s="1" t="s">
        <v>6076</v>
      </c>
      <c r="M5876">
        <f t="shared" si="183"/>
        <v>0</v>
      </c>
    </row>
    <row r="5877" spans="1:14" x14ac:dyDescent="0.3">
      <c r="A5877" s="1" t="s">
        <v>10511</v>
      </c>
      <c r="B5877" s="1" t="s">
        <v>5913</v>
      </c>
      <c r="C5877" s="1" t="s">
        <v>10512</v>
      </c>
      <c r="D5877" s="1" t="s">
        <v>1395</v>
      </c>
      <c r="E5877" s="1" t="s">
        <v>6076</v>
      </c>
      <c r="F5877" s="1" t="s">
        <v>6076</v>
      </c>
      <c r="G5877" s="1" t="s">
        <v>10506</v>
      </c>
      <c r="H5877">
        <v>2020</v>
      </c>
      <c r="I5877">
        <v>2022</v>
      </c>
      <c r="J5877">
        <f t="shared" si="182"/>
        <v>3</v>
      </c>
      <c r="K5877" s="1" t="s">
        <v>6076</v>
      </c>
      <c r="L5877" s="1" t="s">
        <v>6076</v>
      </c>
      <c r="M5877">
        <f t="shared" si="183"/>
        <v>4</v>
      </c>
    </row>
    <row r="5878" spans="1:14" x14ac:dyDescent="0.3">
      <c r="A5878" s="1" t="s">
        <v>10513</v>
      </c>
      <c r="B5878" s="1" t="s">
        <v>5913</v>
      </c>
      <c r="C5878" s="1" t="s">
        <v>10514</v>
      </c>
      <c r="D5878" s="1" t="s">
        <v>1395</v>
      </c>
      <c r="E5878" s="1" t="s">
        <v>6076</v>
      </c>
      <c r="F5878" s="1" t="s">
        <v>6076</v>
      </c>
      <c r="G5878" s="1" t="s">
        <v>10506</v>
      </c>
      <c r="H5878">
        <v>2008</v>
      </c>
      <c r="I5878">
        <v>2015</v>
      </c>
      <c r="J5878">
        <f t="shared" si="182"/>
        <v>8</v>
      </c>
      <c r="K5878" s="1" t="s">
        <v>6076</v>
      </c>
      <c r="L5878" s="1" t="s">
        <v>6076</v>
      </c>
      <c r="M5878">
        <f t="shared" si="183"/>
        <v>11</v>
      </c>
    </row>
    <row r="5879" spans="1:14" x14ac:dyDescent="0.3">
      <c r="A5879" s="1" t="s">
        <v>10515</v>
      </c>
      <c r="B5879" s="1" t="s">
        <v>5913</v>
      </c>
      <c r="C5879" s="1" t="s">
        <v>10516</v>
      </c>
      <c r="D5879" s="1" t="s">
        <v>1395</v>
      </c>
      <c r="E5879" s="1" t="s">
        <v>6076</v>
      </c>
      <c r="F5879" s="1" t="s">
        <v>6076</v>
      </c>
      <c r="G5879" s="1" t="s">
        <v>10506</v>
      </c>
      <c r="H5879">
        <v>2015</v>
      </c>
      <c r="I5879">
        <v>2016</v>
      </c>
      <c r="J5879">
        <f t="shared" si="182"/>
        <v>2</v>
      </c>
      <c r="K5879" s="1" t="s">
        <v>6076</v>
      </c>
      <c r="L5879" s="1" t="s">
        <v>6076</v>
      </c>
      <c r="M5879">
        <f t="shared" si="183"/>
        <v>10</v>
      </c>
    </row>
    <row r="5880" spans="1:14" x14ac:dyDescent="0.3">
      <c r="A5880" s="1" t="s">
        <v>10517</v>
      </c>
      <c r="B5880" s="1" t="s">
        <v>7121</v>
      </c>
      <c r="C5880" s="1" t="s">
        <v>10518</v>
      </c>
      <c r="D5880" s="1" t="s">
        <v>1395</v>
      </c>
      <c r="E5880" s="1" t="s">
        <v>6076</v>
      </c>
      <c r="F5880" s="1" t="s">
        <v>6076</v>
      </c>
      <c r="G5880" s="1" t="s">
        <v>10519</v>
      </c>
      <c r="H5880">
        <v>2013</v>
      </c>
      <c r="I5880">
        <v>2022</v>
      </c>
      <c r="J5880">
        <f t="shared" si="182"/>
        <v>10</v>
      </c>
      <c r="K5880" s="1" t="s">
        <v>6076</v>
      </c>
      <c r="L5880" s="1" t="s">
        <v>6076</v>
      </c>
      <c r="M5880">
        <f t="shared" si="183"/>
        <v>4</v>
      </c>
      <c r="N5880" t="s">
        <v>650</v>
      </c>
    </row>
    <row r="5881" spans="1:14" x14ac:dyDescent="0.3">
      <c r="A5881" s="1" t="s">
        <v>10520</v>
      </c>
      <c r="B5881" s="1" t="s">
        <v>7121</v>
      </c>
      <c r="C5881" s="1" t="s">
        <v>10521</v>
      </c>
      <c r="D5881" s="1" t="s">
        <v>1395</v>
      </c>
      <c r="E5881" s="1" t="s">
        <v>6076</v>
      </c>
      <c r="F5881" s="1" t="s">
        <v>6076</v>
      </c>
      <c r="G5881" s="1" t="s">
        <v>10519</v>
      </c>
      <c r="H5881">
        <v>2018</v>
      </c>
      <c r="I5881">
        <v>2022</v>
      </c>
      <c r="J5881">
        <f t="shared" si="182"/>
        <v>5</v>
      </c>
      <c r="K5881" s="1" t="s">
        <v>6076</v>
      </c>
      <c r="L5881" s="1" t="s">
        <v>6076</v>
      </c>
      <c r="M5881">
        <f t="shared" si="183"/>
        <v>4</v>
      </c>
      <c r="N5881" t="s">
        <v>650</v>
      </c>
    </row>
    <row r="5882" spans="1:14" x14ac:dyDescent="0.3">
      <c r="A5882" s="1" t="s">
        <v>10522</v>
      </c>
      <c r="B5882" s="1" t="s">
        <v>5913</v>
      </c>
      <c r="C5882" s="1" t="s">
        <v>10523</v>
      </c>
      <c r="D5882" s="1" t="s">
        <v>1395</v>
      </c>
      <c r="E5882" s="1" t="s">
        <v>6076</v>
      </c>
      <c r="F5882" s="1" t="s">
        <v>6076</v>
      </c>
      <c r="G5882" s="1" t="s">
        <v>10524</v>
      </c>
      <c r="H5882">
        <v>2020</v>
      </c>
      <c r="I5882">
        <v>2022</v>
      </c>
      <c r="J5882">
        <f t="shared" si="182"/>
        <v>3</v>
      </c>
      <c r="K5882" s="1" t="s">
        <v>6076</v>
      </c>
      <c r="L5882" s="1" t="s">
        <v>6076</v>
      </c>
      <c r="M5882">
        <f t="shared" si="183"/>
        <v>4</v>
      </c>
    </row>
    <row r="5883" spans="1:14" x14ac:dyDescent="0.3">
      <c r="A5883" s="1" t="s">
        <v>10525</v>
      </c>
      <c r="B5883" s="1" t="s">
        <v>5913</v>
      </c>
      <c r="C5883" s="1" t="s">
        <v>10526</v>
      </c>
      <c r="D5883" s="1" t="s">
        <v>1395</v>
      </c>
      <c r="E5883" s="1" t="s">
        <v>6076</v>
      </c>
      <c r="F5883" s="1" t="s">
        <v>6076</v>
      </c>
      <c r="G5883" s="1" t="s">
        <v>10524</v>
      </c>
      <c r="H5883">
        <v>2021</v>
      </c>
      <c r="I5883">
        <v>2022</v>
      </c>
      <c r="J5883">
        <f t="shared" si="182"/>
        <v>2</v>
      </c>
      <c r="K5883" s="1" t="s">
        <v>6076</v>
      </c>
      <c r="L5883" s="1" t="s">
        <v>6076</v>
      </c>
      <c r="M5883">
        <f t="shared" si="183"/>
        <v>4</v>
      </c>
    </row>
    <row r="5884" spans="1:14" x14ac:dyDescent="0.3">
      <c r="A5884" t="s">
        <v>10992</v>
      </c>
      <c r="B5884" t="s">
        <v>5913</v>
      </c>
      <c r="C5884" t="s">
        <v>10993</v>
      </c>
      <c r="E5884" s="1" t="s">
        <v>6076</v>
      </c>
      <c r="F5884" s="1" t="s">
        <v>6076</v>
      </c>
      <c r="G5884" s="1" t="s">
        <v>10524</v>
      </c>
      <c r="H5884">
        <v>2024</v>
      </c>
      <c r="I5884">
        <v>2026</v>
      </c>
      <c r="J5884">
        <f t="shared" si="182"/>
        <v>3</v>
      </c>
      <c r="K5884" s="1" t="s">
        <v>6076</v>
      </c>
      <c r="L5884" s="1" t="s">
        <v>6076</v>
      </c>
      <c r="M5884">
        <f t="shared" si="183"/>
        <v>0</v>
      </c>
    </row>
    <row r="5885" spans="1:14" x14ac:dyDescent="0.3">
      <c r="A5885" t="s">
        <v>10994</v>
      </c>
      <c r="B5885" t="s">
        <v>5913</v>
      </c>
      <c r="C5885" t="s">
        <v>10995</v>
      </c>
      <c r="E5885" s="1" t="s">
        <v>6076</v>
      </c>
      <c r="F5885" s="1" t="s">
        <v>6076</v>
      </c>
      <c r="G5885" s="1" t="s">
        <v>10524</v>
      </c>
      <c r="H5885">
        <v>2025</v>
      </c>
      <c r="I5885">
        <v>2026</v>
      </c>
      <c r="J5885">
        <f t="shared" si="182"/>
        <v>2</v>
      </c>
      <c r="K5885" s="1" t="s">
        <v>6076</v>
      </c>
      <c r="L5885" s="1" t="s">
        <v>6076</v>
      </c>
      <c r="M5885">
        <f t="shared" si="183"/>
        <v>0</v>
      </c>
    </row>
    <row r="5886" spans="1:14" x14ac:dyDescent="0.3">
      <c r="A5886" s="1" t="s">
        <v>10527</v>
      </c>
      <c r="B5886" s="1" t="s">
        <v>5913</v>
      </c>
      <c r="C5886" s="1" t="s">
        <v>10528</v>
      </c>
      <c r="D5886" s="1" t="s">
        <v>1395</v>
      </c>
      <c r="E5886" s="1" t="s">
        <v>6076</v>
      </c>
      <c r="F5886" s="1" t="s">
        <v>6076</v>
      </c>
      <c r="G5886" s="1" t="s">
        <v>10524</v>
      </c>
      <c r="H5886">
        <v>2019</v>
      </c>
      <c r="I5886">
        <v>2020</v>
      </c>
      <c r="J5886">
        <f t="shared" si="182"/>
        <v>2</v>
      </c>
      <c r="K5886" s="1" t="s">
        <v>6076</v>
      </c>
      <c r="L5886" s="1" t="s">
        <v>6076</v>
      </c>
      <c r="M5886">
        <f t="shared" si="183"/>
        <v>6</v>
      </c>
    </row>
    <row r="5887" spans="1:14" x14ac:dyDescent="0.3">
      <c r="A5887" s="1" t="s">
        <v>10529</v>
      </c>
      <c r="B5887" s="1" t="s">
        <v>7121</v>
      </c>
      <c r="C5887" s="1" t="s">
        <v>10530</v>
      </c>
      <c r="D5887" s="1" t="s">
        <v>1395</v>
      </c>
      <c r="E5887" s="1" t="s">
        <v>6076</v>
      </c>
      <c r="F5887" s="1" t="s">
        <v>6076</v>
      </c>
      <c r="G5887" s="1" t="s">
        <v>10531</v>
      </c>
      <c r="H5887">
        <v>2019</v>
      </c>
      <c r="I5887">
        <v>2022</v>
      </c>
      <c r="J5887">
        <f t="shared" si="182"/>
        <v>4</v>
      </c>
      <c r="K5887" s="1" t="s">
        <v>6076</v>
      </c>
      <c r="L5887" s="1" t="s">
        <v>6076</v>
      </c>
      <c r="M5887">
        <f t="shared" si="183"/>
        <v>4</v>
      </c>
      <c r="N5887" t="s">
        <v>650</v>
      </c>
    </row>
    <row r="5888" spans="1:14" x14ac:dyDescent="0.3">
      <c r="A5888" s="1" t="s">
        <v>10532</v>
      </c>
      <c r="B5888" s="1" t="s">
        <v>672</v>
      </c>
      <c r="C5888" s="1" t="s">
        <v>10533</v>
      </c>
      <c r="D5888" s="1" t="s">
        <v>738</v>
      </c>
      <c r="E5888" s="1" t="s">
        <v>6076</v>
      </c>
      <c r="F5888" s="1" t="s">
        <v>6076</v>
      </c>
      <c r="G5888" s="1" t="s">
        <v>10534</v>
      </c>
      <c r="H5888">
        <v>1994</v>
      </c>
      <c r="I5888">
        <v>1997</v>
      </c>
      <c r="J5888">
        <f t="shared" si="182"/>
        <v>4</v>
      </c>
      <c r="K5888" s="1" t="s">
        <v>6076</v>
      </c>
      <c r="L5888" s="1" t="s">
        <v>6076</v>
      </c>
      <c r="M5888">
        <f t="shared" si="183"/>
        <v>29</v>
      </c>
      <c r="N5888" t="s">
        <v>640</v>
      </c>
    </row>
    <row r="5889" spans="1:14" x14ac:dyDescent="0.3">
      <c r="A5889" s="1" t="s">
        <v>10535</v>
      </c>
      <c r="B5889" s="1" t="s">
        <v>672</v>
      </c>
      <c r="C5889" s="1" t="s">
        <v>10536</v>
      </c>
      <c r="D5889" s="1" t="s">
        <v>738</v>
      </c>
      <c r="E5889" s="1" t="s">
        <v>6076</v>
      </c>
      <c r="F5889" s="1" t="s">
        <v>6076</v>
      </c>
      <c r="G5889" s="1" t="s">
        <v>10534</v>
      </c>
      <c r="H5889">
        <v>1997</v>
      </c>
      <c r="I5889">
        <v>1997</v>
      </c>
      <c r="J5889">
        <f t="shared" si="182"/>
        <v>1</v>
      </c>
      <c r="K5889" s="1" t="s">
        <v>6076</v>
      </c>
      <c r="L5889" s="1" t="s">
        <v>6076</v>
      </c>
      <c r="M5889">
        <f t="shared" si="183"/>
        <v>29</v>
      </c>
      <c r="N5889" t="s">
        <v>640</v>
      </c>
    </row>
    <row r="5890" spans="1:14" x14ac:dyDescent="0.3">
      <c r="A5890" s="1" t="s">
        <v>10537</v>
      </c>
      <c r="B5890" s="1" t="s">
        <v>672</v>
      </c>
      <c r="C5890" s="1" t="s">
        <v>10538</v>
      </c>
      <c r="D5890" s="1" t="s">
        <v>738</v>
      </c>
      <c r="E5890" s="1" t="s">
        <v>6076</v>
      </c>
      <c r="F5890" s="1" t="s">
        <v>6076</v>
      </c>
      <c r="G5890" s="1" t="s">
        <v>10534</v>
      </c>
      <c r="H5890">
        <v>1996</v>
      </c>
      <c r="I5890">
        <v>1997</v>
      </c>
      <c r="J5890">
        <f t="shared" si="182"/>
        <v>2</v>
      </c>
      <c r="K5890" s="1" t="s">
        <v>6076</v>
      </c>
      <c r="L5890" s="1" t="s">
        <v>6076</v>
      </c>
      <c r="M5890">
        <f t="shared" si="183"/>
        <v>29</v>
      </c>
      <c r="N5890" t="s">
        <v>640</v>
      </c>
    </row>
    <row r="5891" spans="1:14" x14ac:dyDescent="0.3">
      <c r="A5891" s="1" t="s">
        <v>10539</v>
      </c>
      <c r="B5891" s="1" t="s">
        <v>672</v>
      </c>
      <c r="C5891" s="1" t="s">
        <v>10540</v>
      </c>
      <c r="D5891" s="1" t="s">
        <v>738</v>
      </c>
      <c r="E5891" s="1" t="s">
        <v>6076</v>
      </c>
      <c r="F5891" s="1" t="s">
        <v>6076</v>
      </c>
      <c r="G5891" s="1" t="s">
        <v>10534</v>
      </c>
      <c r="H5891">
        <v>1997</v>
      </c>
      <c r="I5891">
        <v>1999</v>
      </c>
      <c r="J5891">
        <f t="shared" si="182"/>
        <v>3</v>
      </c>
      <c r="K5891" s="1" t="s">
        <v>6076</v>
      </c>
      <c r="L5891" s="1" t="s">
        <v>6076</v>
      </c>
      <c r="M5891">
        <f t="shared" si="183"/>
        <v>27</v>
      </c>
      <c r="N5891" t="s">
        <v>640</v>
      </c>
    </row>
    <row r="5892" spans="1:14" x14ac:dyDescent="0.3">
      <c r="A5892" s="1" t="s">
        <v>10541</v>
      </c>
      <c r="B5892" s="1" t="s">
        <v>672</v>
      </c>
      <c r="C5892" s="1" t="s">
        <v>10542</v>
      </c>
      <c r="D5892" s="1" t="s">
        <v>738</v>
      </c>
      <c r="E5892" s="1" t="s">
        <v>6076</v>
      </c>
      <c r="F5892" s="1" t="s">
        <v>6076</v>
      </c>
      <c r="G5892" s="1" t="s">
        <v>10534</v>
      </c>
      <c r="H5892">
        <v>1995</v>
      </c>
      <c r="I5892">
        <v>2001</v>
      </c>
      <c r="J5892">
        <f t="shared" si="182"/>
        <v>7</v>
      </c>
      <c r="K5892" s="1" t="s">
        <v>6076</v>
      </c>
      <c r="L5892" s="1" t="s">
        <v>6076</v>
      </c>
      <c r="M5892">
        <f t="shared" si="183"/>
        <v>25</v>
      </c>
      <c r="N5892" t="s">
        <v>640</v>
      </c>
    </row>
    <row r="5893" spans="1:14" x14ac:dyDescent="0.3">
      <c r="A5893" s="1" t="s">
        <v>10543</v>
      </c>
      <c r="B5893" s="1" t="s">
        <v>672</v>
      </c>
      <c r="C5893" s="1" t="s">
        <v>10544</v>
      </c>
      <c r="D5893" s="1" t="s">
        <v>738</v>
      </c>
      <c r="E5893" s="1" t="s">
        <v>6076</v>
      </c>
      <c r="F5893" s="1" t="s">
        <v>6076</v>
      </c>
      <c r="G5893" s="1" t="s">
        <v>10534</v>
      </c>
      <c r="H5893">
        <v>1996</v>
      </c>
      <c r="I5893">
        <v>2001</v>
      </c>
      <c r="J5893">
        <f t="shared" si="182"/>
        <v>6</v>
      </c>
      <c r="K5893" s="1" t="s">
        <v>6076</v>
      </c>
      <c r="L5893" s="1" t="s">
        <v>6076</v>
      </c>
      <c r="M5893">
        <f t="shared" si="183"/>
        <v>25</v>
      </c>
      <c r="N5893" t="s">
        <v>640</v>
      </c>
    </row>
    <row r="5894" spans="1:14" x14ac:dyDescent="0.3">
      <c r="A5894" s="1" t="s">
        <v>10545</v>
      </c>
      <c r="B5894" s="1" t="s">
        <v>672</v>
      </c>
      <c r="C5894" s="1" t="s">
        <v>10546</v>
      </c>
      <c r="D5894" s="1" t="s">
        <v>738</v>
      </c>
      <c r="E5894" s="1" t="s">
        <v>6076</v>
      </c>
      <c r="F5894" s="1" t="s">
        <v>6076</v>
      </c>
      <c r="G5894" s="1" t="s">
        <v>10534</v>
      </c>
      <c r="H5894">
        <v>1998</v>
      </c>
      <c r="I5894">
        <v>2000</v>
      </c>
      <c r="J5894">
        <f t="shared" ref="J5894:J5957" si="184">1+(I5894-H5894)</f>
        <v>3</v>
      </c>
      <c r="K5894" s="1" t="s">
        <v>6076</v>
      </c>
      <c r="L5894" s="1" t="s">
        <v>6076</v>
      </c>
      <c r="M5894">
        <f t="shared" ref="M5894:M5957" si="185">IF(I5894=0,0,$B$2-I5894)</f>
        <v>26</v>
      </c>
      <c r="N5894" t="s">
        <v>640</v>
      </c>
    </row>
    <row r="5895" spans="1:14" x14ac:dyDescent="0.3">
      <c r="A5895" s="1" t="s">
        <v>10547</v>
      </c>
      <c r="B5895" s="1" t="s">
        <v>672</v>
      </c>
      <c r="C5895" s="1" t="s">
        <v>10548</v>
      </c>
      <c r="D5895" s="1" t="s">
        <v>738</v>
      </c>
      <c r="E5895" s="1" t="s">
        <v>6076</v>
      </c>
      <c r="F5895" s="1" t="s">
        <v>6076</v>
      </c>
      <c r="G5895" s="1" t="s">
        <v>10534</v>
      </c>
      <c r="H5895">
        <v>1998</v>
      </c>
      <c r="I5895">
        <v>2000</v>
      </c>
      <c r="J5895">
        <f t="shared" si="184"/>
        <v>3</v>
      </c>
      <c r="K5895" s="1" t="s">
        <v>6076</v>
      </c>
      <c r="L5895" s="1" t="s">
        <v>6076</v>
      </c>
      <c r="M5895">
        <f t="shared" si="185"/>
        <v>26</v>
      </c>
      <c r="N5895" t="s">
        <v>640</v>
      </c>
    </row>
    <row r="5896" spans="1:14" x14ac:dyDescent="0.3">
      <c r="A5896" s="1" t="s">
        <v>10549</v>
      </c>
      <c r="B5896" s="1" t="s">
        <v>672</v>
      </c>
      <c r="C5896" s="1" t="s">
        <v>10550</v>
      </c>
      <c r="D5896" s="1" t="s">
        <v>738</v>
      </c>
      <c r="E5896" s="1" t="s">
        <v>6076</v>
      </c>
      <c r="F5896" s="1" t="s">
        <v>6076</v>
      </c>
      <c r="G5896" s="1" t="s">
        <v>10534</v>
      </c>
      <c r="H5896">
        <v>1998</v>
      </c>
      <c r="I5896">
        <v>2001</v>
      </c>
      <c r="J5896">
        <f t="shared" si="184"/>
        <v>4</v>
      </c>
      <c r="K5896" s="1" t="s">
        <v>6076</v>
      </c>
      <c r="L5896" s="1" t="s">
        <v>6076</v>
      </c>
      <c r="M5896">
        <f t="shared" si="185"/>
        <v>25</v>
      </c>
      <c r="N5896" t="s">
        <v>640</v>
      </c>
    </row>
    <row r="5897" spans="1:14" x14ac:dyDescent="0.3">
      <c r="A5897" s="1" t="s">
        <v>10551</v>
      </c>
      <c r="B5897" s="1" t="s">
        <v>672</v>
      </c>
      <c r="C5897" s="1" t="s">
        <v>10552</v>
      </c>
      <c r="D5897" s="1" t="s">
        <v>738</v>
      </c>
      <c r="E5897" s="1" t="s">
        <v>6076</v>
      </c>
      <c r="F5897" s="1" t="s">
        <v>6076</v>
      </c>
      <c r="G5897" s="1" t="s">
        <v>10534</v>
      </c>
      <c r="H5897">
        <v>1998</v>
      </c>
      <c r="I5897">
        <v>2002</v>
      </c>
      <c r="J5897">
        <f t="shared" si="184"/>
        <v>5</v>
      </c>
      <c r="K5897" s="1" t="s">
        <v>6076</v>
      </c>
      <c r="L5897" s="1" t="s">
        <v>6076</v>
      </c>
      <c r="M5897">
        <f t="shared" si="185"/>
        <v>24</v>
      </c>
      <c r="N5897" t="s">
        <v>640</v>
      </c>
    </row>
    <row r="5898" spans="1:14" x14ac:dyDescent="0.3">
      <c r="A5898" s="1" t="s">
        <v>10553</v>
      </c>
      <c r="B5898" s="1" t="s">
        <v>672</v>
      </c>
      <c r="C5898" s="1" t="s">
        <v>10554</v>
      </c>
      <c r="D5898" s="1" t="s">
        <v>738</v>
      </c>
      <c r="E5898" s="1" t="s">
        <v>6076</v>
      </c>
      <c r="F5898" s="1" t="s">
        <v>6076</v>
      </c>
      <c r="G5898" s="1" t="s">
        <v>10534</v>
      </c>
      <c r="H5898">
        <v>1996</v>
      </c>
      <c r="I5898">
        <v>1999</v>
      </c>
      <c r="J5898">
        <f t="shared" si="184"/>
        <v>4</v>
      </c>
      <c r="K5898" s="1" t="s">
        <v>6076</v>
      </c>
      <c r="L5898" s="1" t="s">
        <v>6076</v>
      </c>
      <c r="M5898">
        <f t="shared" si="185"/>
        <v>27</v>
      </c>
      <c r="N5898" t="s">
        <v>640</v>
      </c>
    </row>
    <row r="5899" spans="1:14" x14ac:dyDescent="0.3">
      <c r="A5899" s="1" t="s">
        <v>10555</v>
      </c>
      <c r="B5899" s="1" t="s">
        <v>672</v>
      </c>
      <c r="C5899" s="1" t="s">
        <v>10556</v>
      </c>
      <c r="D5899" s="1" t="s">
        <v>738</v>
      </c>
      <c r="E5899" s="1" t="s">
        <v>6076</v>
      </c>
      <c r="F5899" s="1" t="s">
        <v>6076</v>
      </c>
      <c r="G5899" s="1" t="s">
        <v>10534</v>
      </c>
      <c r="H5899">
        <v>1995</v>
      </c>
      <c r="I5899">
        <v>1998</v>
      </c>
      <c r="J5899">
        <f t="shared" si="184"/>
        <v>4</v>
      </c>
      <c r="K5899" s="1" t="s">
        <v>6076</v>
      </c>
      <c r="L5899" s="1" t="s">
        <v>6076</v>
      </c>
      <c r="M5899">
        <f t="shared" si="185"/>
        <v>28</v>
      </c>
      <c r="N5899" t="s">
        <v>640</v>
      </c>
    </row>
    <row r="5900" spans="1:14" x14ac:dyDescent="0.3">
      <c r="A5900" s="1" t="s">
        <v>10557</v>
      </c>
      <c r="B5900" s="1" t="s">
        <v>672</v>
      </c>
      <c r="C5900" s="1" t="s">
        <v>10558</v>
      </c>
      <c r="D5900" s="1" t="s">
        <v>738</v>
      </c>
      <c r="E5900" s="1" t="s">
        <v>6076</v>
      </c>
      <c r="F5900" s="1" t="s">
        <v>6076</v>
      </c>
      <c r="G5900" s="1" t="s">
        <v>10534</v>
      </c>
      <c r="H5900">
        <v>1994</v>
      </c>
      <c r="I5900">
        <v>1998</v>
      </c>
      <c r="J5900">
        <f t="shared" si="184"/>
        <v>5</v>
      </c>
      <c r="K5900" s="1" t="s">
        <v>6076</v>
      </c>
      <c r="L5900" s="1" t="s">
        <v>6076</v>
      </c>
      <c r="M5900">
        <f t="shared" si="185"/>
        <v>28</v>
      </c>
      <c r="N5900" t="s">
        <v>640</v>
      </c>
    </row>
    <row r="5901" spans="1:14" x14ac:dyDescent="0.3">
      <c r="A5901" s="1" t="s">
        <v>10559</v>
      </c>
      <c r="B5901" s="1" t="s">
        <v>672</v>
      </c>
      <c r="C5901" s="1" t="s">
        <v>10560</v>
      </c>
      <c r="D5901" s="1" t="s">
        <v>738</v>
      </c>
      <c r="E5901" s="1" t="s">
        <v>6076</v>
      </c>
      <c r="F5901" s="1" t="s">
        <v>6076</v>
      </c>
      <c r="G5901" s="1" t="s">
        <v>10534</v>
      </c>
      <c r="H5901">
        <v>1994</v>
      </c>
      <c r="I5901">
        <v>1998</v>
      </c>
      <c r="J5901">
        <f t="shared" si="184"/>
        <v>5</v>
      </c>
      <c r="K5901" s="1" t="s">
        <v>6076</v>
      </c>
      <c r="L5901" s="1" t="s">
        <v>6076</v>
      </c>
      <c r="M5901">
        <f t="shared" si="185"/>
        <v>28</v>
      </c>
      <c r="N5901" t="s">
        <v>640</v>
      </c>
    </row>
    <row r="5902" spans="1:14" x14ac:dyDescent="0.3">
      <c r="A5902" t="s">
        <v>12575</v>
      </c>
      <c r="B5902" t="s">
        <v>12697</v>
      </c>
      <c r="C5902" t="s">
        <v>12576</v>
      </c>
      <c r="E5902" s="1" t="s">
        <v>6076</v>
      </c>
      <c r="F5902" s="1" t="s">
        <v>6076</v>
      </c>
      <c r="G5902" s="1" t="s">
        <v>12901</v>
      </c>
      <c r="H5902">
        <v>2022</v>
      </c>
      <c r="I5902">
        <v>2022</v>
      </c>
      <c r="J5902">
        <f t="shared" si="184"/>
        <v>1</v>
      </c>
      <c r="K5902" s="1" t="s">
        <v>6076</v>
      </c>
      <c r="L5902" s="1" t="s">
        <v>6076</v>
      </c>
      <c r="M5902">
        <f t="shared" si="185"/>
        <v>4</v>
      </c>
    </row>
    <row r="5903" spans="1:14" x14ac:dyDescent="0.3">
      <c r="A5903" t="s">
        <v>12577</v>
      </c>
      <c r="B5903" t="s">
        <v>12697</v>
      </c>
      <c r="C5903" t="s">
        <v>12578</v>
      </c>
      <c r="E5903" s="1" t="s">
        <v>6076</v>
      </c>
      <c r="F5903" s="1" t="s">
        <v>6076</v>
      </c>
      <c r="G5903" s="1" t="s">
        <v>12901</v>
      </c>
      <c r="H5903">
        <v>2023</v>
      </c>
      <c r="I5903">
        <v>2026</v>
      </c>
      <c r="J5903">
        <f t="shared" si="184"/>
        <v>4</v>
      </c>
      <c r="K5903" s="1" t="s">
        <v>6076</v>
      </c>
      <c r="L5903" s="1" t="s">
        <v>6076</v>
      </c>
      <c r="M5903">
        <f t="shared" si="185"/>
        <v>0</v>
      </c>
    </row>
    <row r="5904" spans="1:14" x14ac:dyDescent="0.3">
      <c r="A5904" t="s">
        <v>12579</v>
      </c>
      <c r="B5904" t="s">
        <v>12697</v>
      </c>
      <c r="C5904" t="s">
        <v>12580</v>
      </c>
      <c r="E5904" s="1" t="s">
        <v>6076</v>
      </c>
      <c r="F5904" s="1" t="s">
        <v>6076</v>
      </c>
      <c r="G5904" s="1" t="s">
        <v>12901</v>
      </c>
      <c r="H5904">
        <v>2019</v>
      </c>
      <c r="I5904">
        <v>2020</v>
      </c>
      <c r="J5904">
        <f t="shared" si="184"/>
        <v>2</v>
      </c>
      <c r="K5904" s="1" t="s">
        <v>6076</v>
      </c>
      <c r="L5904" s="1" t="s">
        <v>6076</v>
      </c>
      <c r="M5904">
        <f t="shared" si="185"/>
        <v>6</v>
      </c>
    </row>
    <row r="5905" spans="1:13" x14ac:dyDescent="0.3">
      <c r="A5905" t="s">
        <v>12581</v>
      </c>
      <c r="B5905" t="s">
        <v>12697</v>
      </c>
      <c r="C5905" t="s">
        <v>12582</v>
      </c>
      <c r="E5905" s="1" t="s">
        <v>6076</v>
      </c>
      <c r="F5905" s="1" t="s">
        <v>6076</v>
      </c>
      <c r="G5905" s="1" t="s">
        <v>12901</v>
      </c>
      <c r="H5905">
        <v>2020</v>
      </c>
      <c r="I5905">
        <v>2021</v>
      </c>
      <c r="J5905">
        <f t="shared" si="184"/>
        <v>2</v>
      </c>
      <c r="K5905" s="1" t="s">
        <v>6076</v>
      </c>
      <c r="L5905" s="1" t="s">
        <v>6076</v>
      </c>
      <c r="M5905">
        <f t="shared" si="185"/>
        <v>5</v>
      </c>
    </row>
    <row r="5906" spans="1:13" x14ac:dyDescent="0.3">
      <c r="A5906" t="s">
        <v>12583</v>
      </c>
      <c r="B5906" t="s">
        <v>12697</v>
      </c>
      <c r="C5906" t="s">
        <v>12584</v>
      </c>
      <c r="E5906" s="1" t="s">
        <v>6076</v>
      </c>
      <c r="F5906" s="1" t="s">
        <v>6076</v>
      </c>
      <c r="G5906" s="1" t="s">
        <v>12901</v>
      </c>
      <c r="H5906">
        <v>2020</v>
      </c>
      <c r="I5906">
        <v>2021</v>
      </c>
      <c r="J5906">
        <f t="shared" si="184"/>
        <v>2</v>
      </c>
      <c r="K5906" s="1" t="s">
        <v>6076</v>
      </c>
      <c r="L5906" s="1" t="s">
        <v>6076</v>
      </c>
      <c r="M5906">
        <f t="shared" si="185"/>
        <v>5</v>
      </c>
    </row>
    <row r="5907" spans="1:13" x14ac:dyDescent="0.3">
      <c r="A5907" t="s">
        <v>12585</v>
      </c>
      <c r="B5907" t="s">
        <v>12697</v>
      </c>
      <c r="C5907" t="s">
        <v>12586</v>
      </c>
      <c r="E5907" s="1" t="s">
        <v>6076</v>
      </c>
      <c r="F5907" s="1" t="s">
        <v>6076</v>
      </c>
      <c r="G5907" s="1" t="s">
        <v>12901</v>
      </c>
      <c r="H5907">
        <v>2022</v>
      </c>
      <c r="I5907">
        <v>2022</v>
      </c>
      <c r="J5907">
        <f t="shared" si="184"/>
        <v>1</v>
      </c>
      <c r="K5907" s="1" t="s">
        <v>6076</v>
      </c>
      <c r="L5907" s="1" t="s">
        <v>6076</v>
      </c>
      <c r="M5907">
        <f t="shared" si="185"/>
        <v>4</v>
      </c>
    </row>
    <row r="5908" spans="1:13" x14ac:dyDescent="0.3">
      <c r="A5908" t="s">
        <v>12587</v>
      </c>
      <c r="B5908" t="s">
        <v>12697</v>
      </c>
      <c r="C5908" t="s">
        <v>12588</v>
      </c>
      <c r="E5908" s="1" t="s">
        <v>6076</v>
      </c>
      <c r="F5908" s="1" t="s">
        <v>6076</v>
      </c>
      <c r="G5908" s="1" t="s">
        <v>12901</v>
      </c>
      <c r="H5908">
        <v>2021</v>
      </c>
      <c r="I5908">
        <v>2022</v>
      </c>
      <c r="J5908">
        <f t="shared" si="184"/>
        <v>2</v>
      </c>
      <c r="K5908" s="1" t="s">
        <v>6076</v>
      </c>
      <c r="L5908" s="1" t="s">
        <v>6076</v>
      </c>
      <c r="M5908">
        <f t="shared" si="185"/>
        <v>4</v>
      </c>
    </row>
    <row r="5909" spans="1:13" x14ac:dyDescent="0.3">
      <c r="A5909" t="s">
        <v>12589</v>
      </c>
      <c r="B5909" t="s">
        <v>12697</v>
      </c>
      <c r="C5909" t="s">
        <v>12590</v>
      </c>
      <c r="E5909" s="1" t="s">
        <v>6076</v>
      </c>
      <c r="F5909" s="1" t="s">
        <v>6076</v>
      </c>
      <c r="G5909" s="1" t="s">
        <v>12901</v>
      </c>
      <c r="H5909">
        <v>2018</v>
      </c>
      <c r="I5909">
        <v>2018</v>
      </c>
      <c r="J5909">
        <f t="shared" si="184"/>
        <v>1</v>
      </c>
      <c r="K5909" s="1" t="s">
        <v>6076</v>
      </c>
      <c r="L5909" s="1" t="s">
        <v>6076</v>
      </c>
      <c r="M5909">
        <f t="shared" si="185"/>
        <v>8</v>
      </c>
    </row>
    <row r="5910" spans="1:13" x14ac:dyDescent="0.3">
      <c r="A5910" t="s">
        <v>12591</v>
      </c>
      <c r="B5910" t="s">
        <v>12697</v>
      </c>
      <c r="C5910" t="s">
        <v>12592</v>
      </c>
      <c r="E5910" s="1" t="s">
        <v>6076</v>
      </c>
      <c r="F5910" s="1" t="s">
        <v>6076</v>
      </c>
      <c r="G5910" s="1" t="s">
        <v>12901</v>
      </c>
      <c r="H5910">
        <v>2020</v>
      </c>
      <c r="I5910">
        <v>2022</v>
      </c>
      <c r="J5910">
        <f t="shared" si="184"/>
        <v>3</v>
      </c>
      <c r="K5910" s="1" t="s">
        <v>6076</v>
      </c>
      <c r="L5910" s="1" t="s">
        <v>6076</v>
      </c>
      <c r="M5910">
        <f t="shared" si="185"/>
        <v>4</v>
      </c>
    </row>
    <row r="5911" spans="1:13" x14ac:dyDescent="0.3">
      <c r="A5911" t="s">
        <v>12593</v>
      </c>
      <c r="B5911" t="s">
        <v>12697</v>
      </c>
      <c r="C5911" t="s">
        <v>12594</v>
      </c>
      <c r="E5911" s="1" t="s">
        <v>6076</v>
      </c>
      <c r="F5911" s="1" t="s">
        <v>6076</v>
      </c>
      <c r="G5911" s="1" t="s">
        <v>12901</v>
      </c>
      <c r="H5911">
        <v>2018</v>
      </c>
      <c r="I5911">
        <v>2020</v>
      </c>
      <c r="J5911">
        <f t="shared" si="184"/>
        <v>3</v>
      </c>
      <c r="K5911" s="1" t="s">
        <v>6076</v>
      </c>
      <c r="L5911" s="1" t="s">
        <v>6076</v>
      </c>
      <c r="M5911">
        <f t="shared" si="185"/>
        <v>6</v>
      </c>
    </row>
    <row r="5912" spans="1:13" x14ac:dyDescent="0.3">
      <c r="A5912" t="s">
        <v>12595</v>
      </c>
      <c r="B5912" t="s">
        <v>12697</v>
      </c>
      <c r="C5912" t="s">
        <v>12596</v>
      </c>
      <c r="E5912" s="1" t="s">
        <v>6076</v>
      </c>
      <c r="F5912" s="1" t="s">
        <v>6076</v>
      </c>
      <c r="G5912" s="1" t="s">
        <v>12901</v>
      </c>
      <c r="H5912">
        <v>2020</v>
      </c>
      <c r="I5912">
        <v>2022</v>
      </c>
      <c r="J5912">
        <f t="shared" si="184"/>
        <v>3</v>
      </c>
      <c r="K5912" s="1" t="s">
        <v>6076</v>
      </c>
      <c r="L5912" s="1" t="s">
        <v>6076</v>
      </c>
      <c r="M5912">
        <f t="shared" si="185"/>
        <v>4</v>
      </c>
    </row>
    <row r="5913" spans="1:13" x14ac:dyDescent="0.3">
      <c r="A5913" t="s">
        <v>12597</v>
      </c>
      <c r="B5913" t="s">
        <v>12697</v>
      </c>
      <c r="C5913" t="s">
        <v>12598</v>
      </c>
      <c r="E5913" s="1" t="s">
        <v>6076</v>
      </c>
      <c r="F5913" s="1" t="s">
        <v>6076</v>
      </c>
      <c r="G5913" s="1" t="s">
        <v>12901</v>
      </c>
      <c r="H5913">
        <v>2018</v>
      </c>
      <c r="I5913">
        <v>2020</v>
      </c>
      <c r="J5913">
        <f t="shared" si="184"/>
        <v>3</v>
      </c>
      <c r="K5913" s="1" t="s">
        <v>6076</v>
      </c>
      <c r="L5913" s="1" t="s">
        <v>6076</v>
      </c>
      <c r="M5913">
        <f t="shared" si="185"/>
        <v>6</v>
      </c>
    </row>
    <row r="5914" spans="1:13" x14ac:dyDescent="0.3">
      <c r="A5914" t="s">
        <v>12599</v>
      </c>
      <c r="B5914" t="s">
        <v>12697</v>
      </c>
      <c r="C5914" t="s">
        <v>12600</v>
      </c>
      <c r="E5914" s="1" t="s">
        <v>6076</v>
      </c>
      <c r="F5914" s="1" t="s">
        <v>6076</v>
      </c>
      <c r="G5914" s="1" t="s">
        <v>12901</v>
      </c>
      <c r="H5914">
        <v>2018</v>
      </c>
      <c r="I5914">
        <v>2018</v>
      </c>
      <c r="J5914">
        <f t="shared" si="184"/>
        <v>1</v>
      </c>
      <c r="K5914" s="1" t="s">
        <v>6076</v>
      </c>
      <c r="L5914" s="1" t="s">
        <v>6076</v>
      </c>
      <c r="M5914">
        <f t="shared" si="185"/>
        <v>8</v>
      </c>
    </row>
    <row r="5915" spans="1:13" x14ac:dyDescent="0.3">
      <c r="A5915" t="s">
        <v>12601</v>
      </c>
      <c r="B5915" t="s">
        <v>12697</v>
      </c>
      <c r="C5915" t="s">
        <v>12602</v>
      </c>
      <c r="E5915" s="1" t="s">
        <v>6076</v>
      </c>
      <c r="F5915" s="1" t="s">
        <v>6076</v>
      </c>
      <c r="G5915" s="1" t="s">
        <v>12901</v>
      </c>
      <c r="H5915">
        <v>2020</v>
      </c>
      <c r="I5915">
        <v>2020</v>
      </c>
      <c r="J5915">
        <f t="shared" si="184"/>
        <v>1</v>
      </c>
      <c r="K5915" s="1" t="s">
        <v>6076</v>
      </c>
      <c r="L5915" s="1" t="s">
        <v>6076</v>
      </c>
      <c r="M5915">
        <f t="shared" si="185"/>
        <v>6</v>
      </c>
    </row>
    <row r="5916" spans="1:13" x14ac:dyDescent="0.3">
      <c r="A5916" t="s">
        <v>12603</v>
      </c>
      <c r="B5916" t="s">
        <v>12697</v>
      </c>
      <c r="C5916" t="s">
        <v>12604</v>
      </c>
      <c r="E5916" s="1" t="s">
        <v>6076</v>
      </c>
      <c r="F5916" s="1" t="s">
        <v>6076</v>
      </c>
      <c r="G5916" s="1" t="s">
        <v>12901</v>
      </c>
      <c r="H5916">
        <v>2023</v>
      </c>
      <c r="I5916">
        <v>2024</v>
      </c>
      <c r="J5916">
        <f t="shared" si="184"/>
        <v>2</v>
      </c>
      <c r="K5916" s="1" t="s">
        <v>6076</v>
      </c>
      <c r="L5916" s="1" t="s">
        <v>6076</v>
      </c>
      <c r="M5916">
        <f t="shared" si="185"/>
        <v>2</v>
      </c>
    </row>
    <row r="5917" spans="1:13" x14ac:dyDescent="0.3">
      <c r="A5917" t="s">
        <v>12605</v>
      </c>
      <c r="B5917" t="s">
        <v>12697</v>
      </c>
      <c r="C5917" t="s">
        <v>12606</v>
      </c>
      <c r="E5917" s="1" t="s">
        <v>6076</v>
      </c>
      <c r="F5917" s="1" t="s">
        <v>6076</v>
      </c>
      <c r="G5917" s="1" t="s">
        <v>12901</v>
      </c>
      <c r="H5917">
        <v>2011</v>
      </c>
      <c r="I5917">
        <v>2015</v>
      </c>
      <c r="J5917">
        <f t="shared" si="184"/>
        <v>5</v>
      </c>
      <c r="K5917" s="1" t="s">
        <v>6076</v>
      </c>
      <c r="L5917" s="1" t="s">
        <v>6076</v>
      </c>
      <c r="M5917">
        <f t="shared" si="185"/>
        <v>11</v>
      </c>
    </row>
    <row r="5918" spans="1:13" x14ac:dyDescent="0.3">
      <c r="A5918" t="s">
        <v>12607</v>
      </c>
      <c r="B5918" t="s">
        <v>12697</v>
      </c>
      <c r="C5918" t="s">
        <v>12608</v>
      </c>
      <c r="E5918" s="1" t="s">
        <v>6076</v>
      </c>
      <c r="F5918" s="1" t="s">
        <v>6076</v>
      </c>
      <c r="G5918" s="1" t="s">
        <v>12901</v>
      </c>
      <c r="H5918">
        <v>2009</v>
      </c>
      <c r="I5918">
        <v>2015</v>
      </c>
      <c r="J5918">
        <f t="shared" si="184"/>
        <v>7</v>
      </c>
      <c r="K5918" s="1" t="s">
        <v>6076</v>
      </c>
      <c r="L5918" s="1" t="s">
        <v>6076</v>
      </c>
      <c r="M5918">
        <f t="shared" si="185"/>
        <v>11</v>
      </c>
    </row>
    <row r="5919" spans="1:13" x14ac:dyDescent="0.3">
      <c r="A5919" t="s">
        <v>12609</v>
      </c>
      <c r="B5919" t="s">
        <v>12697</v>
      </c>
      <c r="C5919" t="s">
        <v>12610</v>
      </c>
      <c r="E5919" s="1" t="s">
        <v>6076</v>
      </c>
      <c r="F5919" s="1" t="s">
        <v>6076</v>
      </c>
      <c r="G5919" s="1" t="s">
        <v>12901</v>
      </c>
      <c r="H5919">
        <v>2019</v>
      </c>
      <c r="I5919">
        <v>2020</v>
      </c>
      <c r="J5919">
        <f t="shared" si="184"/>
        <v>2</v>
      </c>
      <c r="K5919" s="1" t="s">
        <v>6076</v>
      </c>
      <c r="L5919" s="1" t="s">
        <v>6076</v>
      </c>
      <c r="M5919">
        <f t="shared" si="185"/>
        <v>6</v>
      </c>
    </row>
    <row r="5920" spans="1:13" x14ac:dyDescent="0.3">
      <c r="A5920" t="s">
        <v>12611</v>
      </c>
      <c r="B5920" t="s">
        <v>12697</v>
      </c>
      <c r="C5920" t="s">
        <v>12612</v>
      </c>
      <c r="E5920" s="1" t="s">
        <v>6076</v>
      </c>
      <c r="F5920" s="1" t="s">
        <v>6076</v>
      </c>
      <c r="G5920" s="1" t="s">
        <v>12901</v>
      </c>
      <c r="H5920">
        <v>2017</v>
      </c>
      <c r="I5920">
        <v>2017</v>
      </c>
      <c r="J5920">
        <f t="shared" si="184"/>
        <v>1</v>
      </c>
      <c r="K5920" s="1" t="s">
        <v>6076</v>
      </c>
      <c r="L5920" s="1" t="s">
        <v>6076</v>
      </c>
      <c r="M5920">
        <f t="shared" si="185"/>
        <v>9</v>
      </c>
    </row>
    <row r="5921" spans="1:13" x14ac:dyDescent="0.3">
      <c r="A5921" t="s">
        <v>12613</v>
      </c>
      <c r="B5921" t="s">
        <v>12697</v>
      </c>
      <c r="C5921" t="s">
        <v>12614</v>
      </c>
      <c r="E5921" s="1" t="s">
        <v>6076</v>
      </c>
      <c r="F5921" s="1" t="s">
        <v>6076</v>
      </c>
      <c r="G5921" s="1" t="s">
        <v>12901</v>
      </c>
      <c r="H5921">
        <v>2019</v>
      </c>
      <c r="I5921">
        <v>2021</v>
      </c>
      <c r="J5921">
        <f t="shared" si="184"/>
        <v>3</v>
      </c>
      <c r="K5921" s="1" t="s">
        <v>6076</v>
      </c>
      <c r="L5921" s="1" t="s">
        <v>6076</v>
      </c>
      <c r="M5921">
        <f t="shared" si="185"/>
        <v>5</v>
      </c>
    </row>
    <row r="5922" spans="1:13" x14ac:dyDescent="0.3">
      <c r="A5922" t="s">
        <v>12615</v>
      </c>
      <c r="B5922" t="s">
        <v>12697</v>
      </c>
      <c r="C5922" t="s">
        <v>12616</v>
      </c>
      <c r="E5922" s="1" t="s">
        <v>6076</v>
      </c>
      <c r="F5922" s="1" t="s">
        <v>6076</v>
      </c>
      <c r="G5922" s="1" t="s">
        <v>12901</v>
      </c>
      <c r="H5922">
        <v>2015</v>
      </c>
      <c r="I5922">
        <v>2017</v>
      </c>
      <c r="J5922">
        <f t="shared" si="184"/>
        <v>3</v>
      </c>
      <c r="K5922" s="1" t="s">
        <v>6076</v>
      </c>
      <c r="L5922" s="1" t="s">
        <v>6076</v>
      </c>
      <c r="M5922">
        <f t="shared" si="185"/>
        <v>9</v>
      </c>
    </row>
    <row r="5923" spans="1:13" x14ac:dyDescent="0.3">
      <c r="A5923" t="s">
        <v>12617</v>
      </c>
      <c r="B5923" t="s">
        <v>12697</v>
      </c>
      <c r="C5923" t="s">
        <v>12618</v>
      </c>
      <c r="E5923" s="1" t="s">
        <v>6076</v>
      </c>
      <c r="F5923" s="1" t="s">
        <v>6076</v>
      </c>
      <c r="G5923" s="1" t="s">
        <v>12901</v>
      </c>
      <c r="H5923">
        <v>2011</v>
      </c>
      <c r="I5923">
        <v>2015</v>
      </c>
      <c r="J5923">
        <f t="shared" si="184"/>
        <v>5</v>
      </c>
      <c r="K5923" s="1" t="s">
        <v>6076</v>
      </c>
      <c r="L5923" s="1" t="s">
        <v>6076</v>
      </c>
      <c r="M5923">
        <f t="shared" si="185"/>
        <v>11</v>
      </c>
    </row>
    <row r="5924" spans="1:13" x14ac:dyDescent="0.3">
      <c r="A5924" t="s">
        <v>12619</v>
      </c>
      <c r="B5924" t="s">
        <v>12697</v>
      </c>
      <c r="C5924" t="s">
        <v>12620</v>
      </c>
      <c r="E5924" s="1" t="s">
        <v>6076</v>
      </c>
      <c r="F5924" s="1" t="s">
        <v>6076</v>
      </c>
      <c r="G5924" s="1" t="s">
        <v>12901</v>
      </c>
      <c r="H5924">
        <v>2017</v>
      </c>
      <c r="I5924">
        <v>2017</v>
      </c>
      <c r="J5924">
        <f t="shared" si="184"/>
        <v>1</v>
      </c>
      <c r="K5924" s="1" t="s">
        <v>6076</v>
      </c>
      <c r="L5924" s="1" t="s">
        <v>6076</v>
      </c>
      <c r="M5924">
        <f t="shared" si="185"/>
        <v>9</v>
      </c>
    </row>
    <row r="5925" spans="1:13" x14ac:dyDescent="0.3">
      <c r="A5925" t="s">
        <v>12621</v>
      </c>
      <c r="B5925" t="s">
        <v>12697</v>
      </c>
      <c r="C5925" t="s">
        <v>12622</v>
      </c>
      <c r="E5925" s="1" t="s">
        <v>6076</v>
      </c>
      <c r="F5925" s="1" t="s">
        <v>6076</v>
      </c>
      <c r="G5925" s="1" t="s">
        <v>12901</v>
      </c>
      <c r="H5925">
        <v>2018</v>
      </c>
      <c r="I5925">
        <v>2019</v>
      </c>
      <c r="J5925">
        <f t="shared" si="184"/>
        <v>2</v>
      </c>
      <c r="K5925" s="1" t="s">
        <v>6076</v>
      </c>
      <c r="L5925" s="1" t="s">
        <v>6076</v>
      </c>
      <c r="M5925">
        <f t="shared" si="185"/>
        <v>7</v>
      </c>
    </row>
    <row r="5926" spans="1:13" x14ac:dyDescent="0.3">
      <c r="A5926" t="s">
        <v>12623</v>
      </c>
      <c r="B5926" t="s">
        <v>12697</v>
      </c>
      <c r="C5926" t="s">
        <v>12624</v>
      </c>
      <c r="E5926" s="1" t="s">
        <v>6076</v>
      </c>
      <c r="F5926" s="1" t="s">
        <v>6076</v>
      </c>
      <c r="G5926" s="1" t="s">
        <v>12901</v>
      </c>
      <c r="H5926">
        <v>2016</v>
      </c>
      <c r="I5926">
        <v>2017</v>
      </c>
      <c r="J5926">
        <f t="shared" si="184"/>
        <v>2</v>
      </c>
      <c r="K5926" s="1" t="s">
        <v>6076</v>
      </c>
      <c r="L5926" s="1" t="s">
        <v>6076</v>
      </c>
      <c r="M5926">
        <f t="shared" si="185"/>
        <v>9</v>
      </c>
    </row>
    <row r="5927" spans="1:13" x14ac:dyDescent="0.3">
      <c r="A5927" t="s">
        <v>12625</v>
      </c>
      <c r="B5927" t="s">
        <v>12697</v>
      </c>
      <c r="C5927" t="s">
        <v>12626</v>
      </c>
      <c r="E5927" s="1" t="s">
        <v>6076</v>
      </c>
      <c r="F5927" s="1" t="s">
        <v>6076</v>
      </c>
      <c r="G5927" s="1" t="s">
        <v>12901</v>
      </c>
      <c r="H5927">
        <v>2016</v>
      </c>
      <c r="I5927">
        <v>2017</v>
      </c>
      <c r="J5927">
        <f t="shared" si="184"/>
        <v>2</v>
      </c>
      <c r="K5927" s="1" t="s">
        <v>6076</v>
      </c>
      <c r="L5927" s="1" t="s">
        <v>6076</v>
      </c>
      <c r="M5927">
        <f t="shared" si="185"/>
        <v>9</v>
      </c>
    </row>
    <row r="5928" spans="1:13" x14ac:dyDescent="0.3">
      <c r="A5928" t="s">
        <v>12627</v>
      </c>
      <c r="B5928" t="s">
        <v>12697</v>
      </c>
      <c r="C5928" t="s">
        <v>12628</v>
      </c>
      <c r="E5928" s="1" t="s">
        <v>6076</v>
      </c>
      <c r="F5928" s="1" t="s">
        <v>6076</v>
      </c>
      <c r="G5928" s="1" t="s">
        <v>12901</v>
      </c>
      <c r="H5928">
        <v>2018</v>
      </c>
      <c r="I5928">
        <v>2021</v>
      </c>
      <c r="J5928">
        <f t="shared" si="184"/>
        <v>4</v>
      </c>
      <c r="K5928" s="1" t="s">
        <v>6076</v>
      </c>
      <c r="L5928" s="1" t="s">
        <v>6076</v>
      </c>
      <c r="M5928">
        <f t="shared" si="185"/>
        <v>5</v>
      </c>
    </row>
    <row r="5929" spans="1:13" x14ac:dyDescent="0.3">
      <c r="A5929" t="s">
        <v>12629</v>
      </c>
      <c r="B5929" t="s">
        <v>12697</v>
      </c>
      <c r="C5929" t="s">
        <v>12630</v>
      </c>
      <c r="E5929" s="1" t="s">
        <v>6076</v>
      </c>
      <c r="F5929" s="1" t="s">
        <v>6076</v>
      </c>
      <c r="G5929" s="1" t="s">
        <v>12901</v>
      </c>
      <c r="H5929">
        <v>2018</v>
      </c>
      <c r="I5929">
        <v>2018</v>
      </c>
      <c r="J5929">
        <f t="shared" si="184"/>
        <v>1</v>
      </c>
      <c r="K5929" s="1" t="s">
        <v>6076</v>
      </c>
      <c r="L5929" s="1" t="s">
        <v>6076</v>
      </c>
      <c r="M5929">
        <f t="shared" si="185"/>
        <v>8</v>
      </c>
    </row>
    <row r="5930" spans="1:13" x14ac:dyDescent="0.3">
      <c r="A5930" t="s">
        <v>12631</v>
      </c>
      <c r="B5930" t="s">
        <v>12697</v>
      </c>
      <c r="C5930" t="s">
        <v>12632</v>
      </c>
      <c r="E5930" s="1" t="s">
        <v>6076</v>
      </c>
      <c r="F5930" s="1" t="s">
        <v>6076</v>
      </c>
      <c r="G5930" s="1" t="s">
        <v>12901</v>
      </c>
      <c r="H5930">
        <v>2012</v>
      </c>
      <c r="I5930">
        <v>2017</v>
      </c>
      <c r="J5930">
        <f t="shared" si="184"/>
        <v>6</v>
      </c>
      <c r="K5930" s="1" t="s">
        <v>6076</v>
      </c>
      <c r="L5930" s="1" t="s">
        <v>6076</v>
      </c>
      <c r="M5930">
        <f t="shared" si="185"/>
        <v>9</v>
      </c>
    </row>
    <row r="5931" spans="1:13" x14ac:dyDescent="0.3">
      <c r="A5931" t="s">
        <v>12635</v>
      </c>
      <c r="B5931" t="s">
        <v>12697</v>
      </c>
      <c r="C5931" t="s">
        <v>12636</v>
      </c>
      <c r="E5931" s="1" t="s">
        <v>6076</v>
      </c>
      <c r="F5931" s="1" t="s">
        <v>6076</v>
      </c>
      <c r="G5931" s="1" t="s">
        <v>12901</v>
      </c>
      <c r="H5931">
        <v>2015</v>
      </c>
      <c r="I5931">
        <v>2016</v>
      </c>
      <c r="J5931">
        <f t="shared" si="184"/>
        <v>2</v>
      </c>
      <c r="K5931" s="1" t="s">
        <v>6076</v>
      </c>
      <c r="L5931" s="1" t="s">
        <v>6076</v>
      </c>
      <c r="M5931">
        <f t="shared" si="185"/>
        <v>10</v>
      </c>
    </row>
    <row r="5932" spans="1:13" x14ac:dyDescent="0.3">
      <c r="A5932" t="s">
        <v>12633</v>
      </c>
      <c r="B5932" t="s">
        <v>12697</v>
      </c>
      <c r="C5932" t="s">
        <v>12634</v>
      </c>
      <c r="E5932" s="1" t="s">
        <v>6076</v>
      </c>
      <c r="F5932" s="1" t="s">
        <v>6076</v>
      </c>
      <c r="G5932" s="1" t="s">
        <v>12901</v>
      </c>
      <c r="H5932">
        <v>2015</v>
      </c>
      <c r="I5932">
        <v>2016</v>
      </c>
      <c r="J5932">
        <f t="shared" si="184"/>
        <v>2</v>
      </c>
      <c r="K5932" s="1" t="s">
        <v>6076</v>
      </c>
      <c r="L5932" s="1" t="s">
        <v>6076</v>
      </c>
      <c r="M5932">
        <f t="shared" si="185"/>
        <v>10</v>
      </c>
    </row>
    <row r="5933" spans="1:13" x14ac:dyDescent="0.3">
      <c r="A5933" t="s">
        <v>12637</v>
      </c>
      <c r="B5933" t="s">
        <v>12697</v>
      </c>
      <c r="C5933" t="s">
        <v>12638</v>
      </c>
      <c r="E5933" s="1" t="s">
        <v>6076</v>
      </c>
      <c r="F5933" s="1" t="s">
        <v>6076</v>
      </c>
      <c r="G5933" s="1" t="s">
        <v>12901</v>
      </c>
      <c r="H5933">
        <v>2022</v>
      </c>
      <c r="I5933">
        <v>2022</v>
      </c>
      <c r="J5933">
        <f t="shared" si="184"/>
        <v>1</v>
      </c>
      <c r="K5933" s="1" t="s">
        <v>6076</v>
      </c>
      <c r="L5933" s="1" t="s">
        <v>6076</v>
      </c>
      <c r="M5933">
        <f t="shared" si="185"/>
        <v>4</v>
      </c>
    </row>
    <row r="5934" spans="1:13" x14ac:dyDescent="0.3">
      <c r="A5934" t="s">
        <v>12639</v>
      </c>
      <c r="B5934" t="s">
        <v>12697</v>
      </c>
      <c r="C5934" t="s">
        <v>12640</v>
      </c>
      <c r="E5934" s="1" t="s">
        <v>6076</v>
      </c>
      <c r="F5934" s="1" t="s">
        <v>6076</v>
      </c>
      <c r="G5934" s="1" t="s">
        <v>12901</v>
      </c>
      <c r="H5934">
        <v>2019</v>
      </c>
      <c r="I5934">
        <v>2022</v>
      </c>
      <c r="J5934">
        <f t="shared" si="184"/>
        <v>4</v>
      </c>
      <c r="K5934" s="1" t="s">
        <v>6076</v>
      </c>
      <c r="L5934" s="1" t="s">
        <v>6076</v>
      </c>
      <c r="M5934">
        <f t="shared" si="185"/>
        <v>4</v>
      </c>
    </row>
    <row r="5935" spans="1:13" x14ac:dyDescent="0.3">
      <c r="A5935" t="s">
        <v>12641</v>
      </c>
      <c r="B5935" t="s">
        <v>12697</v>
      </c>
      <c r="C5935" t="s">
        <v>12642</v>
      </c>
      <c r="E5935" s="1" t="s">
        <v>6076</v>
      </c>
      <c r="F5935" s="1" t="s">
        <v>6076</v>
      </c>
      <c r="G5935" s="1" t="s">
        <v>12901</v>
      </c>
      <c r="H5935">
        <v>2020</v>
      </c>
      <c r="I5935">
        <v>2021</v>
      </c>
      <c r="J5935">
        <f t="shared" si="184"/>
        <v>2</v>
      </c>
      <c r="K5935" s="1" t="s">
        <v>6076</v>
      </c>
      <c r="L5935" s="1" t="s">
        <v>6076</v>
      </c>
      <c r="M5935">
        <f t="shared" si="185"/>
        <v>5</v>
      </c>
    </row>
    <row r="5936" spans="1:13" x14ac:dyDescent="0.3">
      <c r="A5936" t="s">
        <v>12643</v>
      </c>
      <c r="B5936" t="s">
        <v>12697</v>
      </c>
      <c r="C5936" t="s">
        <v>12644</v>
      </c>
      <c r="E5936" s="1" t="s">
        <v>6076</v>
      </c>
      <c r="F5936" s="1" t="s">
        <v>6076</v>
      </c>
      <c r="G5936" s="1" t="s">
        <v>12901</v>
      </c>
      <c r="H5936">
        <v>2023</v>
      </c>
      <c r="I5936">
        <v>2026</v>
      </c>
      <c r="J5936">
        <f t="shared" si="184"/>
        <v>4</v>
      </c>
      <c r="K5936" s="1" t="s">
        <v>6076</v>
      </c>
      <c r="L5936" s="1" t="s">
        <v>6076</v>
      </c>
      <c r="M5936">
        <f t="shared" si="185"/>
        <v>0</v>
      </c>
    </row>
    <row r="5937" spans="1:13" x14ac:dyDescent="0.3">
      <c r="A5937" t="s">
        <v>12645</v>
      </c>
      <c r="B5937" t="s">
        <v>12697</v>
      </c>
      <c r="C5937" t="s">
        <v>12646</v>
      </c>
      <c r="E5937" s="1" t="s">
        <v>6076</v>
      </c>
      <c r="F5937" s="1" t="s">
        <v>6076</v>
      </c>
      <c r="G5937" s="1" t="s">
        <v>12901</v>
      </c>
      <c r="H5937">
        <v>2023</v>
      </c>
      <c r="I5937">
        <v>2026</v>
      </c>
      <c r="J5937">
        <f t="shared" si="184"/>
        <v>4</v>
      </c>
      <c r="K5937" s="1" t="s">
        <v>6076</v>
      </c>
      <c r="L5937" s="1" t="s">
        <v>6076</v>
      </c>
      <c r="M5937">
        <f t="shared" si="185"/>
        <v>0</v>
      </c>
    </row>
    <row r="5938" spans="1:13" x14ac:dyDescent="0.3">
      <c r="A5938" t="s">
        <v>12647</v>
      </c>
      <c r="B5938" t="s">
        <v>12697</v>
      </c>
      <c r="C5938" t="s">
        <v>12648</v>
      </c>
      <c r="E5938" s="1" t="s">
        <v>6076</v>
      </c>
      <c r="F5938" s="1" t="s">
        <v>6076</v>
      </c>
      <c r="G5938" s="1" t="s">
        <v>12901</v>
      </c>
      <c r="H5938">
        <v>2020</v>
      </c>
      <c r="I5938">
        <v>2022</v>
      </c>
      <c r="J5938">
        <f t="shared" si="184"/>
        <v>3</v>
      </c>
      <c r="K5938" s="1" t="s">
        <v>6076</v>
      </c>
      <c r="L5938" s="1" t="s">
        <v>6076</v>
      </c>
      <c r="M5938">
        <f t="shared" si="185"/>
        <v>4</v>
      </c>
    </row>
    <row r="5939" spans="1:13" x14ac:dyDescent="0.3">
      <c r="A5939" t="s">
        <v>12649</v>
      </c>
      <c r="B5939" t="s">
        <v>12697</v>
      </c>
      <c r="C5939" t="s">
        <v>12650</v>
      </c>
      <c r="E5939" s="1" t="s">
        <v>6076</v>
      </c>
      <c r="F5939" s="1" t="s">
        <v>6076</v>
      </c>
      <c r="G5939" s="1" t="s">
        <v>12901</v>
      </c>
      <c r="H5939">
        <v>2019</v>
      </c>
      <c r="I5939">
        <v>2022</v>
      </c>
      <c r="J5939">
        <f t="shared" si="184"/>
        <v>4</v>
      </c>
      <c r="K5939" s="1" t="s">
        <v>6076</v>
      </c>
      <c r="L5939" s="1" t="s">
        <v>6076</v>
      </c>
      <c r="M5939">
        <f t="shared" si="185"/>
        <v>4</v>
      </c>
    </row>
    <row r="5940" spans="1:13" x14ac:dyDescent="0.3">
      <c r="A5940" t="s">
        <v>12651</v>
      </c>
      <c r="B5940" t="s">
        <v>12697</v>
      </c>
      <c r="C5940" t="s">
        <v>12652</v>
      </c>
      <c r="E5940" s="1" t="s">
        <v>6076</v>
      </c>
      <c r="F5940" s="1" t="s">
        <v>6076</v>
      </c>
      <c r="G5940" s="1" t="s">
        <v>12901</v>
      </c>
      <c r="H5940">
        <v>2023</v>
      </c>
      <c r="I5940">
        <v>2024</v>
      </c>
      <c r="J5940">
        <f t="shared" si="184"/>
        <v>2</v>
      </c>
      <c r="K5940" s="1" t="s">
        <v>6076</v>
      </c>
      <c r="L5940" s="1" t="s">
        <v>6076</v>
      </c>
      <c r="M5940">
        <f t="shared" si="185"/>
        <v>2</v>
      </c>
    </row>
    <row r="5941" spans="1:13" x14ac:dyDescent="0.3">
      <c r="A5941" t="s">
        <v>12653</v>
      </c>
      <c r="B5941" t="s">
        <v>12697</v>
      </c>
      <c r="C5941" t="s">
        <v>12654</v>
      </c>
      <c r="E5941" s="1" t="s">
        <v>6076</v>
      </c>
      <c r="F5941" s="1" t="s">
        <v>6076</v>
      </c>
      <c r="G5941" s="1" t="s">
        <v>12901</v>
      </c>
      <c r="H5941">
        <v>2023</v>
      </c>
      <c r="I5941">
        <v>2024</v>
      </c>
      <c r="J5941">
        <f t="shared" si="184"/>
        <v>2</v>
      </c>
      <c r="K5941" s="1" t="s">
        <v>6076</v>
      </c>
      <c r="L5941" s="1" t="s">
        <v>6076</v>
      </c>
      <c r="M5941">
        <f t="shared" si="185"/>
        <v>2</v>
      </c>
    </row>
    <row r="5942" spans="1:13" x14ac:dyDescent="0.3">
      <c r="A5942" t="s">
        <v>12655</v>
      </c>
      <c r="B5942" t="s">
        <v>12697</v>
      </c>
      <c r="C5942" t="s">
        <v>12656</v>
      </c>
      <c r="E5942" s="1" t="s">
        <v>6076</v>
      </c>
      <c r="F5942" s="1" t="s">
        <v>6076</v>
      </c>
      <c r="G5942" s="1" t="s">
        <v>12901</v>
      </c>
      <c r="H5942">
        <v>2025</v>
      </c>
      <c r="I5942">
        <v>2026</v>
      </c>
      <c r="J5942">
        <f t="shared" si="184"/>
        <v>2</v>
      </c>
      <c r="K5942" s="1" t="s">
        <v>6076</v>
      </c>
      <c r="L5942" s="1" t="s">
        <v>6076</v>
      </c>
      <c r="M5942">
        <f t="shared" si="185"/>
        <v>0</v>
      </c>
    </row>
    <row r="5943" spans="1:13" x14ac:dyDescent="0.3">
      <c r="A5943" t="s">
        <v>12657</v>
      </c>
      <c r="B5943" t="s">
        <v>12697</v>
      </c>
      <c r="C5943" t="s">
        <v>12658</v>
      </c>
      <c r="E5943" s="1" t="s">
        <v>6076</v>
      </c>
      <c r="F5943" s="1" t="s">
        <v>6076</v>
      </c>
      <c r="G5943" s="1" t="s">
        <v>12901</v>
      </c>
      <c r="H5943">
        <v>2025</v>
      </c>
      <c r="I5943">
        <v>2026</v>
      </c>
      <c r="J5943">
        <f t="shared" si="184"/>
        <v>2</v>
      </c>
      <c r="K5943" s="1" t="s">
        <v>6076</v>
      </c>
      <c r="L5943" s="1" t="s">
        <v>6076</v>
      </c>
      <c r="M5943">
        <f t="shared" si="185"/>
        <v>0</v>
      </c>
    </row>
    <row r="5944" spans="1:13" x14ac:dyDescent="0.3">
      <c r="A5944" t="s">
        <v>12659</v>
      </c>
      <c r="B5944" t="s">
        <v>12697</v>
      </c>
      <c r="C5944" t="s">
        <v>12660</v>
      </c>
      <c r="E5944" s="1" t="s">
        <v>6076</v>
      </c>
      <c r="F5944" s="1" t="s">
        <v>6076</v>
      </c>
      <c r="G5944" s="1" t="s">
        <v>12901</v>
      </c>
      <c r="H5944">
        <v>2005</v>
      </c>
      <c r="I5944">
        <v>2007</v>
      </c>
      <c r="J5944">
        <f t="shared" si="184"/>
        <v>3</v>
      </c>
      <c r="K5944" s="1" t="s">
        <v>6076</v>
      </c>
      <c r="L5944" s="1" t="s">
        <v>6076</v>
      </c>
      <c r="M5944">
        <f t="shared" si="185"/>
        <v>19</v>
      </c>
    </row>
    <row r="5945" spans="1:13" x14ac:dyDescent="0.3">
      <c r="A5945" t="s">
        <v>12661</v>
      </c>
      <c r="B5945" t="s">
        <v>12697</v>
      </c>
      <c r="C5945" t="s">
        <v>12662</v>
      </c>
      <c r="E5945" s="1" t="s">
        <v>6076</v>
      </c>
      <c r="F5945" s="1" t="s">
        <v>6076</v>
      </c>
      <c r="G5945" s="1" t="s">
        <v>12901</v>
      </c>
      <c r="H5945">
        <v>2008</v>
      </c>
      <c r="I5945">
        <v>2013</v>
      </c>
      <c r="J5945">
        <f t="shared" si="184"/>
        <v>6</v>
      </c>
      <c r="K5945" s="1" t="s">
        <v>6076</v>
      </c>
      <c r="L5945" s="1" t="s">
        <v>6076</v>
      </c>
      <c r="M5945">
        <f t="shared" si="185"/>
        <v>13</v>
      </c>
    </row>
    <row r="5946" spans="1:13" x14ac:dyDescent="0.3">
      <c r="A5946" t="s">
        <v>12663</v>
      </c>
      <c r="B5946" t="s">
        <v>12697</v>
      </c>
      <c r="C5946" t="s">
        <v>12664</v>
      </c>
      <c r="E5946" s="1" t="s">
        <v>6076</v>
      </c>
      <c r="F5946" s="1" t="s">
        <v>6076</v>
      </c>
      <c r="G5946" s="1" t="s">
        <v>12901</v>
      </c>
      <c r="H5946">
        <v>2005</v>
      </c>
      <c r="I5946">
        <v>2011</v>
      </c>
      <c r="J5946">
        <f t="shared" si="184"/>
        <v>7</v>
      </c>
      <c r="K5946" s="1" t="s">
        <v>6076</v>
      </c>
      <c r="L5946" s="1" t="s">
        <v>6076</v>
      </c>
      <c r="M5946">
        <f t="shared" si="185"/>
        <v>15</v>
      </c>
    </row>
    <row r="5947" spans="1:13" x14ac:dyDescent="0.3">
      <c r="A5947" t="s">
        <v>12665</v>
      </c>
      <c r="B5947" t="s">
        <v>12697</v>
      </c>
      <c r="C5947" t="s">
        <v>12666</v>
      </c>
      <c r="E5947" s="1" t="s">
        <v>6076</v>
      </c>
      <c r="F5947" s="1" t="s">
        <v>6076</v>
      </c>
      <c r="G5947" s="1" t="s">
        <v>12901</v>
      </c>
      <c r="H5947">
        <v>2017</v>
      </c>
      <c r="I5947">
        <v>2021</v>
      </c>
      <c r="J5947">
        <f t="shared" si="184"/>
        <v>5</v>
      </c>
      <c r="K5947" s="1" t="s">
        <v>6076</v>
      </c>
      <c r="L5947" s="1" t="s">
        <v>6076</v>
      </c>
      <c r="M5947">
        <f t="shared" si="185"/>
        <v>5</v>
      </c>
    </row>
    <row r="5948" spans="1:13" x14ac:dyDescent="0.3">
      <c r="A5948" t="s">
        <v>12667</v>
      </c>
      <c r="B5948" t="s">
        <v>12697</v>
      </c>
      <c r="C5948" t="s">
        <v>12668</v>
      </c>
      <c r="E5948" s="1" t="s">
        <v>6076</v>
      </c>
      <c r="F5948" s="1" t="s">
        <v>6076</v>
      </c>
      <c r="G5948" s="1" t="s">
        <v>12901</v>
      </c>
      <c r="H5948">
        <v>2016</v>
      </c>
      <c r="I5948">
        <v>2020</v>
      </c>
      <c r="J5948">
        <f t="shared" si="184"/>
        <v>5</v>
      </c>
      <c r="K5948" s="1" t="s">
        <v>6076</v>
      </c>
      <c r="L5948" s="1" t="s">
        <v>6076</v>
      </c>
      <c r="M5948">
        <f t="shared" si="185"/>
        <v>6</v>
      </c>
    </row>
    <row r="5949" spans="1:13" x14ac:dyDescent="0.3">
      <c r="A5949" t="s">
        <v>12695</v>
      </c>
      <c r="B5949" t="s">
        <v>12697</v>
      </c>
      <c r="C5949" t="s">
        <v>12696</v>
      </c>
      <c r="E5949" s="1" t="s">
        <v>6076</v>
      </c>
      <c r="F5949" s="1" t="s">
        <v>6076</v>
      </c>
      <c r="G5949" s="1" t="s">
        <v>12901</v>
      </c>
      <c r="H5949">
        <v>2003</v>
      </c>
      <c r="I5949">
        <v>2006</v>
      </c>
      <c r="J5949">
        <f t="shared" si="184"/>
        <v>4</v>
      </c>
      <c r="K5949" s="1" t="s">
        <v>6076</v>
      </c>
      <c r="L5949" s="1" t="s">
        <v>6076</v>
      </c>
      <c r="M5949">
        <f t="shared" si="185"/>
        <v>20</v>
      </c>
    </row>
    <row r="5950" spans="1:13" x14ac:dyDescent="0.3">
      <c r="A5950" t="s">
        <v>12669</v>
      </c>
      <c r="B5950" t="s">
        <v>12697</v>
      </c>
      <c r="C5950" t="s">
        <v>12670</v>
      </c>
      <c r="E5950" s="1" t="s">
        <v>6076</v>
      </c>
      <c r="F5950" s="1" t="s">
        <v>6076</v>
      </c>
      <c r="G5950" s="1" t="s">
        <v>12901</v>
      </c>
      <c r="H5950">
        <v>2016</v>
      </c>
      <c r="I5950">
        <v>2016</v>
      </c>
      <c r="J5950">
        <f t="shared" si="184"/>
        <v>1</v>
      </c>
      <c r="K5950" s="1" t="s">
        <v>6076</v>
      </c>
      <c r="L5950" s="1" t="s">
        <v>6076</v>
      </c>
      <c r="M5950">
        <f t="shared" si="185"/>
        <v>10</v>
      </c>
    </row>
    <row r="5951" spans="1:13" x14ac:dyDescent="0.3">
      <c r="A5951" t="s">
        <v>12671</v>
      </c>
      <c r="B5951" t="s">
        <v>12697</v>
      </c>
      <c r="C5951" t="s">
        <v>12672</v>
      </c>
      <c r="E5951" s="1" t="s">
        <v>6076</v>
      </c>
      <c r="F5951" s="1" t="s">
        <v>6076</v>
      </c>
      <c r="G5951" s="1" t="s">
        <v>12901</v>
      </c>
      <c r="H5951">
        <v>2016</v>
      </c>
      <c r="I5951">
        <v>2019</v>
      </c>
      <c r="J5951">
        <f t="shared" si="184"/>
        <v>4</v>
      </c>
      <c r="K5951" s="1" t="s">
        <v>6076</v>
      </c>
      <c r="L5951" s="1" t="s">
        <v>6076</v>
      </c>
      <c r="M5951">
        <f t="shared" si="185"/>
        <v>7</v>
      </c>
    </row>
    <row r="5952" spans="1:13" x14ac:dyDescent="0.3">
      <c r="A5952" t="s">
        <v>12673</v>
      </c>
      <c r="B5952" t="s">
        <v>12697</v>
      </c>
      <c r="C5952" t="s">
        <v>12674</v>
      </c>
      <c r="E5952" s="1" t="s">
        <v>6076</v>
      </c>
      <c r="F5952" s="1" t="s">
        <v>6076</v>
      </c>
      <c r="G5952" s="1" t="s">
        <v>12901</v>
      </c>
      <c r="H5952">
        <v>2016</v>
      </c>
      <c r="I5952">
        <v>2021</v>
      </c>
      <c r="J5952">
        <f t="shared" si="184"/>
        <v>6</v>
      </c>
      <c r="K5952" s="1" t="s">
        <v>6076</v>
      </c>
      <c r="L5952" s="1" t="s">
        <v>6076</v>
      </c>
      <c r="M5952">
        <f t="shared" si="185"/>
        <v>5</v>
      </c>
    </row>
    <row r="5953" spans="1:14" x14ac:dyDescent="0.3">
      <c r="A5953" t="s">
        <v>12675</v>
      </c>
      <c r="B5953" t="s">
        <v>12697</v>
      </c>
      <c r="C5953" t="s">
        <v>12676</v>
      </c>
      <c r="E5953" s="1" t="s">
        <v>6076</v>
      </c>
      <c r="F5953" s="1" t="s">
        <v>6076</v>
      </c>
      <c r="G5953" s="1" t="s">
        <v>12901</v>
      </c>
      <c r="H5953">
        <v>2017</v>
      </c>
      <c r="I5953">
        <v>2020</v>
      </c>
      <c r="J5953">
        <f t="shared" si="184"/>
        <v>4</v>
      </c>
      <c r="K5953" s="1" t="s">
        <v>6076</v>
      </c>
      <c r="L5953" s="1" t="s">
        <v>6076</v>
      </c>
      <c r="M5953">
        <f t="shared" si="185"/>
        <v>6</v>
      </c>
    </row>
    <row r="5954" spans="1:14" x14ac:dyDescent="0.3">
      <c r="A5954" t="s">
        <v>12677</v>
      </c>
      <c r="B5954" t="s">
        <v>12697</v>
      </c>
      <c r="C5954" t="s">
        <v>12678</v>
      </c>
      <c r="E5954" s="1" t="s">
        <v>6076</v>
      </c>
      <c r="F5954" s="1" t="s">
        <v>6076</v>
      </c>
      <c r="G5954" s="1" t="s">
        <v>12901</v>
      </c>
      <c r="H5954">
        <v>2022</v>
      </c>
      <c r="I5954">
        <v>2022</v>
      </c>
      <c r="J5954">
        <f t="shared" si="184"/>
        <v>1</v>
      </c>
      <c r="K5954" s="1" t="s">
        <v>6076</v>
      </c>
      <c r="L5954" s="1" t="s">
        <v>6076</v>
      </c>
      <c r="M5954">
        <f t="shared" si="185"/>
        <v>4</v>
      </c>
    </row>
    <row r="5955" spans="1:14" x14ac:dyDescent="0.3">
      <c r="A5955" t="s">
        <v>12679</v>
      </c>
      <c r="B5955" t="s">
        <v>12697</v>
      </c>
      <c r="C5955" t="s">
        <v>12680</v>
      </c>
      <c r="E5955" s="1" t="s">
        <v>6076</v>
      </c>
      <c r="F5955" s="1" t="s">
        <v>6076</v>
      </c>
      <c r="G5955" s="1" t="s">
        <v>12901</v>
      </c>
      <c r="H5955">
        <v>2017</v>
      </c>
      <c r="I5955">
        <v>2022</v>
      </c>
      <c r="J5955">
        <f t="shared" si="184"/>
        <v>6</v>
      </c>
      <c r="K5955" s="1" t="s">
        <v>6076</v>
      </c>
      <c r="L5955" s="1" t="s">
        <v>6076</v>
      </c>
      <c r="M5955">
        <f t="shared" si="185"/>
        <v>4</v>
      </c>
    </row>
    <row r="5956" spans="1:14" x14ac:dyDescent="0.3">
      <c r="A5956" t="s">
        <v>12681</v>
      </c>
      <c r="B5956" t="s">
        <v>12697</v>
      </c>
      <c r="C5956" t="s">
        <v>12682</v>
      </c>
      <c r="E5956" s="1" t="s">
        <v>6076</v>
      </c>
      <c r="F5956" s="1" t="s">
        <v>6076</v>
      </c>
      <c r="G5956" s="1" t="s">
        <v>12901</v>
      </c>
      <c r="H5956">
        <v>2020</v>
      </c>
      <c r="I5956">
        <v>2021</v>
      </c>
      <c r="J5956">
        <f t="shared" si="184"/>
        <v>2</v>
      </c>
      <c r="K5956" s="1" t="s">
        <v>6076</v>
      </c>
      <c r="L5956" s="1" t="s">
        <v>6076</v>
      </c>
      <c r="M5956">
        <f t="shared" si="185"/>
        <v>5</v>
      </c>
    </row>
    <row r="5957" spans="1:14" x14ac:dyDescent="0.3">
      <c r="A5957" t="s">
        <v>12683</v>
      </c>
      <c r="B5957" t="s">
        <v>12697</v>
      </c>
      <c r="C5957" t="s">
        <v>12684</v>
      </c>
      <c r="E5957" s="1" t="s">
        <v>6076</v>
      </c>
      <c r="F5957" s="1" t="s">
        <v>6076</v>
      </c>
      <c r="G5957" s="1" t="s">
        <v>12901</v>
      </c>
      <c r="H5957">
        <v>2023</v>
      </c>
      <c r="I5957">
        <v>2026</v>
      </c>
      <c r="J5957">
        <f t="shared" si="184"/>
        <v>4</v>
      </c>
      <c r="K5957" s="1" t="s">
        <v>6076</v>
      </c>
      <c r="L5957" s="1" t="s">
        <v>6076</v>
      </c>
      <c r="M5957">
        <f t="shared" si="185"/>
        <v>0</v>
      </c>
    </row>
    <row r="5958" spans="1:14" x14ac:dyDescent="0.3">
      <c r="A5958" t="s">
        <v>12685</v>
      </c>
      <c r="B5958" t="s">
        <v>12697</v>
      </c>
      <c r="C5958" t="s">
        <v>12686</v>
      </c>
      <c r="E5958" s="1" t="s">
        <v>6076</v>
      </c>
      <c r="F5958" s="1" t="s">
        <v>6076</v>
      </c>
      <c r="G5958" s="1" t="s">
        <v>12901</v>
      </c>
      <c r="H5958">
        <v>2019</v>
      </c>
      <c r="I5958">
        <v>2022</v>
      </c>
      <c r="J5958">
        <f t="shared" ref="J5958:J6021" si="186">1+(I5958-H5958)</f>
        <v>4</v>
      </c>
      <c r="K5958" s="1" t="s">
        <v>6076</v>
      </c>
      <c r="L5958" s="1" t="s">
        <v>6076</v>
      </c>
      <c r="M5958">
        <f t="shared" ref="M5958:M6021" si="187">IF(I5958=0,0,$B$2-I5958)</f>
        <v>4</v>
      </c>
    </row>
    <row r="5959" spans="1:14" x14ac:dyDescent="0.3">
      <c r="A5959" t="s">
        <v>12687</v>
      </c>
      <c r="B5959" t="s">
        <v>12697</v>
      </c>
      <c r="C5959" t="s">
        <v>12688</v>
      </c>
      <c r="E5959" s="1" t="s">
        <v>6076</v>
      </c>
      <c r="F5959" s="1" t="s">
        <v>6076</v>
      </c>
      <c r="G5959" s="1" t="s">
        <v>12901</v>
      </c>
      <c r="H5959">
        <v>2023</v>
      </c>
      <c r="I5959">
        <v>2024</v>
      </c>
      <c r="J5959">
        <f t="shared" si="186"/>
        <v>2</v>
      </c>
      <c r="K5959" s="1" t="s">
        <v>6076</v>
      </c>
      <c r="L5959" s="1" t="s">
        <v>6076</v>
      </c>
      <c r="M5959">
        <f t="shared" si="187"/>
        <v>2</v>
      </c>
    </row>
    <row r="5960" spans="1:14" x14ac:dyDescent="0.3">
      <c r="A5960" t="s">
        <v>12689</v>
      </c>
      <c r="B5960" t="s">
        <v>12697</v>
      </c>
      <c r="C5960" t="s">
        <v>12690</v>
      </c>
      <c r="E5960" s="1" t="s">
        <v>6076</v>
      </c>
      <c r="F5960" s="1" t="s">
        <v>6076</v>
      </c>
      <c r="G5960" s="1" t="s">
        <v>12901</v>
      </c>
      <c r="H5960">
        <v>2023</v>
      </c>
      <c r="I5960">
        <v>2024</v>
      </c>
      <c r="J5960">
        <f t="shared" si="186"/>
        <v>2</v>
      </c>
      <c r="K5960" s="1" t="s">
        <v>6076</v>
      </c>
      <c r="L5960" s="1" t="s">
        <v>6076</v>
      </c>
      <c r="M5960">
        <f t="shared" si="187"/>
        <v>2</v>
      </c>
    </row>
    <row r="5961" spans="1:14" x14ac:dyDescent="0.3">
      <c r="A5961" t="s">
        <v>12691</v>
      </c>
      <c r="B5961" t="s">
        <v>12697</v>
      </c>
      <c r="C5961" t="s">
        <v>12692</v>
      </c>
      <c r="E5961" s="1" t="s">
        <v>6076</v>
      </c>
      <c r="F5961" s="1" t="s">
        <v>6076</v>
      </c>
      <c r="G5961" s="1" t="s">
        <v>12901</v>
      </c>
      <c r="H5961">
        <v>2025</v>
      </c>
      <c r="I5961">
        <v>2026</v>
      </c>
      <c r="J5961">
        <f t="shared" si="186"/>
        <v>2</v>
      </c>
      <c r="K5961" s="1" t="s">
        <v>6076</v>
      </c>
      <c r="L5961" s="1" t="s">
        <v>6076</v>
      </c>
      <c r="M5961">
        <f t="shared" si="187"/>
        <v>0</v>
      </c>
    </row>
    <row r="5962" spans="1:14" x14ac:dyDescent="0.3">
      <c r="A5962" t="s">
        <v>12693</v>
      </c>
      <c r="B5962" t="s">
        <v>12697</v>
      </c>
      <c r="C5962" t="s">
        <v>12694</v>
      </c>
      <c r="E5962" s="1" t="s">
        <v>6076</v>
      </c>
      <c r="F5962" s="1" t="s">
        <v>6076</v>
      </c>
      <c r="G5962" s="1" t="s">
        <v>12901</v>
      </c>
      <c r="H5962">
        <v>2025</v>
      </c>
      <c r="I5962">
        <v>2026</v>
      </c>
      <c r="J5962">
        <f t="shared" si="186"/>
        <v>2</v>
      </c>
      <c r="K5962" s="1" t="s">
        <v>6076</v>
      </c>
      <c r="L5962" s="1" t="s">
        <v>6076</v>
      </c>
      <c r="M5962">
        <f t="shared" si="187"/>
        <v>0</v>
      </c>
    </row>
    <row r="5963" spans="1:14" x14ac:dyDescent="0.3">
      <c r="A5963" s="1" t="s">
        <v>10561</v>
      </c>
      <c r="B5963" s="1" t="s">
        <v>672</v>
      </c>
      <c r="C5963" s="1" t="s">
        <v>10562</v>
      </c>
      <c r="D5963" s="1" t="s">
        <v>738</v>
      </c>
      <c r="E5963" s="1" t="s">
        <v>6076</v>
      </c>
      <c r="F5963" s="1" t="s">
        <v>6076</v>
      </c>
      <c r="G5963" s="1" t="s">
        <v>10563</v>
      </c>
      <c r="H5963">
        <v>1992</v>
      </c>
      <c r="I5963">
        <v>1997</v>
      </c>
      <c r="J5963">
        <f t="shared" si="186"/>
        <v>6</v>
      </c>
      <c r="K5963" s="1" t="s">
        <v>6076</v>
      </c>
      <c r="L5963" s="1" t="s">
        <v>6076</v>
      </c>
      <c r="M5963">
        <f t="shared" si="187"/>
        <v>29</v>
      </c>
      <c r="N5963" t="s">
        <v>640</v>
      </c>
    </row>
    <row r="5964" spans="1:14" x14ac:dyDescent="0.3">
      <c r="A5964" s="1" t="s">
        <v>10564</v>
      </c>
      <c r="B5964" s="1" t="s">
        <v>672</v>
      </c>
      <c r="C5964" s="1" t="s">
        <v>10565</v>
      </c>
      <c r="D5964" s="1" t="s">
        <v>738</v>
      </c>
      <c r="E5964" s="1" t="s">
        <v>6076</v>
      </c>
      <c r="F5964" s="1" t="s">
        <v>6076</v>
      </c>
      <c r="G5964" s="1" t="s">
        <v>10563</v>
      </c>
      <c r="H5964">
        <v>1997</v>
      </c>
      <c r="I5964">
        <v>2000</v>
      </c>
      <c r="J5964">
        <f t="shared" si="186"/>
        <v>4</v>
      </c>
      <c r="K5964" s="1" t="s">
        <v>6076</v>
      </c>
      <c r="L5964" s="1" t="s">
        <v>6076</v>
      </c>
      <c r="M5964">
        <f t="shared" si="187"/>
        <v>26</v>
      </c>
      <c r="N5964" t="s">
        <v>640</v>
      </c>
    </row>
    <row r="5965" spans="1:14" x14ac:dyDescent="0.3">
      <c r="A5965" s="1" t="s">
        <v>10566</v>
      </c>
      <c r="B5965" s="1" t="s">
        <v>672</v>
      </c>
      <c r="C5965" s="1" t="s">
        <v>10567</v>
      </c>
      <c r="D5965" s="1" t="s">
        <v>738</v>
      </c>
      <c r="E5965" s="1" t="s">
        <v>6076</v>
      </c>
      <c r="F5965" s="1" t="s">
        <v>6076</v>
      </c>
      <c r="G5965" s="1" t="s">
        <v>10563</v>
      </c>
      <c r="H5965">
        <v>1992</v>
      </c>
      <c r="I5965">
        <v>1995</v>
      </c>
      <c r="J5965">
        <f t="shared" si="186"/>
        <v>4</v>
      </c>
      <c r="K5965" s="1" t="s">
        <v>6076</v>
      </c>
      <c r="L5965" s="1" t="s">
        <v>6076</v>
      </c>
      <c r="M5965">
        <f t="shared" si="187"/>
        <v>31</v>
      </c>
      <c r="N5965" t="s">
        <v>640</v>
      </c>
    </row>
    <row r="5966" spans="1:14" x14ac:dyDescent="0.3">
      <c r="A5966" s="1" t="s">
        <v>10568</v>
      </c>
      <c r="B5966" s="1" t="s">
        <v>672</v>
      </c>
      <c r="C5966" s="1" t="s">
        <v>10569</v>
      </c>
      <c r="D5966" s="1" t="s">
        <v>738</v>
      </c>
      <c r="E5966" s="1" t="s">
        <v>6076</v>
      </c>
      <c r="F5966" s="1" t="s">
        <v>6076</v>
      </c>
      <c r="G5966" s="1" t="s">
        <v>10563</v>
      </c>
      <c r="H5966">
        <v>1192</v>
      </c>
      <c r="I5966">
        <v>1995</v>
      </c>
      <c r="J5966">
        <f t="shared" si="186"/>
        <v>804</v>
      </c>
      <c r="K5966" s="1" t="s">
        <v>6076</v>
      </c>
      <c r="L5966" s="1" t="s">
        <v>6076</v>
      </c>
      <c r="M5966">
        <f t="shared" si="187"/>
        <v>31</v>
      </c>
      <c r="N5966" t="s">
        <v>640</v>
      </c>
    </row>
    <row r="5967" spans="1:14" x14ac:dyDescent="0.3">
      <c r="A5967" s="1" t="s">
        <v>10570</v>
      </c>
      <c r="B5967" s="1" t="s">
        <v>672</v>
      </c>
      <c r="C5967" s="1" t="s">
        <v>10571</v>
      </c>
      <c r="D5967" s="1" t="s">
        <v>738</v>
      </c>
      <c r="E5967" s="1" t="s">
        <v>6076</v>
      </c>
      <c r="F5967" s="1" t="s">
        <v>6076</v>
      </c>
      <c r="G5967" s="1" t="s">
        <v>10572</v>
      </c>
      <c r="H5967">
        <v>2001</v>
      </c>
      <c r="I5967">
        <v>2001</v>
      </c>
      <c r="J5967">
        <f t="shared" si="186"/>
        <v>1</v>
      </c>
      <c r="K5967" s="1" t="s">
        <v>6076</v>
      </c>
      <c r="L5967" s="1" t="s">
        <v>6076</v>
      </c>
      <c r="M5967">
        <f t="shared" si="187"/>
        <v>25</v>
      </c>
      <c r="N5967" t="s">
        <v>640</v>
      </c>
    </row>
    <row r="5968" spans="1:14" x14ac:dyDescent="0.3">
      <c r="A5968" s="1" t="s">
        <v>10573</v>
      </c>
      <c r="B5968" s="1" t="s">
        <v>672</v>
      </c>
      <c r="C5968" s="1" t="s">
        <v>10574</v>
      </c>
      <c r="D5968" s="1" t="s">
        <v>738</v>
      </c>
      <c r="E5968" s="1" t="s">
        <v>6076</v>
      </c>
      <c r="F5968" s="1" t="s">
        <v>6076</v>
      </c>
      <c r="G5968" s="1" t="s">
        <v>10572</v>
      </c>
      <c r="H5968">
        <v>2001</v>
      </c>
      <c r="I5968">
        <v>2001</v>
      </c>
      <c r="J5968">
        <f t="shared" si="186"/>
        <v>1</v>
      </c>
      <c r="K5968" s="1" t="s">
        <v>6076</v>
      </c>
      <c r="L5968" s="1" t="s">
        <v>6076</v>
      </c>
      <c r="M5968">
        <f t="shared" si="187"/>
        <v>25</v>
      </c>
      <c r="N5968" t="s">
        <v>640</v>
      </c>
    </row>
    <row r="5969" spans="1:14" x14ac:dyDescent="0.3">
      <c r="A5969" s="1" t="s">
        <v>10575</v>
      </c>
      <c r="B5969" s="1" t="s">
        <v>672</v>
      </c>
      <c r="C5969" s="1" t="s">
        <v>10576</v>
      </c>
      <c r="D5969" s="1" t="s">
        <v>738</v>
      </c>
      <c r="E5969" s="1" t="s">
        <v>6076</v>
      </c>
      <c r="F5969" s="1" t="s">
        <v>6076</v>
      </c>
      <c r="G5969" s="1" t="s">
        <v>10572</v>
      </c>
      <c r="H5969">
        <v>1998</v>
      </c>
      <c r="I5969">
        <v>2001</v>
      </c>
      <c r="J5969">
        <f t="shared" si="186"/>
        <v>4</v>
      </c>
      <c r="K5969" s="1" t="s">
        <v>6076</v>
      </c>
      <c r="L5969" s="1" t="s">
        <v>6076</v>
      </c>
      <c r="M5969">
        <f t="shared" si="187"/>
        <v>25</v>
      </c>
      <c r="N5969" t="s">
        <v>640</v>
      </c>
    </row>
    <row r="5970" spans="1:14" x14ac:dyDescent="0.3">
      <c r="A5970" s="1" t="s">
        <v>10577</v>
      </c>
      <c r="B5970" s="1" t="s">
        <v>672</v>
      </c>
      <c r="C5970" s="1" t="s">
        <v>10578</v>
      </c>
      <c r="D5970" s="1" t="s">
        <v>738</v>
      </c>
      <c r="E5970" s="1" t="s">
        <v>6076</v>
      </c>
      <c r="F5970" s="1" t="s">
        <v>6076</v>
      </c>
      <c r="G5970" s="1" t="s">
        <v>10572</v>
      </c>
      <c r="H5970">
        <v>1999</v>
      </c>
      <c r="I5970">
        <v>2003</v>
      </c>
      <c r="J5970">
        <f t="shared" si="186"/>
        <v>5</v>
      </c>
      <c r="K5970" s="1" t="s">
        <v>6076</v>
      </c>
      <c r="L5970" s="1" t="s">
        <v>6076</v>
      </c>
      <c r="M5970">
        <f t="shared" si="187"/>
        <v>23</v>
      </c>
      <c r="N5970" t="s">
        <v>640</v>
      </c>
    </row>
    <row r="5971" spans="1:14" x14ac:dyDescent="0.3">
      <c r="A5971" s="1" t="s">
        <v>10579</v>
      </c>
      <c r="B5971" s="1" t="s">
        <v>672</v>
      </c>
      <c r="C5971" s="1" t="s">
        <v>10580</v>
      </c>
      <c r="D5971" s="1" t="s">
        <v>738</v>
      </c>
      <c r="E5971" s="1" t="s">
        <v>6076</v>
      </c>
      <c r="F5971" s="1" t="s">
        <v>6076</v>
      </c>
      <c r="G5971" s="1" t="s">
        <v>10572</v>
      </c>
      <c r="H5971">
        <v>2001</v>
      </c>
      <c r="I5971">
        <v>2003</v>
      </c>
      <c r="J5971">
        <f t="shared" si="186"/>
        <v>3</v>
      </c>
      <c r="K5971" s="1" t="s">
        <v>6076</v>
      </c>
      <c r="L5971" s="1" t="s">
        <v>6076</v>
      </c>
      <c r="M5971">
        <f t="shared" si="187"/>
        <v>23</v>
      </c>
      <c r="N5971" t="s">
        <v>640</v>
      </c>
    </row>
    <row r="5972" spans="1:14" x14ac:dyDescent="0.3">
      <c r="A5972" s="1" t="s">
        <v>10581</v>
      </c>
      <c r="B5972" s="1" t="s">
        <v>672</v>
      </c>
      <c r="C5972" s="1" t="s">
        <v>10582</v>
      </c>
      <c r="D5972" s="1" t="s">
        <v>738</v>
      </c>
      <c r="E5972" s="1" t="s">
        <v>6076</v>
      </c>
      <c r="F5972" s="1" t="s">
        <v>6076</v>
      </c>
      <c r="G5972" s="1" t="s">
        <v>10572</v>
      </c>
      <c r="H5972">
        <v>2001</v>
      </c>
      <c r="I5972">
        <v>2003</v>
      </c>
      <c r="J5972">
        <f t="shared" si="186"/>
        <v>3</v>
      </c>
      <c r="K5972" s="1" t="s">
        <v>6076</v>
      </c>
      <c r="L5972" s="1" t="s">
        <v>6076</v>
      </c>
      <c r="M5972">
        <f t="shared" si="187"/>
        <v>23</v>
      </c>
      <c r="N5972" t="s">
        <v>640</v>
      </c>
    </row>
    <row r="5973" spans="1:14" x14ac:dyDescent="0.3">
      <c r="A5973" s="1" t="s">
        <v>10583</v>
      </c>
      <c r="B5973" s="1" t="s">
        <v>672</v>
      </c>
      <c r="C5973" s="1" t="s">
        <v>10584</v>
      </c>
      <c r="D5973" s="1" t="s">
        <v>738</v>
      </c>
      <c r="E5973" s="1" t="s">
        <v>6076</v>
      </c>
      <c r="F5973" s="1" t="s">
        <v>6076</v>
      </c>
      <c r="G5973" s="1" t="s">
        <v>10572</v>
      </c>
      <c r="H5973">
        <v>1998</v>
      </c>
      <c r="I5973">
        <v>2001</v>
      </c>
      <c r="J5973">
        <f t="shared" si="186"/>
        <v>4</v>
      </c>
      <c r="K5973" s="1" t="s">
        <v>6076</v>
      </c>
      <c r="L5973" s="1" t="s">
        <v>6076</v>
      </c>
      <c r="M5973">
        <f t="shared" si="187"/>
        <v>25</v>
      </c>
      <c r="N5973" t="s">
        <v>640</v>
      </c>
    </row>
    <row r="5974" spans="1:14" x14ac:dyDescent="0.3">
      <c r="A5974" s="1" t="s">
        <v>10585</v>
      </c>
      <c r="B5974" s="1" t="s">
        <v>672</v>
      </c>
      <c r="C5974" s="1" t="s">
        <v>10586</v>
      </c>
      <c r="D5974" s="1" t="s">
        <v>738</v>
      </c>
      <c r="E5974" s="1" t="s">
        <v>6076</v>
      </c>
      <c r="F5974" s="1" t="s">
        <v>6076</v>
      </c>
      <c r="G5974" s="1" t="s">
        <v>10572</v>
      </c>
      <c r="H5974">
        <v>1999</v>
      </c>
      <c r="I5974">
        <v>2003</v>
      </c>
      <c r="J5974">
        <f t="shared" si="186"/>
        <v>5</v>
      </c>
      <c r="K5974" s="1" t="s">
        <v>6076</v>
      </c>
      <c r="L5974" s="1" t="s">
        <v>6076</v>
      </c>
      <c r="M5974">
        <f t="shared" si="187"/>
        <v>23</v>
      </c>
      <c r="N5974" t="s">
        <v>640</v>
      </c>
    </row>
    <row r="5975" spans="1:14" x14ac:dyDescent="0.3">
      <c r="A5975" s="1" t="s">
        <v>10587</v>
      </c>
      <c r="B5975" s="1" t="s">
        <v>672</v>
      </c>
      <c r="C5975" s="1" t="s">
        <v>10588</v>
      </c>
      <c r="D5975" s="1" t="s">
        <v>738</v>
      </c>
      <c r="E5975" s="1" t="s">
        <v>6076</v>
      </c>
      <c r="F5975" s="1" t="s">
        <v>6076</v>
      </c>
      <c r="G5975" s="1" t="s">
        <v>10572</v>
      </c>
      <c r="H5975">
        <v>2001</v>
      </c>
      <c r="I5975">
        <v>2001</v>
      </c>
      <c r="J5975">
        <f t="shared" si="186"/>
        <v>1</v>
      </c>
      <c r="K5975" s="1" t="s">
        <v>6076</v>
      </c>
      <c r="L5975" s="1" t="s">
        <v>6076</v>
      </c>
      <c r="M5975">
        <f t="shared" si="187"/>
        <v>25</v>
      </c>
      <c r="N5975" t="s">
        <v>640</v>
      </c>
    </row>
    <row r="5976" spans="1:14" x14ac:dyDescent="0.3">
      <c r="A5976" s="1" t="s">
        <v>10589</v>
      </c>
      <c r="B5976" s="1" t="s">
        <v>672</v>
      </c>
      <c r="C5976" s="1" t="s">
        <v>10590</v>
      </c>
      <c r="D5976" s="1" t="s">
        <v>738</v>
      </c>
      <c r="E5976" s="1" t="s">
        <v>6076</v>
      </c>
      <c r="F5976" s="1" t="s">
        <v>6076</v>
      </c>
      <c r="G5976" s="1" t="s">
        <v>10572</v>
      </c>
      <c r="H5976">
        <v>2001</v>
      </c>
      <c r="I5976">
        <v>2001</v>
      </c>
      <c r="J5976">
        <f t="shared" si="186"/>
        <v>1</v>
      </c>
      <c r="K5976" s="1" t="s">
        <v>6076</v>
      </c>
      <c r="L5976" s="1" t="s">
        <v>6076</v>
      </c>
      <c r="M5976">
        <f t="shared" si="187"/>
        <v>25</v>
      </c>
      <c r="N5976" t="s">
        <v>640</v>
      </c>
    </row>
    <row r="5977" spans="1:14" x14ac:dyDescent="0.3">
      <c r="A5977" s="1" t="s">
        <v>10591</v>
      </c>
      <c r="B5977" s="1" t="s">
        <v>672</v>
      </c>
      <c r="C5977" s="1" t="s">
        <v>10592</v>
      </c>
      <c r="D5977" s="1" t="s">
        <v>738</v>
      </c>
      <c r="E5977" s="1" t="s">
        <v>6076</v>
      </c>
      <c r="F5977" s="1" t="s">
        <v>6076</v>
      </c>
      <c r="G5977" s="1" t="s">
        <v>10572</v>
      </c>
      <c r="H5977">
        <v>1998</v>
      </c>
      <c r="I5977">
        <v>2000</v>
      </c>
      <c r="J5977">
        <f t="shared" si="186"/>
        <v>3</v>
      </c>
      <c r="K5977" s="1" t="s">
        <v>6076</v>
      </c>
      <c r="L5977" s="1" t="s">
        <v>6076</v>
      </c>
      <c r="M5977">
        <f t="shared" si="187"/>
        <v>26</v>
      </c>
      <c r="N5977" t="s">
        <v>640</v>
      </c>
    </row>
    <row r="5978" spans="1:14" x14ac:dyDescent="0.3">
      <c r="A5978" s="1" t="s">
        <v>10593</v>
      </c>
      <c r="B5978" s="1" t="s">
        <v>672</v>
      </c>
      <c r="C5978" s="1" t="s">
        <v>10594</v>
      </c>
      <c r="D5978" s="1" t="s">
        <v>738</v>
      </c>
      <c r="E5978" s="1" t="s">
        <v>6076</v>
      </c>
      <c r="F5978" s="1" t="s">
        <v>6076</v>
      </c>
      <c r="G5978" s="1" t="s">
        <v>10572</v>
      </c>
      <c r="H5978">
        <v>1998</v>
      </c>
      <c r="I5978">
        <v>2001</v>
      </c>
      <c r="J5978">
        <f t="shared" si="186"/>
        <v>4</v>
      </c>
      <c r="K5978" s="1" t="s">
        <v>6076</v>
      </c>
      <c r="L5978" s="1" t="s">
        <v>6076</v>
      </c>
      <c r="M5978">
        <f t="shared" si="187"/>
        <v>25</v>
      </c>
      <c r="N5978" t="s">
        <v>640</v>
      </c>
    </row>
    <row r="5979" spans="1:14" x14ac:dyDescent="0.3">
      <c r="A5979" s="1" t="s">
        <v>10595</v>
      </c>
      <c r="B5979" s="1" t="s">
        <v>672</v>
      </c>
      <c r="C5979" s="1" t="s">
        <v>10596</v>
      </c>
      <c r="D5979" s="1" t="s">
        <v>738</v>
      </c>
      <c r="E5979" s="1" t="s">
        <v>6076</v>
      </c>
      <c r="F5979" s="1" t="s">
        <v>6076</v>
      </c>
      <c r="G5979" s="1" t="s">
        <v>10572</v>
      </c>
      <c r="H5979">
        <v>1999</v>
      </c>
      <c r="I5979">
        <v>2003</v>
      </c>
      <c r="J5979">
        <f t="shared" si="186"/>
        <v>5</v>
      </c>
      <c r="K5979" s="1" t="s">
        <v>6076</v>
      </c>
      <c r="L5979" s="1" t="s">
        <v>6076</v>
      </c>
      <c r="M5979">
        <f t="shared" si="187"/>
        <v>23</v>
      </c>
      <c r="N5979" t="s">
        <v>640</v>
      </c>
    </row>
    <row r="5980" spans="1:14" x14ac:dyDescent="0.3">
      <c r="A5980" s="1" t="s">
        <v>10597</v>
      </c>
      <c r="B5980" s="1" t="s">
        <v>672</v>
      </c>
      <c r="C5980" s="1" t="s">
        <v>10598</v>
      </c>
      <c r="D5980" s="1" t="s">
        <v>738</v>
      </c>
      <c r="E5980" s="1" t="s">
        <v>6076</v>
      </c>
      <c r="F5980" s="1" t="s">
        <v>6076</v>
      </c>
      <c r="G5980" s="1" t="s">
        <v>10572</v>
      </c>
      <c r="H5980">
        <v>2001</v>
      </c>
      <c r="I5980">
        <v>2003</v>
      </c>
      <c r="J5980">
        <f t="shared" si="186"/>
        <v>3</v>
      </c>
      <c r="K5980" s="1" t="s">
        <v>6076</v>
      </c>
      <c r="L5980" s="1" t="s">
        <v>6076</v>
      </c>
      <c r="M5980">
        <f t="shared" si="187"/>
        <v>23</v>
      </c>
      <c r="N5980" t="s">
        <v>640</v>
      </c>
    </row>
    <row r="5981" spans="1:14" x14ac:dyDescent="0.3">
      <c r="A5981" s="1" t="s">
        <v>10599</v>
      </c>
      <c r="B5981" s="1" t="s">
        <v>672</v>
      </c>
      <c r="C5981" s="1" t="s">
        <v>10600</v>
      </c>
      <c r="D5981" s="1" t="s">
        <v>738</v>
      </c>
      <c r="E5981" s="1" t="s">
        <v>6076</v>
      </c>
      <c r="F5981" s="1" t="s">
        <v>6076</v>
      </c>
      <c r="G5981" s="1" t="s">
        <v>10572</v>
      </c>
      <c r="H5981">
        <v>2001</v>
      </c>
      <c r="I5981">
        <v>2003</v>
      </c>
      <c r="J5981">
        <f t="shared" si="186"/>
        <v>3</v>
      </c>
      <c r="K5981" s="1" t="s">
        <v>6076</v>
      </c>
      <c r="L5981" s="1" t="s">
        <v>6076</v>
      </c>
      <c r="M5981">
        <f t="shared" si="187"/>
        <v>23</v>
      </c>
      <c r="N5981" t="s">
        <v>640</v>
      </c>
    </row>
    <row r="5982" spans="1:14" x14ac:dyDescent="0.3">
      <c r="A5982" s="1" t="s">
        <v>10601</v>
      </c>
      <c r="B5982" s="1" t="s">
        <v>672</v>
      </c>
      <c r="C5982" s="1" t="s">
        <v>10602</v>
      </c>
      <c r="D5982" s="1" t="s">
        <v>738</v>
      </c>
      <c r="E5982" s="1" t="s">
        <v>6076</v>
      </c>
      <c r="F5982" s="1" t="s">
        <v>6076</v>
      </c>
      <c r="G5982" s="1" t="s">
        <v>10572</v>
      </c>
      <c r="H5982">
        <v>2001</v>
      </c>
      <c r="I5982">
        <v>2003</v>
      </c>
      <c r="J5982">
        <f t="shared" si="186"/>
        <v>3</v>
      </c>
      <c r="K5982" s="1" t="s">
        <v>6076</v>
      </c>
      <c r="L5982" s="1" t="s">
        <v>6076</v>
      </c>
      <c r="M5982">
        <f t="shared" si="187"/>
        <v>23</v>
      </c>
      <c r="N5982" t="s">
        <v>640</v>
      </c>
    </row>
    <row r="5983" spans="1:14" x14ac:dyDescent="0.3">
      <c r="A5983" s="1" t="s">
        <v>10603</v>
      </c>
      <c r="B5983" s="1" t="s">
        <v>672</v>
      </c>
      <c r="C5983" s="1" t="s">
        <v>10604</v>
      </c>
      <c r="D5983" s="1" t="s">
        <v>738</v>
      </c>
      <c r="E5983" s="1" t="s">
        <v>6076</v>
      </c>
      <c r="F5983" s="1" t="s">
        <v>6076</v>
      </c>
      <c r="G5983" s="1" t="s">
        <v>10572</v>
      </c>
      <c r="H5983">
        <v>1998</v>
      </c>
      <c r="I5983">
        <v>2001</v>
      </c>
      <c r="J5983">
        <f t="shared" si="186"/>
        <v>4</v>
      </c>
      <c r="K5983" s="1" t="s">
        <v>6076</v>
      </c>
      <c r="L5983" s="1" t="s">
        <v>6076</v>
      </c>
      <c r="M5983">
        <f t="shared" si="187"/>
        <v>25</v>
      </c>
      <c r="N5983" t="s">
        <v>640</v>
      </c>
    </row>
    <row r="5984" spans="1:14" x14ac:dyDescent="0.3">
      <c r="A5984" s="1" t="s">
        <v>10605</v>
      </c>
      <c r="B5984" s="1" t="s">
        <v>672</v>
      </c>
      <c r="C5984" s="1" t="s">
        <v>10606</v>
      </c>
      <c r="D5984" s="1" t="s">
        <v>738</v>
      </c>
      <c r="E5984" s="1" t="s">
        <v>6076</v>
      </c>
      <c r="F5984" s="1" t="s">
        <v>6076</v>
      </c>
      <c r="G5984" s="1" t="s">
        <v>10572</v>
      </c>
      <c r="H5984">
        <v>1998</v>
      </c>
      <c r="I5984">
        <v>2001</v>
      </c>
      <c r="J5984">
        <f t="shared" si="186"/>
        <v>4</v>
      </c>
      <c r="K5984" s="1" t="s">
        <v>6076</v>
      </c>
      <c r="L5984" s="1" t="s">
        <v>6076</v>
      </c>
      <c r="M5984">
        <f t="shared" si="187"/>
        <v>25</v>
      </c>
      <c r="N5984" t="s">
        <v>640</v>
      </c>
    </row>
    <row r="5985" spans="1:14" x14ac:dyDescent="0.3">
      <c r="A5985" s="1" t="s">
        <v>10607</v>
      </c>
      <c r="B5985" s="1" t="s">
        <v>672</v>
      </c>
      <c r="C5985" s="1" t="s">
        <v>10608</v>
      </c>
      <c r="D5985" s="1" t="s">
        <v>738</v>
      </c>
      <c r="E5985" s="1" t="s">
        <v>6076</v>
      </c>
      <c r="F5985" s="1" t="s">
        <v>6076</v>
      </c>
      <c r="G5985" s="1" t="s">
        <v>10572</v>
      </c>
      <c r="H5985">
        <v>1998</v>
      </c>
      <c r="I5985">
        <v>1999</v>
      </c>
      <c r="J5985">
        <f t="shared" si="186"/>
        <v>2</v>
      </c>
      <c r="K5985" s="1" t="s">
        <v>6076</v>
      </c>
      <c r="L5985" s="1" t="s">
        <v>6076</v>
      </c>
      <c r="M5985">
        <f t="shared" si="187"/>
        <v>27</v>
      </c>
      <c r="N5985" t="s">
        <v>640</v>
      </c>
    </row>
    <row r="5986" spans="1:14" x14ac:dyDescent="0.3">
      <c r="A5986" s="1" t="s">
        <v>10609</v>
      </c>
      <c r="B5986" s="1" t="s">
        <v>672</v>
      </c>
      <c r="C5986" s="1" t="s">
        <v>10610</v>
      </c>
      <c r="D5986" s="1" t="s">
        <v>738</v>
      </c>
      <c r="E5986" s="1" t="s">
        <v>6076</v>
      </c>
      <c r="F5986" s="1" t="s">
        <v>6076</v>
      </c>
      <c r="G5986" s="1" t="s">
        <v>10572</v>
      </c>
      <c r="H5986">
        <v>1998</v>
      </c>
      <c r="I5986">
        <v>1999</v>
      </c>
      <c r="J5986">
        <f t="shared" si="186"/>
        <v>2</v>
      </c>
      <c r="K5986" s="1" t="s">
        <v>6076</v>
      </c>
      <c r="L5986" s="1" t="s">
        <v>6076</v>
      </c>
      <c r="M5986">
        <f t="shared" si="187"/>
        <v>27</v>
      </c>
      <c r="N5986" t="s">
        <v>640</v>
      </c>
    </row>
    <row r="5987" spans="1:14" x14ac:dyDescent="0.3">
      <c r="A5987" s="1" t="s">
        <v>10611</v>
      </c>
      <c r="B5987" s="1" t="s">
        <v>672</v>
      </c>
      <c r="C5987" s="1" t="s">
        <v>10612</v>
      </c>
      <c r="D5987" s="1" t="s">
        <v>738</v>
      </c>
      <c r="E5987" s="1" t="s">
        <v>6076</v>
      </c>
      <c r="F5987" s="1" t="s">
        <v>6076</v>
      </c>
      <c r="G5987" s="1" t="s">
        <v>10572</v>
      </c>
      <c r="H5987">
        <v>1999</v>
      </c>
      <c r="I5987">
        <v>2001</v>
      </c>
      <c r="J5987">
        <f t="shared" si="186"/>
        <v>3</v>
      </c>
      <c r="K5987" s="1" t="s">
        <v>6076</v>
      </c>
      <c r="L5987" s="1" t="s">
        <v>6076</v>
      </c>
      <c r="M5987">
        <f t="shared" si="187"/>
        <v>25</v>
      </c>
      <c r="N5987" t="s">
        <v>640</v>
      </c>
    </row>
    <row r="5988" spans="1:14" x14ac:dyDescent="0.3">
      <c r="A5988" s="1" t="s">
        <v>10613</v>
      </c>
      <c r="B5988" s="1" t="s">
        <v>672</v>
      </c>
      <c r="C5988" s="1" t="s">
        <v>10614</v>
      </c>
      <c r="D5988" s="1" t="s">
        <v>738</v>
      </c>
      <c r="E5988" s="1" t="s">
        <v>6076</v>
      </c>
      <c r="F5988" s="1" t="s">
        <v>6076</v>
      </c>
      <c r="G5988" s="1" t="s">
        <v>10572</v>
      </c>
      <c r="H5988">
        <v>2001</v>
      </c>
      <c r="I5988">
        <v>2010</v>
      </c>
      <c r="J5988">
        <f t="shared" si="186"/>
        <v>10</v>
      </c>
      <c r="K5988" s="1" t="s">
        <v>6076</v>
      </c>
      <c r="L5988" s="1" t="s">
        <v>6076</v>
      </c>
      <c r="M5988">
        <f t="shared" si="187"/>
        <v>16</v>
      </c>
      <c r="N5988" t="s">
        <v>640</v>
      </c>
    </row>
    <row r="5989" spans="1:14" x14ac:dyDescent="0.3">
      <c r="A5989" s="1" t="s">
        <v>10615</v>
      </c>
      <c r="B5989" s="1" t="s">
        <v>672</v>
      </c>
      <c r="C5989" s="1" t="s">
        <v>10616</v>
      </c>
      <c r="D5989" s="1" t="s">
        <v>738</v>
      </c>
      <c r="E5989" s="1" t="s">
        <v>6076</v>
      </c>
      <c r="F5989" s="1" t="s">
        <v>6076</v>
      </c>
      <c r="G5989" s="1" t="s">
        <v>10572</v>
      </c>
      <c r="H5989">
        <v>2005</v>
      </c>
      <c r="I5989">
        <v>2012</v>
      </c>
      <c r="J5989">
        <f t="shared" si="186"/>
        <v>8</v>
      </c>
      <c r="K5989" s="1" t="s">
        <v>6076</v>
      </c>
      <c r="L5989" s="1" t="s">
        <v>6076</v>
      </c>
      <c r="M5989">
        <f t="shared" si="187"/>
        <v>14</v>
      </c>
      <c r="N5989" t="s">
        <v>650</v>
      </c>
    </row>
    <row r="5990" spans="1:14" x14ac:dyDescent="0.3">
      <c r="A5990" s="1" t="s">
        <v>10617</v>
      </c>
      <c r="B5990" s="1" t="s">
        <v>672</v>
      </c>
      <c r="C5990" s="1" t="s">
        <v>10618</v>
      </c>
      <c r="D5990" s="1" t="s">
        <v>738</v>
      </c>
      <c r="E5990" s="1" t="s">
        <v>6076</v>
      </c>
      <c r="F5990" s="1" t="s">
        <v>6076</v>
      </c>
      <c r="G5990" s="1" t="s">
        <v>10572</v>
      </c>
      <c r="H5990">
        <v>1999</v>
      </c>
      <c r="I5990">
        <v>2003</v>
      </c>
      <c r="J5990">
        <f t="shared" si="186"/>
        <v>5</v>
      </c>
      <c r="K5990" s="1" t="s">
        <v>6076</v>
      </c>
      <c r="L5990" s="1" t="s">
        <v>6076</v>
      </c>
      <c r="M5990">
        <f t="shared" si="187"/>
        <v>23</v>
      </c>
      <c r="N5990" t="s">
        <v>640</v>
      </c>
    </row>
    <row r="5991" spans="1:14" x14ac:dyDescent="0.3">
      <c r="A5991" s="1" t="s">
        <v>10619</v>
      </c>
      <c r="B5991" s="1" t="s">
        <v>672</v>
      </c>
      <c r="C5991" s="1" t="s">
        <v>10620</v>
      </c>
      <c r="D5991" s="1" t="s">
        <v>738</v>
      </c>
      <c r="E5991" s="1" t="s">
        <v>6076</v>
      </c>
      <c r="F5991" s="1" t="s">
        <v>6076</v>
      </c>
      <c r="G5991" s="1" t="s">
        <v>10572</v>
      </c>
      <c r="H5991">
        <v>2005</v>
      </c>
      <c r="I5991">
        <v>2012</v>
      </c>
      <c r="J5991">
        <f t="shared" si="186"/>
        <v>8</v>
      </c>
      <c r="K5991" s="1" t="s">
        <v>6076</v>
      </c>
      <c r="L5991" s="1" t="s">
        <v>6076</v>
      </c>
      <c r="M5991">
        <f t="shared" si="187"/>
        <v>14</v>
      </c>
      <c r="N5991" t="s">
        <v>650</v>
      </c>
    </row>
    <row r="5992" spans="1:14" x14ac:dyDescent="0.3">
      <c r="A5992" s="1" t="s">
        <v>10621</v>
      </c>
      <c r="B5992" s="1" t="s">
        <v>672</v>
      </c>
      <c r="C5992" s="1" t="s">
        <v>10622</v>
      </c>
      <c r="D5992" s="1" t="s">
        <v>738</v>
      </c>
      <c r="E5992" s="1" t="s">
        <v>6076</v>
      </c>
      <c r="F5992" s="1" t="s">
        <v>6076</v>
      </c>
      <c r="G5992" s="1" t="s">
        <v>10572</v>
      </c>
      <c r="H5992">
        <v>2004</v>
      </c>
      <c r="I5992">
        <v>2010</v>
      </c>
      <c r="J5992">
        <f t="shared" si="186"/>
        <v>7</v>
      </c>
      <c r="K5992" s="1" t="s">
        <v>6076</v>
      </c>
      <c r="L5992" s="1" t="s">
        <v>6076</v>
      </c>
      <c r="M5992">
        <f t="shared" si="187"/>
        <v>16</v>
      </c>
      <c r="N5992" t="s">
        <v>640</v>
      </c>
    </row>
    <row r="5993" spans="1:14" x14ac:dyDescent="0.3">
      <c r="A5993" s="1" t="s">
        <v>10623</v>
      </c>
      <c r="B5993" s="1" t="s">
        <v>672</v>
      </c>
      <c r="C5993" s="1" t="s">
        <v>10624</v>
      </c>
      <c r="D5993" s="1" t="s">
        <v>738</v>
      </c>
      <c r="E5993" s="1" t="s">
        <v>6076</v>
      </c>
      <c r="F5993" s="1" t="s">
        <v>6076</v>
      </c>
      <c r="G5993" s="1" t="s">
        <v>10572</v>
      </c>
      <c r="H5993">
        <v>2001</v>
      </c>
      <c r="I5993">
        <v>2010</v>
      </c>
      <c r="J5993">
        <f t="shared" si="186"/>
        <v>10</v>
      </c>
      <c r="K5993" s="1" t="s">
        <v>6076</v>
      </c>
      <c r="L5993" s="1" t="s">
        <v>6076</v>
      </c>
      <c r="M5993">
        <f t="shared" si="187"/>
        <v>16</v>
      </c>
      <c r="N5993" t="s">
        <v>640</v>
      </c>
    </row>
    <row r="5994" spans="1:14" x14ac:dyDescent="0.3">
      <c r="A5994" s="1" t="s">
        <v>10625</v>
      </c>
      <c r="B5994" s="1" t="s">
        <v>672</v>
      </c>
      <c r="C5994" s="1" t="s">
        <v>10626</v>
      </c>
      <c r="D5994" s="1" t="s">
        <v>738</v>
      </c>
      <c r="E5994" s="1" t="s">
        <v>6076</v>
      </c>
      <c r="F5994" s="1" t="s">
        <v>6076</v>
      </c>
      <c r="G5994" s="1" t="s">
        <v>10572</v>
      </c>
      <c r="H5994">
        <v>2001</v>
      </c>
      <c r="I5994">
        <v>2002</v>
      </c>
      <c r="J5994">
        <f t="shared" si="186"/>
        <v>2</v>
      </c>
      <c r="K5994" s="1" t="s">
        <v>6076</v>
      </c>
      <c r="L5994" s="1" t="s">
        <v>6076</v>
      </c>
      <c r="M5994">
        <f t="shared" si="187"/>
        <v>24</v>
      </c>
      <c r="N5994" t="s">
        <v>640</v>
      </c>
    </row>
    <row r="5995" spans="1:14" x14ac:dyDescent="0.3">
      <c r="A5995" s="1" t="s">
        <v>10627</v>
      </c>
      <c r="B5995" s="1" t="s">
        <v>672</v>
      </c>
      <c r="C5995" s="1" t="s">
        <v>10628</v>
      </c>
      <c r="D5995" s="1" t="s">
        <v>738</v>
      </c>
      <c r="E5995" s="1" t="s">
        <v>6076</v>
      </c>
      <c r="F5995" s="1" t="s">
        <v>6076</v>
      </c>
      <c r="G5995" s="1" t="s">
        <v>10572</v>
      </c>
      <c r="H5995">
        <v>1999</v>
      </c>
      <c r="I5995">
        <v>2001</v>
      </c>
      <c r="J5995">
        <f t="shared" si="186"/>
        <v>3</v>
      </c>
      <c r="K5995" s="1" t="s">
        <v>6076</v>
      </c>
      <c r="L5995" s="1" t="s">
        <v>6076</v>
      </c>
      <c r="M5995">
        <f t="shared" si="187"/>
        <v>25</v>
      </c>
      <c r="N5995" t="s">
        <v>640</v>
      </c>
    </row>
    <row r="5996" spans="1:14" x14ac:dyDescent="0.3">
      <c r="A5996" s="1" t="s">
        <v>10629</v>
      </c>
      <c r="B5996" s="1" t="s">
        <v>672</v>
      </c>
      <c r="C5996" s="1" t="s">
        <v>10630</v>
      </c>
      <c r="D5996" s="1" t="s">
        <v>738</v>
      </c>
      <c r="E5996" s="1" t="s">
        <v>6076</v>
      </c>
      <c r="F5996" s="1" t="s">
        <v>6076</v>
      </c>
      <c r="G5996" s="1" t="s">
        <v>10572</v>
      </c>
      <c r="H5996">
        <v>1998</v>
      </c>
      <c r="I5996">
        <v>2002</v>
      </c>
      <c r="J5996">
        <f t="shared" si="186"/>
        <v>5</v>
      </c>
      <c r="K5996" s="1" t="s">
        <v>6076</v>
      </c>
      <c r="L5996" s="1" t="s">
        <v>6076</v>
      </c>
      <c r="M5996">
        <f t="shared" si="187"/>
        <v>24</v>
      </c>
      <c r="N5996" t="s">
        <v>640</v>
      </c>
    </row>
    <row r="5997" spans="1:14" x14ac:dyDescent="0.3">
      <c r="A5997" s="1" t="s">
        <v>10631</v>
      </c>
      <c r="B5997" s="1" t="s">
        <v>2154</v>
      </c>
      <c r="C5997" s="1" t="s">
        <v>10632</v>
      </c>
      <c r="D5997" s="1" t="s">
        <v>1395</v>
      </c>
      <c r="E5997" s="1" t="s">
        <v>6076</v>
      </c>
      <c r="F5997" s="1" t="s">
        <v>6076</v>
      </c>
      <c r="G5997" s="1" t="s">
        <v>10633</v>
      </c>
      <c r="H5997">
        <v>2006</v>
      </c>
      <c r="I5997">
        <v>2007</v>
      </c>
      <c r="J5997">
        <f t="shared" si="186"/>
        <v>2</v>
      </c>
      <c r="K5997" s="1" t="s">
        <v>6076</v>
      </c>
      <c r="L5997" s="1" t="s">
        <v>6076</v>
      </c>
      <c r="M5997">
        <f t="shared" si="187"/>
        <v>19</v>
      </c>
      <c r="N5997" t="s">
        <v>640</v>
      </c>
    </row>
    <row r="5998" spans="1:14" x14ac:dyDescent="0.3">
      <c r="A5998" s="1" t="s">
        <v>10634</v>
      </c>
      <c r="B5998" s="1" t="s">
        <v>2154</v>
      </c>
      <c r="C5998" s="1" t="s">
        <v>10635</v>
      </c>
      <c r="D5998" s="1" t="s">
        <v>1395</v>
      </c>
      <c r="E5998" s="1" t="s">
        <v>6076</v>
      </c>
      <c r="F5998" s="1" t="s">
        <v>6076</v>
      </c>
      <c r="G5998" s="1" t="s">
        <v>10633</v>
      </c>
      <c r="H5998">
        <v>2003</v>
      </c>
      <c r="I5998">
        <v>2008</v>
      </c>
      <c r="J5998">
        <f t="shared" si="186"/>
        <v>6</v>
      </c>
      <c r="K5998" s="1" t="s">
        <v>6076</v>
      </c>
      <c r="L5998" s="1" t="s">
        <v>6076</v>
      </c>
      <c r="M5998">
        <f t="shared" si="187"/>
        <v>18</v>
      </c>
      <c r="N5998" t="s">
        <v>640</v>
      </c>
    </row>
    <row r="5999" spans="1:14" x14ac:dyDescent="0.3">
      <c r="A5999" s="1" t="s">
        <v>10636</v>
      </c>
      <c r="B5999" s="1" t="s">
        <v>2154</v>
      </c>
      <c r="C5999" s="1" t="s">
        <v>10637</v>
      </c>
      <c r="D5999" s="1" t="s">
        <v>1395</v>
      </c>
      <c r="E5999" s="1" t="s">
        <v>6076</v>
      </c>
      <c r="F5999" s="1" t="s">
        <v>6076</v>
      </c>
      <c r="G5999" s="1" t="s">
        <v>10633</v>
      </c>
      <c r="H5999">
        <v>2003</v>
      </c>
      <c r="I5999">
        <v>2007</v>
      </c>
      <c r="J5999">
        <f t="shared" si="186"/>
        <v>5</v>
      </c>
      <c r="K5999" s="1" t="s">
        <v>6076</v>
      </c>
      <c r="L5999" s="1" t="s">
        <v>6076</v>
      </c>
      <c r="M5999">
        <f t="shared" si="187"/>
        <v>19</v>
      </c>
      <c r="N5999" t="s">
        <v>640</v>
      </c>
    </row>
    <row r="6000" spans="1:14" x14ac:dyDescent="0.3">
      <c r="A6000" s="1" t="s">
        <v>10638</v>
      </c>
      <c r="B6000" s="1" t="s">
        <v>2154</v>
      </c>
      <c r="C6000" s="1" t="s">
        <v>10639</v>
      </c>
      <c r="D6000" s="1" t="s">
        <v>1395</v>
      </c>
      <c r="E6000" s="1" t="s">
        <v>6076</v>
      </c>
      <c r="F6000" s="1" t="s">
        <v>6076</v>
      </c>
      <c r="G6000" s="1" t="s">
        <v>10640</v>
      </c>
      <c r="H6000">
        <v>2005</v>
      </c>
      <c r="I6000">
        <v>2008</v>
      </c>
      <c r="J6000">
        <f t="shared" si="186"/>
        <v>4</v>
      </c>
      <c r="K6000" s="1" t="s">
        <v>6076</v>
      </c>
      <c r="L6000" s="1" t="s">
        <v>6076</v>
      </c>
      <c r="M6000">
        <f t="shared" si="187"/>
        <v>18</v>
      </c>
      <c r="N6000" t="s">
        <v>640</v>
      </c>
    </row>
    <row r="6001" spans="1:14" x14ac:dyDescent="0.3">
      <c r="A6001" s="1" t="s">
        <v>10641</v>
      </c>
      <c r="B6001" s="1" t="s">
        <v>2154</v>
      </c>
      <c r="C6001" s="1" t="s">
        <v>10642</v>
      </c>
      <c r="D6001" s="1" t="s">
        <v>1395</v>
      </c>
      <c r="E6001" s="1" t="s">
        <v>6076</v>
      </c>
      <c r="F6001" s="1" t="s">
        <v>6076</v>
      </c>
      <c r="G6001" s="1" t="s">
        <v>10640</v>
      </c>
      <c r="H6001">
        <v>2009</v>
      </c>
      <c r="I6001">
        <v>2009</v>
      </c>
      <c r="J6001">
        <f t="shared" si="186"/>
        <v>1</v>
      </c>
      <c r="K6001" s="1" t="s">
        <v>6076</v>
      </c>
      <c r="L6001" s="1" t="s">
        <v>6076</v>
      </c>
      <c r="M6001">
        <f t="shared" si="187"/>
        <v>17</v>
      </c>
      <c r="N6001" t="s">
        <v>640</v>
      </c>
    </row>
    <row r="6002" spans="1:14" x14ac:dyDescent="0.3">
      <c r="A6002" s="1" t="s">
        <v>10643</v>
      </c>
      <c r="B6002" s="1" t="s">
        <v>2154</v>
      </c>
      <c r="C6002" s="1" t="s">
        <v>10644</v>
      </c>
      <c r="D6002" s="1" t="s">
        <v>1395</v>
      </c>
      <c r="E6002" s="1" t="s">
        <v>6076</v>
      </c>
      <c r="F6002" s="1" t="s">
        <v>6076</v>
      </c>
      <c r="G6002" s="1" t="s">
        <v>10640</v>
      </c>
      <c r="H6002">
        <v>2009</v>
      </c>
      <c r="I6002">
        <v>2009</v>
      </c>
      <c r="J6002">
        <f t="shared" si="186"/>
        <v>1</v>
      </c>
      <c r="K6002" s="1" t="s">
        <v>6076</v>
      </c>
      <c r="L6002" s="1" t="s">
        <v>6076</v>
      </c>
      <c r="M6002">
        <f t="shared" si="187"/>
        <v>17</v>
      </c>
      <c r="N6002" t="s">
        <v>640</v>
      </c>
    </row>
    <row r="6003" spans="1:14" x14ac:dyDescent="0.3">
      <c r="A6003" s="1" t="s">
        <v>10645</v>
      </c>
      <c r="B6003" s="1" t="s">
        <v>7986</v>
      </c>
      <c r="C6003" s="1" t="s">
        <v>10646</v>
      </c>
      <c r="D6003" s="1" t="s">
        <v>1395</v>
      </c>
      <c r="E6003" s="1" t="s">
        <v>6076</v>
      </c>
      <c r="F6003" s="1" t="s">
        <v>6076</v>
      </c>
      <c r="G6003" s="1" t="s">
        <v>10647</v>
      </c>
      <c r="H6003">
        <v>2018</v>
      </c>
      <c r="I6003">
        <v>2019</v>
      </c>
      <c r="J6003">
        <f t="shared" si="186"/>
        <v>2</v>
      </c>
      <c r="K6003" s="1" t="s">
        <v>6076</v>
      </c>
      <c r="L6003" s="1" t="s">
        <v>6076</v>
      </c>
      <c r="M6003">
        <f t="shared" si="187"/>
        <v>7</v>
      </c>
    </row>
    <row r="6004" spans="1:14" x14ac:dyDescent="0.3">
      <c r="A6004" t="s">
        <v>12309</v>
      </c>
      <c r="B6004" t="s">
        <v>7986</v>
      </c>
      <c r="C6004" t="s">
        <v>12310</v>
      </c>
      <c r="E6004" s="1" t="s">
        <v>6076</v>
      </c>
      <c r="F6004" s="1" t="s">
        <v>6076</v>
      </c>
      <c r="G6004" s="1" t="s">
        <v>10647</v>
      </c>
      <c r="H6004">
        <v>2021</v>
      </c>
      <c r="I6004">
        <v>2022</v>
      </c>
      <c r="J6004">
        <f t="shared" si="186"/>
        <v>2</v>
      </c>
      <c r="K6004" s="1" t="s">
        <v>6076</v>
      </c>
      <c r="L6004" s="1" t="s">
        <v>6076</v>
      </c>
      <c r="M6004">
        <f t="shared" si="187"/>
        <v>4</v>
      </c>
    </row>
    <row r="6005" spans="1:14" x14ac:dyDescent="0.3">
      <c r="A6005" s="1" t="s">
        <v>10648</v>
      </c>
      <c r="B6005" s="1" t="s">
        <v>7986</v>
      </c>
      <c r="C6005" s="1" t="s">
        <v>10649</v>
      </c>
      <c r="D6005" s="1" t="s">
        <v>1395</v>
      </c>
      <c r="E6005" s="1" t="s">
        <v>6076</v>
      </c>
      <c r="F6005" s="1" t="s">
        <v>6076</v>
      </c>
      <c r="G6005" s="1" t="s">
        <v>10647</v>
      </c>
      <c r="H6005">
        <v>2012</v>
      </c>
      <c r="I6005">
        <v>2022</v>
      </c>
      <c r="J6005">
        <f t="shared" si="186"/>
        <v>11</v>
      </c>
      <c r="K6005" s="1" t="s">
        <v>6076</v>
      </c>
      <c r="L6005" s="1" t="s">
        <v>6076</v>
      </c>
      <c r="M6005">
        <f t="shared" si="187"/>
        <v>4</v>
      </c>
    </row>
    <row r="6006" spans="1:14" hidden="1" x14ac:dyDescent="0.3">
      <c r="A6006" s="1" t="s">
        <v>4780</v>
      </c>
      <c r="B6006" s="1" t="s">
        <v>1205</v>
      </c>
      <c r="C6006" s="1" t="s">
        <v>4781</v>
      </c>
      <c r="D6006" s="1" t="s">
        <v>746</v>
      </c>
      <c r="E6006" s="1" t="s">
        <v>747</v>
      </c>
      <c r="F6006" s="1" t="s">
        <v>748</v>
      </c>
      <c r="G6006" s="1" t="s">
        <v>4782</v>
      </c>
      <c r="H6006">
        <v>2021</v>
      </c>
      <c r="I6006">
        <v>2022</v>
      </c>
      <c r="J6006">
        <f t="shared" si="186"/>
        <v>2</v>
      </c>
      <c r="K6006" s="1" t="s">
        <v>3665</v>
      </c>
      <c r="L6006" s="1" t="s">
        <v>798</v>
      </c>
      <c r="M6006">
        <f t="shared" si="187"/>
        <v>4</v>
      </c>
      <c r="N6006" t="s">
        <v>650</v>
      </c>
    </row>
    <row r="6007" spans="1:14" hidden="1" x14ac:dyDescent="0.3">
      <c r="A6007" s="1" t="s">
        <v>4783</v>
      </c>
      <c r="B6007" s="1" t="s">
        <v>1205</v>
      </c>
      <c r="C6007" s="1" t="s">
        <v>4784</v>
      </c>
      <c r="D6007" s="1" t="s">
        <v>746</v>
      </c>
      <c r="E6007" s="1" t="s">
        <v>747</v>
      </c>
      <c r="F6007" s="1" t="s">
        <v>748</v>
      </c>
      <c r="G6007" s="1" t="s">
        <v>4782</v>
      </c>
      <c r="H6007">
        <v>2019</v>
      </c>
      <c r="I6007">
        <v>2020</v>
      </c>
      <c r="J6007">
        <f t="shared" si="186"/>
        <v>2</v>
      </c>
      <c r="K6007" s="1" t="s">
        <v>3665</v>
      </c>
      <c r="L6007" s="1" t="s">
        <v>798</v>
      </c>
      <c r="M6007">
        <f t="shared" si="187"/>
        <v>6</v>
      </c>
      <c r="N6007" t="s">
        <v>650</v>
      </c>
    </row>
    <row r="6008" spans="1:14" hidden="1" x14ac:dyDescent="0.3">
      <c r="A6008" s="1" t="s">
        <v>4785</v>
      </c>
      <c r="B6008" s="1" t="s">
        <v>1205</v>
      </c>
      <c r="C6008" s="1" t="s">
        <v>4786</v>
      </c>
      <c r="D6008" s="1" t="s">
        <v>746</v>
      </c>
      <c r="E6008" s="1" t="s">
        <v>747</v>
      </c>
      <c r="F6008" s="1" t="s">
        <v>748</v>
      </c>
      <c r="G6008" s="1" t="s">
        <v>4782</v>
      </c>
      <c r="H6008">
        <v>2019</v>
      </c>
      <c r="I6008">
        <v>2020</v>
      </c>
      <c r="J6008">
        <f t="shared" si="186"/>
        <v>2</v>
      </c>
      <c r="K6008" s="1" t="s">
        <v>3665</v>
      </c>
      <c r="L6008" s="1" t="s">
        <v>798</v>
      </c>
      <c r="M6008">
        <f t="shared" si="187"/>
        <v>6</v>
      </c>
      <c r="N6008" t="s">
        <v>650</v>
      </c>
    </row>
    <row r="6009" spans="1:14" hidden="1" x14ac:dyDescent="0.3">
      <c r="A6009" s="1" t="s">
        <v>4787</v>
      </c>
      <c r="B6009" s="1" t="s">
        <v>1205</v>
      </c>
      <c r="C6009" s="1" t="s">
        <v>4788</v>
      </c>
      <c r="D6009" s="1" t="s">
        <v>746</v>
      </c>
      <c r="E6009" s="1" t="s">
        <v>747</v>
      </c>
      <c r="F6009" s="1" t="s">
        <v>748</v>
      </c>
      <c r="G6009" s="1" t="s">
        <v>4782</v>
      </c>
      <c r="H6009">
        <v>2023</v>
      </c>
      <c r="I6009">
        <v>2023</v>
      </c>
      <c r="J6009">
        <f t="shared" si="186"/>
        <v>1</v>
      </c>
      <c r="K6009" s="1" t="s">
        <v>3665</v>
      </c>
      <c r="L6009" s="1" t="s">
        <v>798</v>
      </c>
      <c r="M6009">
        <f t="shared" si="187"/>
        <v>3</v>
      </c>
      <c r="N6009" t="s">
        <v>650</v>
      </c>
    </row>
    <row r="6010" spans="1:14" hidden="1" x14ac:dyDescent="0.3">
      <c r="A6010" s="1" t="s">
        <v>4789</v>
      </c>
      <c r="B6010" s="1" t="s">
        <v>1205</v>
      </c>
      <c r="C6010" s="1" t="s">
        <v>4790</v>
      </c>
      <c r="D6010" s="1" t="s">
        <v>746</v>
      </c>
      <c r="E6010" s="1" t="s">
        <v>747</v>
      </c>
      <c r="F6010" s="1" t="s">
        <v>748</v>
      </c>
      <c r="G6010" s="1" t="s">
        <v>4782</v>
      </c>
      <c r="H6010">
        <v>2019</v>
      </c>
      <c r="I6010">
        <v>2020</v>
      </c>
      <c r="J6010">
        <f t="shared" si="186"/>
        <v>2</v>
      </c>
      <c r="K6010" s="1" t="s">
        <v>3665</v>
      </c>
      <c r="L6010" s="1" t="s">
        <v>798</v>
      </c>
      <c r="M6010">
        <f t="shared" si="187"/>
        <v>6</v>
      </c>
      <c r="N6010" t="s">
        <v>650</v>
      </c>
    </row>
    <row r="6011" spans="1:14" hidden="1" x14ac:dyDescent="0.3">
      <c r="A6011" s="1" t="s">
        <v>4791</v>
      </c>
      <c r="B6011" s="1" t="s">
        <v>1205</v>
      </c>
      <c r="C6011" s="1" t="s">
        <v>4792</v>
      </c>
      <c r="D6011" s="1" t="s">
        <v>746</v>
      </c>
      <c r="E6011" s="1" t="s">
        <v>747</v>
      </c>
      <c r="F6011" s="1" t="s">
        <v>748</v>
      </c>
      <c r="G6011" s="1" t="s">
        <v>4782</v>
      </c>
      <c r="H6011">
        <v>2020</v>
      </c>
      <c r="I6011">
        <v>2022</v>
      </c>
      <c r="J6011">
        <f t="shared" si="186"/>
        <v>3</v>
      </c>
      <c r="K6011" s="1" t="s">
        <v>3665</v>
      </c>
      <c r="L6011" s="1" t="s">
        <v>798</v>
      </c>
      <c r="M6011">
        <f t="shared" si="187"/>
        <v>4</v>
      </c>
      <c r="N6011" t="s">
        <v>650</v>
      </c>
    </row>
    <row r="6012" spans="1:14" hidden="1" x14ac:dyDescent="0.3">
      <c r="A6012" s="1" t="s">
        <v>4793</v>
      </c>
      <c r="B6012" s="1" t="s">
        <v>1205</v>
      </c>
      <c r="C6012" s="1" t="s">
        <v>4794</v>
      </c>
      <c r="D6012" s="1" t="s">
        <v>738</v>
      </c>
      <c r="E6012" s="1" t="s">
        <v>739</v>
      </c>
      <c r="F6012" s="1" t="s">
        <v>781</v>
      </c>
      <c r="G6012" s="1" t="s">
        <v>4782</v>
      </c>
      <c r="H6012">
        <v>2020</v>
      </c>
      <c r="I6012">
        <v>2022</v>
      </c>
      <c r="J6012">
        <f t="shared" si="186"/>
        <v>3</v>
      </c>
      <c r="K6012" s="1" t="s">
        <v>3665</v>
      </c>
      <c r="L6012" s="1" t="s">
        <v>798</v>
      </c>
      <c r="M6012">
        <f t="shared" si="187"/>
        <v>4</v>
      </c>
      <c r="N6012" t="s">
        <v>650</v>
      </c>
    </row>
    <row r="6013" spans="1:14" hidden="1" x14ac:dyDescent="0.3">
      <c r="A6013" s="1" t="s">
        <v>4795</v>
      </c>
      <c r="B6013" s="1" t="s">
        <v>1205</v>
      </c>
      <c r="C6013" s="1" t="s">
        <v>4796</v>
      </c>
      <c r="D6013" s="1" t="s">
        <v>738</v>
      </c>
      <c r="E6013" s="1" t="s">
        <v>739</v>
      </c>
      <c r="F6013" s="1" t="s">
        <v>781</v>
      </c>
      <c r="G6013" s="1" t="s">
        <v>4782</v>
      </c>
      <c r="H6013">
        <v>2020</v>
      </c>
      <c r="I6013">
        <v>2022</v>
      </c>
      <c r="J6013">
        <f t="shared" si="186"/>
        <v>3</v>
      </c>
      <c r="K6013" s="1" t="s">
        <v>3665</v>
      </c>
      <c r="L6013" s="1" t="s">
        <v>798</v>
      </c>
      <c r="M6013">
        <f t="shared" si="187"/>
        <v>4</v>
      </c>
      <c r="N6013" t="s">
        <v>650</v>
      </c>
    </row>
    <row r="6014" spans="1:14" hidden="1" x14ac:dyDescent="0.3">
      <c r="A6014" s="1" t="s">
        <v>4797</v>
      </c>
      <c r="B6014" s="1" t="s">
        <v>1205</v>
      </c>
      <c r="C6014" s="1" t="s">
        <v>4798</v>
      </c>
      <c r="D6014" s="1" t="s">
        <v>746</v>
      </c>
      <c r="E6014" s="1" t="s">
        <v>747</v>
      </c>
      <c r="F6014" s="1" t="s">
        <v>748</v>
      </c>
      <c r="G6014" s="1" t="s">
        <v>4782</v>
      </c>
      <c r="H6014">
        <v>2020</v>
      </c>
      <c r="I6014">
        <v>2022</v>
      </c>
      <c r="J6014">
        <f t="shared" si="186"/>
        <v>3</v>
      </c>
      <c r="K6014" s="1" t="s">
        <v>3665</v>
      </c>
      <c r="L6014" s="1" t="s">
        <v>798</v>
      </c>
      <c r="M6014">
        <f t="shared" si="187"/>
        <v>4</v>
      </c>
      <c r="N6014" t="s">
        <v>650</v>
      </c>
    </row>
    <row r="6015" spans="1:14" hidden="1" x14ac:dyDescent="0.3">
      <c r="A6015" s="1" t="s">
        <v>4799</v>
      </c>
      <c r="B6015" s="1" t="s">
        <v>1205</v>
      </c>
      <c r="C6015" s="1" t="s">
        <v>4800</v>
      </c>
      <c r="D6015" s="1" t="s">
        <v>738</v>
      </c>
      <c r="E6015" s="1" t="s">
        <v>739</v>
      </c>
      <c r="F6015" s="1" t="s">
        <v>781</v>
      </c>
      <c r="G6015" s="1" t="s">
        <v>4782</v>
      </c>
      <c r="H6015">
        <v>2020</v>
      </c>
      <c r="I6015">
        <v>2022</v>
      </c>
      <c r="J6015">
        <f t="shared" si="186"/>
        <v>3</v>
      </c>
      <c r="K6015" s="1" t="s">
        <v>3665</v>
      </c>
      <c r="L6015" s="1" t="s">
        <v>798</v>
      </c>
      <c r="M6015">
        <f t="shared" si="187"/>
        <v>4</v>
      </c>
      <c r="N6015" t="s">
        <v>650</v>
      </c>
    </row>
    <row r="6016" spans="1:14" hidden="1" x14ac:dyDescent="0.3">
      <c r="A6016" s="1" t="s">
        <v>4801</v>
      </c>
      <c r="B6016" s="1" t="s">
        <v>1205</v>
      </c>
      <c r="C6016" s="1" t="s">
        <v>4802</v>
      </c>
      <c r="D6016" s="1" t="s">
        <v>746</v>
      </c>
      <c r="E6016" s="1" t="s">
        <v>747</v>
      </c>
      <c r="F6016" s="1" t="s">
        <v>748</v>
      </c>
      <c r="G6016" s="1" t="s">
        <v>4782</v>
      </c>
      <c r="H6016">
        <v>2019</v>
      </c>
      <c r="I6016">
        <v>2020</v>
      </c>
      <c r="J6016">
        <f t="shared" si="186"/>
        <v>2</v>
      </c>
      <c r="K6016" s="1" t="s">
        <v>3665</v>
      </c>
      <c r="L6016" s="1" t="s">
        <v>798</v>
      </c>
      <c r="M6016">
        <f t="shared" si="187"/>
        <v>6</v>
      </c>
      <c r="N6016" t="s">
        <v>650</v>
      </c>
    </row>
    <row r="6017" spans="1:14" hidden="1" x14ac:dyDescent="0.3">
      <c r="A6017" s="1" t="s">
        <v>4803</v>
      </c>
      <c r="B6017" s="1" t="s">
        <v>1205</v>
      </c>
      <c r="C6017" s="1" t="s">
        <v>4804</v>
      </c>
      <c r="D6017" s="1" t="s">
        <v>746</v>
      </c>
      <c r="E6017" s="1" t="s">
        <v>747</v>
      </c>
      <c r="F6017" s="1" t="s">
        <v>748</v>
      </c>
      <c r="G6017" s="1" t="s">
        <v>4782</v>
      </c>
      <c r="H6017">
        <v>2019</v>
      </c>
      <c r="I6017">
        <v>2020</v>
      </c>
      <c r="J6017">
        <f t="shared" si="186"/>
        <v>2</v>
      </c>
      <c r="K6017" s="1" t="s">
        <v>3665</v>
      </c>
      <c r="L6017" s="1" t="s">
        <v>798</v>
      </c>
      <c r="M6017">
        <f t="shared" si="187"/>
        <v>6</v>
      </c>
      <c r="N6017" t="s">
        <v>650</v>
      </c>
    </row>
    <row r="6018" spans="1:14" hidden="1" x14ac:dyDescent="0.3">
      <c r="A6018" s="1" t="s">
        <v>4805</v>
      </c>
      <c r="B6018" s="1" t="s">
        <v>1205</v>
      </c>
      <c r="C6018" s="1" t="s">
        <v>4806</v>
      </c>
      <c r="D6018" s="1" t="s">
        <v>738</v>
      </c>
      <c r="E6018" s="1" t="s">
        <v>739</v>
      </c>
      <c r="F6018" s="1" t="s">
        <v>781</v>
      </c>
      <c r="G6018" s="1" t="s">
        <v>4782</v>
      </c>
      <c r="H6018">
        <v>2019</v>
      </c>
      <c r="I6018">
        <v>2022</v>
      </c>
      <c r="J6018">
        <f t="shared" si="186"/>
        <v>4</v>
      </c>
      <c r="K6018" s="1" t="s">
        <v>3665</v>
      </c>
      <c r="L6018" s="1" t="s">
        <v>798</v>
      </c>
      <c r="M6018">
        <f t="shared" si="187"/>
        <v>4</v>
      </c>
      <c r="N6018" t="s">
        <v>650</v>
      </c>
    </row>
    <row r="6019" spans="1:14" hidden="1" x14ac:dyDescent="0.3">
      <c r="A6019" s="1" t="s">
        <v>4807</v>
      </c>
      <c r="B6019" s="1" t="s">
        <v>1205</v>
      </c>
      <c r="C6019" s="1" t="s">
        <v>4808</v>
      </c>
      <c r="D6019" s="1" t="s">
        <v>738</v>
      </c>
      <c r="E6019" s="1" t="s">
        <v>739</v>
      </c>
      <c r="F6019" s="1" t="s">
        <v>781</v>
      </c>
      <c r="G6019" s="1" t="s">
        <v>4782</v>
      </c>
      <c r="H6019">
        <v>2019</v>
      </c>
      <c r="I6019">
        <v>2020</v>
      </c>
      <c r="J6019">
        <f t="shared" si="186"/>
        <v>2</v>
      </c>
      <c r="K6019" s="1" t="s">
        <v>3665</v>
      </c>
      <c r="L6019" s="1" t="s">
        <v>798</v>
      </c>
      <c r="M6019">
        <f t="shared" si="187"/>
        <v>6</v>
      </c>
      <c r="N6019" t="s">
        <v>650</v>
      </c>
    </row>
    <row r="6020" spans="1:14" hidden="1" x14ac:dyDescent="0.3">
      <c r="A6020" s="1" t="s">
        <v>4809</v>
      </c>
      <c r="B6020" s="1" t="s">
        <v>1205</v>
      </c>
      <c r="C6020" s="1" t="s">
        <v>4810</v>
      </c>
      <c r="D6020" s="1" t="s">
        <v>746</v>
      </c>
      <c r="E6020" s="1" t="s">
        <v>747</v>
      </c>
      <c r="F6020" s="1" t="s">
        <v>748</v>
      </c>
      <c r="G6020" s="1" t="s">
        <v>4782</v>
      </c>
      <c r="H6020">
        <v>2019</v>
      </c>
      <c r="I6020">
        <v>2022</v>
      </c>
      <c r="J6020">
        <f t="shared" si="186"/>
        <v>4</v>
      </c>
      <c r="K6020" s="1" t="s">
        <v>3665</v>
      </c>
      <c r="L6020" s="1" t="s">
        <v>798</v>
      </c>
      <c r="M6020">
        <f t="shared" si="187"/>
        <v>4</v>
      </c>
      <c r="N6020" t="s">
        <v>650</v>
      </c>
    </row>
    <row r="6021" spans="1:14" hidden="1" x14ac:dyDescent="0.3">
      <c r="A6021" s="1" t="s">
        <v>4811</v>
      </c>
      <c r="B6021" s="1" t="s">
        <v>1205</v>
      </c>
      <c r="C6021" s="1" t="s">
        <v>4812</v>
      </c>
      <c r="D6021" s="1" t="s">
        <v>746</v>
      </c>
      <c r="E6021" s="1" t="s">
        <v>747</v>
      </c>
      <c r="F6021" s="1" t="s">
        <v>748</v>
      </c>
      <c r="G6021" s="1" t="s">
        <v>4782</v>
      </c>
      <c r="H6021">
        <v>2020</v>
      </c>
      <c r="I6021">
        <v>2022</v>
      </c>
      <c r="J6021">
        <f t="shared" si="186"/>
        <v>3</v>
      </c>
      <c r="K6021" s="1" t="s">
        <v>3665</v>
      </c>
      <c r="L6021" s="1" t="s">
        <v>798</v>
      </c>
      <c r="M6021">
        <f t="shared" si="187"/>
        <v>4</v>
      </c>
      <c r="N6021" t="s">
        <v>650</v>
      </c>
    </row>
    <row r="6022" spans="1:14" hidden="1" x14ac:dyDescent="0.3">
      <c r="A6022" s="1" t="s">
        <v>4813</v>
      </c>
      <c r="B6022" s="1" t="s">
        <v>1205</v>
      </c>
      <c r="C6022" s="1" t="s">
        <v>4814</v>
      </c>
      <c r="D6022" s="1" t="s">
        <v>738</v>
      </c>
      <c r="E6022" s="1" t="s">
        <v>739</v>
      </c>
      <c r="F6022" s="1" t="s">
        <v>781</v>
      </c>
      <c r="G6022" s="1" t="s">
        <v>4782</v>
      </c>
      <c r="H6022">
        <v>2020</v>
      </c>
      <c r="I6022">
        <v>2022</v>
      </c>
      <c r="J6022">
        <f t="shared" ref="J6022:J6071" si="188">1+(I6022-H6022)</f>
        <v>3</v>
      </c>
      <c r="K6022" s="1" t="s">
        <v>3665</v>
      </c>
      <c r="L6022" s="1" t="s">
        <v>798</v>
      </c>
      <c r="M6022">
        <f t="shared" ref="M6022:M6071" si="189">IF(I6022=0,0,$B$2-I6022)</f>
        <v>4</v>
      </c>
      <c r="N6022" t="s">
        <v>650</v>
      </c>
    </row>
    <row r="6023" spans="1:14" hidden="1" x14ac:dyDescent="0.3">
      <c r="A6023" s="1" t="s">
        <v>4815</v>
      </c>
      <c r="B6023" s="1" t="s">
        <v>1205</v>
      </c>
      <c r="C6023" s="1" t="s">
        <v>4816</v>
      </c>
      <c r="D6023" s="1" t="s">
        <v>738</v>
      </c>
      <c r="E6023" s="1" t="s">
        <v>739</v>
      </c>
      <c r="F6023" s="1" t="s">
        <v>781</v>
      </c>
      <c r="G6023" s="1" t="s">
        <v>4782</v>
      </c>
      <c r="H6023">
        <v>2019</v>
      </c>
      <c r="I6023">
        <v>2022</v>
      </c>
      <c r="J6023">
        <f t="shared" si="188"/>
        <v>4</v>
      </c>
      <c r="K6023" s="1" t="s">
        <v>3665</v>
      </c>
      <c r="L6023" s="1" t="s">
        <v>798</v>
      </c>
      <c r="M6023">
        <f t="shared" si="189"/>
        <v>4</v>
      </c>
      <c r="N6023" t="s">
        <v>650</v>
      </c>
    </row>
    <row r="6024" spans="1:14" hidden="1" x14ac:dyDescent="0.3">
      <c r="A6024" s="1" t="s">
        <v>4817</v>
      </c>
      <c r="B6024" s="1" t="s">
        <v>1205</v>
      </c>
      <c r="C6024" s="1" t="s">
        <v>4818</v>
      </c>
      <c r="D6024" s="1" t="s">
        <v>746</v>
      </c>
      <c r="E6024" s="1" t="s">
        <v>747</v>
      </c>
      <c r="F6024" s="1" t="s">
        <v>748</v>
      </c>
      <c r="G6024" s="1" t="s">
        <v>4782</v>
      </c>
      <c r="H6024">
        <v>2019</v>
      </c>
      <c r="I6024">
        <v>2022</v>
      </c>
      <c r="J6024">
        <f t="shared" si="188"/>
        <v>4</v>
      </c>
      <c r="K6024" s="1" t="s">
        <v>3665</v>
      </c>
      <c r="L6024" s="1" t="s">
        <v>798</v>
      </c>
      <c r="M6024">
        <f t="shared" si="189"/>
        <v>4</v>
      </c>
      <c r="N6024" t="s">
        <v>650</v>
      </c>
    </row>
    <row r="6025" spans="1:14" hidden="1" x14ac:dyDescent="0.3">
      <c r="A6025" s="1" t="s">
        <v>4819</v>
      </c>
      <c r="B6025" s="1" t="s">
        <v>1205</v>
      </c>
      <c r="C6025" s="1" t="s">
        <v>4820</v>
      </c>
      <c r="D6025" s="1" t="s">
        <v>746</v>
      </c>
      <c r="E6025" s="1" t="s">
        <v>747</v>
      </c>
      <c r="F6025" s="1" t="s">
        <v>748</v>
      </c>
      <c r="G6025" s="1" t="s">
        <v>4782</v>
      </c>
      <c r="H6025">
        <v>2020</v>
      </c>
      <c r="I6025">
        <v>2022</v>
      </c>
      <c r="J6025">
        <f t="shared" si="188"/>
        <v>3</v>
      </c>
      <c r="K6025" s="1" t="s">
        <v>3665</v>
      </c>
      <c r="L6025" s="1" t="s">
        <v>798</v>
      </c>
      <c r="M6025">
        <f t="shared" si="189"/>
        <v>4</v>
      </c>
      <c r="N6025" t="s">
        <v>650</v>
      </c>
    </row>
    <row r="6026" spans="1:14" hidden="1" x14ac:dyDescent="0.3">
      <c r="A6026" s="1" t="s">
        <v>4821</v>
      </c>
      <c r="B6026" s="1" t="s">
        <v>1205</v>
      </c>
      <c r="C6026" s="1" t="s">
        <v>4822</v>
      </c>
      <c r="D6026" s="1" t="s">
        <v>738</v>
      </c>
      <c r="E6026" s="1" t="s">
        <v>739</v>
      </c>
      <c r="F6026" s="1" t="s">
        <v>781</v>
      </c>
      <c r="G6026" s="1" t="s">
        <v>4782</v>
      </c>
      <c r="H6026">
        <v>2020</v>
      </c>
      <c r="I6026">
        <v>2022</v>
      </c>
      <c r="J6026">
        <f t="shared" si="188"/>
        <v>3</v>
      </c>
      <c r="K6026" s="1" t="s">
        <v>3665</v>
      </c>
      <c r="L6026" s="1" t="s">
        <v>798</v>
      </c>
      <c r="M6026">
        <f t="shared" si="189"/>
        <v>4</v>
      </c>
      <c r="N6026" t="s">
        <v>650</v>
      </c>
    </row>
    <row r="6027" spans="1:14" hidden="1" x14ac:dyDescent="0.3">
      <c r="A6027" s="1" t="s">
        <v>4823</v>
      </c>
      <c r="B6027" s="1" t="s">
        <v>1205</v>
      </c>
      <c r="C6027" s="1" t="s">
        <v>4824</v>
      </c>
      <c r="D6027" s="1" t="s">
        <v>738</v>
      </c>
      <c r="E6027" s="1" t="s">
        <v>739</v>
      </c>
      <c r="F6027" s="1" t="s">
        <v>781</v>
      </c>
      <c r="G6027" s="1" t="s">
        <v>4782</v>
      </c>
      <c r="H6027">
        <v>2019</v>
      </c>
      <c r="I6027">
        <v>2022</v>
      </c>
      <c r="J6027">
        <f t="shared" si="188"/>
        <v>4</v>
      </c>
      <c r="K6027" s="1" t="s">
        <v>3665</v>
      </c>
      <c r="L6027" s="1" t="s">
        <v>798</v>
      </c>
      <c r="M6027">
        <f t="shared" si="189"/>
        <v>4</v>
      </c>
      <c r="N6027" t="s">
        <v>650</v>
      </c>
    </row>
    <row r="6028" spans="1:14" hidden="1" x14ac:dyDescent="0.3">
      <c r="A6028" s="1" t="s">
        <v>4825</v>
      </c>
      <c r="B6028" s="1" t="s">
        <v>1205</v>
      </c>
      <c r="C6028" s="1" t="s">
        <v>4826</v>
      </c>
      <c r="D6028" s="1" t="s">
        <v>738</v>
      </c>
      <c r="E6028" s="1" t="s">
        <v>739</v>
      </c>
      <c r="F6028" s="1" t="s">
        <v>781</v>
      </c>
      <c r="G6028" s="1" t="s">
        <v>4782</v>
      </c>
      <c r="H6028">
        <v>2019</v>
      </c>
      <c r="I6028">
        <v>2020</v>
      </c>
      <c r="J6028">
        <f t="shared" si="188"/>
        <v>2</v>
      </c>
      <c r="K6028" s="1" t="s">
        <v>3665</v>
      </c>
      <c r="L6028" s="1" t="s">
        <v>798</v>
      </c>
      <c r="M6028">
        <f t="shared" si="189"/>
        <v>6</v>
      </c>
      <c r="N6028" t="s">
        <v>650</v>
      </c>
    </row>
    <row r="6029" spans="1:14" hidden="1" x14ac:dyDescent="0.3">
      <c r="A6029" s="1" t="s">
        <v>4827</v>
      </c>
      <c r="B6029" s="1" t="s">
        <v>1205</v>
      </c>
      <c r="C6029" s="1" t="s">
        <v>4828</v>
      </c>
      <c r="D6029" s="1" t="s">
        <v>738</v>
      </c>
      <c r="E6029" s="1" t="s">
        <v>739</v>
      </c>
      <c r="F6029" s="1" t="s">
        <v>781</v>
      </c>
      <c r="G6029" s="1" t="s">
        <v>4782</v>
      </c>
      <c r="H6029">
        <v>2020</v>
      </c>
      <c r="I6029">
        <v>2022</v>
      </c>
      <c r="J6029">
        <f t="shared" si="188"/>
        <v>3</v>
      </c>
      <c r="K6029" s="1" t="s">
        <v>3665</v>
      </c>
      <c r="L6029" s="1" t="s">
        <v>798</v>
      </c>
      <c r="M6029">
        <f t="shared" si="189"/>
        <v>4</v>
      </c>
      <c r="N6029" t="s">
        <v>650</v>
      </c>
    </row>
    <row r="6030" spans="1:14" x14ac:dyDescent="0.3">
      <c r="A6030" t="s">
        <v>11031</v>
      </c>
      <c r="B6030" t="s">
        <v>10996</v>
      </c>
      <c r="C6030" t="s">
        <v>11032</v>
      </c>
      <c r="E6030" s="1" t="s">
        <v>6076</v>
      </c>
      <c r="F6030" s="1" t="s">
        <v>6076</v>
      </c>
      <c r="G6030" s="1" t="s">
        <v>12782</v>
      </c>
      <c r="H6030">
        <v>2023</v>
      </c>
      <c r="I6030">
        <v>2026</v>
      </c>
      <c r="J6030">
        <f t="shared" si="188"/>
        <v>4</v>
      </c>
      <c r="K6030" s="1" t="s">
        <v>6076</v>
      </c>
      <c r="L6030" s="1" t="s">
        <v>6076</v>
      </c>
      <c r="M6030">
        <f t="shared" si="189"/>
        <v>0</v>
      </c>
    </row>
    <row r="6031" spans="1:14" x14ac:dyDescent="0.3">
      <c r="A6031" t="s">
        <v>11033</v>
      </c>
      <c r="B6031" t="s">
        <v>10996</v>
      </c>
      <c r="C6031" t="s">
        <v>11034</v>
      </c>
      <c r="E6031" s="1" t="s">
        <v>6076</v>
      </c>
      <c r="F6031" s="1" t="s">
        <v>6076</v>
      </c>
      <c r="G6031" s="1" t="s">
        <v>12782</v>
      </c>
      <c r="H6031">
        <v>2025</v>
      </c>
      <c r="I6031">
        <v>2026</v>
      </c>
      <c r="J6031">
        <f t="shared" si="188"/>
        <v>2</v>
      </c>
      <c r="K6031" s="1" t="s">
        <v>6076</v>
      </c>
      <c r="L6031" s="1" t="s">
        <v>6076</v>
      </c>
      <c r="M6031">
        <f t="shared" si="189"/>
        <v>0</v>
      </c>
    </row>
    <row r="6032" spans="1:14" x14ac:dyDescent="0.3">
      <c r="A6032" s="1" t="s">
        <v>10650</v>
      </c>
      <c r="B6032" s="1" t="s">
        <v>5913</v>
      </c>
      <c r="C6032" s="1" t="s">
        <v>10651</v>
      </c>
      <c r="D6032" s="1" t="s">
        <v>3850</v>
      </c>
      <c r="E6032" s="1" t="s">
        <v>6076</v>
      </c>
      <c r="F6032" s="1" t="s">
        <v>6076</v>
      </c>
      <c r="G6032" s="1" t="s">
        <v>10652</v>
      </c>
      <c r="H6032">
        <v>1997</v>
      </c>
      <c r="I6032">
        <v>2000</v>
      </c>
      <c r="J6032">
        <f t="shared" si="188"/>
        <v>4</v>
      </c>
      <c r="K6032" s="1" t="s">
        <v>6076</v>
      </c>
      <c r="L6032" s="1" t="s">
        <v>6076</v>
      </c>
      <c r="M6032">
        <f t="shared" si="189"/>
        <v>26</v>
      </c>
    </row>
    <row r="6033" spans="1:13" x14ac:dyDescent="0.3">
      <c r="A6033" s="1" t="s">
        <v>10653</v>
      </c>
      <c r="B6033" s="1" t="s">
        <v>5913</v>
      </c>
      <c r="C6033" s="1" t="s">
        <v>10654</v>
      </c>
      <c r="D6033" s="1" t="s">
        <v>3850</v>
      </c>
      <c r="E6033" s="1" t="s">
        <v>6076</v>
      </c>
      <c r="F6033" s="1" t="s">
        <v>6076</v>
      </c>
      <c r="G6033" s="1" t="s">
        <v>10652</v>
      </c>
      <c r="H6033">
        <v>1997</v>
      </c>
      <c r="I6033">
        <v>2001</v>
      </c>
      <c r="J6033">
        <f t="shared" si="188"/>
        <v>5</v>
      </c>
      <c r="K6033" s="1" t="s">
        <v>6076</v>
      </c>
      <c r="L6033" s="1" t="s">
        <v>6076</v>
      </c>
      <c r="M6033">
        <f t="shared" si="189"/>
        <v>25</v>
      </c>
    </row>
    <row r="6034" spans="1:13" x14ac:dyDescent="0.3">
      <c r="A6034" s="1" t="s">
        <v>10655</v>
      </c>
      <c r="B6034" s="1" t="s">
        <v>5913</v>
      </c>
      <c r="C6034" s="1" t="s">
        <v>10656</v>
      </c>
      <c r="D6034" s="1" t="s">
        <v>3850</v>
      </c>
      <c r="E6034" s="1" t="s">
        <v>6076</v>
      </c>
      <c r="F6034" s="1" t="s">
        <v>6076</v>
      </c>
      <c r="G6034" s="1" t="s">
        <v>10652</v>
      </c>
      <c r="H6034">
        <v>2001</v>
      </c>
      <c r="I6034">
        <v>2002</v>
      </c>
      <c r="J6034">
        <f t="shared" si="188"/>
        <v>2</v>
      </c>
      <c r="K6034" s="1" t="s">
        <v>6076</v>
      </c>
      <c r="L6034" s="1" t="s">
        <v>6076</v>
      </c>
      <c r="M6034">
        <f t="shared" si="189"/>
        <v>24</v>
      </c>
    </row>
    <row r="6035" spans="1:13" x14ac:dyDescent="0.3">
      <c r="A6035" s="1" t="s">
        <v>10657</v>
      </c>
      <c r="B6035" s="1" t="s">
        <v>5913</v>
      </c>
      <c r="C6035" s="1" t="s">
        <v>10658</v>
      </c>
      <c r="D6035" s="1" t="s">
        <v>3850</v>
      </c>
      <c r="E6035" s="1" t="s">
        <v>6076</v>
      </c>
      <c r="F6035" s="1" t="s">
        <v>6076</v>
      </c>
      <c r="G6035" s="1" t="s">
        <v>10652</v>
      </c>
      <c r="H6035">
        <v>1996</v>
      </c>
      <c r="I6035">
        <v>1999</v>
      </c>
      <c r="J6035">
        <f t="shared" si="188"/>
        <v>4</v>
      </c>
      <c r="K6035" s="1" t="s">
        <v>6076</v>
      </c>
      <c r="L6035" s="1" t="s">
        <v>6076</v>
      </c>
      <c r="M6035">
        <f t="shared" si="189"/>
        <v>27</v>
      </c>
    </row>
    <row r="6036" spans="1:13" x14ac:dyDescent="0.3">
      <c r="A6036" s="1" t="s">
        <v>10659</v>
      </c>
      <c r="B6036" s="1" t="s">
        <v>5913</v>
      </c>
      <c r="C6036" s="1" t="s">
        <v>10660</v>
      </c>
      <c r="D6036" s="1" t="s">
        <v>3850</v>
      </c>
      <c r="E6036" s="1" t="s">
        <v>6076</v>
      </c>
      <c r="F6036" s="1" t="s">
        <v>6076</v>
      </c>
      <c r="G6036" s="1" t="s">
        <v>10652</v>
      </c>
      <c r="H6036">
        <v>1997</v>
      </c>
      <c r="I6036">
        <v>2000</v>
      </c>
      <c r="J6036">
        <f t="shared" si="188"/>
        <v>4</v>
      </c>
      <c r="K6036" s="1" t="s">
        <v>6076</v>
      </c>
      <c r="L6036" s="1" t="s">
        <v>6076</v>
      </c>
      <c r="M6036">
        <f t="shared" si="189"/>
        <v>26</v>
      </c>
    </row>
    <row r="6037" spans="1:13" x14ac:dyDescent="0.3">
      <c r="A6037" s="1" t="s">
        <v>10661</v>
      </c>
      <c r="B6037" s="1" t="s">
        <v>5913</v>
      </c>
      <c r="C6037" s="1" t="s">
        <v>10662</v>
      </c>
      <c r="D6037" s="1" t="s">
        <v>3850</v>
      </c>
      <c r="E6037" s="1" t="s">
        <v>6076</v>
      </c>
      <c r="F6037" s="1" t="s">
        <v>6076</v>
      </c>
      <c r="G6037" s="1" t="s">
        <v>10652</v>
      </c>
      <c r="H6037">
        <v>1997</v>
      </c>
      <c r="I6037">
        <v>2002</v>
      </c>
      <c r="J6037">
        <f t="shared" si="188"/>
        <v>6</v>
      </c>
      <c r="K6037" s="1" t="s">
        <v>6076</v>
      </c>
      <c r="L6037" s="1" t="s">
        <v>6076</v>
      </c>
      <c r="M6037">
        <f t="shared" si="189"/>
        <v>24</v>
      </c>
    </row>
    <row r="6038" spans="1:13" x14ac:dyDescent="0.3">
      <c r="A6038" s="1" t="s">
        <v>10663</v>
      </c>
      <c r="B6038" s="1" t="s">
        <v>5913</v>
      </c>
      <c r="C6038" s="1" t="s">
        <v>10664</v>
      </c>
      <c r="D6038" s="1" t="s">
        <v>3850</v>
      </c>
      <c r="E6038" s="1" t="s">
        <v>6076</v>
      </c>
      <c r="F6038" s="1" t="s">
        <v>6076</v>
      </c>
      <c r="G6038" s="1" t="s">
        <v>10665</v>
      </c>
      <c r="H6038">
        <v>2007</v>
      </c>
      <c r="I6038">
        <v>2008</v>
      </c>
      <c r="J6038">
        <f t="shared" si="188"/>
        <v>2</v>
      </c>
      <c r="K6038" s="1" t="s">
        <v>6076</v>
      </c>
      <c r="L6038" s="1" t="s">
        <v>6076</v>
      </c>
      <c r="M6038">
        <f t="shared" si="189"/>
        <v>18</v>
      </c>
    </row>
    <row r="6039" spans="1:13" x14ac:dyDescent="0.3">
      <c r="A6039" s="1" t="s">
        <v>10666</v>
      </c>
      <c r="B6039" s="1" t="s">
        <v>5913</v>
      </c>
      <c r="C6039" s="1" t="s">
        <v>10667</v>
      </c>
      <c r="D6039" s="1" t="s">
        <v>3850</v>
      </c>
      <c r="E6039" s="1" t="s">
        <v>6076</v>
      </c>
      <c r="F6039" s="1" t="s">
        <v>6076</v>
      </c>
      <c r="G6039" s="1" t="s">
        <v>10665</v>
      </c>
      <c r="H6039">
        <v>2019</v>
      </c>
      <c r="I6039">
        <v>2022</v>
      </c>
      <c r="J6039">
        <f t="shared" si="188"/>
        <v>4</v>
      </c>
      <c r="K6039" s="1" t="s">
        <v>6076</v>
      </c>
      <c r="L6039" s="1" t="s">
        <v>6076</v>
      </c>
      <c r="M6039">
        <f t="shared" si="189"/>
        <v>4</v>
      </c>
    </row>
    <row r="6040" spans="1:13" x14ac:dyDescent="0.3">
      <c r="A6040" s="1" t="s">
        <v>10668</v>
      </c>
      <c r="B6040" s="1" t="s">
        <v>5913</v>
      </c>
      <c r="C6040" s="1" t="s">
        <v>10669</v>
      </c>
      <c r="D6040" s="1" t="s">
        <v>3850</v>
      </c>
      <c r="E6040" s="1" t="s">
        <v>6076</v>
      </c>
      <c r="F6040" s="1" t="s">
        <v>6076</v>
      </c>
      <c r="G6040" s="1" t="s">
        <v>10665</v>
      </c>
      <c r="H6040">
        <v>2007</v>
      </c>
      <c r="I6040">
        <v>2009</v>
      </c>
      <c r="J6040">
        <f t="shared" si="188"/>
        <v>3</v>
      </c>
      <c r="K6040" s="1" t="s">
        <v>6076</v>
      </c>
      <c r="L6040" s="1" t="s">
        <v>6076</v>
      </c>
      <c r="M6040">
        <f t="shared" si="189"/>
        <v>17</v>
      </c>
    </row>
    <row r="6041" spans="1:13" x14ac:dyDescent="0.3">
      <c r="A6041" s="1" t="s">
        <v>10670</v>
      </c>
      <c r="B6041" s="1" t="s">
        <v>5913</v>
      </c>
      <c r="C6041" s="1" t="s">
        <v>10671</v>
      </c>
      <c r="D6041" s="1" t="s">
        <v>3850</v>
      </c>
      <c r="E6041" s="1" t="s">
        <v>6076</v>
      </c>
      <c r="F6041" s="1" t="s">
        <v>6076</v>
      </c>
      <c r="G6041" s="1" t="s">
        <v>10665</v>
      </c>
      <c r="H6041">
        <v>2003</v>
      </c>
      <c r="I6041">
        <v>2008</v>
      </c>
      <c r="J6041">
        <f t="shared" si="188"/>
        <v>6</v>
      </c>
      <c r="K6041" s="1" t="s">
        <v>6076</v>
      </c>
      <c r="L6041" s="1" t="s">
        <v>6076</v>
      </c>
      <c r="M6041">
        <f t="shared" si="189"/>
        <v>18</v>
      </c>
    </row>
    <row r="6042" spans="1:13" x14ac:dyDescent="0.3">
      <c r="A6042" s="1" t="s">
        <v>10672</v>
      </c>
      <c r="B6042" s="1" t="s">
        <v>5913</v>
      </c>
      <c r="C6042" s="1" t="s">
        <v>10673</v>
      </c>
      <c r="D6042" s="1" t="s">
        <v>3850</v>
      </c>
      <c r="E6042" s="1" t="s">
        <v>6076</v>
      </c>
      <c r="F6042" s="1" t="s">
        <v>6076</v>
      </c>
      <c r="G6042" s="1" t="s">
        <v>10665</v>
      </c>
      <c r="H6042">
        <v>2007</v>
      </c>
      <c r="I6042">
        <v>2008</v>
      </c>
      <c r="J6042">
        <f t="shared" si="188"/>
        <v>2</v>
      </c>
      <c r="K6042" s="1" t="s">
        <v>6076</v>
      </c>
      <c r="L6042" s="1" t="s">
        <v>6076</v>
      </c>
      <c r="M6042">
        <f t="shared" si="189"/>
        <v>18</v>
      </c>
    </row>
    <row r="6043" spans="1:13" x14ac:dyDescent="0.3">
      <c r="A6043" s="1" t="s">
        <v>10674</v>
      </c>
      <c r="B6043" s="1" t="s">
        <v>5913</v>
      </c>
      <c r="C6043" s="1" t="s">
        <v>10675</v>
      </c>
      <c r="D6043" s="1" t="s">
        <v>3850</v>
      </c>
      <c r="E6043" s="1" t="s">
        <v>6076</v>
      </c>
      <c r="F6043" s="1" t="s">
        <v>6076</v>
      </c>
      <c r="G6043" s="1" t="s">
        <v>10665</v>
      </c>
      <c r="H6043">
        <v>2012</v>
      </c>
      <c r="I6043">
        <v>2016</v>
      </c>
      <c r="J6043">
        <f t="shared" si="188"/>
        <v>5</v>
      </c>
      <c r="K6043" s="1" t="s">
        <v>6076</v>
      </c>
      <c r="L6043" s="1" t="s">
        <v>6076</v>
      </c>
      <c r="M6043">
        <f t="shared" si="189"/>
        <v>10</v>
      </c>
    </row>
    <row r="6044" spans="1:13" x14ac:dyDescent="0.3">
      <c r="A6044" s="1" t="s">
        <v>10676</v>
      </c>
      <c r="B6044" s="1" t="s">
        <v>5913</v>
      </c>
      <c r="C6044" s="1" t="s">
        <v>10677</v>
      </c>
      <c r="D6044" s="1" t="s">
        <v>3850</v>
      </c>
      <c r="E6044" s="1" t="s">
        <v>6076</v>
      </c>
      <c r="F6044" s="1" t="s">
        <v>6076</v>
      </c>
      <c r="G6044" s="1" t="s">
        <v>10665</v>
      </c>
      <c r="H6044">
        <v>2010</v>
      </c>
      <c r="I6044">
        <v>2012</v>
      </c>
      <c r="J6044">
        <f t="shared" si="188"/>
        <v>3</v>
      </c>
      <c r="K6044" s="1" t="s">
        <v>6076</v>
      </c>
      <c r="L6044" s="1" t="s">
        <v>6076</v>
      </c>
      <c r="M6044">
        <f t="shared" si="189"/>
        <v>14</v>
      </c>
    </row>
    <row r="6045" spans="1:13" x14ac:dyDescent="0.3">
      <c r="A6045" s="1" t="s">
        <v>10678</v>
      </c>
      <c r="B6045" s="1" t="s">
        <v>5913</v>
      </c>
      <c r="C6045" s="1" t="s">
        <v>10679</v>
      </c>
      <c r="D6045" s="1" t="s">
        <v>3850</v>
      </c>
      <c r="E6045" s="1" t="s">
        <v>6076</v>
      </c>
      <c r="F6045" s="1" t="s">
        <v>6076</v>
      </c>
      <c r="G6045" s="1" t="s">
        <v>10665</v>
      </c>
      <c r="H6045">
        <v>2019</v>
      </c>
      <c r="I6045">
        <v>2022</v>
      </c>
      <c r="J6045">
        <f t="shared" si="188"/>
        <v>4</v>
      </c>
      <c r="K6045" s="1" t="s">
        <v>6076</v>
      </c>
      <c r="L6045" s="1" t="s">
        <v>6076</v>
      </c>
      <c r="M6045">
        <f t="shared" si="189"/>
        <v>4</v>
      </c>
    </row>
    <row r="6046" spans="1:13" x14ac:dyDescent="0.3">
      <c r="A6046" s="1" t="s">
        <v>10680</v>
      </c>
      <c r="B6046" s="1" t="s">
        <v>5913</v>
      </c>
      <c r="C6046" s="1" t="s">
        <v>10681</v>
      </c>
      <c r="D6046" s="1" t="s">
        <v>3850</v>
      </c>
      <c r="E6046" s="1" t="s">
        <v>6076</v>
      </c>
      <c r="F6046" s="1" t="s">
        <v>6076</v>
      </c>
      <c r="G6046" s="1" t="s">
        <v>10665</v>
      </c>
      <c r="H6046">
        <v>2009</v>
      </c>
      <c r="I6046">
        <v>2014</v>
      </c>
      <c r="J6046">
        <f t="shared" si="188"/>
        <v>6</v>
      </c>
      <c r="K6046" s="1" t="s">
        <v>6076</v>
      </c>
      <c r="L6046" s="1" t="s">
        <v>6076</v>
      </c>
      <c r="M6046">
        <f t="shared" si="189"/>
        <v>12</v>
      </c>
    </row>
    <row r="6047" spans="1:13" x14ac:dyDescent="0.3">
      <c r="A6047" s="1" t="s">
        <v>10682</v>
      </c>
      <c r="B6047" s="1" t="s">
        <v>5913</v>
      </c>
      <c r="C6047" s="1" t="s">
        <v>10683</v>
      </c>
      <c r="D6047" s="1" t="s">
        <v>3850</v>
      </c>
      <c r="E6047" s="1" t="s">
        <v>6076</v>
      </c>
      <c r="F6047" s="1" t="s">
        <v>6076</v>
      </c>
      <c r="G6047" s="1" t="s">
        <v>10665</v>
      </c>
      <c r="H6047">
        <v>2003</v>
      </c>
      <c r="I6047">
        <v>2003</v>
      </c>
      <c r="J6047">
        <f t="shared" si="188"/>
        <v>1</v>
      </c>
      <c r="K6047" s="1" t="s">
        <v>6076</v>
      </c>
      <c r="L6047" s="1" t="s">
        <v>6076</v>
      </c>
      <c r="M6047">
        <f t="shared" si="189"/>
        <v>23</v>
      </c>
    </row>
    <row r="6048" spans="1:13" x14ac:dyDescent="0.3">
      <c r="A6048" s="1" t="s">
        <v>10684</v>
      </c>
      <c r="B6048" s="1" t="s">
        <v>5913</v>
      </c>
      <c r="C6048" s="1" t="s">
        <v>10685</v>
      </c>
      <c r="D6048" s="1" t="s">
        <v>3850</v>
      </c>
      <c r="E6048" s="1" t="s">
        <v>6076</v>
      </c>
      <c r="F6048" s="1" t="s">
        <v>6076</v>
      </c>
      <c r="G6048" s="1" t="s">
        <v>10686</v>
      </c>
      <c r="H6048">
        <v>2001</v>
      </c>
      <c r="I6048">
        <v>2001</v>
      </c>
      <c r="J6048">
        <f t="shared" si="188"/>
        <v>1</v>
      </c>
      <c r="K6048" s="1" t="s">
        <v>6076</v>
      </c>
      <c r="L6048" s="1" t="s">
        <v>6076</v>
      </c>
      <c r="M6048">
        <f t="shared" si="189"/>
        <v>25</v>
      </c>
    </row>
    <row r="6049" spans="1:14" hidden="1" x14ac:dyDescent="0.3">
      <c r="A6049" s="1" t="s">
        <v>4829</v>
      </c>
      <c r="B6049" s="1" t="s">
        <v>795</v>
      </c>
      <c r="C6049" s="1" t="s">
        <v>4830</v>
      </c>
      <c r="D6049" s="1" t="s">
        <v>738</v>
      </c>
      <c r="E6049" s="1" t="s">
        <v>812</v>
      </c>
      <c r="F6049" s="1" t="s">
        <v>3803</v>
      </c>
      <c r="G6049" s="1" t="s">
        <v>4831</v>
      </c>
      <c r="H6049">
        <v>2001</v>
      </c>
      <c r="I6049">
        <v>2004</v>
      </c>
      <c r="J6049">
        <f t="shared" si="188"/>
        <v>4</v>
      </c>
      <c r="K6049" s="1" t="s">
        <v>3665</v>
      </c>
      <c r="L6049" s="1" t="s">
        <v>649</v>
      </c>
      <c r="M6049">
        <f t="shared" si="189"/>
        <v>22</v>
      </c>
      <c r="N6049" t="s">
        <v>640</v>
      </c>
    </row>
    <row r="6050" spans="1:14" hidden="1" x14ac:dyDescent="0.3">
      <c r="A6050" s="1" t="s">
        <v>4832</v>
      </c>
      <c r="B6050" s="1" t="s">
        <v>795</v>
      </c>
      <c r="C6050" s="1" t="s">
        <v>4833</v>
      </c>
      <c r="D6050" s="1" t="s">
        <v>738</v>
      </c>
      <c r="E6050" s="1" t="s">
        <v>812</v>
      </c>
      <c r="F6050" s="1" t="s">
        <v>3803</v>
      </c>
      <c r="G6050" s="1" t="s">
        <v>4831</v>
      </c>
      <c r="H6050">
        <v>2002</v>
      </c>
      <c r="I6050">
        <v>2005</v>
      </c>
      <c r="J6050">
        <f t="shared" si="188"/>
        <v>4</v>
      </c>
      <c r="K6050" s="1" t="s">
        <v>3665</v>
      </c>
      <c r="L6050" s="1" t="s">
        <v>649</v>
      </c>
      <c r="M6050">
        <f t="shared" si="189"/>
        <v>21</v>
      </c>
      <c r="N6050" t="s">
        <v>640</v>
      </c>
    </row>
    <row r="6051" spans="1:14" hidden="1" x14ac:dyDescent="0.3">
      <c r="A6051" s="1" t="s">
        <v>4834</v>
      </c>
      <c r="B6051" s="1" t="s">
        <v>795</v>
      </c>
      <c r="C6051" s="1" t="s">
        <v>4835</v>
      </c>
      <c r="D6051" s="1" t="s">
        <v>738</v>
      </c>
      <c r="E6051" s="1" t="s">
        <v>812</v>
      </c>
      <c r="F6051" s="1" t="s">
        <v>3803</v>
      </c>
      <c r="G6051" s="1" t="s">
        <v>4831</v>
      </c>
      <c r="H6051">
        <v>2001</v>
      </c>
      <c r="I6051">
        <v>2004</v>
      </c>
      <c r="J6051">
        <f t="shared" si="188"/>
        <v>4</v>
      </c>
      <c r="K6051" s="1" t="s">
        <v>3665</v>
      </c>
      <c r="L6051" s="1" t="s">
        <v>649</v>
      </c>
      <c r="M6051">
        <f t="shared" si="189"/>
        <v>22</v>
      </c>
      <c r="N6051" t="s">
        <v>640</v>
      </c>
    </row>
    <row r="6052" spans="1:14" hidden="1" x14ac:dyDescent="0.3">
      <c r="A6052" s="1" t="s">
        <v>4836</v>
      </c>
      <c r="B6052" s="1" t="s">
        <v>795</v>
      </c>
      <c r="C6052" s="1" t="s">
        <v>4837</v>
      </c>
      <c r="D6052" s="1" t="s">
        <v>738</v>
      </c>
      <c r="E6052" s="1" t="s">
        <v>812</v>
      </c>
      <c r="F6052" s="1" t="s">
        <v>3803</v>
      </c>
      <c r="G6052" s="1" t="s">
        <v>4831</v>
      </c>
      <c r="H6052">
        <v>2012</v>
      </c>
      <c r="I6052">
        <v>2012</v>
      </c>
      <c r="J6052">
        <f t="shared" si="188"/>
        <v>1</v>
      </c>
      <c r="K6052" s="1" t="s">
        <v>3665</v>
      </c>
      <c r="L6052" s="1" t="s">
        <v>649</v>
      </c>
      <c r="M6052">
        <f t="shared" si="189"/>
        <v>14</v>
      </c>
      <c r="N6052" t="s">
        <v>650</v>
      </c>
    </row>
    <row r="6053" spans="1:14" hidden="1" x14ac:dyDescent="0.3">
      <c r="A6053" s="1" t="s">
        <v>4838</v>
      </c>
      <c r="B6053" s="1" t="s">
        <v>795</v>
      </c>
      <c r="C6053" s="1" t="s">
        <v>4839</v>
      </c>
      <c r="D6053" s="1" t="s">
        <v>738</v>
      </c>
      <c r="E6053" s="1" t="s">
        <v>812</v>
      </c>
      <c r="F6053" s="1" t="s">
        <v>3803</v>
      </c>
      <c r="G6053" s="1" t="s">
        <v>4831</v>
      </c>
      <c r="H6053">
        <v>2005</v>
      </c>
      <c r="I6053">
        <v>2012</v>
      </c>
      <c r="J6053">
        <f t="shared" si="188"/>
        <v>8</v>
      </c>
      <c r="K6053" s="1" t="s">
        <v>3665</v>
      </c>
      <c r="L6053" s="1" t="s">
        <v>649</v>
      </c>
      <c r="M6053">
        <f t="shared" si="189"/>
        <v>14</v>
      </c>
      <c r="N6053" t="s">
        <v>650</v>
      </c>
    </row>
    <row r="6054" spans="1:14" hidden="1" x14ac:dyDescent="0.3">
      <c r="A6054" s="1" t="s">
        <v>4840</v>
      </c>
      <c r="B6054" s="1" t="s">
        <v>795</v>
      </c>
      <c r="C6054" s="1" t="s">
        <v>4841</v>
      </c>
      <c r="D6054" s="1" t="s">
        <v>738</v>
      </c>
      <c r="E6054" s="1" t="s">
        <v>812</v>
      </c>
      <c r="F6054" s="1" t="s">
        <v>3803</v>
      </c>
      <c r="G6054" s="1" t="s">
        <v>4831</v>
      </c>
      <c r="H6054">
        <v>2005</v>
      </c>
      <c r="I6054">
        <v>2012</v>
      </c>
      <c r="J6054">
        <f t="shared" si="188"/>
        <v>8</v>
      </c>
      <c r="K6054" s="1" t="s">
        <v>3665</v>
      </c>
      <c r="L6054" s="1" t="s">
        <v>649</v>
      </c>
      <c r="M6054">
        <f t="shared" si="189"/>
        <v>14</v>
      </c>
      <c r="N6054" t="s">
        <v>650</v>
      </c>
    </row>
    <row r="6055" spans="1:14" hidden="1" x14ac:dyDescent="0.3">
      <c r="A6055" s="1" t="s">
        <v>4842</v>
      </c>
      <c r="B6055" s="1" t="s">
        <v>795</v>
      </c>
      <c r="C6055" s="1" t="s">
        <v>4843</v>
      </c>
      <c r="D6055" s="1" t="s">
        <v>738</v>
      </c>
      <c r="E6055" s="1" t="s">
        <v>812</v>
      </c>
      <c r="F6055" s="1" t="s">
        <v>3803</v>
      </c>
      <c r="G6055" s="1" t="s">
        <v>4831</v>
      </c>
      <c r="H6055">
        <v>2005</v>
      </c>
      <c r="I6055">
        <v>2005</v>
      </c>
      <c r="J6055">
        <f t="shared" si="188"/>
        <v>1</v>
      </c>
      <c r="K6055" s="1" t="s">
        <v>3665</v>
      </c>
      <c r="L6055" s="1" t="s">
        <v>649</v>
      </c>
      <c r="M6055">
        <f t="shared" si="189"/>
        <v>21</v>
      </c>
      <c r="N6055" t="s">
        <v>640</v>
      </c>
    </row>
    <row r="6056" spans="1:14" hidden="1" x14ac:dyDescent="0.3">
      <c r="A6056" s="1" t="s">
        <v>4844</v>
      </c>
      <c r="B6056" s="1" t="s">
        <v>795</v>
      </c>
      <c r="C6056" s="1" t="s">
        <v>4845</v>
      </c>
      <c r="D6056" s="1" t="s">
        <v>738</v>
      </c>
      <c r="E6056" s="1" t="s">
        <v>812</v>
      </c>
      <c r="F6056" s="1" t="s">
        <v>3803</v>
      </c>
      <c r="G6056" s="1" t="s">
        <v>4831</v>
      </c>
      <c r="H6056">
        <v>2005</v>
      </c>
      <c r="I6056">
        <v>2010</v>
      </c>
      <c r="J6056">
        <f t="shared" si="188"/>
        <v>6</v>
      </c>
      <c r="K6056" s="1" t="s">
        <v>3665</v>
      </c>
      <c r="L6056" s="1" t="s">
        <v>649</v>
      </c>
      <c r="M6056">
        <f t="shared" si="189"/>
        <v>16</v>
      </c>
      <c r="N6056" t="s">
        <v>640</v>
      </c>
    </row>
    <row r="6057" spans="1:14" hidden="1" x14ac:dyDescent="0.3">
      <c r="A6057" s="1" t="s">
        <v>4846</v>
      </c>
      <c r="B6057" s="1" t="s">
        <v>795</v>
      </c>
      <c r="C6057" s="1" t="s">
        <v>4847</v>
      </c>
      <c r="D6057" s="1" t="s">
        <v>738</v>
      </c>
      <c r="E6057" s="1" t="s">
        <v>812</v>
      </c>
      <c r="F6057" s="1" t="s">
        <v>3803</v>
      </c>
      <c r="G6057" s="1" t="s">
        <v>4831</v>
      </c>
      <c r="H6057">
        <v>2005</v>
      </c>
      <c r="I6057">
        <v>2005</v>
      </c>
      <c r="J6057">
        <f t="shared" si="188"/>
        <v>1</v>
      </c>
      <c r="K6057" s="1" t="s">
        <v>3665</v>
      </c>
      <c r="L6057" s="1" t="s">
        <v>649</v>
      </c>
      <c r="M6057">
        <f t="shared" si="189"/>
        <v>21</v>
      </c>
      <c r="N6057" t="s">
        <v>640</v>
      </c>
    </row>
    <row r="6058" spans="1:14" hidden="1" x14ac:dyDescent="0.3">
      <c r="A6058" s="1" t="s">
        <v>4848</v>
      </c>
      <c r="B6058" s="1" t="s">
        <v>795</v>
      </c>
      <c r="C6058" s="1" t="s">
        <v>4849</v>
      </c>
      <c r="D6058" s="1" t="s">
        <v>738</v>
      </c>
      <c r="E6058" s="1" t="s">
        <v>812</v>
      </c>
      <c r="F6058" s="1" t="s">
        <v>3803</v>
      </c>
      <c r="G6058" s="1" t="s">
        <v>4831</v>
      </c>
      <c r="H6058">
        <v>2005</v>
      </c>
      <c r="I6058">
        <v>2011</v>
      </c>
      <c r="J6058">
        <f t="shared" si="188"/>
        <v>7</v>
      </c>
      <c r="K6058" s="1" t="s">
        <v>3665</v>
      </c>
      <c r="L6058" s="1" t="s">
        <v>649</v>
      </c>
      <c r="M6058">
        <f t="shared" si="189"/>
        <v>15</v>
      </c>
      <c r="N6058" t="s">
        <v>640</v>
      </c>
    </row>
    <row r="6059" spans="1:14" hidden="1" x14ac:dyDescent="0.3">
      <c r="A6059" s="1" t="s">
        <v>4850</v>
      </c>
      <c r="B6059" s="1" t="s">
        <v>795</v>
      </c>
      <c r="C6059" s="1" t="s">
        <v>4851</v>
      </c>
      <c r="D6059" s="1" t="s">
        <v>738</v>
      </c>
      <c r="E6059" s="1" t="s">
        <v>812</v>
      </c>
      <c r="F6059" s="1" t="s">
        <v>3803</v>
      </c>
      <c r="G6059" s="1" t="s">
        <v>4831</v>
      </c>
      <c r="H6059">
        <v>2005</v>
      </c>
      <c r="I6059">
        <v>2012</v>
      </c>
      <c r="J6059">
        <f t="shared" si="188"/>
        <v>8</v>
      </c>
      <c r="K6059" s="1" t="s">
        <v>3665</v>
      </c>
      <c r="L6059" s="1" t="s">
        <v>649</v>
      </c>
      <c r="M6059">
        <f t="shared" si="189"/>
        <v>14</v>
      </c>
      <c r="N6059" t="s">
        <v>650</v>
      </c>
    </row>
    <row r="6060" spans="1:14" hidden="1" x14ac:dyDescent="0.3">
      <c r="A6060" s="1" t="s">
        <v>4852</v>
      </c>
      <c r="B6060" s="1" t="s">
        <v>795</v>
      </c>
      <c r="C6060" s="1" t="s">
        <v>4853</v>
      </c>
      <c r="D6060" s="1" t="s">
        <v>738</v>
      </c>
      <c r="E6060" s="1" t="s">
        <v>812</v>
      </c>
      <c r="F6060" s="1" t="s">
        <v>3803</v>
      </c>
      <c r="G6060" s="1" t="s">
        <v>4831</v>
      </c>
      <c r="H6060">
        <v>2007</v>
      </c>
      <c r="I6060">
        <v>2012</v>
      </c>
      <c r="J6060">
        <f t="shared" si="188"/>
        <v>6</v>
      </c>
      <c r="K6060" s="1" t="s">
        <v>3665</v>
      </c>
      <c r="L6060" s="1" t="s">
        <v>649</v>
      </c>
      <c r="M6060">
        <f t="shared" si="189"/>
        <v>14</v>
      </c>
      <c r="N6060" t="s">
        <v>650</v>
      </c>
    </row>
    <row r="6061" spans="1:14" x14ac:dyDescent="0.3">
      <c r="A6061" s="1" t="s">
        <v>10687</v>
      </c>
      <c r="B6061" s="1" t="s">
        <v>12756</v>
      </c>
      <c r="C6061" s="1" t="s">
        <v>10688</v>
      </c>
      <c r="D6061" s="1" t="s">
        <v>746</v>
      </c>
      <c r="E6061" s="1" t="s">
        <v>6076</v>
      </c>
      <c r="F6061" s="1" t="s">
        <v>6076</v>
      </c>
      <c r="G6061" s="1" t="s">
        <v>10689</v>
      </c>
      <c r="H6061">
        <v>2019</v>
      </c>
      <c r="I6061">
        <v>2022</v>
      </c>
      <c r="J6061">
        <f t="shared" si="188"/>
        <v>4</v>
      </c>
      <c r="K6061" s="1" t="s">
        <v>6076</v>
      </c>
      <c r="L6061" s="1" t="s">
        <v>6076</v>
      </c>
      <c r="M6061">
        <f t="shared" si="189"/>
        <v>4</v>
      </c>
      <c r="N6061" t="s">
        <v>650</v>
      </c>
    </row>
    <row r="6062" spans="1:14" x14ac:dyDescent="0.3">
      <c r="A6062" s="1" t="s">
        <v>10690</v>
      </c>
      <c r="B6062" s="1" t="s">
        <v>12756</v>
      </c>
      <c r="C6062" s="1" t="s">
        <v>10691</v>
      </c>
      <c r="D6062" s="1" t="s">
        <v>746</v>
      </c>
      <c r="E6062" s="1" t="s">
        <v>6076</v>
      </c>
      <c r="F6062" s="1" t="s">
        <v>6076</v>
      </c>
      <c r="G6062" s="1" t="s">
        <v>10689</v>
      </c>
      <c r="H6062">
        <v>2019</v>
      </c>
      <c r="I6062">
        <v>2019</v>
      </c>
      <c r="J6062">
        <f t="shared" si="188"/>
        <v>1</v>
      </c>
      <c r="K6062" s="1" t="s">
        <v>6076</v>
      </c>
      <c r="L6062" s="1" t="s">
        <v>6076</v>
      </c>
      <c r="M6062">
        <f t="shared" si="189"/>
        <v>7</v>
      </c>
      <c r="N6062" t="s">
        <v>650</v>
      </c>
    </row>
    <row r="6063" spans="1:14" x14ac:dyDescent="0.3">
      <c r="A6063" s="1" t="s">
        <v>10692</v>
      </c>
      <c r="B6063" s="1" t="s">
        <v>12756</v>
      </c>
      <c r="C6063" s="1" t="s">
        <v>10693</v>
      </c>
      <c r="D6063" s="1" t="s">
        <v>746</v>
      </c>
      <c r="E6063" s="1" t="s">
        <v>6076</v>
      </c>
      <c r="F6063" s="1" t="s">
        <v>6076</v>
      </c>
      <c r="G6063" s="1" t="s">
        <v>10689</v>
      </c>
      <c r="H6063">
        <v>2019</v>
      </c>
      <c r="I6063">
        <v>2019</v>
      </c>
      <c r="J6063">
        <f t="shared" si="188"/>
        <v>1</v>
      </c>
      <c r="K6063" s="1" t="s">
        <v>6076</v>
      </c>
      <c r="L6063" s="1" t="s">
        <v>6076</v>
      </c>
      <c r="M6063">
        <f t="shared" si="189"/>
        <v>7</v>
      </c>
      <c r="N6063" t="s">
        <v>650</v>
      </c>
    </row>
    <row r="6064" spans="1:14" x14ac:dyDescent="0.3">
      <c r="A6064" s="1" t="s">
        <v>10694</v>
      </c>
      <c r="B6064" s="1" t="s">
        <v>12756</v>
      </c>
      <c r="C6064" s="1" t="s">
        <v>10695</v>
      </c>
      <c r="D6064" s="1" t="s">
        <v>746</v>
      </c>
      <c r="E6064" s="1" t="s">
        <v>6076</v>
      </c>
      <c r="F6064" s="1" t="s">
        <v>6076</v>
      </c>
      <c r="G6064" s="1" t="s">
        <v>10689</v>
      </c>
      <c r="H6064">
        <v>2022</v>
      </c>
      <c r="I6064">
        <v>2022</v>
      </c>
      <c r="J6064">
        <f t="shared" si="188"/>
        <v>1</v>
      </c>
      <c r="K6064" s="1" t="s">
        <v>6076</v>
      </c>
      <c r="L6064" s="1" t="s">
        <v>6076</v>
      </c>
      <c r="M6064">
        <f t="shared" si="189"/>
        <v>4</v>
      </c>
      <c r="N6064" t="s">
        <v>650</v>
      </c>
    </row>
    <row r="6065" spans="1:14" x14ac:dyDescent="0.3">
      <c r="A6065" t="s">
        <v>11573</v>
      </c>
      <c r="B6065" t="s">
        <v>910</v>
      </c>
      <c r="C6065" t="s">
        <v>11574</v>
      </c>
      <c r="E6065" s="1" t="s">
        <v>6076</v>
      </c>
      <c r="F6065" s="1" t="s">
        <v>6076</v>
      </c>
      <c r="G6065" s="1" t="s">
        <v>12906</v>
      </c>
      <c r="H6065">
        <v>2024</v>
      </c>
      <c r="I6065">
        <v>2026</v>
      </c>
      <c r="J6065">
        <f t="shared" si="188"/>
        <v>3</v>
      </c>
      <c r="K6065" s="1" t="s">
        <v>6076</v>
      </c>
      <c r="L6065" s="1" t="s">
        <v>6076</v>
      </c>
      <c r="M6065">
        <f t="shared" si="189"/>
        <v>0</v>
      </c>
    </row>
    <row r="6066" spans="1:14" x14ac:dyDescent="0.3">
      <c r="A6066" s="1" t="s">
        <v>10696</v>
      </c>
      <c r="B6066" s="1" t="s">
        <v>2154</v>
      </c>
      <c r="C6066" s="1" t="s">
        <v>10697</v>
      </c>
      <c r="D6066" s="1" t="s">
        <v>3850</v>
      </c>
      <c r="E6066" s="1" t="s">
        <v>6076</v>
      </c>
      <c r="F6066" s="1" t="s">
        <v>6076</v>
      </c>
      <c r="G6066" s="1" t="s">
        <v>10698</v>
      </c>
      <c r="H6066">
        <v>1991</v>
      </c>
      <c r="I6066">
        <v>1994</v>
      </c>
      <c r="J6066">
        <f t="shared" si="188"/>
        <v>4</v>
      </c>
      <c r="K6066" s="1" t="s">
        <v>6076</v>
      </c>
      <c r="L6066" s="1" t="s">
        <v>6076</v>
      </c>
      <c r="M6066">
        <f t="shared" si="189"/>
        <v>32</v>
      </c>
      <c r="N6066" t="s">
        <v>640</v>
      </c>
    </row>
    <row r="6067" spans="1:14" x14ac:dyDescent="0.3">
      <c r="A6067" s="1" t="s">
        <v>10699</v>
      </c>
      <c r="B6067" s="1" t="s">
        <v>672</v>
      </c>
      <c r="C6067" s="1" t="s">
        <v>10700</v>
      </c>
      <c r="D6067" s="1" t="s">
        <v>746</v>
      </c>
      <c r="E6067" s="1" t="s">
        <v>6076</v>
      </c>
      <c r="F6067" s="1" t="s">
        <v>6076</v>
      </c>
      <c r="G6067" s="1" t="s">
        <v>10698</v>
      </c>
      <c r="H6067">
        <v>1992</v>
      </c>
      <c r="I6067">
        <v>1998</v>
      </c>
      <c r="J6067">
        <f t="shared" si="188"/>
        <v>7</v>
      </c>
      <c r="K6067" s="1" t="s">
        <v>6076</v>
      </c>
      <c r="L6067" s="1" t="s">
        <v>6076</v>
      </c>
      <c r="M6067">
        <f t="shared" si="189"/>
        <v>28</v>
      </c>
      <c r="N6067" t="s">
        <v>640</v>
      </c>
    </row>
    <row r="6068" spans="1:14" x14ac:dyDescent="0.3">
      <c r="A6068" s="1" t="s">
        <v>10701</v>
      </c>
      <c r="B6068" s="1" t="s">
        <v>672</v>
      </c>
      <c r="C6068" s="1" t="s">
        <v>10702</v>
      </c>
      <c r="D6068" s="1" t="s">
        <v>746</v>
      </c>
      <c r="E6068" s="1" t="s">
        <v>6076</v>
      </c>
      <c r="F6068" s="1" t="s">
        <v>6076</v>
      </c>
      <c r="G6068" s="1" t="s">
        <v>10698</v>
      </c>
      <c r="H6068">
        <v>1996</v>
      </c>
      <c r="I6068">
        <v>1997</v>
      </c>
      <c r="J6068">
        <f t="shared" si="188"/>
        <v>2</v>
      </c>
      <c r="K6068" s="1" t="s">
        <v>6076</v>
      </c>
      <c r="L6068" s="1" t="s">
        <v>6076</v>
      </c>
      <c r="M6068">
        <f t="shared" si="189"/>
        <v>29</v>
      </c>
      <c r="N6068" t="s">
        <v>640</v>
      </c>
    </row>
    <row r="6069" spans="1:14" x14ac:dyDescent="0.3">
      <c r="A6069" s="1" t="s">
        <v>10703</v>
      </c>
      <c r="B6069" s="1" t="s">
        <v>672</v>
      </c>
      <c r="C6069" s="1" t="s">
        <v>10704</v>
      </c>
      <c r="D6069" s="1" t="s">
        <v>746</v>
      </c>
      <c r="E6069" s="1" t="s">
        <v>6076</v>
      </c>
      <c r="F6069" s="1" t="s">
        <v>6076</v>
      </c>
      <c r="G6069" s="1" t="s">
        <v>10698</v>
      </c>
      <c r="H6069">
        <v>1995</v>
      </c>
      <c r="I6069">
        <v>1998</v>
      </c>
      <c r="J6069">
        <f t="shared" si="188"/>
        <v>4</v>
      </c>
      <c r="K6069" s="1" t="s">
        <v>6076</v>
      </c>
      <c r="L6069" s="1" t="s">
        <v>6076</v>
      </c>
      <c r="M6069">
        <f t="shared" si="189"/>
        <v>28</v>
      </c>
      <c r="N6069" t="s">
        <v>640</v>
      </c>
    </row>
    <row r="6070" spans="1:14" x14ac:dyDescent="0.3">
      <c r="A6070" s="1" t="s">
        <v>10705</v>
      </c>
      <c r="B6070" s="1" t="s">
        <v>672</v>
      </c>
      <c r="C6070" s="1" t="s">
        <v>10706</v>
      </c>
      <c r="D6070" s="1" t="s">
        <v>746</v>
      </c>
      <c r="E6070" s="1" t="s">
        <v>6076</v>
      </c>
      <c r="F6070" s="1" t="s">
        <v>6076</v>
      </c>
      <c r="G6070" s="1" t="s">
        <v>10698</v>
      </c>
      <c r="H6070">
        <v>1996</v>
      </c>
      <c r="I6070">
        <v>1998</v>
      </c>
      <c r="J6070">
        <f t="shared" si="188"/>
        <v>3</v>
      </c>
      <c r="K6070" s="1" t="s">
        <v>6076</v>
      </c>
      <c r="L6070" s="1" t="s">
        <v>6076</v>
      </c>
      <c r="M6070">
        <f t="shared" si="189"/>
        <v>28</v>
      </c>
      <c r="N6070" t="s">
        <v>640</v>
      </c>
    </row>
    <row r="6071" spans="1:14" x14ac:dyDescent="0.3">
      <c r="A6071" s="1" t="s">
        <v>10707</v>
      </c>
      <c r="B6071" s="1" t="s">
        <v>672</v>
      </c>
      <c r="C6071" s="1" t="s">
        <v>10708</v>
      </c>
      <c r="D6071" s="1" t="s">
        <v>746</v>
      </c>
      <c r="E6071" s="1" t="s">
        <v>6076</v>
      </c>
      <c r="F6071" s="1" t="s">
        <v>6076</v>
      </c>
      <c r="G6071" s="1" t="s">
        <v>10698</v>
      </c>
      <c r="H6071">
        <v>1993</v>
      </c>
      <c r="I6071">
        <v>1998</v>
      </c>
      <c r="J6071">
        <f t="shared" si="188"/>
        <v>6</v>
      </c>
      <c r="K6071" s="1" t="s">
        <v>6076</v>
      </c>
      <c r="L6071" s="1" t="s">
        <v>6076</v>
      </c>
      <c r="M6071">
        <f t="shared" si="189"/>
        <v>28</v>
      </c>
      <c r="N6071" t="s">
        <v>640</v>
      </c>
    </row>
  </sheetData>
  <sheetProtection formatColumns="0" formatRows="0" autoFilter="0" pivotTables="0"/>
  <autoFilter ref="A5:N6071" xr:uid="{22CB4BDD-764E-48DB-BDE3-408E74E563F4}">
    <filterColumn colId="10">
      <filters>
        <filter val="NÃO COBRE"/>
      </filters>
    </filterColumn>
    <sortState xmlns:xlrd2="http://schemas.microsoft.com/office/spreadsheetml/2017/richdata2" ref="A6:N6071">
      <sortCondition ref="C5:C6071"/>
    </sortState>
  </autoFilter>
  <conditionalFormatting sqref="A4038:C5119 G4038:I5119">
    <cfRule type="expression" dxfId="98" priority="249">
      <formula>AND($I4038&gt;$F$5)</formula>
    </cfRule>
    <cfRule type="expression" dxfId="97" priority="248">
      <formula>AND($I4038=$F$5)</formula>
    </cfRule>
  </conditionalFormatting>
  <conditionalFormatting sqref="A243:D258 H243:L258 A388:D394 H388:L394 K401:L404 K406:L407 A414:D439 H414:L439 D451 K451:L451 K929:L978 K1251:L1260 K1462:L1492 K1995:L2027 K2093:L2120 K2209:L2209 K2215:L2216 K2236:L2237 K2240:L2240 K2291:L2321 K2346:L2347 K2507:L2513 K2567:L2573 K2590:L2595 K2596:K2603 K2609:L2623 K2788:L2792 K2808:L2829 K2848:L2863 D2851:D2853 D2856 K3020:L3029 K3033:L3048 K3049:K3052 K3053:L3056 K3057:K3058 K3059:L3062 K3062:K3089 F3073:F3089 L3073:L3089 F3099 K3099:L3099 F3113:F3140 K3113:L3140 F3260 K3260:L3260 F3606 K3606:L3606 F3626:F3635 K3626:L3635 F3650 K3650:L3650 F3661:F3662 K3661:L3662 F3669:F3676 K3669:L3676 F3693 K3693:L3693 F3786:F3808 K3786:L3808 F3894:F3895 K3894:L3895 F3898 K3898:L3898 F3903 K3903:L3903 F3912 K3912:L3912 F3921:F3923 K3921:L3923 F3925 K3925:L3925 F3927:F3929 K3927:L3929 F3934:F3936 K3934:L3936 F3944 K3944:L3944">
    <cfRule type="expression" dxfId="96" priority="247">
      <formula>AND($I243=$E$5)</formula>
    </cfRule>
  </conditionalFormatting>
  <conditionalFormatting sqref="A3020:D5119 F3038:L5119 H5120:J5120 A2461:F2973 E3024:F6071 A6:L952 G953:L1002 A953:F1033 F1003:L1033 A1034:L1920 G1921:L1952 A1921:F2038 G1953:J1957 K1954:L1957 K1954:K1970 G1958:L2005 F2006:L2038 A2039:L2460 F2461:L2486 G2487:L2922 F2923:L2973 A2974:L3018 A3019:E3019 F3019:L3023 E3020:E3023 G3024:L3037">
    <cfRule type="expression" dxfId="95" priority="250">
      <formula>AND($I6=$B$2)</formula>
    </cfRule>
  </conditionalFormatting>
  <conditionalFormatting sqref="A6:L952 G953:L1002 A953:F1033 F1003:L1033 A1034:L1920 G1921:L1952 A1921:F2038 G1953:J1957 K1954:L1957 K1954:K1970 G1958:L2005 F2006:L2038 A2039:L2460 F2461:L2486 A2461:F2973 G2487:L2922 F2923:L2973 A2974:L3018 A3019:E3019 F3019:L3023 E3020:E3023 A3020:D5119 G3024:L3037 E3024:F6071 F3038:L5119 H5120:J5120">
    <cfRule type="expression" dxfId="94" priority="251">
      <formula>AND($I6&gt;$B$2)</formula>
    </cfRule>
  </conditionalFormatting>
  <conditionalFormatting sqref="F98:F111 F177:F180 F191 F195 F227 F1004:F1015 F1110:F1111 F1412:F1421 F1487 F1699 F1719:F1723 F1742 F1802:F1803 F1805 F1807:F1809 F1818">
    <cfRule type="expression" dxfId="93" priority="121">
      <formula>AND($I98=$E$5)</formula>
    </cfRule>
  </conditionalFormatting>
  <conditionalFormatting sqref="F225">
    <cfRule type="expression" dxfId="92" priority="118">
      <formula>AND($I225=$E$5)</formula>
    </cfRule>
  </conditionalFormatting>
  <conditionalFormatting sqref="F238">
    <cfRule type="expression" dxfId="91" priority="117">
      <formula>AND($I238=$E$5)</formula>
    </cfRule>
  </conditionalFormatting>
  <conditionalFormatting sqref="F767:F786 F788:F791 F793:F797">
    <cfRule type="expression" dxfId="90" priority="109">
      <formula>AND($I767=$E$5)</formula>
    </cfRule>
  </conditionalFormatting>
  <conditionalFormatting sqref="F1079:F1091">
    <cfRule type="expression" dxfId="89" priority="106">
      <formula>AND($I1079=$E$5)</formula>
    </cfRule>
  </conditionalFormatting>
  <conditionalFormatting sqref="F1102:F1108">
    <cfRule type="expression" dxfId="88" priority="105">
      <formula>AND($I1102=$E$5)</formula>
    </cfRule>
  </conditionalFormatting>
  <conditionalFormatting sqref="F1114:F1117">
    <cfRule type="expression" dxfId="87" priority="104">
      <formula>AND($I1114=$E$5)</formula>
    </cfRule>
  </conditionalFormatting>
  <conditionalFormatting sqref="F1313:F1314">
    <cfRule type="expression" dxfId="86" priority="100">
      <formula>AND($I1313=$E$5)</formula>
    </cfRule>
  </conditionalFormatting>
  <conditionalFormatting sqref="F1453:F1456">
    <cfRule type="expression" dxfId="85" priority="99">
      <formula>AND($I1453=$E$5)</formula>
    </cfRule>
  </conditionalFormatting>
  <conditionalFormatting sqref="F1458:F1465 F1468 F1470:F1484">
    <cfRule type="expression" dxfId="84" priority="98">
      <formula>AND($I1458=$E$5)</formula>
    </cfRule>
  </conditionalFormatting>
  <conditionalFormatting sqref="F1492:F1500">
    <cfRule type="expression" dxfId="83" priority="95">
      <formula>AND($I1492=$E$5)</formula>
    </cfRule>
  </conditionalFormatting>
  <conditionalFormatting sqref="F1567:F1583">
    <cfRule type="expression" dxfId="82" priority="91">
      <formula>AND($I1567=$E$5)</formula>
    </cfRule>
  </conditionalFormatting>
  <conditionalFormatting sqref="F1588 F1596:F1597 F1615:F1642">
    <cfRule type="expression" dxfId="81" priority="94">
      <formula>AND($I1588=$E$5)</formula>
    </cfRule>
  </conditionalFormatting>
  <conditionalFormatting sqref="F2788:F2799 F2851:F2855">
    <cfRule type="expression" dxfId="80" priority="90">
      <formula>AND($I2788&gt;$B$2)</formula>
    </cfRule>
    <cfRule type="expression" dxfId="79" priority="89">
      <formula>AND($I2788=$B$2)</formula>
    </cfRule>
  </conditionalFormatting>
  <conditionalFormatting sqref="F3146:F3152">
    <cfRule type="expression" dxfId="78" priority="4">
      <formula>AND($I3146=$E$5)</formula>
    </cfRule>
  </conditionalFormatting>
  <conditionalFormatting sqref="F3171:F3184">
    <cfRule type="expression" dxfId="77" priority="22">
      <formula>AND($I3171=$E$5)</formula>
    </cfRule>
  </conditionalFormatting>
  <conditionalFormatting sqref="F3186:F3219">
    <cfRule type="expression" dxfId="76" priority="21">
      <formula>AND($I3186=$E$5)</formula>
    </cfRule>
  </conditionalFormatting>
  <conditionalFormatting sqref="F3222">
    <cfRule type="expression" dxfId="75" priority="20">
      <formula>AND($I3222=$E$5)</formula>
    </cfRule>
  </conditionalFormatting>
  <conditionalFormatting sqref="F3232:F3257">
    <cfRule type="expression" dxfId="74" priority="18">
      <formula>AND($I3232=$E$5)</formula>
    </cfRule>
  </conditionalFormatting>
  <conditionalFormatting sqref="F3265:F3323">
    <cfRule type="expression" dxfId="73" priority="16">
      <formula>AND($I3265=$E$5)</formula>
    </cfRule>
  </conditionalFormatting>
  <conditionalFormatting sqref="F3325 F3327:F3356 F3361:F3369">
    <cfRule type="expression" dxfId="72" priority="15">
      <formula>AND($I3325=$E$5)</formula>
    </cfRule>
  </conditionalFormatting>
  <conditionalFormatting sqref="F3373:F3374">
    <cfRule type="expression" dxfId="71" priority="13">
      <formula>AND($I3373=$E$5)</formula>
    </cfRule>
  </conditionalFormatting>
  <conditionalFormatting sqref="F3376:F3383">
    <cfRule type="expression" dxfId="70" priority="12">
      <formula>AND($I3376=$E$5)</formula>
    </cfRule>
  </conditionalFormatting>
  <conditionalFormatting sqref="F3391:F3414">
    <cfRule type="expression" dxfId="69" priority="11">
      <formula>AND($I3391=$E$5)</formula>
    </cfRule>
  </conditionalFormatting>
  <conditionalFormatting sqref="F3419 F3436 F3443:F3448 F3460:F3515 F3539">
    <cfRule type="expression" dxfId="68" priority="14">
      <formula>AND($I3419=$E$5)</formula>
    </cfRule>
  </conditionalFormatting>
  <conditionalFormatting sqref="F3639">
    <cfRule type="expression" dxfId="67" priority="10">
      <formula>AND($I3639=$E$5)</formula>
    </cfRule>
  </conditionalFormatting>
  <conditionalFormatting sqref="F5800:F5876 F5879:F5883 F6032:F6048">
    <cfRule type="expression" dxfId="66" priority="8">
      <formula>AND($I5800=$B$2)</formula>
    </cfRule>
    <cfRule type="expression" dxfId="65" priority="9">
      <formula>AND($I5800&gt;$B$2)</formula>
    </cfRule>
  </conditionalFormatting>
  <conditionalFormatting sqref="H5120:I5123">
    <cfRule type="expression" dxfId="64" priority="137">
      <formula>AND($I5120=$F$5)</formula>
    </cfRule>
    <cfRule type="expression" dxfId="63" priority="138">
      <formula>AND($I5120&gt;$F$5)</formula>
    </cfRule>
  </conditionalFormatting>
  <conditionalFormatting sqref="H5121:I5123">
    <cfRule type="expression" dxfId="62" priority="139">
      <formula>AND($I5121=$B$2)</formula>
    </cfRule>
    <cfRule type="expression" dxfId="61" priority="140">
      <formula>AND($I5121&gt;$B$2)</formula>
    </cfRule>
  </conditionalFormatting>
  <conditionalFormatting sqref="J5121:J6071">
    <cfRule type="expression" dxfId="60" priority="145">
      <formula>AND($I5121=$B$2)</formula>
    </cfRule>
    <cfRule type="expression" dxfId="59" priority="146">
      <formula>AND($I5121&gt;$B$2)</formula>
    </cfRule>
  </conditionalFormatting>
  <conditionalFormatting sqref="K443:K445">
    <cfRule type="expression" dxfId="58" priority="232">
      <formula>AND($I443=$E$5)</formula>
    </cfRule>
  </conditionalFormatting>
  <conditionalFormatting sqref="K449">
    <cfRule type="expression" dxfId="57" priority="231">
      <formula>AND($I449=$E$5)</formula>
    </cfRule>
  </conditionalFormatting>
  <conditionalFormatting sqref="K462">
    <cfRule type="expression" dxfId="56" priority="230">
      <formula>AND($I462=$E$5)</formula>
    </cfRule>
  </conditionalFormatting>
  <conditionalFormatting sqref="K555">
    <cfRule type="expression" dxfId="55" priority="229">
      <formula>AND($I555=$E$5)</formula>
    </cfRule>
  </conditionalFormatting>
  <conditionalFormatting sqref="K585">
    <cfRule type="expression" dxfId="54" priority="228">
      <formula>AND($I585=$E$5)</formula>
    </cfRule>
  </conditionalFormatting>
  <conditionalFormatting sqref="K596:K597">
    <cfRule type="expression" dxfId="53" priority="226">
      <formula>AND($I596=$E$5)</formula>
    </cfRule>
  </conditionalFormatting>
  <conditionalFormatting sqref="K608">
    <cfRule type="expression" dxfId="52" priority="225">
      <formula>AND($I608=$E$5)</formula>
    </cfRule>
  </conditionalFormatting>
  <conditionalFormatting sqref="K617">
    <cfRule type="expression" dxfId="51" priority="224">
      <formula>AND($I617=$E$5)</formula>
    </cfRule>
  </conditionalFormatting>
  <conditionalFormatting sqref="K642">
    <cfRule type="expression" dxfId="50" priority="223">
      <formula>AND($I642=$E$5)</formula>
    </cfRule>
  </conditionalFormatting>
  <conditionalFormatting sqref="K644">
    <cfRule type="expression" dxfId="49" priority="222">
      <formula>AND($I644=$E$5)</formula>
    </cfRule>
  </conditionalFormatting>
  <conditionalFormatting sqref="K664:K665">
    <cfRule type="expression" dxfId="48" priority="220">
      <formula>AND($I664=$E$5)</formula>
    </cfRule>
  </conditionalFormatting>
  <conditionalFormatting sqref="K695">
    <cfRule type="expression" dxfId="47" priority="219">
      <formula>AND($I695=$E$5)</formula>
    </cfRule>
  </conditionalFormatting>
  <conditionalFormatting sqref="K697">
    <cfRule type="expression" dxfId="46" priority="218">
      <formula>AND($I697=$E$5)</formula>
    </cfRule>
  </conditionalFormatting>
  <conditionalFormatting sqref="K2121:K2123">
    <cfRule type="expression" dxfId="45" priority="130">
      <formula>AND($I2121=$E$5)</formula>
    </cfRule>
  </conditionalFormatting>
  <conditionalFormatting sqref="K2150:K2159 K2186:K2195 K2204:K2213">
    <cfRule type="expression" dxfId="44" priority="216">
      <formula>AND($I2150=$E$5)</formula>
    </cfRule>
  </conditionalFormatting>
  <conditionalFormatting sqref="K2830:K2831">
    <cfRule type="expression" dxfId="43" priority="185">
      <formula>AND($I2830=$E$5)</formula>
    </cfRule>
  </conditionalFormatting>
  <conditionalFormatting sqref="K2862">
    <cfRule type="expression" dxfId="42" priority="184">
      <formula>AND($I2862=$E$5)</formula>
    </cfRule>
  </conditionalFormatting>
  <conditionalFormatting sqref="K2872:K2873">
    <cfRule type="expression" dxfId="41" priority="183">
      <formula>AND($I2872=$E$5)</formula>
    </cfRule>
  </conditionalFormatting>
  <conditionalFormatting sqref="K2878">
    <cfRule type="expression" dxfId="40" priority="155">
      <formula>AND($I2878=$E$5)</formula>
    </cfRule>
  </conditionalFormatting>
  <conditionalFormatting sqref="K341:L346">
    <cfRule type="expression" dxfId="39" priority="133">
      <formula>AND($I341=$E$5)</formula>
    </cfRule>
  </conditionalFormatting>
  <conditionalFormatting sqref="K530:L532">
    <cfRule type="expression" dxfId="38" priority="237">
      <formula>AND($I530=$E$5)</formula>
    </cfRule>
  </conditionalFormatting>
  <conditionalFormatting sqref="K1283:L1299">
    <cfRule type="expression" dxfId="37" priority="240">
      <formula>AND($I1283=$E$5)</formula>
    </cfRule>
  </conditionalFormatting>
  <conditionalFormatting sqref="K1302:L1326">
    <cfRule type="expression" dxfId="36" priority="233">
      <formula>AND($I1302=$E$5)</formula>
    </cfRule>
  </conditionalFormatting>
  <conditionalFormatting sqref="K1501:L1522 K1550:L1559 K1560:K1571 L1562:L1563 K1565:L1565 L1569:L1575">
    <cfRule type="expression" dxfId="35" priority="217">
      <formula>AND($I1501=$E$5)</formula>
    </cfRule>
  </conditionalFormatting>
  <conditionalFormatting sqref="K1573:L1574">
    <cfRule type="expression" dxfId="34" priority="162">
      <formula>AND($I1573=$E$5)</formula>
    </cfRule>
  </conditionalFormatting>
  <conditionalFormatting sqref="K1583:L1586 K1587:K1593">
    <cfRule type="expression" dxfId="33" priority="161">
      <formula>AND($I1583=$E$5)</formula>
    </cfRule>
  </conditionalFormatting>
  <conditionalFormatting sqref="K1953:L1953">
    <cfRule type="expression" dxfId="32" priority="253">
      <formula>AND($I1952&gt;$B$2)</formula>
    </cfRule>
    <cfRule type="expression" dxfId="31" priority="252">
      <formula>AND($I1952=$B$2)</formula>
    </cfRule>
  </conditionalFormatting>
  <conditionalFormatting sqref="K2222:L2227">
    <cfRule type="expression" dxfId="30" priority="213">
      <formula>AND($I2222=$E$5)</formula>
    </cfRule>
  </conditionalFormatting>
  <conditionalFormatting sqref="K2262:L2263">
    <cfRule type="expression" dxfId="29" priority="211">
      <formula>AND($I2262=$E$5)</formula>
    </cfRule>
  </conditionalFormatting>
  <conditionalFormatting sqref="K2327:L2333">
    <cfRule type="expression" dxfId="28" priority="204">
      <formula>AND($I2327=$E$5)</formula>
    </cfRule>
  </conditionalFormatting>
  <conditionalFormatting sqref="K2354:L2366">
    <cfRule type="expression" dxfId="27" priority="159">
      <formula>AND($I2354=$E$5)</formula>
    </cfRule>
  </conditionalFormatting>
  <conditionalFormatting sqref="K2374:L2375">
    <cfRule type="expression" dxfId="26" priority="192">
      <formula>AND($I2374=$E$5)</formula>
    </cfRule>
  </conditionalFormatting>
  <conditionalFormatting sqref="K2377:L2383">
    <cfRule type="expression" dxfId="25" priority="156">
      <formula>AND($I2377=$E$5)</formula>
    </cfRule>
  </conditionalFormatting>
  <conditionalFormatting sqref="K2385:L2385">
    <cfRule type="expression" dxfId="24" priority="189">
      <formula>AND($I2385=$E$5)</formula>
    </cfRule>
  </conditionalFormatting>
  <conditionalFormatting sqref="K2388:L2388">
    <cfRule type="expression" dxfId="23" priority="188">
      <formula>AND($I2388=$E$5)</formula>
    </cfRule>
  </conditionalFormatting>
  <conditionalFormatting sqref="K2400:L2413">
    <cfRule type="expression" dxfId="22" priority="187">
      <formula>AND($I2400=$E$5)</formula>
    </cfRule>
  </conditionalFormatting>
  <conditionalFormatting sqref="K2556:L2557">
    <cfRule type="expression" dxfId="21" priority="163">
      <formula>AND($I2556=$E$5)</formula>
    </cfRule>
  </conditionalFormatting>
  <conditionalFormatting sqref="K3146:L3152">
    <cfRule type="expression" dxfId="20" priority="126">
      <formula>AND($I3146=$E$5)</formula>
    </cfRule>
  </conditionalFormatting>
  <conditionalFormatting sqref="K3171:L3184">
    <cfRule type="expression" dxfId="19" priority="51">
      <formula>AND($I3171=$E$5)</formula>
    </cfRule>
  </conditionalFormatting>
  <conditionalFormatting sqref="K3186:L3219">
    <cfRule type="expression" dxfId="18" priority="181">
      <formula>AND($I3186=$E$5)</formula>
    </cfRule>
  </conditionalFormatting>
  <conditionalFormatting sqref="K3222:L3222">
    <cfRule type="expression" dxfId="17" priority="179">
      <formula>AND($I3222=$E$5)</formula>
    </cfRule>
  </conditionalFormatting>
  <conditionalFormatting sqref="K3232:L3257">
    <cfRule type="expression" dxfId="16" priority="49">
      <formula>AND($I3232=$E$5)</formula>
    </cfRule>
  </conditionalFormatting>
  <conditionalFormatting sqref="K3265:L3323">
    <cfRule type="expression" dxfId="15" priority="47">
      <formula>AND($I3265=$E$5)</formula>
    </cfRule>
  </conditionalFormatting>
  <conditionalFormatting sqref="K3325:L3325 K3327:L3356 K3361:L3369">
    <cfRule type="expression" dxfId="14" priority="165">
      <formula>AND($I3325=$E$5)</formula>
    </cfRule>
  </conditionalFormatting>
  <conditionalFormatting sqref="K3373:L3374">
    <cfRule type="expression" dxfId="13" priority="46">
      <formula>AND($I3373=$E$5)</formula>
    </cfRule>
  </conditionalFormatting>
  <conditionalFormatting sqref="K3376:L3383">
    <cfRule type="expression" dxfId="12" priority="45">
      <formula>AND($I3376=$E$5)</formula>
    </cfRule>
  </conditionalFormatting>
  <conditionalFormatting sqref="K3391:L3414">
    <cfRule type="expression" dxfId="11" priority="44">
      <formula>AND($I3391=$E$5)</formula>
    </cfRule>
  </conditionalFormatting>
  <conditionalFormatting sqref="K3419:L3419 K3436:L3436 K3443:L3448 K3460:L3515 K3539:L3539">
    <cfRule type="expression" dxfId="10" priority="164">
      <formula>AND($I3419=$E$5)</formula>
    </cfRule>
  </conditionalFormatting>
  <conditionalFormatting sqref="K3639:L3639">
    <cfRule type="expression" dxfId="9" priority="151">
      <formula>AND($I3639=$E$5)</formula>
    </cfRule>
  </conditionalFormatting>
  <conditionalFormatting sqref="K5800:L5876 K5879:L5883 K6032:L6048">
    <cfRule type="expression" dxfId="8" priority="43">
      <formula>AND($I5800&gt;$B$2)</formula>
    </cfRule>
    <cfRule type="expression" dxfId="7" priority="42">
      <formula>AND($I5800=$B$2)</formula>
    </cfRule>
  </conditionalFormatting>
  <conditionalFormatting sqref="L1587:L1590">
    <cfRule type="expression" dxfId="6" priority="1">
      <formula>AND($I1587=$E$5)</formula>
    </cfRule>
  </conditionalFormatting>
  <conditionalFormatting sqref="M6:M6071">
    <cfRule type="expression" dxfId="5" priority="242">
      <formula>AND($M6&lt;=5)</formula>
    </cfRule>
    <cfRule type="expression" dxfId="4" priority="243">
      <formula>AND($M6&lt;=10)</formula>
    </cfRule>
    <cfRule type="expression" dxfId="3" priority="244">
      <formula>AND($M6&lt;=15)</formula>
    </cfRule>
    <cfRule type="expression" dxfId="2" priority="245">
      <formula>AND(M6&lt;=20)</formula>
    </cfRule>
    <cfRule type="expression" dxfId="1" priority="246">
      <formula>AND($M6&gt;20)</formula>
    </cfRule>
    <cfRule type="expression" dxfId="0" priority="241">
      <formula>AND($M6&lt;=0)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B5FD3-ECC9-4E1D-A358-26D8FE4B65EC}">
  <sheetPr>
    <tabColor theme="1" tint="4.9989318521683403E-2"/>
  </sheetPr>
  <dimension ref="A1:BL43"/>
  <sheetViews>
    <sheetView showGridLines="0" topLeftCell="AD10" zoomScaleNormal="100" workbookViewId="0">
      <selection activeCell="AK14" sqref="AK14"/>
    </sheetView>
  </sheetViews>
  <sheetFormatPr defaultRowHeight="14.4" x14ac:dyDescent="0.3"/>
  <cols>
    <col min="1" max="1" width="14" bestFit="1" customWidth="1"/>
    <col min="2" max="2" width="6.109375" bestFit="1" customWidth="1"/>
    <col min="3" max="3" width="13.44140625" style="13" bestFit="1" customWidth="1"/>
    <col min="4" max="5" width="9.33203125" style="13" bestFit="1" customWidth="1"/>
    <col min="6" max="6" width="13.44140625" style="13" bestFit="1" customWidth="1"/>
    <col min="7" max="7" width="10.33203125" style="13" bestFit="1" customWidth="1"/>
    <col min="8" max="8" width="11.88671875" style="13" bestFit="1" customWidth="1"/>
    <col min="10" max="10" width="14" bestFit="1" customWidth="1"/>
    <col min="11" max="11" width="6.109375" bestFit="1" customWidth="1"/>
    <col min="12" max="12" width="10.33203125" style="13" bestFit="1" customWidth="1"/>
    <col min="13" max="14" width="9.33203125" style="13" bestFit="1" customWidth="1"/>
    <col min="15" max="15" width="13.44140625" style="13" bestFit="1" customWidth="1"/>
    <col min="16" max="16" width="10.33203125" style="13" bestFit="1" customWidth="1"/>
    <col min="17" max="17" width="11.88671875" style="13" bestFit="1" customWidth="1"/>
    <col min="19" max="19" width="14" bestFit="1" customWidth="1"/>
    <col min="20" max="20" width="6.109375" bestFit="1" customWidth="1"/>
    <col min="21" max="21" width="10.33203125" style="13" bestFit="1" customWidth="1"/>
    <col min="22" max="23" width="9.33203125" style="13" bestFit="1" customWidth="1"/>
    <col min="24" max="24" width="13.44140625" style="13" bestFit="1" customWidth="1"/>
    <col min="25" max="25" width="10.33203125" style="13" bestFit="1" customWidth="1"/>
    <col min="26" max="26" width="11.88671875" style="13" bestFit="1" customWidth="1"/>
    <col min="28" max="28" width="14" bestFit="1" customWidth="1"/>
    <col min="29" max="29" width="6.109375" bestFit="1" customWidth="1"/>
    <col min="30" max="30" width="10.33203125" bestFit="1" customWidth="1"/>
    <col min="31" max="32" width="9.33203125" bestFit="1" customWidth="1"/>
    <col min="33" max="33" width="13.44140625" bestFit="1" customWidth="1"/>
    <col min="34" max="34" width="10.33203125" bestFit="1" customWidth="1"/>
    <col min="35" max="35" width="11.88671875" bestFit="1" customWidth="1"/>
    <col min="37" max="37" width="14" bestFit="1" customWidth="1"/>
    <col min="38" max="38" width="7.6640625" bestFit="1" customWidth="1"/>
    <col min="39" max="39" width="10.33203125" bestFit="1" customWidth="1"/>
    <col min="40" max="41" width="9.33203125" bestFit="1" customWidth="1"/>
    <col min="42" max="42" width="13.44140625" bestFit="1" customWidth="1"/>
    <col min="43" max="43" width="10.33203125" bestFit="1" customWidth="1"/>
    <col min="44" max="44" width="11.88671875" bestFit="1" customWidth="1"/>
    <col min="46" max="46" width="14" bestFit="1" customWidth="1"/>
    <col min="47" max="47" width="6.109375" bestFit="1" customWidth="1"/>
    <col min="48" max="48" width="10.33203125" bestFit="1" customWidth="1"/>
    <col min="49" max="50" width="9.33203125" bestFit="1" customWidth="1"/>
    <col min="51" max="51" width="13.44140625" bestFit="1" customWidth="1"/>
    <col min="52" max="52" width="10.33203125" bestFit="1" customWidth="1"/>
    <col min="53" max="53" width="11.88671875" bestFit="1" customWidth="1"/>
    <col min="55" max="55" width="14" bestFit="1" customWidth="1"/>
    <col min="56" max="56" width="6.109375" bestFit="1" customWidth="1"/>
    <col min="57" max="57" width="10.33203125" bestFit="1" customWidth="1"/>
    <col min="58" max="59" width="9.33203125" bestFit="1" customWidth="1"/>
    <col min="60" max="60" width="13.44140625" bestFit="1" customWidth="1"/>
    <col min="61" max="61" width="10.33203125" bestFit="1" customWidth="1"/>
    <col min="62" max="62" width="11.88671875" bestFit="1" customWidth="1"/>
  </cols>
  <sheetData>
    <row r="1" spans="1:64" x14ac:dyDescent="0.3">
      <c r="A1" s="13" t="s">
        <v>12918</v>
      </c>
      <c r="B1" t="s">
        <v>12919</v>
      </c>
      <c r="C1" t="s">
        <v>12920</v>
      </c>
      <c r="D1"/>
      <c r="E1"/>
      <c r="F1"/>
      <c r="H1"/>
      <c r="K1" s="13"/>
      <c r="L1"/>
      <c r="M1"/>
      <c r="N1"/>
      <c r="O1"/>
      <c r="P1"/>
      <c r="Q1"/>
      <c r="U1"/>
      <c r="V1"/>
      <c r="W1"/>
      <c r="X1"/>
      <c r="Y1"/>
      <c r="Z1"/>
    </row>
    <row r="2" spans="1:64" x14ac:dyDescent="0.3">
      <c r="A2" s="13" t="s">
        <v>798</v>
      </c>
      <c r="B2" s="8">
        <v>5</v>
      </c>
      <c r="C2" s="13">
        <v>1250</v>
      </c>
      <c r="D2"/>
      <c r="E2"/>
      <c r="F2"/>
      <c r="H2"/>
      <c r="K2" s="13"/>
      <c r="L2"/>
      <c r="M2"/>
      <c r="N2"/>
      <c r="O2"/>
      <c r="P2"/>
      <c r="Q2"/>
      <c r="U2"/>
      <c r="V2"/>
      <c r="W2"/>
      <c r="X2"/>
      <c r="Y2"/>
      <c r="Z2"/>
    </row>
    <row r="3" spans="1:64" x14ac:dyDescent="0.3">
      <c r="A3" s="13" t="s">
        <v>666</v>
      </c>
      <c r="B3" s="8">
        <v>6</v>
      </c>
      <c r="C3" s="13">
        <v>1500</v>
      </c>
      <c r="D3"/>
      <c r="E3"/>
      <c r="F3"/>
      <c r="H3"/>
      <c r="K3" s="13"/>
      <c r="L3"/>
      <c r="M3"/>
      <c r="N3"/>
      <c r="O3"/>
      <c r="P3"/>
      <c r="Q3"/>
      <c r="U3"/>
      <c r="V3"/>
      <c r="W3"/>
      <c r="X3"/>
      <c r="Y3"/>
      <c r="Z3"/>
    </row>
    <row r="4" spans="1:64" x14ac:dyDescent="0.3">
      <c r="A4" s="13" t="s">
        <v>649</v>
      </c>
      <c r="B4" s="8">
        <v>7</v>
      </c>
      <c r="C4" s="13">
        <v>1750</v>
      </c>
      <c r="D4"/>
      <c r="E4"/>
      <c r="F4"/>
      <c r="H4"/>
      <c r="K4" s="13"/>
      <c r="L4"/>
      <c r="M4"/>
      <c r="N4"/>
      <c r="O4"/>
      <c r="P4"/>
      <c r="Q4"/>
      <c r="U4"/>
      <c r="V4"/>
      <c r="W4"/>
      <c r="X4"/>
      <c r="Y4"/>
      <c r="Z4"/>
    </row>
    <row r="5" spans="1:64" x14ac:dyDescent="0.3">
      <c r="A5" s="13" t="s">
        <v>659</v>
      </c>
      <c r="B5" s="8">
        <v>8</v>
      </c>
      <c r="C5" s="13">
        <v>2000</v>
      </c>
      <c r="D5"/>
      <c r="E5"/>
      <c r="F5"/>
      <c r="H5"/>
      <c r="K5" s="13"/>
      <c r="L5"/>
      <c r="M5"/>
      <c r="N5"/>
      <c r="O5"/>
      <c r="P5"/>
      <c r="Q5"/>
      <c r="U5"/>
      <c r="V5"/>
      <c r="W5"/>
      <c r="X5"/>
      <c r="Y5"/>
      <c r="Z5"/>
    </row>
    <row r="6" spans="1:64" x14ac:dyDescent="0.3">
      <c r="A6" s="13" t="s">
        <v>5182</v>
      </c>
      <c r="B6" s="8">
        <v>9</v>
      </c>
      <c r="C6" s="13">
        <v>2250</v>
      </c>
      <c r="D6"/>
      <c r="E6"/>
      <c r="F6"/>
      <c r="H6"/>
      <c r="K6" s="13"/>
      <c r="L6"/>
      <c r="M6"/>
      <c r="N6"/>
      <c r="O6"/>
      <c r="P6"/>
      <c r="Q6"/>
      <c r="U6"/>
      <c r="V6"/>
      <c r="W6"/>
      <c r="X6"/>
      <c r="Y6"/>
      <c r="Z6"/>
    </row>
    <row r="7" spans="1:64" x14ac:dyDescent="0.3">
      <c r="A7" s="13" t="s">
        <v>3793</v>
      </c>
      <c r="B7" s="8">
        <v>10</v>
      </c>
      <c r="C7" s="13">
        <v>2500</v>
      </c>
      <c r="D7"/>
      <c r="E7"/>
      <c r="F7"/>
      <c r="H7"/>
      <c r="K7" s="13"/>
      <c r="L7"/>
      <c r="M7"/>
      <c r="N7"/>
      <c r="O7"/>
      <c r="P7"/>
      <c r="Q7"/>
      <c r="U7"/>
      <c r="V7"/>
      <c r="W7"/>
      <c r="X7"/>
      <c r="Y7"/>
      <c r="Z7"/>
    </row>
    <row r="8" spans="1:64" x14ac:dyDescent="0.3">
      <c r="A8" s="13" t="s">
        <v>12921</v>
      </c>
      <c r="B8" s="8">
        <v>15</v>
      </c>
      <c r="C8" s="13">
        <v>1250</v>
      </c>
      <c r="D8"/>
      <c r="E8"/>
      <c r="F8"/>
      <c r="H8"/>
      <c r="K8" s="13"/>
      <c r="L8"/>
      <c r="M8"/>
      <c r="N8"/>
      <c r="O8"/>
      <c r="P8"/>
      <c r="Q8"/>
      <c r="U8"/>
      <c r="V8"/>
      <c r="W8"/>
      <c r="X8"/>
      <c r="Y8"/>
      <c r="Z8"/>
    </row>
    <row r="10" spans="1:64" s="14" customFormat="1" x14ac:dyDescent="0.3">
      <c r="A10" s="14" t="s">
        <v>12922</v>
      </c>
      <c r="B10" s="14" t="s">
        <v>12923</v>
      </c>
      <c r="C10" s="15"/>
      <c r="D10" s="15"/>
      <c r="E10" s="15"/>
      <c r="F10" s="15"/>
      <c r="G10" s="15"/>
      <c r="H10" s="15"/>
      <c r="J10" s="14" t="s">
        <v>741</v>
      </c>
      <c r="L10" s="15"/>
      <c r="M10" s="15"/>
      <c r="N10" s="15"/>
      <c r="O10" s="15"/>
      <c r="P10" s="15"/>
      <c r="Q10" s="15"/>
      <c r="S10" s="14" t="s">
        <v>3665</v>
      </c>
      <c r="U10" s="15"/>
      <c r="V10" s="15"/>
      <c r="W10" s="15"/>
      <c r="X10" s="15"/>
      <c r="Y10" s="15"/>
      <c r="Z10" s="15"/>
      <c r="AB10" s="14" t="s">
        <v>4668</v>
      </c>
      <c r="AD10" s="15"/>
      <c r="AE10" s="15"/>
      <c r="AF10" s="15"/>
      <c r="AG10" s="15"/>
      <c r="AH10" s="15"/>
      <c r="AI10" s="15"/>
      <c r="AK10" s="14" t="s">
        <v>5909</v>
      </c>
      <c r="AM10" s="15"/>
      <c r="AN10" s="15"/>
      <c r="AO10" s="15"/>
      <c r="AP10" s="15"/>
      <c r="AQ10" s="15"/>
      <c r="AR10" s="15"/>
      <c r="AT10" s="14" t="s">
        <v>12924</v>
      </c>
      <c r="AV10" s="15"/>
      <c r="AW10" s="15"/>
      <c r="AX10" s="15"/>
      <c r="AY10" s="15"/>
      <c r="AZ10" s="15"/>
      <c r="BA10" s="15"/>
      <c r="BC10" s="14" t="s">
        <v>12925</v>
      </c>
      <c r="BE10" s="15"/>
      <c r="BF10" s="15"/>
      <c r="BG10" s="15"/>
      <c r="BH10" s="15"/>
      <c r="BI10" s="15"/>
      <c r="BJ10" s="15"/>
    </row>
    <row r="11" spans="1:64" s="19" customFormat="1" ht="32.4" customHeight="1" x14ac:dyDescent="0.3">
      <c r="A11" s="16" t="s">
        <v>0</v>
      </c>
      <c r="B11" s="16" t="s">
        <v>12919</v>
      </c>
      <c r="C11" s="17" t="s">
        <v>12926</v>
      </c>
      <c r="D11" s="17" t="s">
        <v>12927</v>
      </c>
      <c r="E11" s="17" t="s">
        <v>12928</v>
      </c>
      <c r="F11" s="17" t="s">
        <v>12929</v>
      </c>
      <c r="G11" s="17" t="s">
        <v>12930</v>
      </c>
      <c r="H11" s="18" t="s">
        <v>12931</v>
      </c>
      <c r="J11" s="16" t="s">
        <v>0</v>
      </c>
      <c r="K11" s="16" t="s">
        <v>12919</v>
      </c>
      <c r="L11" s="17" t="s">
        <v>12926</v>
      </c>
      <c r="M11" s="17" t="s">
        <v>12927</v>
      </c>
      <c r="N11" s="17" t="s">
        <v>12928</v>
      </c>
      <c r="O11" s="17" t="s">
        <v>12929</v>
      </c>
      <c r="P11" s="17" t="s">
        <v>12930</v>
      </c>
      <c r="Q11" s="18" t="s">
        <v>12931</v>
      </c>
      <c r="S11" s="16" t="s">
        <v>0</v>
      </c>
      <c r="T11" s="16" t="s">
        <v>12919</v>
      </c>
      <c r="U11" s="17" t="s">
        <v>12926</v>
      </c>
      <c r="V11" s="17" t="s">
        <v>12927</v>
      </c>
      <c r="W11" s="17" t="s">
        <v>12928</v>
      </c>
      <c r="X11" s="17" t="s">
        <v>12929</v>
      </c>
      <c r="Y11" s="17" t="s">
        <v>12930</v>
      </c>
      <c r="Z11" s="18" t="s">
        <v>12931</v>
      </c>
      <c r="AB11" s="16" t="s">
        <v>0</v>
      </c>
      <c r="AC11" s="16" t="s">
        <v>12919</v>
      </c>
      <c r="AD11" s="17" t="s">
        <v>12926</v>
      </c>
      <c r="AE11" s="17" t="s">
        <v>12927</v>
      </c>
      <c r="AF11" s="17" t="s">
        <v>12928</v>
      </c>
      <c r="AG11" s="17" t="s">
        <v>12929</v>
      </c>
      <c r="AH11" s="17" t="s">
        <v>12930</v>
      </c>
      <c r="AI11" s="18" t="s">
        <v>12931</v>
      </c>
      <c r="AK11" s="16" t="s">
        <v>0</v>
      </c>
      <c r="AL11" s="16" t="s">
        <v>12919</v>
      </c>
      <c r="AM11" s="17" t="s">
        <v>12926</v>
      </c>
      <c r="AN11" s="17" t="s">
        <v>12927</v>
      </c>
      <c r="AO11" s="17" t="s">
        <v>12928</v>
      </c>
      <c r="AP11" s="17" t="s">
        <v>12929</v>
      </c>
      <c r="AQ11" s="17" t="s">
        <v>12930</v>
      </c>
      <c r="AR11" s="18" t="s">
        <v>12931</v>
      </c>
      <c r="AT11" s="16" t="s">
        <v>0</v>
      </c>
      <c r="AU11" s="16" t="s">
        <v>12919</v>
      </c>
      <c r="AV11" s="17" t="s">
        <v>12926</v>
      </c>
      <c r="AW11" s="17" t="s">
        <v>12927</v>
      </c>
      <c r="AX11" s="17" t="s">
        <v>12928</v>
      </c>
      <c r="AY11" s="17" t="s">
        <v>12929</v>
      </c>
      <c r="AZ11" s="17" t="s">
        <v>12930</v>
      </c>
      <c r="BA11" s="18" t="s">
        <v>12931</v>
      </c>
      <c r="BC11" s="16" t="s">
        <v>0</v>
      </c>
      <c r="BD11" s="16" t="s">
        <v>12919</v>
      </c>
      <c r="BE11" s="17" t="s">
        <v>12926</v>
      </c>
      <c r="BF11" s="17" t="s">
        <v>12927</v>
      </c>
      <c r="BG11" s="17" t="s">
        <v>12928</v>
      </c>
      <c r="BH11" s="17" t="s">
        <v>12929</v>
      </c>
      <c r="BI11" s="17" t="s">
        <v>12930</v>
      </c>
      <c r="BJ11" s="18" t="s">
        <v>12931</v>
      </c>
    </row>
    <row r="12" spans="1:64" x14ac:dyDescent="0.3">
      <c r="A12" s="20">
        <f t="shared" ref="A12:A23" si="0">A13+10000</f>
        <v>195000</v>
      </c>
      <c r="B12" s="21">
        <v>1.1000000000000001E-3</v>
      </c>
      <c r="C12" s="22">
        <f>B12*A12</f>
        <v>214.5</v>
      </c>
      <c r="D12" s="22">
        <v>18.899999999999999</v>
      </c>
      <c r="E12" s="22">
        <v>15.9</v>
      </c>
      <c r="F12" s="22">
        <v>0</v>
      </c>
      <c r="G12" s="22">
        <f t="shared" ref="G12:G24" si="1">C12+D12+E12+F12</f>
        <v>249.3</v>
      </c>
      <c r="H12" s="22">
        <f t="shared" ref="H12:H24" si="2">G12*12</f>
        <v>2991.6000000000004</v>
      </c>
      <c r="J12" s="23">
        <f t="shared" ref="J12:J28" si="3">J13+10000</f>
        <v>195000</v>
      </c>
      <c r="K12" s="24">
        <v>1.4E-3</v>
      </c>
      <c r="L12" s="13">
        <f>K12*J12</f>
        <v>273</v>
      </c>
      <c r="M12" s="13">
        <v>18.899999999999999</v>
      </c>
      <c r="N12" s="13">
        <v>15.9</v>
      </c>
      <c r="O12" s="13">
        <v>0</v>
      </c>
      <c r="P12" s="13">
        <f t="shared" ref="P12:P29" si="4">L12+M12+N12+O12</f>
        <v>307.79999999999995</v>
      </c>
      <c r="Q12" s="13">
        <f t="shared" ref="Q12:Q29" si="5">P12*12</f>
        <v>3693.5999999999995</v>
      </c>
      <c r="R12" s="25"/>
      <c r="S12" s="20">
        <f t="shared" ref="S12:S28" si="6">S13+10000</f>
        <v>195000</v>
      </c>
      <c r="T12" s="21">
        <v>1.6000000000000001E-3</v>
      </c>
      <c r="U12" s="22">
        <f>T12*S12</f>
        <v>312</v>
      </c>
      <c r="V12" s="22">
        <v>18.899999999999999</v>
      </c>
      <c r="W12" s="22">
        <v>15.9</v>
      </c>
      <c r="X12" s="22">
        <v>0</v>
      </c>
      <c r="Y12" s="22">
        <f>U12+V12+W12+X12</f>
        <v>346.79999999999995</v>
      </c>
      <c r="Z12" s="22">
        <f t="shared" ref="Z12:Z29" si="7">Y12*12</f>
        <v>4161.5999999999995</v>
      </c>
      <c r="AA12" s="25"/>
      <c r="AB12" s="23">
        <f t="shared" ref="AB12:AB28" si="8">AB13+10000</f>
        <v>195000</v>
      </c>
      <c r="AC12" s="26">
        <v>1.9E-3</v>
      </c>
      <c r="AD12" s="13">
        <f>AC12*AB12</f>
        <v>370.5</v>
      </c>
      <c r="AE12" s="13">
        <v>18.899999999999999</v>
      </c>
      <c r="AF12" s="13">
        <v>15.9</v>
      </c>
      <c r="AG12" s="13">
        <v>39.9</v>
      </c>
      <c r="AH12" s="13">
        <f>AD12+AE12+AF12+AG12</f>
        <v>445.19999999999993</v>
      </c>
      <c r="AI12" s="13">
        <f t="shared" ref="AI12:AI29" si="9">AH12*12</f>
        <v>5342.4</v>
      </c>
      <c r="AJ12" s="25"/>
      <c r="AK12" s="23">
        <f t="shared" ref="AK12:AK28" si="10">AK13+10000</f>
        <v>195000</v>
      </c>
      <c r="AL12" s="26">
        <f t="shared" ref="AL12:AL27" si="11">AL13-0.0001</f>
        <v>3.6000000000000008E-3</v>
      </c>
      <c r="AM12" s="13">
        <f>AL12*AK12</f>
        <v>702.00000000000011</v>
      </c>
      <c r="AN12" s="13">
        <v>18.899999999999999</v>
      </c>
      <c r="AO12" s="13">
        <v>15.9</v>
      </c>
      <c r="AP12" s="13">
        <v>39.9</v>
      </c>
      <c r="AQ12" s="13">
        <f>AM12+AN12+AO12+AP12</f>
        <v>776.7</v>
      </c>
      <c r="AR12" s="13">
        <f t="shared" ref="AR12:AR29" si="12">AQ12*12</f>
        <v>9320.4000000000015</v>
      </c>
      <c r="AS12" s="25"/>
      <c r="AT12" s="23">
        <f t="shared" ref="AT12:AT28" si="13">AT13+10000</f>
        <v>195000</v>
      </c>
      <c r="AU12" s="26">
        <v>1.9E-3</v>
      </c>
      <c r="AV12" s="13">
        <f>AU12*AT12</f>
        <v>370.5</v>
      </c>
      <c r="AW12" s="13">
        <v>18.899999999999999</v>
      </c>
      <c r="AX12" s="13">
        <v>15.9</v>
      </c>
      <c r="AY12" s="13">
        <v>39.9</v>
      </c>
      <c r="AZ12" s="13">
        <f>AV12+AW12+AX12+AY12</f>
        <v>445.19999999999993</v>
      </c>
      <c r="BA12" s="13">
        <f t="shared" ref="BA12:BA29" si="14">AZ12*12</f>
        <v>5342.4</v>
      </c>
      <c r="BC12" s="23">
        <f t="shared" ref="BC12:BC28" si="15">BC13+10000</f>
        <v>195000</v>
      </c>
      <c r="BD12" s="26">
        <v>1.9E-3</v>
      </c>
      <c r="BE12" s="13">
        <f t="shared" ref="BE12" si="16">BD12*BC12</f>
        <v>370.5</v>
      </c>
      <c r="BF12" s="13">
        <v>18.899999999999999</v>
      </c>
      <c r="BG12" s="13">
        <v>15.9</v>
      </c>
      <c r="BH12" s="13">
        <v>39.9</v>
      </c>
      <c r="BI12" s="13">
        <f>BE12+BF12+BG12+BH12</f>
        <v>445.19999999999993</v>
      </c>
      <c r="BJ12" s="13">
        <f t="shared" ref="BJ12:BJ29" si="17">BI12*12</f>
        <v>5342.4</v>
      </c>
      <c r="BL12" s="25"/>
    </row>
    <row r="13" spans="1:64" x14ac:dyDescent="0.3">
      <c r="A13" s="20">
        <f t="shared" si="0"/>
        <v>185000</v>
      </c>
      <c r="B13" s="21">
        <v>1.1000000000000001E-3</v>
      </c>
      <c r="C13" s="22">
        <f t="shared" ref="C13:C24" si="18">B13*A13</f>
        <v>203.5</v>
      </c>
      <c r="D13" s="22">
        <v>18.899999999999999</v>
      </c>
      <c r="E13" s="22">
        <v>15.9</v>
      </c>
      <c r="F13" s="22">
        <v>0</v>
      </c>
      <c r="G13" s="22">
        <f t="shared" si="1"/>
        <v>238.3</v>
      </c>
      <c r="H13" s="22">
        <f t="shared" si="2"/>
        <v>2859.6000000000004</v>
      </c>
      <c r="J13" s="23">
        <f t="shared" si="3"/>
        <v>185000</v>
      </c>
      <c r="K13" s="24">
        <v>1.4E-3</v>
      </c>
      <c r="L13" s="13">
        <f t="shared" ref="L13:L29" si="19">K13*J13</f>
        <v>259</v>
      </c>
      <c r="M13" s="13">
        <v>18.899999999999999</v>
      </c>
      <c r="N13" s="13">
        <v>15.9</v>
      </c>
      <c r="O13" s="13">
        <v>0</v>
      </c>
      <c r="P13" s="13">
        <f t="shared" si="4"/>
        <v>293.79999999999995</v>
      </c>
      <c r="Q13" s="13">
        <f t="shared" si="5"/>
        <v>3525.5999999999995</v>
      </c>
      <c r="R13" s="25"/>
      <c r="S13" s="20">
        <f t="shared" si="6"/>
        <v>185000</v>
      </c>
      <c r="T13" s="21">
        <v>1.6000000000000001E-3</v>
      </c>
      <c r="U13" s="22">
        <f t="shared" ref="U13:U29" si="20">T13*S13</f>
        <v>296</v>
      </c>
      <c r="V13" s="22">
        <v>18.899999999999999</v>
      </c>
      <c r="W13" s="22">
        <v>15.9</v>
      </c>
      <c r="X13" s="22">
        <v>0</v>
      </c>
      <c r="Y13" s="22">
        <f t="shared" ref="Y13:Y29" si="21">U13+V13+W13+X13</f>
        <v>330.79999999999995</v>
      </c>
      <c r="Z13" s="22">
        <f t="shared" si="7"/>
        <v>3969.5999999999995</v>
      </c>
      <c r="AA13" s="25"/>
      <c r="AB13" s="23">
        <f t="shared" si="8"/>
        <v>185000</v>
      </c>
      <c r="AC13" s="26">
        <v>2E-3</v>
      </c>
      <c r="AD13" s="13">
        <f t="shared" ref="AD13:AD29" si="22">AC13*AB13</f>
        <v>370</v>
      </c>
      <c r="AE13" s="13">
        <v>18.899999999999999</v>
      </c>
      <c r="AF13" s="13">
        <v>15.9</v>
      </c>
      <c r="AG13" s="13">
        <v>39.9</v>
      </c>
      <c r="AH13" s="13">
        <f t="shared" ref="AH13:AH29" si="23">AD13+AE13+AF13+AG13</f>
        <v>444.69999999999993</v>
      </c>
      <c r="AI13" s="13">
        <f t="shared" si="9"/>
        <v>5336.4</v>
      </c>
      <c r="AJ13" s="25"/>
      <c r="AK13" s="23">
        <f t="shared" si="10"/>
        <v>185000</v>
      </c>
      <c r="AL13" s="26">
        <f t="shared" si="11"/>
        <v>3.7000000000000006E-3</v>
      </c>
      <c r="AM13" s="13">
        <f t="shared" ref="AM13:AM29" si="24">AL13*AK13</f>
        <v>684.50000000000011</v>
      </c>
      <c r="AN13" s="13">
        <v>18.899999999999999</v>
      </c>
      <c r="AO13" s="13">
        <v>15.9</v>
      </c>
      <c r="AP13" s="13">
        <v>39.9</v>
      </c>
      <c r="AQ13" s="13">
        <f t="shared" ref="AQ13:AQ29" si="25">AM13+AN13+AO13+AP13</f>
        <v>759.2</v>
      </c>
      <c r="AR13" s="13">
        <f t="shared" si="12"/>
        <v>9110.4000000000015</v>
      </c>
      <c r="AS13" s="25"/>
      <c r="AT13" s="23">
        <f t="shared" si="13"/>
        <v>185000</v>
      </c>
      <c r="AU13" s="26">
        <v>2E-3</v>
      </c>
      <c r="AV13" s="13">
        <f t="shared" ref="AV13:AV29" si="26">AU13*AT13</f>
        <v>370</v>
      </c>
      <c r="AW13" s="13">
        <v>18.899999999999999</v>
      </c>
      <c r="AX13" s="13">
        <v>15.9</v>
      </c>
      <c r="AY13" s="13">
        <v>39.9</v>
      </c>
      <c r="AZ13" s="13">
        <f t="shared" ref="AZ13:AZ29" si="27">AV13+AW13+AX13+AY13</f>
        <v>444.69999999999993</v>
      </c>
      <c r="BA13" s="13">
        <f t="shared" si="14"/>
        <v>5336.4</v>
      </c>
      <c r="BC13" s="23">
        <f t="shared" si="15"/>
        <v>185000</v>
      </c>
      <c r="BD13" s="26">
        <v>2E-3</v>
      </c>
      <c r="BE13" s="13">
        <f>BD13*BC13</f>
        <v>370</v>
      </c>
      <c r="BF13" s="13">
        <v>18.899999999999999</v>
      </c>
      <c r="BG13" s="13">
        <v>15.9</v>
      </c>
      <c r="BH13" s="13">
        <v>39.9</v>
      </c>
      <c r="BI13" s="13">
        <f t="shared" ref="BI13:BI29" si="28">BE13+BF13+BG13+BH13</f>
        <v>444.69999999999993</v>
      </c>
      <c r="BJ13" s="13">
        <f t="shared" si="17"/>
        <v>5336.4</v>
      </c>
      <c r="BL13" s="25"/>
    </row>
    <row r="14" spans="1:64" x14ac:dyDescent="0.3">
      <c r="A14" s="20">
        <f t="shared" si="0"/>
        <v>175000</v>
      </c>
      <c r="B14" s="21">
        <v>1.1000000000000001E-3</v>
      </c>
      <c r="C14" s="22">
        <f t="shared" si="18"/>
        <v>192.5</v>
      </c>
      <c r="D14" s="22">
        <v>18.899999999999999</v>
      </c>
      <c r="E14" s="22">
        <v>15.9</v>
      </c>
      <c r="F14" s="22">
        <v>0</v>
      </c>
      <c r="G14" s="22">
        <f t="shared" si="1"/>
        <v>227.3</v>
      </c>
      <c r="H14" s="22">
        <f t="shared" si="2"/>
        <v>2727.6000000000004</v>
      </c>
      <c r="J14" s="23">
        <f t="shared" si="3"/>
        <v>175000</v>
      </c>
      <c r="K14" s="24">
        <v>1.4E-3</v>
      </c>
      <c r="L14" s="13">
        <f t="shared" si="19"/>
        <v>245</v>
      </c>
      <c r="M14" s="13">
        <v>18.899999999999999</v>
      </c>
      <c r="N14" s="13">
        <v>15.9</v>
      </c>
      <c r="O14" s="13">
        <v>0</v>
      </c>
      <c r="P14" s="13">
        <f t="shared" si="4"/>
        <v>279.79999999999995</v>
      </c>
      <c r="Q14" s="13">
        <f t="shared" si="5"/>
        <v>3357.5999999999995</v>
      </c>
      <c r="R14" s="25"/>
      <c r="S14" s="20">
        <f t="shared" si="6"/>
        <v>175000</v>
      </c>
      <c r="T14" s="21">
        <v>1.6000000000000001E-3</v>
      </c>
      <c r="U14" s="22">
        <f t="shared" si="20"/>
        <v>280</v>
      </c>
      <c r="V14" s="22">
        <v>18.899999999999999</v>
      </c>
      <c r="W14" s="22">
        <v>15.9</v>
      </c>
      <c r="X14" s="22">
        <v>0</v>
      </c>
      <c r="Y14" s="22">
        <f t="shared" si="21"/>
        <v>314.79999999999995</v>
      </c>
      <c r="Z14" s="22">
        <f t="shared" si="7"/>
        <v>3777.5999999999995</v>
      </c>
      <c r="AA14" s="25"/>
      <c r="AB14" s="23">
        <f t="shared" si="8"/>
        <v>175000</v>
      </c>
      <c r="AC14" s="26">
        <v>2.0999999999999999E-3</v>
      </c>
      <c r="AD14" s="13">
        <f t="shared" si="22"/>
        <v>367.5</v>
      </c>
      <c r="AE14" s="13">
        <v>18.899999999999999</v>
      </c>
      <c r="AF14" s="13">
        <v>15.9</v>
      </c>
      <c r="AG14" s="13">
        <v>39.9</v>
      </c>
      <c r="AH14" s="13">
        <f t="shared" si="23"/>
        <v>442.19999999999993</v>
      </c>
      <c r="AI14" s="13">
        <f t="shared" si="9"/>
        <v>5306.4</v>
      </c>
      <c r="AJ14" s="25"/>
      <c r="AK14" s="23">
        <f t="shared" si="10"/>
        <v>175000</v>
      </c>
      <c r="AL14" s="26">
        <f t="shared" si="11"/>
        <v>3.8000000000000004E-3</v>
      </c>
      <c r="AM14" s="13">
        <f t="shared" si="24"/>
        <v>665.00000000000011</v>
      </c>
      <c r="AN14" s="13">
        <v>18.899999999999999</v>
      </c>
      <c r="AO14" s="13">
        <v>15.9</v>
      </c>
      <c r="AP14" s="13">
        <v>39.9</v>
      </c>
      <c r="AQ14" s="13">
        <f t="shared" si="25"/>
        <v>739.7</v>
      </c>
      <c r="AR14" s="13">
        <f t="shared" si="12"/>
        <v>8876.4000000000015</v>
      </c>
      <c r="AS14" s="25"/>
      <c r="AT14" s="23">
        <f t="shared" si="13"/>
        <v>175000</v>
      </c>
      <c r="AU14" s="26">
        <v>2.0999999999999999E-3</v>
      </c>
      <c r="AV14" s="13">
        <f t="shared" si="26"/>
        <v>367.5</v>
      </c>
      <c r="AW14" s="13">
        <v>18.899999999999999</v>
      </c>
      <c r="AX14" s="13">
        <v>15.9</v>
      </c>
      <c r="AY14" s="13">
        <v>39.9</v>
      </c>
      <c r="AZ14" s="13">
        <f t="shared" si="27"/>
        <v>442.19999999999993</v>
      </c>
      <c r="BA14" s="13">
        <f t="shared" si="14"/>
        <v>5306.4</v>
      </c>
      <c r="BC14" s="23">
        <f t="shared" si="15"/>
        <v>175000</v>
      </c>
      <c r="BD14" s="26">
        <v>2.0999999999999999E-3</v>
      </c>
      <c r="BE14" s="13">
        <f t="shared" ref="BE14:BE29" si="29">BD14*BC14</f>
        <v>367.5</v>
      </c>
      <c r="BF14" s="13">
        <v>18.899999999999999</v>
      </c>
      <c r="BG14" s="13">
        <v>15.9</v>
      </c>
      <c r="BH14" s="13">
        <v>39.9</v>
      </c>
      <c r="BI14" s="13">
        <f t="shared" si="28"/>
        <v>442.19999999999993</v>
      </c>
      <c r="BJ14" s="13">
        <f t="shared" si="17"/>
        <v>5306.4</v>
      </c>
      <c r="BL14" s="25"/>
    </row>
    <row r="15" spans="1:64" x14ac:dyDescent="0.3">
      <c r="A15" s="20">
        <f t="shared" si="0"/>
        <v>165000</v>
      </c>
      <c r="B15" s="21">
        <v>1.1999999999999999E-3</v>
      </c>
      <c r="C15" s="22">
        <f t="shared" si="18"/>
        <v>197.99999999999997</v>
      </c>
      <c r="D15" s="22">
        <v>18.899999999999999</v>
      </c>
      <c r="E15" s="22">
        <v>15.9</v>
      </c>
      <c r="F15" s="22">
        <v>0</v>
      </c>
      <c r="G15" s="22">
        <f t="shared" si="1"/>
        <v>232.79999999999998</v>
      </c>
      <c r="H15" s="22">
        <f t="shared" si="2"/>
        <v>2793.6</v>
      </c>
      <c r="J15" s="23">
        <f t="shared" si="3"/>
        <v>165000</v>
      </c>
      <c r="K15" s="24">
        <v>1.4E-3</v>
      </c>
      <c r="L15" s="13">
        <f t="shared" si="19"/>
        <v>231</v>
      </c>
      <c r="M15" s="13">
        <v>18.899999999999999</v>
      </c>
      <c r="N15" s="13">
        <v>15.9</v>
      </c>
      <c r="O15" s="13">
        <v>0</v>
      </c>
      <c r="P15" s="13">
        <f t="shared" si="4"/>
        <v>265.8</v>
      </c>
      <c r="Q15" s="13">
        <f t="shared" si="5"/>
        <v>3189.6000000000004</v>
      </c>
      <c r="R15" s="25"/>
      <c r="S15" s="20">
        <f t="shared" si="6"/>
        <v>165000</v>
      </c>
      <c r="T15" s="21">
        <v>1.6000000000000001E-3</v>
      </c>
      <c r="U15" s="22">
        <f t="shared" si="20"/>
        <v>264</v>
      </c>
      <c r="V15" s="22">
        <v>18.899999999999999</v>
      </c>
      <c r="W15" s="22">
        <v>15.9</v>
      </c>
      <c r="X15" s="22">
        <v>0</v>
      </c>
      <c r="Y15" s="22">
        <f t="shared" si="21"/>
        <v>298.79999999999995</v>
      </c>
      <c r="Z15" s="22">
        <f t="shared" si="7"/>
        <v>3585.5999999999995</v>
      </c>
      <c r="AA15" s="25"/>
      <c r="AB15" s="23">
        <f t="shared" si="8"/>
        <v>165000</v>
      </c>
      <c r="AC15" s="26">
        <v>2.2000000000000001E-3</v>
      </c>
      <c r="AD15" s="13">
        <f t="shared" si="22"/>
        <v>363</v>
      </c>
      <c r="AE15" s="13">
        <v>18.899999999999999</v>
      </c>
      <c r="AF15" s="13">
        <v>15.9</v>
      </c>
      <c r="AG15" s="13">
        <v>39.9</v>
      </c>
      <c r="AH15" s="13">
        <f t="shared" si="23"/>
        <v>437.69999999999993</v>
      </c>
      <c r="AI15" s="13">
        <f t="shared" si="9"/>
        <v>5252.4</v>
      </c>
      <c r="AJ15" s="25"/>
      <c r="AK15" s="23">
        <f t="shared" si="10"/>
        <v>165000</v>
      </c>
      <c r="AL15" s="26">
        <f t="shared" si="11"/>
        <v>3.9000000000000003E-3</v>
      </c>
      <c r="AM15" s="13">
        <f t="shared" si="24"/>
        <v>643.5</v>
      </c>
      <c r="AN15" s="13">
        <v>18.899999999999999</v>
      </c>
      <c r="AO15" s="13">
        <v>15.9</v>
      </c>
      <c r="AP15" s="13">
        <v>39.9</v>
      </c>
      <c r="AQ15" s="13">
        <f t="shared" si="25"/>
        <v>718.19999999999993</v>
      </c>
      <c r="AR15" s="13">
        <f t="shared" si="12"/>
        <v>8618.4</v>
      </c>
      <c r="AS15" s="25"/>
      <c r="AT15" s="23">
        <f t="shared" si="13"/>
        <v>165000</v>
      </c>
      <c r="AU15" s="26">
        <v>2.2000000000000001E-3</v>
      </c>
      <c r="AV15" s="13">
        <f t="shared" si="26"/>
        <v>363</v>
      </c>
      <c r="AW15" s="13">
        <v>18.899999999999999</v>
      </c>
      <c r="AX15" s="13">
        <v>15.9</v>
      </c>
      <c r="AY15" s="13">
        <v>39.9</v>
      </c>
      <c r="AZ15" s="13">
        <f t="shared" si="27"/>
        <v>437.69999999999993</v>
      </c>
      <c r="BA15" s="13">
        <f t="shared" si="14"/>
        <v>5252.4</v>
      </c>
      <c r="BC15" s="23">
        <f t="shared" si="15"/>
        <v>165000</v>
      </c>
      <c r="BD15" s="26">
        <v>2.2000000000000001E-3</v>
      </c>
      <c r="BE15" s="13">
        <f t="shared" si="29"/>
        <v>363</v>
      </c>
      <c r="BF15" s="13">
        <v>18.899999999999999</v>
      </c>
      <c r="BG15" s="13">
        <v>15.9</v>
      </c>
      <c r="BH15" s="13">
        <v>39.9</v>
      </c>
      <c r="BI15" s="13">
        <f t="shared" si="28"/>
        <v>437.69999999999993</v>
      </c>
      <c r="BJ15" s="13">
        <f t="shared" si="17"/>
        <v>5252.4</v>
      </c>
      <c r="BL15" s="25"/>
    </row>
    <row r="16" spans="1:64" x14ac:dyDescent="0.3">
      <c r="A16" s="20">
        <f t="shared" si="0"/>
        <v>155000</v>
      </c>
      <c r="B16" s="21">
        <v>1.1999999999999999E-3</v>
      </c>
      <c r="C16" s="22">
        <f t="shared" si="18"/>
        <v>185.99999999999997</v>
      </c>
      <c r="D16" s="22">
        <v>18.899999999999999</v>
      </c>
      <c r="E16" s="22">
        <v>15.9</v>
      </c>
      <c r="F16" s="22">
        <v>0</v>
      </c>
      <c r="G16" s="22">
        <f t="shared" si="1"/>
        <v>220.79999999999998</v>
      </c>
      <c r="H16" s="22">
        <f t="shared" si="2"/>
        <v>2649.6</v>
      </c>
      <c r="J16" s="23">
        <f t="shared" si="3"/>
        <v>155000</v>
      </c>
      <c r="K16" s="24">
        <v>1.4E-3</v>
      </c>
      <c r="L16" s="13">
        <f t="shared" si="19"/>
        <v>217</v>
      </c>
      <c r="M16" s="13">
        <v>18.899999999999999</v>
      </c>
      <c r="N16" s="13">
        <v>15.9</v>
      </c>
      <c r="O16" s="13">
        <v>0</v>
      </c>
      <c r="P16" s="13">
        <f t="shared" si="4"/>
        <v>251.8</v>
      </c>
      <c r="Q16" s="13">
        <f t="shared" si="5"/>
        <v>3021.6000000000004</v>
      </c>
      <c r="R16" s="25"/>
      <c r="S16" s="20">
        <f t="shared" si="6"/>
        <v>155000</v>
      </c>
      <c r="T16" s="21">
        <v>1.6000000000000001E-3</v>
      </c>
      <c r="U16" s="22">
        <f t="shared" si="20"/>
        <v>248</v>
      </c>
      <c r="V16" s="22">
        <v>18.899999999999999</v>
      </c>
      <c r="W16" s="22">
        <v>15.9</v>
      </c>
      <c r="X16" s="22">
        <v>0</v>
      </c>
      <c r="Y16" s="22">
        <f t="shared" si="21"/>
        <v>282.79999999999995</v>
      </c>
      <c r="Z16" s="22">
        <f t="shared" si="7"/>
        <v>3393.5999999999995</v>
      </c>
      <c r="AA16" s="25"/>
      <c r="AB16" s="23">
        <f t="shared" si="8"/>
        <v>155000</v>
      </c>
      <c r="AC16" s="26">
        <v>2.3E-3</v>
      </c>
      <c r="AD16" s="13">
        <f t="shared" si="22"/>
        <v>356.5</v>
      </c>
      <c r="AE16" s="13">
        <v>18.899999999999999</v>
      </c>
      <c r="AF16" s="13">
        <v>15.9</v>
      </c>
      <c r="AG16" s="13">
        <v>39.9</v>
      </c>
      <c r="AH16" s="13">
        <f t="shared" si="23"/>
        <v>431.19999999999993</v>
      </c>
      <c r="AI16" s="13">
        <f t="shared" si="9"/>
        <v>5174.3999999999996</v>
      </c>
      <c r="AJ16" s="25"/>
      <c r="AK16" s="23">
        <f t="shared" si="10"/>
        <v>155000</v>
      </c>
      <c r="AL16" s="26">
        <v>4.0000000000000001E-3</v>
      </c>
      <c r="AM16" s="13">
        <f t="shared" si="24"/>
        <v>620</v>
      </c>
      <c r="AN16" s="13">
        <v>18.899999999999999</v>
      </c>
      <c r="AO16" s="13">
        <v>15.9</v>
      </c>
      <c r="AP16" s="13">
        <v>39.9</v>
      </c>
      <c r="AQ16" s="13">
        <f t="shared" si="25"/>
        <v>694.69999999999993</v>
      </c>
      <c r="AR16" s="13">
        <f t="shared" si="12"/>
        <v>8336.4</v>
      </c>
      <c r="AS16" s="25"/>
      <c r="AT16" s="23">
        <f t="shared" si="13"/>
        <v>155000</v>
      </c>
      <c r="AU16" s="26">
        <v>2.3E-3</v>
      </c>
      <c r="AV16" s="13">
        <f t="shared" si="26"/>
        <v>356.5</v>
      </c>
      <c r="AW16" s="13">
        <v>18.899999999999999</v>
      </c>
      <c r="AX16" s="13">
        <v>15.9</v>
      </c>
      <c r="AY16" s="13">
        <v>39.9</v>
      </c>
      <c r="AZ16" s="13">
        <f t="shared" si="27"/>
        <v>431.19999999999993</v>
      </c>
      <c r="BA16" s="13">
        <f t="shared" si="14"/>
        <v>5174.3999999999996</v>
      </c>
      <c r="BC16" s="23">
        <f t="shared" si="15"/>
        <v>155000</v>
      </c>
      <c r="BD16" s="26">
        <v>2.3E-3</v>
      </c>
      <c r="BE16" s="13">
        <f t="shared" si="29"/>
        <v>356.5</v>
      </c>
      <c r="BF16" s="13">
        <v>18.899999999999999</v>
      </c>
      <c r="BG16" s="13">
        <v>15.9</v>
      </c>
      <c r="BH16" s="13">
        <v>39.9</v>
      </c>
      <c r="BI16" s="13">
        <f t="shared" si="28"/>
        <v>431.19999999999993</v>
      </c>
      <c r="BJ16" s="13">
        <f t="shared" si="17"/>
        <v>5174.3999999999996</v>
      </c>
      <c r="BL16" s="25"/>
    </row>
    <row r="17" spans="1:64" x14ac:dyDescent="0.3">
      <c r="A17" s="20">
        <f t="shared" si="0"/>
        <v>145000</v>
      </c>
      <c r="B17" s="21">
        <v>1.2999999999999999E-3</v>
      </c>
      <c r="C17" s="22">
        <f t="shared" si="18"/>
        <v>188.5</v>
      </c>
      <c r="D17" s="22">
        <v>18.899999999999999</v>
      </c>
      <c r="E17" s="22">
        <v>15.9</v>
      </c>
      <c r="F17" s="22">
        <v>0</v>
      </c>
      <c r="G17" s="22">
        <f t="shared" si="1"/>
        <v>223.3</v>
      </c>
      <c r="H17" s="22">
        <f t="shared" si="2"/>
        <v>2679.6000000000004</v>
      </c>
      <c r="J17" s="20">
        <f t="shared" si="3"/>
        <v>145000</v>
      </c>
      <c r="K17" s="21">
        <v>1.6000000000000001E-3</v>
      </c>
      <c r="L17" s="22">
        <f t="shared" si="19"/>
        <v>232</v>
      </c>
      <c r="M17" s="22">
        <v>18.899999999999999</v>
      </c>
      <c r="N17" s="22">
        <v>15.9</v>
      </c>
      <c r="O17" s="22">
        <v>0</v>
      </c>
      <c r="P17" s="22">
        <f t="shared" si="4"/>
        <v>266.8</v>
      </c>
      <c r="Q17" s="22">
        <f t="shared" si="5"/>
        <v>3201.6000000000004</v>
      </c>
      <c r="R17" s="25"/>
      <c r="S17" s="20">
        <f t="shared" si="6"/>
        <v>145000</v>
      </c>
      <c r="T17" s="21">
        <v>1.6000000000000001E-3</v>
      </c>
      <c r="U17" s="22">
        <f t="shared" si="20"/>
        <v>232</v>
      </c>
      <c r="V17" s="22">
        <v>18.899999999999999</v>
      </c>
      <c r="W17" s="22">
        <v>15.9</v>
      </c>
      <c r="X17" s="22">
        <v>39.9</v>
      </c>
      <c r="Y17" s="22">
        <f t="shared" si="21"/>
        <v>306.7</v>
      </c>
      <c r="Z17" s="22">
        <f t="shared" si="7"/>
        <v>3680.3999999999996</v>
      </c>
      <c r="AA17" s="25"/>
      <c r="AB17" s="20">
        <f t="shared" si="8"/>
        <v>145000</v>
      </c>
      <c r="AC17" s="21">
        <v>2.3999999999999998E-3</v>
      </c>
      <c r="AD17" s="22">
        <f t="shared" si="22"/>
        <v>347.99999999999994</v>
      </c>
      <c r="AE17" s="22">
        <v>18.899999999999999</v>
      </c>
      <c r="AF17" s="22">
        <v>15.9</v>
      </c>
      <c r="AG17" s="22">
        <v>39.9</v>
      </c>
      <c r="AH17" s="22">
        <f t="shared" si="23"/>
        <v>422.69999999999987</v>
      </c>
      <c r="AI17" s="22">
        <f t="shared" si="9"/>
        <v>5072.3999999999987</v>
      </c>
      <c r="AJ17" s="25"/>
      <c r="AK17" s="20">
        <f t="shared" si="10"/>
        <v>145000</v>
      </c>
      <c r="AL17" s="27">
        <f t="shared" si="11"/>
        <v>4.5999999999999991E-3</v>
      </c>
      <c r="AM17" s="22">
        <f t="shared" si="24"/>
        <v>666.99999999999989</v>
      </c>
      <c r="AN17" s="22">
        <v>18.899999999999999</v>
      </c>
      <c r="AO17" s="22">
        <v>15.9</v>
      </c>
      <c r="AP17" s="22">
        <v>39.9</v>
      </c>
      <c r="AQ17" s="22">
        <f t="shared" si="25"/>
        <v>741.69999999999982</v>
      </c>
      <c r="AR17" s="22">
        <f t="shared" si="12"/>
        <v>8900.3999999999978</v>
      </c>
      <c r="AS17" s="25"/>
      <c r="AT17" s="23">
        <f t="shared" si="13"/>
        <v>145000</v>
      </c>
      <c r="AU17" s="26">
        <v>2.3999999999999998E-3</v>
      </c>
      <c r="AV17" s="13">
        <f t="shared" si="26"/>
        <v>347.99999999999994</v>
      </c>
      <c r="AW17" s="13">
        <v>18.899999999999999</v>
      </c>
      <c r="AX17" s="13">
        <v>15.9</v>
      </c>
      <c r="AY17" s="13">
        <v>39.9</v>
      </c>
      <c r="AZ17" s="13">
        <f t="shared" si="27"/>
        <v>422.69999999999987</v>
      </c>
      <c r="BA17" s="13">
        <f t="shared" si="14"/>
        <v>5072.3999999999987</v>
      </c>
      <c r="BC17" s="23">
        <f t="shared" si="15"/>
        <v>145000</v>
      </c>
      <c r="BD17" s="26">
        <v>2.3999999999999998E-3</v>
      </c>
      <c r="BE17" s="13">
        <f t="shared" si="29"/>
        <v>347.99999999999994</v>
      </c>
      <c r="BF17" s="13">
        <v>18.899999999999999</v>
      </c>
      <c r="BG17" s="13">
        <v>15.9</v>
      </c>
      <c r="BH17" s="13">
        <v>39.9</v>
      </c>
      <c r="BI17" s="13">
        <f t="shared" si="28"/>
        <v>422.69999999999987</v>
      </c>
      <c r="BJ17" s="13">
        <f t="shared" si="17"/>
        <v>5072.3999999999987</v>
      </c>
      <c r="BL17" s="25"/>
    </row>
    <row r="18" spans="1:64" x14ac:dyDescent="0.3">
      <c r="A18" s="20">
        <f t="shared" si="0"/>
        <v>135000</v>
      </c>
      <c r="B18" s="21">
        <v>1.4E-3</v>
      </c>
      <c r="C18" s="22">
        <f t="shared" si="18"/>
        <v>189</v>
      </c>
      <c r="D18" s="22">
        <v>18.899999999999999</v>
      </c>
      <c r="E18" s="22">
        <v>15.9</v>
      </c>
      <c r="F18" s="22">
        <v>0</v>
      </c>
      <c r="G18" s="22">
        <f t="shared" si="1"/>
        <v>223.8</v>
      </c>
      <c r="H18" s="22">
        <f t="shared" si="2"/>
        <v>2685.6000000000004</v>
      </c>
      <c r="J18" s="20">
        <f t="shared" si="3"/>
        <v>135000</v>
      </c>
      <c r="K18" s="21">
        <v>1.6000000000000001E-3</v>
      </c>
      <c r="L18" s="22">
        <f t="shared" si="19"/>
        <v>216</v>
      </c>
      <c r="M18" s="22">
        <v>18.899999999999999</v>
      </c>
      <c r="N18" s="22">
        <v>15.9</v>
      </c>
      <c r="O18" s="22">
        <v>0</v>
      </c>
      <c r="P18" s="22">
        <f t="shared" si="4"/>
        <v>250.8</v>
      </c>
      <c r="Q18" s="22">
        <f t="shared" si="5"/>
        <v>3009.6000000000004</v>
      </c>
      <c r="R18" s="25"/>
      <c r="S18" s="20">
        <f t="shared" si="6"/>
        <v>135000</v>
      </c>
      <c r="T18" s="21">
        <v>1.6000000000000001E-3</v>
      </c>
      <c r="U18" s="22">
        <f t="shared" si="20"/>
        <v>216</v>
      </c>
      <c r="V18" s="22">
        <v>18.899999999999999</v>
      </c>
      <c r="W18" s="22">
        <v>15.9</v>
      </c>
      <c r="X18" s="22">
        <v>39.9</v>
      </c>
      <c r="Y18" s="22">
        <f t="shared" si="21"/>
        <v>290.7</v>
      </c>
      <c r="Z18" s="22">
        <f t="shared" si="7"/>
        <v>3488.3999999999996</v>
      </c>
      <c r="AA18" s="25"/>
      <c r="AB18" s="20">
        <f t="shared" si="8"/>
        <v>135000</v>
      </c>
      <c r="AC18" s="21">
        <v>2.5000000000000001E-3</v>
      </c>
      <c r="AD18" s="22">
        <f t="shared" si="22"/>
        <v>337.5</v>
      </c>
      <c r="AE18" s="22">
        <v>18.899999999999999</v>
      </c>
      <c r="AF18" s="22">
        <v>15.9</v>
      </c>
      <c r="AG18" s="22">
        <v>39.9</v>
      </c>
      <c r="AH18" s="22">
        <f t="shared" si="23"/>
        <v>412.19999999999993</v>
      </c>
      <c r="AI18" s="22">
        <f t="shared" si="9"/>
        <v>4946.3999999999996</v>
      </c>
      <c r="AJ18" s="25"/>
      <c r="AK18" s="20">
        <f t="shared" si="10"/>
        <v>135000</v>
      </c>
      <c r="AL18" s="27">
        <f t="shared" si="11"/>
        <v>4.6999999999999993E-3</v>
      </c>
      <c r="AM18" s="22">
        <f t="shared" si="24"/>
        <v>634.49999999999989</v>
      </c>
      <c r="AN18" s="22">
        <v>18.899999999999999</v>
      </c>
      <c r="AO18" s="22">
        <v>15.9</v>
      </c>
      <c r="AP18" s="22">
        <v>39.9</v>
      </c>
      <c r="AQ18" s="22">
        <f t="shared" si="25"/>
        <v>709.19999999999982</v>
      </c>
      <c r="AR18" s="22">
        <f t="shared" si="12"/>
        <v>8510.3999999999978</v>
      </c>
      <c r="AS18" s="25"/>
      <c r="AT18" s="23">
        <f t="shared" si="13"/>
        <v>135000</v>
      </c>
      <c r="AU18" s="26">
        <v>2.5000000000000001E-3</v>
      </c>
      <c r="AV18" s="13">
        <f t="shared" si="26"/>
        <v>337.5</v>
      </c>
      <c r="AW18" s="13">
        <v>18.899999999999999</v>
      </c>
      <c r="AX18" s="13">
        <v>15.9</v>
      </c>
      <c r="AY18" s="13">
        <v>39.9</v>
      </c>
      <c r="AZ18" s="13">
        <f t="shared" si="27"/>
        <v>412.19999999999993</v>
      </c>
      <c r="BA18" s="13">
        <f t="shared" si="14"/>
        <v>4946.3999999999996</v>
      </c>
      <c r="BC18" s="23">
        <f t="shared" si="15"/>
        <v>135000</v>
      </c>
      <c r="BD18" s="26">
        <v>2.5000000000000001E-3</v>
      </c>
      <c r="BE18" s="13">
        <f t="shared" si="29"/>
        <v>337.5</v>
      </c>
      <c r="BF18" s="13">
        <v>18.899999999999999</v>
      </c>
      <c r="BG18" s="13">
        <v>15.9</v>
      </c>
      <c r="BH18" s="13">
        <v>39.9</v>
      </c>
      <c r="BI18" s="13">
        <f t="shared" si="28"/>
        <v>412.19999999999993</v>
      </c>
      <c r="BJ18" s="13">
        <f t="shared" si="17"/>
        <v>4946.3999999999996</v>
      </c>
      <c r="BL18" s="25"/>
    </row>
    <row r="19" spans="1:64" x14ac:dyDescent="0.3">
      <c r="A19" s="20">
        <f t="shared" si="0"/>
        <v>125000</v>
      </c>
      <c r="B19" s="21">
        <v>1.5E-3</v>
      </c>
      <c r="C19" s="22">
        <f t="shared" si="18"/>
        <v>187.5</v>
      </c>
      <c r="D19" s="22">
        <v>18.899999999999999</v>
      </c>
      <c r="E19" s="22">
        <v>15.9</v>
      </c>
      <c r="F19" s="22">
        <v>0</v>
      </c>
      <c r="G19" s="22">
        <f t="shared" si="1"/>
        <v>222.3</v>
      </c>
      <c r="H19" s="22">
        <f t="shared" si="2"/>
        <v>2667.6000000000004</v>
      </c>
      <c r="J19" s="20">
        <f t="shared" si="3"/>
        <v>125000</v>
      </c>
      <c r="K19" s="21">
        <v>1.6000000000000001E-3</v>
      </c>
      <c r="L19" s="22">
        <f t="shared" si="19"/>
        <v>200</v>
      </c>
      <c r="M19" s="22">
        <v>18.899999999999999</v>
      </c>
      <c r="N19" s="22">
        <v>15.9</v>
      </c>
      <c r="O19" s="22">
        <v>0</v>
      </c>
      <c r="P19" s="22">
        <f t="shared" si="4"/>
        <v>234.8</v>
      </c>
      <c r="Q19" s="22">
        <f t="shared" si="5"/>
        <v>2817.6000000000004</v>
      </c>
      <c r="R19" s="25"/>
      <c r="S19" s="20">
        <f t="shared" si="6"/>
        <v>125000</v>
      </c>
      <c r="T19" s="21">
        <v>1.6000000000000001E-3</v>
      </c>
      <c r="U19" s="22">
        <f t="shared" si="20"/>
        <v>200</v>
      </c>
      <c r="V19" s="22">
        <v>18.899999999999999</v>
      </c>
      <c r="W19" s="22">
        <v>15.9</v>
      </c>
      <c r="X19" s="22">
        <v>39.9</v>
      </c>
      <c r="Y19" s="22">
        <f t="shared" si="21"/>
        <v>274.7</v>
      </c>
      <c r="Z19" s="22">
        <f t="shared" si="7"/>
        <v>3296.3999999999996</v>
      </c>
      <c r="AA19" s="25"/>
      <c r="AB19" s="20">
        <f t="shared" si="8"/>
        <v>125000</v>
      </c>
      <c r="AC19" s="21">
        <v>2.5999999999999999E-3</v>
      </c>
      <c r="AD19" s="22">
        <f t="shared" si="22"/>
        <v>325</v>
      </c>
      <c r="AE19" s="22">
        <v>18.899999999999999</v>
      </c>
      <c r="AF19" s="22">
        <v>15.9</v>
      </c>
      <c r="AG19" s="22">
        <v>39.9</v>
      </c>
      <c r="AH19" s="22">
        <f t="shared" si="23"/>
        <v>399.69999999999993</v>
      </c>
      <c r="AI19" s="22">
        <f t="shared" si="9"/>
        <v>4796.3999999999996</v>
      </c>
      <c r="AJ19" s="25"/>
      <c r="AK19" s="20">
        <f t="shared" si="10"/>
        <v>125000</v>
      </c>
      <c r="AL19" s="27">
        <f t="shared" si="11"/>
        <v>4.7999999999999996E-3</v>
      </c>
      <c r="AM19" s="22">
        <f t="shared" si="24"/>
        <v>600</v>
      </c>
      <c r="AN19" s="22">
        <v>18.899999999999999</v>
      </c>
      <c r="AO19" s="22">
        <v>15.9</v>
      </c>
      <c r="AP19" s="22">
        <v>39.9</v>
      </c>
      <c r="AQ19" s="22">
        <f t="shared" si="25"/>
        <v>674.69999999999993</v>
      </c>
      <c r="AR19" s="22">
        <f t="shared" si="12"/>
        <v>8096.4</v>
      </c>
      <c r="AS19" s="25"/>
      <c r="AT19" s="23">
        <f t="shared" si="13"/>
        <v>125000</v>
      </c>
      <c r="AU19" s="26">
        <v>2.5999999999999999E-3</v>
      </c>
      <c r="AV19" s="13">
        <f t="shared" si="26"/>
        <v>325</v>
      </c>
      <c r="AW19" s="13">
        <v>18.899999999999999</v>
      </c>
      <c r="AX19" s="13">
        <v>15.9</v>
      </c>
      <c r="AY19" s="13">
        <v>39.9</v>
      </c>
      <c r="AZ19" s="13">
        <f t="shared" si="27"/>
        <v>399.69999999999993</v>
      </c>
      <c r="BA19" s="13">
        <f t="shared" si="14"/>
        <v>4796.3999999999996</v>
      </c>
      <c r="BC19" s="23">
        <f t="shared" si="15"/>
        <v>125000</v>
      </c>
      <c r="BD19" s="26">
        <v>2.5999999999999999E-3</v>
      </c>
      <c r="BE19" s="13">
        <f t="shared" si="29"/>
        <v>325</v>
      </c>
      <c r="BF19" s="13">
        <v>18.899999999999999</v>
      </c>
      <c r="BG19" s="13">
        <v>15.9</v>
      </c>
      <c r="BH19" s="13">
        <v>39.9</v>
      </c>
      <c r="BI19" s="13">
        <f t="shared" si="28"/>
        <v>399.69999999999993</v>
      </c>
      <c r="BJ19" s="13">
        <f t="shared" si="17"/>
        <v>4796.3999999999996</v>
      </c>
      <c r="BL19" s="25"/>
    </row>
    <row r="20" spans="1:64" x14ac:dyDescent="0.3">
      <c r="A20" s="20">
        <f t="shared" si="0"/>
        <v>115000</v>
      </c>
      <c r="B20" s="21">
        <v>1.5E-3</v>
      </c>
      <c r="C20" s="22">
        <f t="shared" si="18"/>
        <v>172.5</v>
      </c>
      <c r="D20" s="22">
        <v>18.899999999999999</v>
      </c>
      <c r="E20" s="22">
        <v>15.9</v>
      </c>
      <c r="F20" s="22">
        <v>0</v>
      </c>
      <c r="G20" s="22">
        <f t="shared" si="1"/>
        <v>207.3</v>
      </c>
      <c r="H20" s="22">
        <f t="shared" si="2"/>
        <v>2487.6000000000004</v>
      </c>
      <c r="J20" s="20">
        <f t="shared" si="3"/>
        <v>115000</v>
      </c>
      <c r="K20" s="21">
        <v>1.6000000000000001E-3</v>
      </c>
      <c r="L20" s="22">
        <f t="shared" si="19"/>
        <v>184</v>
      </c>
      <c r="M20" s="22">
        <v>18.899999999999999</v>
      </c>
      <c r="N20" s="22">
        <v>15.9</v>
      </c>
      <c r="O20" s="22">
        <v>0</v>
      </c>
      <c r="P20" s="22">
        <f t="shared" si="4"/>
        <v>218.8</v>
      </c>
      <c r="Q20" s="22">
        <f t="shared" si="5"/>
        <v>2625.6000000000004</v>
      </c>
      <c r="R20" s="25"/>
      <c r="S20" s="20">
        <f t="shared" si="6"/>
        <v>115000</v>
      </c>
      <c r="T20" s="21">
        <v>1.6000000000000001E-3</v>
      </c>
      <c r="U20" s="22">
        <f t="shared" si="20"/>
        <v>184</v>
      </c>
      <c r="V20" s="22">
        <v>18.899999999999999</v>
      </c>
      <c r="W20" s="22">
        <v>15.9</v>
      </c>
      <c r="X20" s="22">
        <v>39.9</v>
      </c>
      <c r="Y20" s="22">
        <f t="shared" si="21"/>
        <v>258.7</v>
      </c>
      <c r="Z20" s="22">
        <f t="shared" si="7"/>
        <v>3104.3999999999996</v>
      </c>
      <c r="AA20" s="25"/>
      <c r="AB20" s="20">
        <f t="shared" si="8"/>
        <v>115000</v>
      </c>
      <c r="AC20" s="21">
        <v>2.7000000000000001E-3</v>
      </c>
      <c r="AD20" s="22">
        <f t="shared" si="22"/>
        <v>310.5</v>
      </c>
      <c r="AE20" s="22">
        <v>18.899999999999999</v>
      </c>
      <c r="AF20" s="22">
        <v>15.9</v>
      </c>
      <c r="AG20" s="22">
        <v>39.9</v>
      </c>
      <c r="AH20" s="22">
        <f t="shared" si="23"/>
        <v>385.19999999999993</v>
      </c>
      <c r="AI20" s="22">
        <f t="shared" si="9"/>
        <v>4622.3999999999996</v>
      </c>
      <c r="AJ20" s="25"/>
      <c r="AK20" s="20">
        <f t="shared" si="10"/>
        <v>115000</v>
      </c>
      <c r="AL20" s="27">
        <f t="shared" si="11"/>
        <v>4.8999999999999998E-3</v>
      </c>
      <c r="AM20" s="22">
        <f t="shared" si="24"/>
        <v>563.5</v>
      </c>
      <c r="AN20" s="22">
        <v>18.899999999999999</v>
      </c>
      <c r="AO20" s="22">
        <v>15.9</v>
      </c>
      <c r="AP20" s="22">
        <v>39.9</v>
      </c>
      <c r="AQ20" s="22">
        <f t="shared" si="25"/>
        <v>638.19999999999993</v>
      </c>
      <c r="AR20" s="22">
        <f t="shared" si="12"/>
        <v>7658.4</v>
      </c>
      <c r="AS20" s="25"/>
      <c r="AT20" s="20">
        <f t="shared" si="13"/>
        <v>115000</v>
      </c>
      <c r="AU20" s="21">
        <v>2.7000000000000001E-3</v>
      </c>
      <c r="AV20" s="22">
        <f t="shared" si="26"/>
        <v>310.5</v>
      </c>
      <c r="AW20" s="22">
        <v>18.899999999999999</v>
      </c>
      <c r="AX20" s="22">
        <v>15.9</v>
      </c>
      <c r="AY20" s="22">
        <v>39.9</v>
      </c>
      <c r="AZ20" s="22">
        <f t="shared" si="27"/>
        <v>385.19999999999993</v>
      </c>
      <c r="BA20" s="22">
        <f t="shared" si="14"/>
        <v>4622.3999999999996</v>
      </c>
      <c r="BC20" s="20">
        <f t="shared" si="15"/>
        <v>115000</v>
      </c>
      <c r="BD20" s="21">
        <v>2.7000000000000001E-3</v>
      </c>
      <c r="BE20" s="22">
        <f t="shared" si="29"/>
        <v>310.5</v>
      </c>
      <c r="BF20" s="22">
        <v>18.899999999999999</v>
      </c>
      <c r="BG20" s="22">
        <v>15.9</v>
      </c>
      <c r="BH20" s="22">
        <v>39.9</v>
      </c>
      <c r="BI20" s="22">
        <f t="shared" si="28"/>
        <v>385.19999999999993</v>
      </c>
      <c r="BJ20" s="22">
        <f t="shared" si="17"/>
        <v>4622.3999999999996</v>
      </c>
      <c r="BL20" s="25"/>
    </row>
    <row r="21" spans="1:64" x14ac:dyDescent="0.3">
      <c r="A21" s="20">
        <f t="shared" si="0"/>
        <v>105000</v>
      </c>
      <c r="B21" s="21">
        <v>1.6000000000000001E-3</v>
      </c>
      <c r="C21" s="22">
        <f t="shared" si="18"/>
        <v>168</v>
      </c>
      <c r="D21" s="22">
        <v>18.899999999999999</v>
      </c>
      <c r="E21" s="22">
        <v>15.9</v>
      </c>
      <c r="F21" s="22">
        <v>0</v>
      </c>
      <c r="G21" s="22">
        <f t="shared" si="1"/>
        <v>202.8</v>
      </c>
      <c r="H21" s="22">
        <f t="shared" si="2"/>
        <v>2433.6000000000004</v>
      </c>
      <c r="J21" s="20">
        <f t="shared" si="3"/>
        <v>105000</v>
      </c>
      <c r="K21" s="21">
        <v>1.6000000000000001E-3</v>
      </c>
      <c r="L21" s="22">
        <f t="shared" si="19"/>
        <v>168</v>
      </c>
      <c r="M21" s="22">
        <v>18.899999999999999</v>
      </c>
      <c r="N21" s="22">
        <v>15.9</v>
      </c>
      <c r="O21" s="22">
        <v>0</v>
      </c>
      <c r="P21" s="22">
        <f t="shared" si="4"/>
        <v>202.8</v>
      </c>
      <c r="Q21" s="22">
        <f t="shared" si="5"/>
        <v>2433.6000000000004</v>
      </c>
      <c r="R21" s="25"/>
      <c r="S21" s="20">
        <f t="shared" si="6"/>
        <v>105000</v>
      </c>
      <c r="T21" s="21">
        <v>1.6000000000000001E-3</v>
      </c>
      <c r="U21" s="22">
        <f t="shared" si="20"/>
        <v>168</v>
      </c>
      <c r="V21" s="22">
        <v>18.899999999999999</v>
      </c>
      <c r="W21" s="22">
        <v>15.9</v>
      </c>
      <c r="X21" s="22">
        <v>39.9</v>
      </c>
      <c r="Y21" s="22">
        <f t="shared" si="21"/>
        <v>242.70000000000002</v>
      </c>
      <c r="Z21" s="22">
        <f t="shared" si="7"/>
        <v>2912.4</v>
      </c>
      <c r="AA21" s="25"/>
      <c r="AB21" s="20">
        <f t="shared" si="8"/>
        <v>105000</v>
      </c>
      <c r="AC21" s="21">
        <v>2.8E-3</v>
      </c>
      <c r="AD21" s="22">
        <f t="shared" si="22"/>
        <v>294</v>
      </c>
      <c r="AE21" s="22">
        <v>18.899999999999999</v>
      </c>
      <c r="AF21" s="22">
        <v>15.9</v>
      </c>
      <c r="AG21" s="22">
        <v>39.9</v>
      </c>
      <c r="AH21" s="22">
        <f t="shared" si="23"/>
        <v>368.69999999999993</v>
      </c>
      <c r="AI21" s="22">
        <f t="shared" si="9"/>
        <v>4424.3999999999996</v>
      </c>
      <c r="AJ21" s="25"/>
      <c r="AK21" s="20">
        <f t="shared" si="10"/>
        <v>105000</v>
      </c>
      <c r="AL21" s="27">
        <v>5.0000000000000001E-3</v>
      </c>
      <c r="AM21" s="22">
        <f t="shared" si="24"/>
        <v>525</v>
      </c>
      <c r="AN21" s="22">
        <v>18.899999999999999</v>
      </c>
      <c r="AO21" s="22">
        <v>15.9</v>
      </c>
      <c r="AP21" s="22">
        <v>39.9</v>
      </c>
      <c r="AQ21" s="22">
        <f t="shared" si="25"/>
        <v>599.69999999999993</v>
      </c>
      <c r="AR21" s="22">
        <f t="shared" si="12"/>
        <v>7196.4</v>
      </c>
      <c r="AS21" s="25"/>
      <c r="AT21" s="20">
        <f t="shared" si="13"/>
        <v>105000</v>
      </c>
      <c r="AU21" s="21">
        <v>2.8E-3</v>
      </c>
      <c r="AV21" s="22">
        <f t="shared" si="26"/>
        <v>294</v>
      </c>
      <c r="AW21" s="22">
        <v>18.899999999999999</v>
      </c>
      <c r="AX21" s="22">
        <v>15.9</v>
      </c>
      <c r="AY21" s="22">
        <v>39.9</v>
      </c>
      <c r="AZ21" s="22">
        <f t="shared" si="27"/>
        <v>368.69999999999993</v>
      </c>
      <c r="BA21" s="22">
        <f t="shared" si="14"/>
        <v>4424.3999999999996</v>
      </c>
      <c r="BC21" s="20">
        <f t="shared" si="15"/>
        <v>105000</v>
      </c>
      <c r="BD21" s="21">
        <v>2.8E-3</v>
      </c>
      <c r="BE21" s="22">
        <f t="shared" si="29"/>
        <v>294</v>
      </c>
      <c r="BF21" s="22">
        <v>18.899999999999999</v>
      </c>
      <c r="BG21" s="22">
        <v>15.9</v>
      </c>
      <c r="BH21" s="22">
        <v>39.9</v>
      </c>
      <c r="BI21" s="22">
        <f t="shared" si="28"/>
        <v>368.69999999999993</v>
      </c>
      <c r="BJ21" s="22">
        <f t="shared" si="17"/>
        <v>4424.3999999999996</v>
      </c>
      <c r="BL21" s="25"/>
    </row>
    <row r="22" spans="1:64" x14ac:dyDescent="0.3">
      <c r="A22" s="20">
        <f t="shared" si="0"/>
        <v>95000</v>
      </c>
      <c r="B22" s="21">
        <f t="shared" ref="B22" si="30">B23-0.0001</f>
        <v>1.6999999999999999E-3</v>
      </c>
      <c r="C22" s="22">
        <f t="shared" si="18"/>
        <v>161.5</v>
      </c>
      <c r="D22" s="22">
        <v>18.899999999999999</v>
      </c>
      <c r="E22" s="22">
        <v>15.9</v>
      </c>
      <c r="F22" s="22">
        <v>0</v>
      </c>
      <c r="G22" s="22">
        <f t="shared" si="1"/>
        <v>196.3</v>
      </c>
      <c r="H22" s="22">
        <f t="shared" si="2"/>
        <v>2355.6000000000004</v>
      </c>
      <c r="J22" s="20">
        <f t="shared" si="3"/>
        <v>95000</v>
      </c>
      <c r="K22" s="21">
        <v>1.6999999999999999E-3</v>
      </c>
      <c r="L22" s="22">
        <f t="shared" si="19"/>
        <v>161.5</v>
      </c>
      <c r="M22" s="22">
        <v>18.899999999999999</v>
      </c>
      <c r="N22" s="22">
        <v>15.9</v>
      </c>
      <c r="O22" s="22">
        <v>0</v>
      </c>
      <c r="P22" s="22">
        <f t="shared" si="4"/>
        <v>196.3</v>
      </c>
      <c r="Q22" s="22">
        <f t="shared" si="5"/>
        <v>2355.6000000000004</v>
      </c>
      <c r="R22" s="25"/>
      <c r="S22" s="23">
        <f t="shared" si="6"/>
        <v>95000</v>
      </c>
      <c r="T22" s="26">
        <v>1.6000000000000001E-3</v>
      </c>
      <c r="U22" s="13">
        <f t="shared" si="20"/>
        <v>152</v>
      </c>
      <c r="V22" s="13">
        <v>18.899999999999999</v>
      </c>
      <c r="W22" s="13">
        <v>15.9</v>
      </c>
      <c r="X22" s="13">
        <v>39.9</v>
      </c>
      <c r="Y22" s="13">
        <f t="shared" si="21"/>
        <v>226.70000000000002</v>
      </c>
      <c r="Z22" s="13">
        <f t="shared" si="7"/>
        <v>2720.4</v>
      </c>
      <c r="AA22" s="25"/>
      <c r="AB22" s="20">
        <f t="shared" si="8"/>
        <v>95000</v>
      </c>
      <c r="AC22" s="21">
        <v>2.8999999999999998E-3</v>
      </c>
      <c r="AD22" s="22">
        <f t="shared" si="22"/>
        <v>275.5</v>
      </c>
      <c r="AE22" s="22">
        <v>18.899999999999999</v>
      </c>
      <c r="AF22" s="22">
        <v>15.9</v>
      </c>
      <c r="AG22" s="22">
        <v>39.9</v>
      </c>
      <c r="AH22" s="22">
        <f t="shared" si="23"/>
        <v>350.19999999999993</v>
      </c>
      <c r="AI22" s="22">
        <f t="shared" si="9"/>
        <v>4202.3999999999996</v>
      </c>
      <c r="AJ22" s="25"/>
      <c r="AK22" s="20">
        <f t="shared" si="10"/>
        <v>95000</v>
      </c>
      <c r="AL22" s="27">
        <f t="shared" si="11"/>
        <v>5.2999999999999983E-3</v>
      </c>
      <c r="AM22" s="22">
        <f t="shared" si="24"/>
        <v>503.49999999999983</v>
      </c>
      <c r="AN22" s="22">
        <v>18.899999999999999</v>
      </c>
      <c r="AO22" s="22">
        <v>15.9</v>
      </c>
      <c r="AP22" s="22">
        <v>39.9</v>
      </c>
      <c r="AQ22" s="22">
        <f t="shared" si="25"/>
        <v>578.19999999999982</v>
      </c>
      <c r="AR22" s="22">
        <f t="shared" si="12"/>
        <v>6938.3999999999978</v>
      </c>
      <c r="AS22" s="25"/>
      <c r="AT22" s="20">
        <f t="shared" si="13"/>
        <v>95000</v>
      </c>
      <c r="AU22" s="21">
        <v>2.8999999999999998E-3</v>
      </c>
      <c r="AV22" s="22">
        <f t="shared" si="26"/>
        <v>275.5</v>
      </c>
      <c r="AW22" s="22">
        <v>18.899999999999999</v>
      </c>
      <c r="AX22" s="22">
        <v>15.9</v>
      </c>
      <c r="AY22" s="22">
        <v>39.9</v>
      </c>
      <c r="AZ22" s="22">
        <f t="shared" si="27"/>
        <v>350.19999999999993</v>
      </c>
      <c r="BA22" s="22">
        <f t="shared" si="14"/>
        <v>4202.3999999999996</v>
      </c>
      <c r="BC22" s="20">
        <f t="shared" si="15"/>
        <v>95000</v>
      </c>
      <c r="BD22" s="21">
        <v>2.8999999999999998E-3</v>
      </c>
      <c r="BE22" s="22">
        <f t="shared" si="29"/>
        <v>275.5</v>
      </c>
      <c r="BF22" s="22">
        <v>18.899999999999999</v>
      </c>
      <c r="BG22" s="22">
        <v>15.9</v>
      </c>
      <c r="BH22" s="22">
        <v>39.9</v>
      </c>
      <c r="BI22" s="22">
        <f t="shared" si="28"/>
        <v>350.19999999999993</v>
      </c>
      <c r="BJ22" s="22">
        <f t="shared" si="17"/>
        <v>4202.3999999999996</v>
      </c>
      <c r="BL22" s="25"/>
    </row>
    <row r="23" spans="1:64" x14ac:dyDescent="0.3">
      <c r="A23" s="20">
        <f t="shared" si="0"/>
        <v>85000</v>
      </c>
      <c r="B23" s="21">
        <v>1.8E-3</v>
      </c>
      <c r="C23" s="22">
        <f t="shared" si="18"/>
        <v>153</v>
      </c>
      <c r="D23" s="22">
        <v>18.899999999999999</v>
      </c>
      <c r="E23" s="22">
        <v>15.9</v>
      </c>
      <c r="F23" s="22">
        <v>0</v>
      </c>
      <c r="G23" s="22">
        <f t="shared" si="1"/>
        <v>187.8</v>
      </c>
      <c r="H23" s="22">
        <f t="shared" si="2"/>
        <v>2253.6000000000004</v>
      </c>
      <c r="J23" s="20">
        <f t="shared" si="3"/>
        <v>85000</v>
      </c>
      <c r="K23" s="21">
        <v>1.8E-3</v>
      </c>
      <c r="L23" s="22">
        <f t="shared" si="19"/>
        <v>153</v>
      </c>
      <c r="M23" s="22">
        <v>18.899999999999999</v>
      </c>
      <c r="N23" s="22">
        <v>15.9</v>
      </c>
      <c r="O23" s="22">
        <v>0</v>
      </c>
      <c r="P23" s="22">
        <f t="shared" si="4"/>
        <v>187.8</v>
      </c>
      <c r="Q23" s="22">
        <f t="shared" si="5"/>
        <v>2253.6000000000004</v>
      </c>
      <c r="R23" s="25"/>
      <c r="S23" s="23">
        <f t="shared" si="6"/>
        <v>85000</v>
      </c>
      <c r="T23" s="24">
        <v>1.6999999999999999E-3</v>
      </c>
      <c r="U23" s="13">
        <f t="shared" si="20"/>
        <v>144.5</v>
      </c>
      <c r="V23" s="13">
        <v>18.899999999999999</v>
      </c>
      <c r="W23" s="13">
        <v>15.9</v>
      </c>
      <c r="X23" s="13">
        <v>39.9</v>
      </c>
      <c r="Y23" s="13">
        <f t="shared" si="21"/>
        <v>219.20000000000002</v>
      </c>
      <c r="Z23" s="13">
        <f t="shared" si="7"/>
        <v>2630.4</v>
      </c>
      <c r="AA23" s="25"/>
      <c r="AB23" s="20">
        <f t="shared" si="8"/>
        <v>85000</v>
      </c>
      <c r="AC23" s="21">
        <v>3.0000000000000001E-3</v>
      </c>
      <c r="AD23" s="22">
        <f t="shared" si="22"/>
        <v>255</v>
      </c>
      <c r="AE23" s="22">
        <v>18.899999999999999</v>
      </c>
      <c r="AF23" s="22">
        <v>15.9</v>
      </c>
      <c r="AG23" s="22">
        <v>39.9</v>
      </c>
      <c r="AH23" s="22">
        <f t="shared" si="23"/>
        <v>329.69999999999993</v>
      </c>
      <c r="AI23" s="22">
        <f t="shared" si="9"/>
        <v>3956.3999999999992</v>
      </c>
      <c r="AJ23" s="25"/>
      <c r="AK23" s="20">
        <f t="shared" si="10"/>
        <v>85000</v>
      </c>
      <c r="AL23" s="27">
        <f t="shared" si="11"/>
        <v>5.3999999999999986E-3</v>
      </c>
      <c r="AM23" s="22">
        <f t="shared" si="24"/>
        <v>458.99999999999989</v>
      </c>
      <c r="AN23" s="22">
        <v>18.899999999999999</v>
      </c>
      <c r="AO23" s="22">
        <v>15.9</v>
      </c>
      <c r="AP23" s="22">
        <v>39.9</v>
      </c>
      <c r="AQ23" s="22">
        <f t="shared" si="25"/>
        <v>533.69999999999982</v>
      </c>
      <c r="AR23" s="22">
        <f t="shared" si="12"/>
        <v>6404.3999999999978</v>
      </c>
      <c r="AS23" s="25"/>
      <c r="AT23" s="20">
        <f t="shared" si="13"/>
        <v>85000</v>
      </c>
      <c r="AU23" s="21">
        <v>3.0000000000000001E-3</v>
      </c>
      <c r="AV23" s="22">
        <f t="shared" si="26"/>
        <v>255</v>
      </c>
      <c r="AW23" s="22">
        <v>18.899999999999999</v>
      </c>
      <c r="AX23" s="22">
        <v>15.9</v>
      </c>
      <c r="AY23" s="22">
        <v>39.9</v>
      </c>
      <c r="AZ23" s="22">
        <f t="shared" si="27"/>
        <v>329.69999999999993</v>
      </c>
      <c r="BA23" s="22">
        <f t="shared" si="14"/>
        <v>3956.3999999999992</v>
      </c>
      <c r="BC23" s="20">
        <f t="shared" si="15"/>
        <v>85000</v>
      </c>
      <c r="BD23" s="21">
        <v>3.0000000000000001E-3</v>
      </c>
      <c r="BE23" s="22">
        <f t="shared" si="29"/>
        <v>255</v>
      </c>
      <c r="BF23" s="22">
        <v>18.899999999999999</v>
      </c>
      <c r="BG23" s="22">
        <v>15.9</v>
      </c>
      <c r="BH23" s="22">
        <v>39.9</v>
      </c>
      <c r="BI23" s="22">
        <f t="shared" si="28"/>
        <v>329.69999999999993</v>
      </c>
      <c r="BJ23" s="22">
        <f t="shared" si="17"/>
        <v>3956.3999999999992</v>
      </c>
      <c r="BL23" s="25"/>
    </row>
    <row r="24" spans="1:64" x14ac:dyDescent="0.3">
      <c r="A24" s="20">
        <v>75000</v>
      </c>
      <c r="B24" s="21">
        <v>1.8E-3</v>
      </c>
      <c r="C24" s="22">
        <f t="shared" si="18"/>
        <v>135</v>
      </c>
      <c r="D24" s="22">
        <v>18.899999999999999</v>
      </c>
      <c r="E24" s="22">
        <v>15.9</v>
      </c>
      <c r="F24" s="22">
        <v>0</v>
      </c>
      <c r="G24" s="22">
        <f t="shared" si="1"/>
        <v>169.8</v>
      </c>
      <c r="H24" s="22">
        <f t="shared" si="2"/>
        <v>2037.6000000000001</v>
      </c>
      <c r="J24" s="20">
        <f t="shared" si="3"/>
        <v>75000</v>
      </c>
      <c r="K24" s="21">
        <v>1.9E-3</v>
      </c>
      <c r="L24" s="22">
        <f t="shared" si="19"/>
        <v>142.5</v>
      </c>
      <c r="M24" s="22">
        <v>18.899999999999999</v>
      </c>
      <c r="N24" s="22">
        <v>15.9</v>
      </c>
      <c r="O24" s="22">
        <v>0</v>
      </c>
      <c r="P24" s="22">
        <f t="shared" si="4"/>
        <v>177.3</v>
      </c>
      <c r="Q24" s="22">
        <f t="shared" si="5"/>
        <v>2127.6000000000004</v>
      </c>
      <c r="R24" s="25"/>
      <c r="S24" s="23">
        <f t="shared" si="6"/>
        <v>75000</v>
      </c>
      <c r="T24" s="24">
        <v>1.8E-3</v>
      </c>
      <c r="U24" s="13">
        <f t="shared" si="20"/>
        <v>135</v>
      </c>
      <c r="V24" s="13">
        <v>18.899999999999999</v>
      </c>
      <c r="W24" s="13">
        <v>15.9</v>
      </c>
      <c r="X24" s="13">
        <v>39.9</v>
      </c>
      <c r="Y24" s="13">
        <f t="shared" si="21"/>
        <v>209.70000000000002</v>
      </c>
      <c r="Z24" s="13">
        <f t="shared" si="7"/>
        <v>2516.4</v>
      </c>
      <c r="AA24" s="25"/>
      <c r="AB24" s="20">
        <f t="shared" si="8"/>
        <v>75000</v>
      </c>
      <c r="AC24" s="21">
        <v>3.5000000000000001E-3</v>
      </c>
      <c r="AD24" s="22">
        <f t="shared" si="22"/>
        <v>262.5</v>
      </c>
      <c r="AE24" s="22">
        <v>18.899999999999999</v>
      </c>
      <c r="AF24" s="22">
        <v>15.9</v>
      </c>
      <c r="AG24" s="22">
        <v>39.9</v>
      </c>
      <c r="AH24" s="22">
        <f t="shared" si="23"/>
        <v>337.19999999999993</v>
      </c>
      <c r="AI24" s="22">
        <f t="shared" si="9"/>
        <v>4046.3999999999992</v>
      </c>
      <c r="AJ24" s="25"/>
      <c r="AK24" s="20">
        <f t="shared" si="10"/>
        <v>75000</v>
      </c>
      <c r="AL24" s="27">
        <f t="shared" si="11"/>
        <v>5.4999999999999988E-3</v>
      </c>
      <c r="AM24" s="22">
        <f t="shared" si="24"/>
        <v>412.49999999999989</v>
      </c>
      <c r="AN24" s="22">
        <v>18.899999999999999</v>
      </c>
      <c r="AO24" s="22">
        <v>15.9</v>
      </c>
      <c r="AP24" s="22">
        <v>39.9</v>
      </c>
      <c r="AQ24" s="22">
        <f t="shared" si="25"/>
        <v>487.19999999999982</v>
      </c>
      <c r="AR24" s="22">
        <f t="shared" si="12"/>
        <v>5846.3999999999978</v>
      </c>
      <c r="AS24" s="25"/>
      <c r="AT24" s="20">
        <f t="shared" si="13"/>
        <v>75000</v>
      </c>
      <c r="AU24" s="21">
        <v>3.8999999999999998E-3</v>
      </c>
      <c r="AV24" s="22">
        <f t="shared" si="26"/>
        <v>292.5</v>
      </c>
      <c r="AW24" s="22">
        <v>18.899999999999999</v>
      </c>
      <c r="AX24" s="22">
        <v>15.9</v>
      </c>
      <c r="AY24" s="22">
        <v>39.9</v>
      </c>
      <c r="AZ24" s="22">
        <f t="shared" si="27"/>
        <v>367.19999999999993</v>
      </c>
      <c r="BA24" s="22">
        <f t="shared" si="14"/>
        <v>4406.3999999999996</v>
      </c>
      <c r="BC24" s="20">
        <f t="shared" si="15"/>
        <v>75000</v>
      </c>
      <c r="BD24" s="21">
        <v>3.3E-3</v>
      </c>
      <c r="BE24" s="22">
        <f t="shared" si="29"/>
        <v>247.5</v>
      </c>
      <c r="BF24" s="22">
        <v>18.899999999999999</v>
      </c>
      <c r="BG24" s="22">
        <v>15.9</v>
      </c>
      <c r="BH24" s="22">
        <v>39.9</v>
      </c>
      <c r="BI24" s="22">
        <f t="shared" si="28"/>
        <v>322.19999999999993</v>
      </c>
      <c r="BJ24" s="22">
        <f t="shared" si="17"/>
        <v>3866.3999999999992</v>
      </c>
      <c r="BL24" s="25"/>
    </row>
    <row r="25" spans="1:64" x14ac:dyDescent="0.3">
      <c r="A25" s="23"/>
      <c r="B25" s="28"/>
      <c r="J25" s="20">
        <f t="shared" si="3"/>
        <v>65000</v>
      </c>
      <c r="K25" s="21">
        <v>2E-3</v>
      </c>
      <c r="L25" s="22">
        <f t="shared" si="19"/>
        <v>130</v>
      </c>
      <c r="M25" s="22">
        <v>18.899999999999999</v>
      </c>
      <c r="N25" s="22">
        <v>15.9</v>
      </c>
      <c r="O25" s="22">
        <v>0</v>
      </c>
      <c r="P25" s="22">
        <f t="shared" si="4"/>
        <v>164.8</v>
      </c>
      <c r="Q25" s="22">
        <f t="shared" si="5"/>
        <v>1977.6000000000001</v>
      </c>
      <c r="R25" s="25"/>
      <c r="S25" s="23">
        <f t="shared" si="6"/>
        <v>65000</v>
      </c>
      <c r="T25" s="26">
        <v>3.2000000000000002E-3</v>
      </c>
      <c r="U25" s="13">
        <f t="shared" si="20"/>
        <v>208</v>
      </c>
      <c r="V25" s="13">
        <v>18.899999999999999</v>
      </c>
      <c r="W25" s="13">
        <v>15.9</v>
      </c>
      <c r="X25" s="13">
        <v>0</v>
      </c>
      <c r="Y25" s="13">
        <f t="shared" si="21"/>
        <v>242.8</v>
      </c>
      <c r="Z25" s="13">
        <f t="shared" si="7"/>
        <v>2913.6000000000004</v>
      </c>
      <c r="AA25" s="25"/>
      <c r="AB25" s="20">
        <f t="shared" si="8"/>
        <v>65000</v>
      </c>
      <c r="AC25" s="21">
        <v>3.5999999999999999E-3</v>
      </c>
      <c r="AD25" s="22">
        <f t="shared" si="22"/>
        <v>234</v>
      </c>
      <c r="AE25" s="22">
        <v>18.899999999999999</v>
      </c>
      <c r="AF25" s="22">
        <v>15.9</v>
      </c>
      <c r="AG25" s="22">
        <v>39.9</v>
      </c>
      <c r="AH25" s="22">
        <f t="shared" si="23"/>
        <v>308.7</v>
      </c>
      <c r="AI25" s="22">
        <f t="shared" si="9"/>
        <v>3704.3999999999996</v>
      </c>
      <c r="AJ25" s="25"/>
      <c r="AK25" s="20">
        <f t="shared" si="10"/>
        <v>65000</v>
      </c>
      <c r="AL25" s="27">
        <f t="shared" si="11"/>
        <v>5.5999999999999991E-3</v>
      </c>
      <c r="AM25" s="22">
        <f t="shared" si="24"/>
        <v>363.99999999999994</v>
      </c>
      <c r="AN25" s="22">
        <v>18.899999999999999</v>
      </c>
      <c r="AO25" s="22">
        <v>15.9</v>
      </c>
      <c r="AP25" s="22">
        <v>39.9</v>
      </c>
      <c r="AQ25" s="22">
        <f t="shared" si="25"/>
        <v>438.69999999999987</v>
      </c>
      <c r="AR25" s="22">
        <f t="shared" si="12"/>
        <v>5264.3999999999987</v>
      </c>
      <c r="AS25" s="25"/>
      <c r="AT25" s="20">
        <f t="shared" si="13"/>
        <v>65000</v>
      </c>
      <c r="AU25" s="21">
        <v>4.0000000000000001E-3</v>
      </c>
      <c r="AV25" s="22">
        <f t="shared" si="26"/>
        <v>260</v>
      </c>
      <c r="AW25" s="22">
        <v>18.899999999999999</v>
      </c>
      <c r="AX25" s="22">
        <v>15.9</v>
      </c>
      <c r="AY25" s="22">
        <v>39.9</v>
      </c>
      <c r="AZ25" s="22">
        <f t="shared" si="27"/>
        <v>334.69999999999993</v>
      </c>
      <c r="BA25" s="22">
        <f t="shared" si="14"/>
        <v>4016.3999999999992</v>
      </c>
      <c r="BC25" s="20">
        <f t="shared" si="15"/>
        <v>65000</v>
      </c>
      <c r="BD25" s="21">
        <v>3.3999999999999998E-3</v>
      </c>
      <c r="BE25" s="22">
        <f t="shared" si="29"/>
        <v>221</v>
      </c>
      <c r="BF25" s="22">
        <v>18.899999999999999</v>
      </c>
      <c r="BG25" s="22">
        <v>15.9</v>
      </c>
      <c r="BH25" s="22">
        <v>39.9</v>
      </c>
      <c r="BI25" s="22">
        <f t="shared" si="28"/>
        <v>295.7</v>
      </c>
      <c r="BJ25" s="22">
        <f t="shared" si="17"/>
        <v>3548.3999999999996</v>
      </c>
      <c r="BL25" s="25"/>
    </row>
    <row r="26" spans="1:64" x14ac:dyDescent="0.3">
      <c r="A26" s="23"/>
      <c r="B26" s="29"/>
      <c r="J26" s="23">
        <f t="shared" si="3"/>
        <v>55000</v>
      </c>
      <c r="K26" s="24">
        <v>2.2000000000000001E-3</v>
      </c>
      <c r="L26" s="13">
        <f t="shared" si="19"/>
        <v>121.00000000000001</v>
      </c>
      <c r="M26" s="13">
        <v>18.899999999999999</v>
      </c>
      <c r="N26" s="13">
        <v>15.9</v>
      </c>
      <c r="O26" s="13">
        <v>0</v>
      </c>
      <c r="P26" s="13">
        <f t="shared" si="4"/>
        <v>155.80000000000001</v>
      </c>
      <c r="Q26" s="13">
        <f t="shared" si="5"/>
        <v>1869.6000000000001</v>
      </c>
      <c r="R26" s="25"/>
      <c r="S26" s="23">
        <f t="shared" si="6"/>
        <v>55000</v>
      </c>
      <c r="T26" s="24">
        <v>3.3E-3</v>
      </c>
      <c r="U26" s="13">
        <f t="shared" si="20"/>
        <v>181.5</v>
      </c>
      <c r="V26" s="13">
        <v>18.899999999999999</v>
      </c>
      <c r="W26" s="13">
        <v>15.9</v>
      </c>
      <c r="X26" s="13">
        <v>0</v>
      </c>
      <c r="Y26" s="13">
        <f t="shared" si="21"/>
        <v>216.3</v>
      </c>
      <c r="Z26" s="13">
        <f t="shared" si="7"/>
        <v>2595.6000000000004</v>
      </c>
      <c r="AA26" s="25"/>
      <c r="AB26" s="23">
        <f t="shared" si="8"/>
        <v>55000</v>
      </c>
      <c r="AC26" s="26">
        <v>3.7000000000000002E-3</v>
      </c>
      <c r="AD26" s="13">
        <f t="shared" si="22"/>
        <v>203.5</v>
      </c>
      <c r="AE26" s="13">
        <v>18.899999999999999</v>
      </c>
      <c r="AF26" s="13">
        <v>15.9</v>
      </c>
      <c r="AG26" s="13">
        <v>39.9</v>
      </c>
      <c r="AH26" s="13">
        <f t="shared" si="23"/>
        <v>278.2</v>
      </c>
      <c r="AI26" s="13">
        <f t="shared" si="9"/>
        <v>3338.3999999999996</v>
      </c>
      <c r="AJ26" s="25"/>
      <c r="AK26" s="23">
        <f t="shared" si="10"/>
        <v>55000</v>
      </c>
      <c r="AL26" s="26">
        <f t="shared" si="11"/>
        <v>5.6999999999999993E-3</v>
      </c>
      <c r="AM26" s="13">
        <f t="shared" si="24"/>
        <v>313.49999999999994</v>
      </c>
      <c r="AN26" s="13">
        <v>18.899999999999999</v>
      </c>
      <c r="AO26" s="13">
        <v>15.9</v>
      </c>
      <c r="AP26" s="13">
        <v>39.9</v>
      </c>
      <c r="AQ26" s="13">
        <f t="shared" si="25"/>
        <v>388.19999999999987</v>
      </c>
      <c r="AR26" s="13">
        <f t="shared" si="12"/>
        <v>4658.3999999999987</v>
      </c>
      <c r="AS26" s="25"/>
      <c r="AT26" s="23">
        <f t="shared" si="13"/>
        <v>55000</v>
      </c>
      <c r="AU26" s="26">
        <v>4.1000000000000003E-3</v>
      </c>
      <c r="AV26" s="13">
        <f t="shared" si="26"/>
        <v>225.50000000000003</v>
      </c>
      <c r="AW26" s="13">
        <v>18.899999999999999</v>
      </c>
      <c r="AX26" s="13">
        <v>15.9</v>
      </c>
      <c r="AY26" s="13">
        <v>39.9</v>
      </c>
      <c r="AZ26" s="13">
        <f t="shared" si="27"/>
        <v>300.2</v>
      </c>
      <c r="BA26" s="13">
        <f t="shared" si="14"/>
        <v>3602.3999999999996</v>
      </c>
      <c r="BC26" s="23">
        <f t="shared" si="15"/>
        <v>55000</v>
      </c>
      <c r="BD26" s="26">
        <v>3.5000000000000001E-3</v>
      </c>
      <c r="BE26" s="13">
        <f t="shared" si="29"/>
        <v>192.5</v>
      </c>
      <c r="BF26" s="13">
        <v>18.899999999999999</v>
      </c>
      <c r="BG26" s="13">
        <v>15.9</v>
      </c>
      <c r="BH26" s="13">
        <v>39.9</v>
      </c>
      <c r="BI26" s="13">
        <f t="shared" si="28"/>
        <v>267.2</v>
      </c>
      <c r="BJ26" s="13">
        <f t="shared" si="17"/>
        <v>3206.3999999999996</v>
      </c>
      <c r="BL26" s="25"/>
    </row>
    <row r="27" spans="1:64" x14ac:dyDescent="0.3">
      <c r="A27" s="23"/>
      <c r="B27" s="29"/>
      <c r="J27" s="23">
        <f t="shared" si="3"/>
        <v>45000</v>
      </c>
      <c r="K27" s="24">
        <v>2.5000000000000001E-3</v>
      </c>
      <c r="L27" s="13">
        <f t="shared" si="19"/>
        <v>112.5</v>
      </c>
      <c r="M27" s="13">
        <v>18.899999999999999</v>
      </c>
      <c r="N27" s="13">
        <v>15.9</v>
      </c>
      <c r="O27" s="13">
        <v>0</v>
      </c>
      <c r="P27" s="13">
        <f t="shared" si="4"/>
        <v>147.30000000000001</v>
      </c>
      <c r="Q27" s="13">
        <f t="shared" si="5"/>
        <v>1767.6000000000001</v>
      </c>
      <c r="R27" s="25"/>
      <c r="S27" s="23">
        <f t="shared" si="6"/>
        <v>45000</v>
      </c>
      <c r="T27" s="24">
        <v>3.5000000000000001E-3</v>
      </c>
      <c r="U27" s="13">
        <f t="shared" si="20"/>
        <v>157.5</v>
      </c>
      <c r="V27" s="13">
        <v>18.899999999999999</v>
      </c>
      <c r="W27" s="13">
        <v>15.9</v>
      </c>
      <c r="X27" s="13">
        <v>0</v>
      </c>
      <c r="Y27" s="13">
        <f t="shared" si="21"/>
        <v>192.3</v>
      </c>
      <c r="Z27" s="13">
        <f t="shared" si="7"/>
        <v>2307.6000000000004</v>
      </c>
      <c r="AA27" s="25"/>
      <c r="AB27" s="23">
        <f t="shared" si="8"/>
        <v>45000</v>
      </c>
      <c r="AC27" s="26">
        <v>3.8E-3</v>
      </c>
      <c r="AD27" s="13">
        <f t="shared" si="22"/>
        <v>171</v>
      </c>
      <c r="AE27" s="13">
        <v>18.899999999999999</v>
      </c>
      <c r="AF27" s="13">
        <v>15.9</v>
      </c>
      <c r="AG27" s="13">
        <v>39.9</v>
      </c>
      <c r="AH27" s="13">
        <f t="shared" si="23"/>
        <v>245.70000000000002</v>
      </c>
      <c r="AI27" s="13">
        <f t="shared" si="9"/>
        <v>2948.4</v>
      </c>
      <c r="AJ27" s="25"/>
      <c r="AK27" s="23">
        <f t="shared" si="10"/>
        <v>45000</v>
      </c>
      <c r="AL27" s="26">
        <f t="shared" si="11"/>
        <v>5.7999999999999996E-3</v>
      </c>
      <c r="AM27" s="13">
        <f t="shared" si="24"/>
        <v>261</v>
      </c>
      <c r="AN27" s="13">
        <v>18.899999999999999</v>
      </c>
      <c r="AO27" s="13">
        <v>15.9</v>
      </c>
      <c r="AP27" s="13">
        <v>39.9</v>
      </c>
      <c r="AQ27" s="13">
        <f t="shared" si="25"/>
        <v>335.69999999999993</v>
      </c>
      <c r="AR27" s="13">
        <f t="shared" si="12"/>
        <v>4028.3999999999992</v>
      </c>
      <c r="AS27" s="25"/>
      <c r="AT27" s="23">
        <f t="shared" si="13"/>
        <v>45000</v>
      </c>
      <c r="AU27" s="26">
        <v>4.1999999999999997E-3</v>
      </c>
      <c r="AV27" s="13">
        <f t="shared" si="26"/>
        <v>189</v>
      </c>
      <c r="AW27" s="13">
        <v>18.899999999999999</v>
      </c>
      <c r="AX27" s="13">
        <v>15.9</v>
      </c>
      <c r="AY27" s="13">
        <v>39.9</v>
      </c>
      <c r="AZ27" s="13">
        <f t="shared" si="27"/>
        <v>263.7</v>
      </c>
      <c r="BA27" s="13">
        <f t="shared" si="14"/>
        <v>3164.3999999999996</v>
      </c>
      <c r="BC27" s="23">
        <f t="shared" si="15"/>
        <v>45000</v>
      </c>
      <c r="BD27" s="26">
        <v>3.5999999999999999E-3</v>
      </c>
      <c r="BE27" s="13">
        <f t="shared" si="29"/>
        <v>162</v>
      </c>
      <c r="BF27" s="13">
        <v>18.899999999999999</v>
      </c>
      <c r="BG27" s="13">
        <v>15.9</v>
      </c>
      <c r="BH27" s="13">
        <v>39.9</v>
      </c>
      <c r="BI27" s="13">
        <f t="shared" si="28"/>
        <v>236.70000000000002</v>
      </c>
      <c r="BJ27" s="13">
        <f t="shared" si="17"/>
        <v>2840.4</v>
      </c>
      <c r="BL27" s="25"/>
    </row>
    <row r="28" spans="1:64" x14ac:dyDescent="0.3">
      <c r="A28" s="23"/>
      <c r="B28" s="29"/>
      <c r="J28" s="23">
        <f t="shared" si="3"/>
        <v>35000</v>
      </c>
      <c r="K28" s="24">
        <v>2.8E-3</v>
      </c>
      <c r="L28" s="13">
        <f t="shared" si="19"/>
        <v>98</v>
      </c>
      <c r="M28" s="13">
        <v>18.899999999999999</v>
      </c>
      <c r="N28" s="13">
        <v>15.9</v>
      </c>
      <c r="O28" s="13">
        <v>0</v>
      </c>
      <c r="P28" s="13">
        <f t="shared" si="4"/>
        <v>132.80000000000001</v>
      </c>
      <c r="Q28" s="13">
        <f t="shared" si="5"/>
        <v>1593.6000000000001</v>
      </c>
      <c r="R28" s="25"/>
      <c r="S28" s="23">
        <f t="shared" si="6"/>
        <v>35000</v>
      </c>
      <c r="T28" s="24">
        <v>3.5999999999999999E-3</v>
      </c>
      <c r="U28" s="13">
        <f t="shared" si="20"/>
        <v>126</v>
      </c>
      <c r="V28" s="13">
        <v>18.899999999999999</v>
      </c>
      <c r="W28" s="13">
        <v>15.9</v>
      </c>
      <c r="X28" s="13">
        <v>0</v>
      </c>
      <c r="Y28" s="13">
        <f t="shared" si="21"/>
        <v>160.80000000000001</v>
      </c>
      <c r="Z28" s="13">
        <f t="shared" si="7"/>
        <v>1929.6000000000001</v>
      </c>
      <c r="AA28" s="25"/>
      <c r="AB28" s="23">
        <f t="shared" si="8"/>
        <v>35000</v>
      </c>
      <c r="AC28" s="26">
        <v>3.8999999999999998E-3</v>
      </c>
      <c r="AD28" s="13">
        <f t="shared" si="22"/>
        <v>136.5</v>
      </c>
      <c r="AE28" s="13">
        <v>18.899999999999999</v>
      </c>
      <c r="AF28" s="13">
        <v>15.9</v>
      </c>
      <c r="AG28" s="13">
        <v>39.9</v>
      </c>
      <c r="AH28" s="13">
        <f t="shared" si="23"/>
        <v>211.20000000000002</v>
      </c>
      <c r="AI28" s="13">
        <f t="shared" si="9"/>
        <v>2534.4</v>
      </c>
      <c r="AJ28" s="25"/>
      <c r="AK28" s="23">
        <f t="shared" si="10"/>
        <v>35000</v>
      </c>
      <c r="AL28" s="26">
        <f>AL29-0.0001</f>
        <v>5.8999999999999999E-3</v>
      </c>
      <c r="AM28" s="13">
        <f t="shared" si="24"/>
        <v>206.5</v>
      </c>
      <c r="AN28" s="13">
        <v>18.899999999999999</v>
      </c>
      <c r="AO28" s="13">
        <v>15.9</v>
      </c>
      <c r="AP28" s="13">
        <v>39.9</v>
      </c>
      <c r="AQ28" s="13">
        <f t="shared" si="25"/>
        <v>281.2</v>
      </c>
      <c r="AR28" s="13">
        <f t="shared" si="12"/>
        <v>3374.3999999999996</v>
      </c>
      <c r="AS28" s="25"/>
      <c r="AT28" s="23">
        <f t="shared" si="13"/>
        <v>35000</v>
      </c>
      <c r="AU28" s="26">
        <v>4.3E-3</v>
      </c>
      <c r="AV28" s="13">
        <f t="shared" si="26"/>
        <v>150.5</v>
      </c>
      <c r="AW28" s="13">
        <v>18.899999999999999</v>
      </c>
      <c r="AX28" s="13">
        <v>15.9</v>
      </c>
      <c r="AY28" s="13">
        <v>39.9</v>
      </c>
      <c r="AZ28" s="13">
        <f t="shared" si="27"/>
        <v>225.20000000000002</v>
      </c>
      <c r="BA28" s="13">
        <f t="shared" si="14"/>
        <v>2702.4</v>
      </c>
      <c r="BC28" s="23">
        <f t="shared" si="15"/>
        <v>35000</v>
      </c>
      <c r="BD28" s="26">
        <v>3.7000000000000002E-3</v>
      </c>
      <c r="BE28" s="13">
        <f t="shared" si="29"/>
        <v>129.5</v>
      </c>
      <c r="BF28" s="13">
        <v>18.899999999999999</v>
      </c>
      <c r="BG28" s="13">
        <v>15.9</v>
      </c>
      <c r="BH28" s="13">
        <v>39.9</v>
      </c>
      <c r="BI28" s="13">
        <f t="shared" si="28"/>
        <v>204.20000000000002</v>
      </c>
      <c r="BJ28" s="13">
        <f t="shared" si="17"/>
        <v>2450.4</v>
      </c>
      <c r="BL28" s="25"/>
    </row>
    <row r="29" spans="1:64" x14ac:dyDescent="0.3">
      <c r="A29" s="23"/>
      <c r="B29" s="29"/>
      <c r="J29" s="23">
        <v>25000</v>
      </c>
      <c r="K29" s="24">
        <v>3.0000000000000001E-3</v>
      </c>
      <c r="L29" s="13">
        <f t="shared" si="19"/>
        <v>75</v>
      </c>
      <c r="M29" s="13">
        <v>18.899999999999999</v>
      </c>
      <c r="N29" s="13">
        <v>15.9</v>
      </c>
      <c r="O29" s="13">
        <v>0</v>
      </c>
      <c r="P29" s="13">
        <f t="shared" si="4"/>
        <v>109.80000000000001</v>
      </c>
      <c r="Q29" s="13">
        <f t="shared" si="5"/>
        <v>1317.6000000000001</v>
      </c>
      <c r="R29" s="25"/>
      <c r="S29" s="23">
        <v>25000</v>
      </c>
      <c r="T29" s="24">
        <v>3.8E-3</v>
      </c>
      <c r="U29" s="13">
        <f t="shared" si="20"/>
        <v>95</v>
      </c>
      <c r="V29" s="13">
        <v>18.899999999999999</v>
      </c>
      <c r="W29" s="13">
        <v>15.9</v>
      </c>
      <c r="X29" s="13">
        <v>0</v>
      </c>
      <c r="Y29" s="13">
        <f t="shared" si="21"/>
        <v>129.80000000000001</v>
      </c>
      <c r="Z29" s="13">
        <f t="shared" si="7"/>
        <v>1557.6000000000001</v>
      </c>
      <c r="AA29" s="25"/>
      <c r="AB29" s="23">
        <v>25000</v>
      </c>
      <c r="AC29" s="26">
        <v>4.0000000000000001E-3</v>
      </c>
      <c r="AD29" s="13">
        <f t="shared" si="22"/>
        <v>100</v>
      </c>
      <c r="AE29" s="13">
        <v>18.899999999999999</v>
      </c>
      <c r="AF29" s="13">
        <v>15.9</v>
      </c>
      <c r="AG29" s="13">
        <v>39.9</v>
      </c>
      <c r="AH29" s="13">
        <f t="shared" si="23"/>
        <v>174.70000000000002</v>
      </c>
      <c r="AI29" s="13">
        <f t="shared" si="9"/>
        <v>2096.4</v>
      </c>
      <c r="AJ29" s="25"/>
      <c r="AK29" s="23">
        <v>25000</v>
      </c>
      <c r="AL29" s="26">
        <v>6.0000000000000001E-3</v>
      </c>
      <c r="AM29" s="13">
        <f t="shared" si="24"/>
        <v>150</v>
      </c>
      <c r="AN29" s="13">
        <v>18.899999999999999</v>
      </c>
      <c r="AO29" s="13">
        <v>15.9</v>
      </c>
      <c r="AP29" s="13">
        <v>39.9</v>
      </c>
      <c r="AQ29" s="13">
        <f t="shared" si="25"/>
        <v>224.70000000000002</v>
      </c>
      <c r="AR29" s="13">
        <f t="shared" si="12"/>
        <v>2696.4</v>
      </c>
      <c r="AS29" s="25"/>
      <c r="AT29" s="23">
        <v>25000</v>
      </c>
      <c r="AU29" s="26">
        <v>4.4000000000000003E-3</v>
      </c>
      <c r="AV29" s="13">
        <f t="shared" si="26"/>
        <v>110</v>
      </c>
      <c r="AW29" s="13">
        <v>18.899999999999999</v>
      </c>
      <c r="AX29" s="13">
        <v>15.9</v>
      </c>
      <c r="AY29" s="13">
        <v>39.9</v>
      </c>
      <c r="AZ29" s="13">
        <f t="shared" si="27"/>
        <v>184.70000000000002</v>
      </c>
      <c r="BA29" s="13">
        <f t="shared" si="14"/>
        <v>2216.4</v>
      </c>
      <c r="BC29" s="23">
        <v>25000</v>
      </c>
      <c r="BD29" s="26">
        <v>3.8E-3</v>
      </c>
      <c r="BE29" s="13">
        <f t="shared" si="29"/>
        <v>95</v>
      </c>
      <c r="BF29" s="13">
        <v>18.899999999999999</v>
      </c>
      <c r="BG29" s="13">
        <v>15.9</v>
      </c>
      <c r="BH29" s="13">
        <v>39.9</v>
      </c>
      <c r="BI29" s="13">
        <f t="shared" si="28"/>
        <v>169.70000000000002</v>
      </c>
      <c r="BJ29" s="13">
        <f t="shared" si="17"/>
        <v>2036.4</v>
      </c>
      <c r="BL29" s="25"/>
    </row>
    <row r="30" spans="1:64" x14ac:dyDescent="0.3">
      <c r="B30" s="29"/>
    </row>
    <row r="31" spans="1:64" x14ac:dyDescent="0.3">
      <c r="B31" s="29"/>
    </row>
    <row r="32" spans="1:64" x14ac:dyDescent="0.3">
      <c r="B32" s="29"/>
    </row>
    <row r="33" spans="2:2" x14ac:dyDescent="0.3">
      <c r="B33" s="29"/>
    </row>
    <row r="34" spans="2:2" x14ac:dyDescent="0.3">
      <c r="B34" s="29"/>
    </row>
    <row r="35" spans="2:2" x14ac:dyDescent="0.3">
      <c r="B35" s="29"/>
    </row>
    <row r="36" spans="2:2" x14ac:dyDescent="0.3">
      <c r="B36" s="29"/>
    </row>
    <row r="37" spans="2:2" x14ac:dyDescent="0.3">
      <c r="B37" s="29"/>
    </row>
    <row r="38" spans="2:2" x14ac:dyDescent="0.3">
      <c r="B38" s="29"/>
    </row>
    <row r="39" spans="2:2" x14ac:dyDescent="0.3">
      <c r="B39" s="29"/>
    </row>
    <row r="40" spans="2:2" x14ac:dyDescent="0.3">
      <c r="B40" s="29"/>
    </row>
    <row r="41" spans="2:2" x14ac:dyDescent="0.3">
      <c r="B41" s="29"/>
    </row>
    <row r="42" spans="2:2" x14ac:dyDescent="0.3">
      <c r="B42" s="29"/>
    </row>
    <row r="43" spans="2:2" x14ac:dyDescent="0.3">
      <c r="B43" s="29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CONSULTAR</vt:lpstr>
      <vt:lpstr>BASE</vt:lpstr>
      <vt:lpstr>TAXA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 Protecao</dc:creator>
  <cp:lastModifiedBy>Danilo Marchioro</cp:lastModifiedBy>
  <dcterms:created xsi:type="dcterms:W3CDTF">2025-12-10T16:45:48Z</dcterms:created>
  <dcterms:modified xsi:type="dcterms:W3CDTF">2026-01-15T16:51:18Z</dcterms:modified>
</cp:coreProperties>
</file>